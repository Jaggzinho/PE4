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9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10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7.xml" ContentType="application/vnd.openxmlformats-officedocument.drawing+xml"/>
  <Override PartName="/xl/tables/table6.xml" ContentType="application/vnd.openxmlformats-officedocument.spreadsheetml.table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8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9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0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8.xml" ContentType="application/vnd.openxmlformats-officedocument.drawing+xml"/>
  <Override PartName="/xl/tables/table7.xml" ContentType="application/vnd.openxmlformats-officedocument.spreadsheetml.table+xml"/>
  <Override PartName="/xl/charts/chart31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2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3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4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5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6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9.xml" ContentType="application/vnd.openxmlformats-officedocument.drawing+xml"/>
  <Override PartName="/xl/charts/chart37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8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9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0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1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42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harts/chart43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44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45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46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7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8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ables/table9.xml" ContentType="application/vnd.openxmlformats-officedocument.spreadsheetml.table+xml"/>
  <Override PartName="/xl/drawings/drawing11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DD97A8EA-9A9A-E61F-A557-7D5A7D7259CE}"/>
  <workbookPr updateLinks="always"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GitHub\PE3\PE3\"/>
    </mc:Choice>
  </mc:AlternateContent>
  <xr:revisionPtr revIDLastSave="0" documentId="13_ncr:1_{E005A82D-1B8D-4C6D-A7A8-AB57874B2AC7}" xr6:coauthVersionLast="47" xr6:coauthVersionMax="47" xr10:uidLastSave="{00000000-0000-0000-0000-000000000000}"/>
  <bookViews>
    <workbookView xWindow="-120" yWindow="-120" windowWidth="29040" windowHeight="15720" tabRatio="785" xr2:uid="{00000000-000D-0000-FFFF-FFFF00000000}"/>
  </bookViews>
  <sheets>
    <sheet name="SINOTTICO" sheetId="21" r:id="rId1"/>
    <sheet name="materiali" sheetId="22" r:id="rId2"/>
    <sheet name="LOTTI_RISULTATI ANALISI" sheetId="1" r:id="rId3"/>
    <sheet name="SISTEMA 01 SINTER 70 GIALLO AS" sheetId="7" r:id="rId4"/>
    <sheet name="SISTEMA 02 SINTAM 90 GIALLO" sheetId="14" r:id="rId5"/>
    <sheet name="SISTEMA 03 SINTAM 70 GIALLO AS" sheetId="15" r:id="rId6"/>
    <sheet name="SISTEMA 04 SINTAL 70 BIANCO G" sheetId="16" r:id="rId7"/>
    <sheet name="SISTEMA 05 SINTAM 70 GIALLO" sheetId="17" r:id="rId8"/>
    <sheet name="SISTEMA 06 SINTER 70 NEUTRO AS" sheetId="18" r:id="rId9"/>
    <sheet name="SISTEMA 07 SINTHT 80 NEUTRO" sheetId="20" r:id="rId10"/>
    <sheet name="SISTEMA 08 SINTAL 70 BIANCO F" sheetId="19" r:id="rId11"/>
    <sheet name="SISTEMA 09 SINTAM 70 GIALLO AM" sheetId="24" r:id="rId12"/>
    <sheet name="SINOTTICO_old" sheetId="5" state="hidden" r:id="rId13"/>
    <sheet name="materiali_old2" sheetId="6" r:id="rId14"/>
    <sheet name="Sheet1" sheetId="23" state="hidden" r:id="rId15"/>
    <sheet name="TIPOLOGIE COMP" sheetId="4" state="hidden" r:id="rId16"/>
  </sheets>
  <externalReferences>
    <externalReference r:id="rId17"/>
  </externalReferences>
  <definedNames>
    <definedName name="_xlnm._FilterDatabase" localSheetId="1" hidden="1">materiali!$A$1:$N$197</definedName>
    <definedName name="_xlnm._FilterDatabase" localSheetId="13" hidden="1">materiali_old2!$A$1:$N$34</definedName>
    <definedName name="_xleta.OR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9" i="21" l="1"/>
  <c r="H12" i="7"/>
  <c r="G11" i="7"/>
  <c r="E10" i="7"/>
  <c r="C8" i="7"/>
  <c r="E5" i="7"/>
  <c r="J36" i="7"/>
  <c r="B25" i="17"/>
  <c r="B24" i="17"/>
  <c r="B30" i="17"/>
  <c r="B29" i="17"/>
  <c r="H42" i="19"/>
  <c r="P42" i="19"/>
  <c r="D43" i="19"/>
  <c r="D44" i="19"/>
  <c r="F44" i="19"/>
  <c r="H45" i="19"/>
  <c r="N45" i="19"/>
  <c r="J46" i="19"/>
  <c r="J47" i="19"/>
  <c r="L47" i="19"/>
  <c r="B46" i="19"/>
  <c r="F42" i="20"/>
  <c r="H42" i="20"/>
  <c r="F44" i="20"/>
  <c r="H44" i="20"/>
  <c r="H46" i="20"/>
  <c r="F47" i="20"/>
  <c r="B45" i="20"/>
  <c r="B43" i="20"/>
  <c r="F42" i="18"/>
  <c r="H42" i="18"/>
  <c r="N42" i="18"/>
  <c r="F43" i="18"/>
  <c r="H43" i="18"/>
  <c r="H44" i="18"/>
  <c r="F45" i="18"/>
  <c r="H45" i="18"/>
  <c r="F46" i="18"/>
  <c r="H46" i="18"/>
  <c r="F47" i="18"/>
  <c r="H47" i="18"/>
  <c r="B44" i="18"/>
  <c r="D42" i="17"/>
  <c r="F42" i="17"/>
  <c r="L42" i="17"/>
  <c r="F43" i="17"/>
  <c r="F44" i="17"/>
  <c r="L45" i="17"/>
  <c r="B46" i="17"/>
  <c r="B45" i="17"/>
  <c r="AE49" i="16"/>
  <c r="AE50" i="16" s="1"/>
  <c r="D42" i="16"/>
  <c r="J42" i="16"/>
  <c r="R42" i="16"/>
  <c r="T42" i="16"/>
  <c r="Z42" i="16"/>
  <c r="AJ42" i="16"/>
  <c r="AP42" i="16"/>
  <c r="AZ42" i="16"/>
  <c r="BF42" i="16"/>
  <c r="BN42" i="16"/>
  <c r="D43" i="16"/>
  <c r="J43" i="16"/>
  <c r="R43" i="16"/>
  <c r="T43" i="16"/>
  <c r="Z43" i="16"/>
  <c r="AH43" i="16"/>
  <c r="AJ43" i="16"/>
  <c r="AP43" i="16"/>
  <c r="AX43" i="16"/>
  <c r="AZ43" i="16"/>
  <c r="BF43" i="16"/>
  <c r="BN43" i="16"/>
  <c r="D44" i="16"/>
  <c r="J44" i="16"/>
  <c r="T44" i="16"/>
  <c r="Z44" i="16"/>
  <c r="AJ44" i="16"/>
  <c r="AP44" i="16"/>
  <c r="AZ44" i="16"/>
  <c r="BF44" i="16"/>
  <c r="D45" i="16"/>
  <c r="J45" i="16"/>
  <c r="R45" i="16"/>
  <c r="T45" i="16"/>
  <c r="Z45" i="16"/>
  <c r="AH45" i="16"/>
  <c r="AJ45" i="16"/>
  <c r="AP45" i="16"/>
  <c r="AX45" i="16"/>
  <c r="AZ45" i="16"/>
  <c r="BF45" i="16"/>
  <c r="BN45" i="16"/>
  <c r="D46" i="16"/>
  <c r="J46" i="16"/>
  <c r="R46" i="16"/>
  <c r="T46" i="16"/>
  <c r="Z46" i="16"/>
  <c r="AH46" i="16"/>
  <c r="AJ46" i="16"/>
  <c r="AP46" i="16"/>
  <c r="AX46" i="16"/>
  <c r="AZ46" i="16"/>
  <c r="BF46" i="16"/>
  <c r="BN46" i="16"/>
  <c r="D47" i="16"/>
  <c r="J47" i="16"/>
  <c r="R47" i="16"/>
  <c r="T47" i="16"/>
  <c r="Z47" i="16"/>
  <c r="AH47" i="16"/>
  <c r="AJ47" i="16"/>
  <c r="AP47" i="16"/>
  <c r="AX47" i="16"/>
  <c r="AZ47" i="16"/>
  <c r="BF47" i="16"/>
  <c r="BN47" i="16"/>
  <c r="B48" i="15"/>
  <c r="H47" i="14"/>
  <c r="P47" i="14"/>
  <c r="R47" i="14"/>
  <c r="G48" i="15"/>
  <c r="Q48" i="15"/>
  <c r="B42" i="16"/>
  <c r="H43" i="15"/>
  <c r="J43" i="15"/>
  <c r="P43" i="15"/>
  <c r="H44" i="15"/>
  <c r="J44" i="15"/>
  <c r="P44" i="15"/>
  <c r="H45" i="15"/>
  <c r="J45" i="15"/>
  <c r="P45" i="15"/>
  <c r="H46" i="15"/>
  <c r="J46" i="15"/>
  <c r="P46" i="15"/>
  <c r="H47" i="15"/>
  <c r="J47" i="15"/>
  <c r="P47" i="15"/>
  <c r="C44" i="14"/>
  <c r="I44" i="14"/>
  <c r="Q44" i="14"/>
  <c r="I46" i="14"/>
  <c r="Q46" i="14"/>
  <c r="B46" i="14"/>
  <c r="F43" i="14"/>
  <c r="N43" i="14"/>
  <c r="P43" i="14"/>
  <c r="M42" i="14"/>
  <c r="O42" i="14"/>
  <c r="C15" i="24"/>
  <c r="C16" i="24"/>
  <c r="C17" i="24"/>
  <c r="C44" i="24" s="1"/>
  <c r="C49" i="24" s="1"/>
  <c r="C50" i="24" s="1"/>
  <c r="C18" i="24"/>
  <c r="C19" i="24"/>
  <c r="B19" i="24"/>
  <c r="B18" i="24"/>
  <c r="B17" i="24"/>
  <c r="B44" i="24" s="1"/>
  <c r="B16" i="24"/>
  <c r="B15" i="24"/>
  <c r="K16" i="19"/>
  <c r="L16" i="19"/>
  <c r="M16" i="19"/>
  <c r="N16" i="19"/>
  <c r="O16" i="19"/>
  <c r="P16" i="19"/>
  <c r="K17" i="19"/>
  <c r="K44" i="19" s="1"/>
  <c r="L17" i="19"/>
  <c r="L44" i="19" s="1"/>
  <c r="M17" i="19"/>
  <c r="M44" i="19" s="1"/>
  <c r="N17" i="19"/>
  <c r="N44" i="19" s="1"/>
  <c r="O17" i="19"/>
  <c r="O44" i="19" s="1"/>
  <c r="P17" i="19"/>
  <c r="P44" i="19" s="1"/>
  <c r="K18" i="19"/>
  <c r="L18" i="19"/>
  <c r="M18" i="19"/>
  <c r="N18" i="19"/>
  <c r="O18" i="19"/>
  <c r="P18" i="19"/>
  <c r="K19" i="19"/>
  <c r="L19" i="19"/>
  <c r="M19" i="19"/>
  <c r="N19" i="19"/>
  <c r="O19" i="19"/>
  <c r="P19" i="19"/>
  <c r="K15" i="19"/>
  <c r="L15" i="19"/>
  <c r="M15" i="19"/>
  <c r="N15" i="19"/>
  <c r="O15" i="19"/>
  <c r="P15" i="19"/>
  <c r="J19" i="19"/>
  <c r="I19" i="19"/>
  <c r="H19" i="19"/>
  <c r="G19" i="19"/>
  <c r="F19" i="19"/>
  <c r="E19" i="19"/>
  <c r="D19" i="19"/>
  <c r="C19" i="19"/>
  <c r="B19" i="19"/>
  <c r="J18" i="19"/>
  <c r="I18" i="19"/>
  <c r="H18" i="19"/>
  <c r="G18" i="19"/>
  <c r="F18" i="19"/>
  <c r="E18" i="19"/>
  <c r="D18" i="19"/>
  <c r="C18" i="19"/>
  <c r="B18" i="19"/>
  <c r="J17" i="19"/>
  <c r="J44" i="19" s="1"/>
  <c r="I17" i="19"/>
  <c r="I44" i="19" s="1"/>
  <c r="H17" i="19"/>
  <c r="H44" i="19" s="1"/>
  <c r="G17" i="19"/>
  <c r="G44" i="19" s="1"/>
  <c r="F17" i="19"/>
  <c r="E17" i="19"/>
  <c r="E44" i="19" s="1"/>
  <c r="D17" i="19"/>
  <c r="C17" i="19"/>
  <c r="C44" i="19" s="1"/>
  <c r="B17" i="19"/>
  <c r="B44" i="19" s="1"/>
  <c r="J16" i="19"/>
  <c r="I16" i="19"/>
  <c r="H16" i="19"/>
  <c r="G16" i="19"/>
  <c r="F16" i="19"/>
  <c r="E16" i="19"/>
  <c r="D16" i="19"/>
  <c r="C16" i="19"/>
  <c r="B16" i="19"/>
  <c r="J15" i="19"/>
  <c r="I15" i="19"/>
  <c r="H15" i="19"/>
  <c r="G15" i="19"/>
  <c r="F15" i="19"/>
  <c r="E15" i="19"/>
  <c r="D15" i="19"/>
  <c r="C15" i="19"/>
  <c r="B15" i="19"/>
  <c r="C15" i="20"/>
  <c r="D15" i="20"/>
  <c r="E15" i="20"/>
  <c r="F15" i="20"/>
  <c r="G15" i="20"/>
  <c r="H15" i="20"/>
  <c r="I15" i="20"/>
  <c r="J15" i="20"/>
  <c r="C16" i="20"/>
  <c r="D16" i="20"/>
  <c r="E16" i="20"/>
  <c r="F16" i="20"/>
  <c r="G16" i="20"/>
  <c r="H16" i="20"/>
  <c r="I16" i="20"/>
  <c r="J16" i="20"/>
  <c r="C17" i="20"/>
  <c r="C44" i="20" s="1"/>
  <c r="D17" i="20"/>
  <c r="D44" i="20" s="1"/>
  <c r="E17" i="20"/>
  <c r="E44" i="20" s="1"/>
  <c r="F17" i="20"/>
  <c r="G17" i="20"/>
  <c r="G44" i="20" s="1"/>
  <c r="H17" i="20"/>
  <c r="I17" i="20"/>
  <c r="I44" i="20" s="1"/>
  <c r="J17" i="20"/>
  <c r="J44" i="20" s="1"/>
  <c r="C18" i="20"/>
  <c r="D18" i="20"/>
  <c r="E18" i="20"/>
  <c r="F18" i="20"/>
  <c r="G18" i="20"/>
  <c r="H18" i="20"/>
  <c r="I18" i="20"/>
  <c r="J18" i="20"/>
  <c r="C19" i="20"/>
  <c r="D19" i="20"/>
  <c r="E19" i="20"/>
  <c r="F19" i="20"/>
  <c r="G19" i="20"/>
  <c r="H19" i="20"/>
  <c r="I19" i="20"/>
  <c r="J19" i="20"/>
  <c r="B19" i="20"/>
  <c r="B18" i="20"/>
  <c r="B17" i="20"/>
  <c r="B44" i="20" s="1"/>
  <c r="B16" i="20"/>
  <c r="B15" i="20"/>
  <c r="B15" i="18"/>
  <c r="R19" i="18"/>
  <c r="Q19" i="18"/>
  <c r="P19" i="18"/>
  <c r="O19" i="18"/>
  <c r="N19" i="18"/>
  <c r="M19" i="18"/>
  <c r="L19" i="18"/>
  <c r="K19" i="18"/>
  <c r="J19" i="18"/>
  <c r="I19" i="18"/>
  <c r="H19" i="18"/>
  <c r="G19" i="18"/>
  <c r="F19" i="18"/>
  <c r="E19" i="18"/>
  <c r="D19" i="18"/>
  <c r="C19" i="18"/>
  <c r="B19" i="18"/>
  <c r="R18" i="18"/>
  <c r="Q18" i="18"/>
  <c r="P18" i="18"/>
  <c r="O18" i="18"/>
  <c r="N18" i="18"/>
  <c r="M18" i="18"/>
  <c r="L18" i="18"/>
  <c r="K18" i="18"/>
  <c r="J18" i="18"/>
  <c r="I18" i="18"/>
  <c r="H18" i="18"/>
  <c r="G18" i="18"/>
  <c r="F18" i="18"/>
  <c r="E18" i="18"/>
  <c r="D18" i="18"/>
  <c r="C18" i="18"/>
  <c r="B18" i="18"/>
  <c r="R17" i="18"/>
  <c r="R44" i="18" s="1"/>
  <c r="Q17" i="18"/>
  <c r="Q44" i="18" s="1"/>
  <c r="P17" i="18"/>
  <c r="P44" i="18" s="1"/>
  <c r="O17" i="18"/>
  <c r="O44" i="18" s="1"/>
  <c r="N17" i="18"/>
  <c r="N44" i="18" s="1"/>
  <c r="M17" i="18"/>
  <c r="M44" i="18" s="1"/>
  <c r="L17" i="18"/>
  <c r="L44" i="18" s="1"/>
  <c r="K17" i="18"/>
  <c r="K44" i="18" s="1"/>
  <c r="J17" i="18"/>
  <c r="J44" i="18" s="1"/>
  <c r="I17" i="18"/>
  <c r="I44" i="18" s="1"/>
  <c r="H17" i="18"/>
  <c r="G17" i="18"/>
  <c r="G44" i="18" s="1"/>
  <c r="F17" i="18"/>
  <c r="F44" i="18" s="1"/>
  <c r="E17" i="18"/>
  <c r="E44" i="18" s="1"/>
  <c r="D17" i="18"/>
  <c r="D44" i="18" s="1"/>
  <c r="C17" i="18"/>
  <c r="C44" i="18" s="1"/>
  <c r="B17" i="18"/>
  <c r="R16" i="18"/>
  <c r="Q16" i="18"/>
  <c r="P16" i="18"/>
  <c r="O16" i="18"/>
  <c r="N16" i="18"/>
  <c r="M16" i="18"/>
  <c r="L16" i="18"/>
  <c r="K16" i="18"/>
  <c r="J16" i="18"/>
  <c r="I16" i="18"/>
  <c r="H16" i="18"/>
  <c r="G16" i="18"/>
  <c r="F16" i="18"/>
  <c r="E16" i="18"/>
  <c r="D16" i="18"/>
  <c r="C16" i="18"/>
  <c r="B16" i="18"/>
  <c r="R15" i="18"/>
  <c r="Q15" i="18"/>
  <c r="P15" i="18"/>
  <c r="O15" i="18"/>
  <c r="N15" i="18"/>
  <c r="M15" i="18"/>
  <c r="L15" i="18"/>
  <c r="K15" i="18"/>
  <c r="J15" i="18"/>
  <c r="I15" i="18"/>
  <c r="H15" i="18"/>
  <c r="G15" i="18"/>
  <c r="F15" i="18"/>
  <c r="E15" i="18"/>
  <c r="D15" i="18"/>
  <c r="C15" i="18"/>
  <c r="R19" i="17"/>
  <c r="R18" i="17"/>
  <c r="R17" i="17"/>
  <c r="R44" i="17" s="1"/>
  <c r="R16" i="17"/>
  <c r="R15" i="17"/>
  <c r="Q19" i="17"/>
  <c r="P19" i="17"/>
  <c r="O19" i="17"/>
  <c r="N19" i="17"/>
  <c r="M19" i="17"/>
  <c r="L19" i="17"/>
  <c r="K19" i="17"/>
  <c r="J19" i="17"/>
  <c r="I19" i="17"/>
  <c r="H19" i="17"/>
  <c r="G19" i="17"/>
  <c r="F19" i="17"/>
  <c r="E19" i="17"/>
  <c r="D19" i="17"/>
  <c r="C19" i="17"/>
  <c r="B19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D18" i="17"/>
  <c r="C18" i="17"/>
  <c r="B18" i="17"/>
  <c r="Q17" i="17"/>
  <c r="Q44" i="17" s="1"/>
  <c r="P17" i="17"/>
  <c r="P44" i="17" s="1"/>
  <c r="O17" i="17"/>
  <c r="O44" i="17" s="1"/>
  <c r="N17" i="17"/>
  <c r="N44" i="17" s="1"/>
  <c r="M17" i="17"/>
  <c r="M44" i="17" s="1"/>
  <c r="L17" i="17"/>
  <c r="L44" i="17" s="1"/>
  <c r="K17" i="17"/>
  <c r="K44" i="17" s="1"/>
  <c r="J17" i="17"/>
  <c r="J44" i="17" s="1"/>
  <c r="I17" i="17"/>
  <c r="I44" i="17" s="1"/>
  <c r="H17" i="17"/>
  <c r="H44" i="17" s="1"/>
  <c r="G17" i="17"/>
  <c r="G44" i="17" s="1"/>
  <c r="F17" i="17"/>
  <c r="E17" i="17"/>
  <c r="E44" i="17" s="1"/>
  <c r="D17" i="17"/>
  <c r="D44" i="17" s="1"/>
  <c r="C17" i="17"/>
  <c r="C44" i="17" s="1"/>
  <c r="B17" i="17"/>
  <c r="B44" i="17" s="1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C15" i="16"/>
  <c r="D15" i="16"/>
  <c r="E15" i="16"/>
  <c r="F15" i="16"/>
  <c r="G15" i="16"/>
  <c r="H15" i="16"/>
  <c r="I15" i="16"/>
  <c r="J15" i="16"/>
  <c r="K15" i="16"/>
  <c r="L15" i="16"/>
  <c r="M15" i="16"/>
  <c r="N15" i="16"/>
  <c r="O15" i="16"/>
  <c r="P15" i="16"/>
  <c r="Q15" i="16"/>
  <c r="R15" i="16"/>
  <c r="S15" i="16"/>
  <c r="T15" i="16"/>
  <c r="U15" i="16"/>
  <c r="V15" i="16"/>
  <c r="W15" i="16"/>
  <c r="X15" i="16"/>
  <c r="Y15" i="16"/>
  <c r="Z15" i="16"/>
  <c r="AA15" i="16"/>
  <c r="AB15" i="16"/>
  <c r="AC15" i="16"/>
  <c r="AD15" i="16"/>
  <c r="AE15" i="16"/>
  <c r="AF15" i="16"/>
  <c r="AG15" i="16"/>
  <c r="AH15" i="16"/>
  <c r="AI15" i="16"/>
  <c r="AJ15" i="16"/>
  <c r="AK15" i="16"/>
  <c r="AL15" i="16"/>
  <c r="AM15" i="16"/>
  <c r="AN15" i="16"/>
  <c r="AO15" i="16"/>
  <c r="AP15" i="16"/>
  <c r="AQ15" i="16"/>
  <c r="AR15" i="16"/>
  <c r="AS15" i="16"/>
  <c r="AT15" i="16"/>
  <c r="AU15" i="16"/>
  <c r="AV15" i="16"/>
  <c r="AW15" i="16"/>
  <c r="AX15" i="16"/>
  <c r="AY15" i="16"/>
  <c r="AZ15" i="16"/>
  <c r="BA15" i="16"/>
  <c r="BB15" i="16"/>
  <c r="BC15" i="16"/>
  <c r="BD15" i="16"/>
  <c r="BE15" i="16"/>
  <c r="BF15" i="16"/>
  <c r="BG15" i="16"/>
  <c r="BH15" i="16"/>
  <c r="BI15" i="16"/>
  <c r="BJ15" i="16"/>
  <c r="BK15" i="16"/>
  <c r="BL15" i="16"/>
  <c r="BM15" i="16"/>
  <c r="BN15" i="16"/>
  <c r="C16" i="16"/>
  <c r="D16" i="16"/>
  <c r="E16" i="16"/>
  <c r="F16" i="16"/>
  <c r="G16" i="16"/>
  <c r="H16" i="16"/>
  <c r="I16" i="16"/>
  <c r="J16" i="16"/>
  <c r="K16" i="16"/>
  <c r="L16" i="16"/>
  <c r="M16" i="16"/>
  <c r="N16" i="16"/>
  <c r="O16" i="16"/>
  <c r="P16" i="16"/>
  <c r="Q16" i="16"/>
  <c r="R16" i="16"/>
  <c r="S16" i="16"/>
  <c r="T16" i="16"/>
  <c r="U16" i="16"/>
  <c r="V16" i="16"/>
  <c r="W16" i="16"/>
  <c r="X16" i="16"/>
  <c r="Y16" i="16"/>
  <c r="Z16" i="16"/>
  <c r="AA16" i="16"/>
  <c r="AB16" i="16"/>
  <c r="AC16" i="16"/>
  <c r="AD16" i="16"/>
  <c r="AE16" i="16"/>
  <c r="AF16" i="16"/>
  <c r="AG16" i="16"/>
  <c r="AH16" i="16"/>
  <c r="AI16" i="16"/>
  <c r="AJ16" i="16"/>
  <c r="AK16" i="16"/>
  <c r="AL16" i="16"/>
  <c r="AM16" i="16"/>
  <c r="AN16" i="16"/>
  <c r="AO16" i="16"/>
  <c r="AP16" i="16"/>
  <c r="AQ16" i="16"/>
  <c r="AR16" i="16"/>
  <c r="AS16" i="16"/>
  <c r="AT16" i="16"/>
  <c r="AU16" i="16"/>
  <c r="AV16" i="16"/>
  <c r="AW16" i="16"/>
  <c r="AX16" i="16"/>
  <c r="AY16" i="16"/>
  <c r="AZ16" i="16"/>
  <c r="BA16" i="16"/>
  <c r="BB16" i="16"/>
  <c r="BC16" i="16"/>
  <c r="BD16" i="16"/>
  <c r="BE16" i="16"/>
  <c r="BF16" i="16"/>
  <c r="BG16" i="16"/>
  <c r="BH16" i="16"/>
  <c r="BI16" i="16"/>
  <c r="BJ16" i="16"/>
  <c r="BK16" i="16"/>
  <c r="BL16" i="16"/>
  <c r="BM16" i="16"/>
  <c r="BN16" i="16"/>
  <c r="C17" i="16"/>
  <c r="C44" i="16" s="1"/>
  <c r="D17" i="16"/>
  <c r="E17" i="16"/>
  <c r="E44" i="16" s="1"/>
  <c r="F17" i="16"/>
  <c r="F44" i="16" s="1"/>
  <c r="F49" i="16" s="1"/>
  <c r="F50" i="16" s="1"/>
  <c r="G17" i="16"/>
  <c r="G44" i="16" s="1"/>
  <c r="H17" i="16"/>
  <c r="H44" i="16" s="1"/>
  <c r="I17" i="16"/>
  <c r="I44" i="16" s="1"/>
  <c r="J17" i="16"/>
  <c r="K17" i="16"/>
  <c r="K44" i="16" s="1"/>
  <c r="L17" i="16"/>
  <c r="L44" i="16" s="1"/>
  <c r="M17" i="16"/>
  <c r="M44" i="16" s="1"/>
  <c r="N17" i="16"/>
  <c r="N44" i="16" s="1"/>
  <c r="O17" i="16"/>
  <c r="O44" i="16" s="1"/>
  <c r="P17" i="16"/>
  <c r="P44" i="16" s="1"/>
  <c r="Q17" i="16"/>
  <c r="Q44" i="16" s="1"/>
  <c r="R17" i="16"/>
  <c r="R44" i="16" s="1"/>
  <c r="S17" i="16"/>
  <c r="S44" i="16" s="1"/>
  <c r="T17" i="16"/>
  <c r="U17" i="16"/>
  <c r="U44" i="16" s="1"/>
  <c r="V17" i="16"/>
  <c r="V44" i="16" s="1"/>
  <c r="W17" i="16"/>
  <c r="W44" i="16" s="1"/>
  <c r="X17" i="16"/>
  <c r="X44" i="16" s="1"/>
  <c r="Y17" i="16"/>
  <c r="Y44" i="16" s="1"/>
  <c r="Z17" i="16"/>
  <c r="AA17" i="16"/>
  <c r="AA44" i="16" s="1"/>
  <c r="AB17" i="16"/>
  <c r="AB44" i="16" s="1"/>
  <c r="AC17" i="16"/>
  <c r="AC44" i="16" s="1"/>
  <c r="AD17" i="16"/>
  <c r="AD44" i="16" s="1"/>
  <c r="AE17" i="16"/>
  <c r="AE44" i="16" s="1"/>
  <c r="AF17" i="16"/>
  <c r="AF44" i="16" s="1"/>
  <c r="AG17" i="16"/>
  <c r="AG44" i="16" s="1"/>
  <c r="AH17" i="16"/>
  <c r="AH44" i="16" s="1"/>
  <c r="AI17" i="16"/>
  <c r="AI44" i="16" s="1"/>
  <c r="AJ17" i="16"/>
  <c r="AK17" i="16"/>
  <c r="AK44" i="16" s="1"/>
  <c r="AL17" i="16"/>
  <c r="AL44" i="16" s="1"/>
  <c r="AM17" i="16"/>
  <c r="AM44" i="16" s="1"/>
  <c r="AN17" i="16"/>
  <c r="AN44" i="16" s="1"/>
  <c r="AO17" i="16"/>
  <c r="AO44" i="16" s="1"/>
  <c r="AP17" i="16"/>
  <c r="AQ17" i="16"/>
  <c r="AQ44" i="16" s="1"/>
  <c r="AR17" i="16"/>
  <c r="AR44" i="16" s="1"/>
  <c r="AS17" i="16"/>
  <c r="AS44" i="16" s="1"/>
  <c r="AT17" i="16"/>
  <c r="AT44" i="16" s="1"/>
  <c r="AU17" i="16"/>
  <c r="AU44" i="16" s="1"/>
  <c r="AV17" i="16"/>
  <c r="AV44" i="16" s="1"/>
  <c r="AW17" i="16"/>
  <c r="AW44" i="16" s="1"/>
  <c r="AX17" i="16"/>
  <c r="AX44" i="16" s="1"/>
  <c r="AY17" i="16"/>
  <c r="AY44" i="16" s="1"/>
  <c r="AZ17" i="16"/>
  <c r="BA17" i="16"/>
  <c r="BA44" i="16" s="1"/>
  <c r="BB17" i="16"/>
  <c r="BB44" i="16" s="1"/>
  <c r="BC17" i="16"/>
  <c r="BC44" i="16" s="1"/>
  <c r="BD17" i="16"/>
  <c r="BD44" i="16" s="1"/>
  <c r="BE17" i="16"/>
  <c r="BE44" i="16" s="1"/>
  <c r="BF17" i="16"/>
  <c r="BG17" i="16"/>
  <c r="BG44" i="16" s="1"/>
  <c r="BH17" i="16"/>
  <c r="BH44" i="16" s="1"/>
  <c r="BI17" i="16"/>
  <c r="BI44" i="16" s="1"/>
  <c r="BJ17" i="16"/>
  <c r="BJ44" i="16" s="1"/>
  <c r="BK17" i="16"/>
  <c r="BK44" i="16" s="1"/>
  <c r="BK49" i="16" s="1"/>
  <c r="BK50" i="16" s="1"/>
  <c r="BL17" i="16"/>
  <c r="BL44" i="16" s="1"/>
  <c r="BM17" i="16"/>
  <c r="BM44" i="16" s="1"/>
  <c r="BN17" i="16"/>
  <c r="BN44" i="16" s="1"/>
  <c r="C18" i="16"/>
  <c r="D18" i="16"/>
  <c r="E18" i="16"/>
  <c r="F18" i="16"/>
  <c r="G18" i="16"/>
  <c r="H18" i="16"/>
  <c r="I18" i="16"/>
  <c r="J18" i="16"/>
  <c r="K18" i="16"/>
  <c r="L18" i="16"/>
  <c r="M18" i="16"/>
  <c r="N18" i="16"/>
  <c r="O18" i="16"/>
  <c r="P18" i="16"/>
  <c r="Q18" i="16"/>
  <c r="R18" i="16"/>
  <c r="S18" i="16"/>
  <c r="T18" i="16"/>
  <c r="U18" i="16"/>
  <c r="V18" i="16"/>
  <c r="W18" i="16"/>
  <c r="X18" i="16"/>
  <c r="Y18" i="16"/>
  <c r="Z18" i="16"/>
  <c r="AA18" i="16"/>
  <c r="AB18" i="16"/>
  <c r="AC18" i="16"/>
  <c r="AD18" i="16"/>
  <c r="AE18" i="16"/>
  <c r="AF18" i="16"/>
  <c r="AG18" i="16"/>
  <c r="AH18" i="16"/>
  <c r="AI18" i="16"/>
  <c r="AJ18" i="16"/>
  <c r="AK18" i="16"/>
  <c r="AL18" i="16"/>
  <c r="AM18" i="16"/>
  <c r="AN18" i="16"/>
  <c r="AO18" i="16"/>
  <c r="AP18" i="16"/>
  <c r="AQ18" i="16"/>
  <c r="AR18" i="16"/>
  <c r="AS18" i="16"/>
  <c r="AT18" i="16"/>
  <c r="AU18" i="16"/>
  <c r="AV18" i="16"/>
  <c r="AW18" i="16"/>
  <c r="AX18" i="16"/>
  <c r="AY18" i="16"/>
  <c r="AZ18" i="16"/>
  <c r="BA18" i="16"/>
  <c r="BB18" i="16"/>
  <c r="BC18" i="16"/>
  <c r="BD18" i="16"/>
  <c r="BE18" i="16"/>
  <c r="BF18" i="16"/>
  <c r="BG18" i="16"/>
  <c r="BH18" i="16"/>
  <c r="BI18" i="16"/>
  <c r="BJ18" i="16"/>
  <c r="BK18" i="16"/>
  <c r="BL18" i="16"/>
  <c r="BM18" i="16"/>
  <c r="BN18" i="16"/>
  <c r="C19" i="16"/>
  <c r="D19" i="16"/>
  <c r="E19" i="16"/>
  <c r="F19" i="16"/>
  <c r="G19" i="16"/>
  <c r="H19" i="16"/>
  <c r="I19" i="16"/>
  <c r="J19" i="16"/>
  <c r="K19" i="16"/>
  <c r="L19" i="16"/>
  <c r="M19" i="16"/>
  <c r="N19" i="16"/>
  <c r="O19" i="16"/>
  <c r="P19" i="16"/>
  <c r="Q19" i="16"/>
  <c r="R19" i="16"/>
  <c r="S19" i="16"/>
  <c r="T19" i="16"/>
  <c r="U19" i="16"/>
  <c r="V19" i="16"/>
  <c r="W19" i="16"/>
  <c r="X19" i="16"/>
  <c r="Y19" i="16"/>
  <c r="Z19" i="16"/>
  <c r="AA19" i="16"/>
  <c r="AB19" i="16"/>
  <c r="AC19" i="16"/>
  <c r="AD19" i="16"/>
  <c r="AE19" i="16"/>
  <c r="AF19" i="16"/>
  <c r="AG19" i="16"/>
  <c r="AH19" i="16"/>
  <c r="AI19" i="16"/>
  <c r="AJ19" i="16"/>
  <c r="AK19" i="16"/>
  <c r="AL19" i="16"/>
  <c r="AM19" i="16"/>
  <c r="AN19" i="16"/>
  <c r="AO19" i="16"/>
  <c r="AP19" i="16"/>
  <c r="AQ19" i="16"/>
  <c r="AR19" i="16"/>
  <c r="AS19" i="16"/>
  <c r="AT19" i="16"/>
  <c r="AU19" i="16"/>
  <c r="AV19" i="16"/>
  <c r="AW19" i="16"/>
  <c r="AX19" i="16"/>
  <c r="AY19" i="16"/>
  <c r="AZ19" i="16"/>
  <c r="BA19" i="16"/>
  <c r="BB19" i="16"/>
  <c r="BC19" i="16"/>
  <c r="BD19" i="16"/>
  <c r="BE19" i="16"/>
  <c r="BF19" i="16"/>
  <c r="BG19" i="16"/>
  <c r="BH19" i="16"/>
  <c r="BI19" i="16"/>
  <c r="BJ19" i="16"/>
  <c r="BK19" i="16"/>
  <c r="BL19" i="16"/>
  <c r="BM19" i="16"/>
  <c r="BN19" i="16"/>
  <c r="B19" i="16"/>
  <c r="B18" i="16"/>
  <c r="B17" i="16"/>
  <c r="B44" i="16" s="1"/>
  <c r="B16" i="16"/>
  <c r="B15" i="16"/>
  <c r="B19" i="15"/>
  <c r="B18" i="15"/>
  <c r="B16" i="15"/>
  <c r="B15" i="15"/>
  <c r="R19" i="15"/>
  <c r="Q19" i="15"/>
  <c r="P19" i="15"/>
  <c r="O19" i="15"/>
  <c r="N19" i="15"/>
  <c r="M19" i="15"/>
  <c r="L19" i="15"/>
  <c r="K19" i="15"/>
  <c r="J19" i="15"/>
  <c r="I19" i="15"/>
  <c r="H19" i="15"/>
  <c r="G19" i="15"/>
  <c r="F19" i="15"/>
  <c r="E19" i="15"/>
  <c r="D19" i="15"/>
  <c r="C19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R17" i="15"/>
  <c r="R45" i="15" s="1"/>
  <c r="Q17" i="15"/>
  <c r="Q45" i="15" s="1"/>
  <c r="P17" i="15"/>
  <c r="O17" i="15"/>
  <c r="O45" i="15" s="1"/>
  <c r="N17" i="15"/>
  <c r="N45" i="15" s="1"/>
  <c r="M17" i="15"/>
  <c r="M45" i="15" s="1"/>
  <c r="L17" i="15"/>
  <c r="L45" i="15" s="1"/>
  <c r="K17" i="15"/>
  <c r="K45" i="15" s="1"/>
  <c r="J17" i="15"/>
  <c r="I17" i="15"/>
  <c r="I45" i="15" s="1"/>
  <c r="H17" i="15"/>
  <c r="G17" i="15"/>
  <c r="G45" i="15" s="1"/>
  <c r="F17" i="15"/>
  <c r="F45" i="15" s="1"/>
  <c r="F50" i="15" s="1"/>
  <c r="F51" i="15" s="1"/>
  <c r="E17" i="15"/>
  <c r="E45" i="15" s="1"/>
  <c r="D17" i="15"/>
  <c r="D45" i="15" s="1"/>
  <c r="C17" i="15"/>
  <c r="C45" i="15" s="1"/>
  <c r="B17" i="15"/>
  <c r="B45" i="15" s="1"/>
  <c r="R16" i="15"/>
  <c r="Q16" i="15"/>
  <c r="P16" i="15"/>
  <c r="O16" i="15"/>
  <c r="N16" i="15"/>
  <c r="M16" i="15"/>
  <c r="L16" i="15"/>
  <c r="K16" i="15"/>
  <c r="J16" i="15"/>
  <c r="I16" i="15"/>
  <c r="H16" i="15"/>
  <c r="G16" i="15"/>
  <c r="F16" i="15"/>
  <c r="E16" i="15"/>
  <c r="D16" i="15"/>
  <c r="C16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C15" i="14"/>
  <c r="D15" i="14"/>
  <c r="E15" i="14"/>
  <c r="F15" i="14"/>
  <c r="G15" i="14"/>
  <c r="H15" i="14"/>
  <c r="I15" i="14"/>
  <c r="J15" i="14"/>
  <c r="K15" i="14"/>
  <c r="L15" i="14"/>
  <c r="M15" i="14"/>
  <c r="N15" i="14"/>
  <c r="O15" i="14"/>
  <c r="P15" i="14"/>
  <c r="Q15" i="14"/>
  <c r="R15" i="14"/>
  <c r="C16" i="14"/>
  <c r="D16" i="14"/>
  <c r="E16" i="14"/>
  <c r="F16" i="14"/>
  <c r="G16" i="14"/>
  <c r="H16" i="14"/>
  <c r="I16" i="14"/>
  <c r="J16" i="14"/>
  <c r="K16" i="14"/>
  <c r="L16" i="14"/>
  <c r="M16" i="14"/>
  <c r="N16" i="14"/>
  <c r="O16" i="14"/>
  <c r="P16" i="14"/>
  <c r="Q16" i="14"/>
  <c r="R16" i="14"/>
  <c r="C17" i="14"/>
  <c r="D17" i="14"/>
  <c r="D44" i="14" s="1"/>
  <c r="E17" i="14"/>
  <c r="E44" i="14" s="1"/>
  <c r="F17" i="14"/>
  <c r="F44" i="14" s="1"/>
  <c r="G17" i="14"/>
  <c r="G44" i="14" s="1"/>
  <c r="H17" i="14"/>
  <c r="H44" i="14" s="1"/>
  <c r="I17" i="14"/>
  <c r="J17" i="14"/>
  <c r="J44" i="14" s="1"/>
  <c r="K17" i="14"/>
  <c r="K44" i="14" s="1"/>
  <c r="L17" i="14"/>
  <c r="L44" i="14" s="1"/>
  <c r="M17" i="14"/>
  <c r="M44" i="14" s="1"/>
  <c r="N17" i="14"/>
  <c r="N44" i="14" s="1"/>
  <c r="O17" i="14"/>
  <c r="O44" i="14" s="1"/>
  <c r="P17" i="14"/>
  <c r="P44" i="14" s="1"/>
  <c r="Q17" i="14"/>
  <c r="R17" i="14"/>
  <c r="R44" i="14" s="1"/>
  <c r="C18" i="14"/>
  <c r="D18" i="14"/>
  <c r="E18" i="14"/>
  <c r="F18" i="14"/>
  <c r="G18" i="14"/>
  <c r="H18" i="14"/>
  <c r="I18" i="14"/>
  <c r="J18" i="14"/>
  <c r="K18" i="14"/>
  <c r="L18" i="14"/>
  <c r="M18" i="14"/>
  <c r="N18" i="14"/>
  <c r="O18" i="14"/>
  <c r="P18" i="14"/>
  <c r="Q18" i="14"/>
  <c r="R18" i="14"/>
  <c r="C19" i="14"/>
  <c r="D19" i="14"/>
  <c r="E19" i="14"/>
  <c r="F19" i="14"/>
  <c r="G19" i="14"/>
  <c r="H19" i="14"/>
  <c r="I19" i="14"/>
  <c r="J19" i="14"/>
  <c r="K19" i="14"/>
  <c r="L19" i="14"/>
  <c r="M19" i="14"/>
  <c r="N19" i="14"/>
  <c r="O19" i="14"/>
  <c r="P19" i="14"/>
  <c r="Q19" i="14"/>
  <c r="R19" i="14"/>
  <c r="B19" i="14"/>
  <c r="B18" i="14"/>
  <c r="B17" i="14"/>
  <c r="B44" i="14" s="1"/>
  <c r="B16" i="14"/>
  <c r="B15" i="14"/>
  <c r="C45" i="7"/>
  <c r="I45" i="7"/>
  <c r="B45" i="7"/>
  <c r="F18" i="7"/>
  <c r="C16" i="7"/>
  <c r="C43" i="7" s="1"/>
  <c r="J16" i="7"/>
  <c r="J43" i="7" s="1"/>
  <c r="C14" i="7"/>
  <c r="D14" i="7"/>
  <c r="E14" i="7"/>
  <c r="F14" i="7"/>
  <c r="G14" i="7"/>
  <c r="D15" i="7" s="1"/>
  <c r="H14" i="7"/>
  <c r="I14" i="7"/>
  <c r="J14" i="7"/>
  <c r="K14" i="7"/>
  <c r="L14" i="7"/>
  <c r="M14" i="7"/>
  <c r="N14" i="7"/>
  <c r="O14" i="7"/>
  <c r="P14" i="7"/>
  <c r="B14" i="7"/>
  <c r="F20" i="21"/>
  <c r="H5" i="21"/>
  <c r="F5" i="21"/>
  <c r="H19" i="21"/>
  <c r="C39" i="16"/>
  <c r="C47" i="16" s="1"/>
  <c r="D39" i="16"/>
  <c r="E39" i="16"/>
  <c r="E47" i="16" s="1"/>
  <c r="F39" i="16"/>
  <c r="F47" i="16" s="1"/>
  <c r="G39" i="16"/>
  <c r="G47" i="16" s="1"/>
  <c r="H39" i="16"/>
  <c r="H47" i="16" s="1"/>
  <c r="I39" i="16"/>
  <c r="I47" i="16" s="1"/>
  <c r="J39" i="16"/>
  <c r="K39" i="16"/>
  <c r="K47" i="16" s="1"/>
  <c r="L39" i="16"/>
  <c r="L47" i="16" s="1"/>
  <c r="M39" i="16"/>
  <c r="M47" i="16" s="1"/>
  <c r="N39" i="16"/>
  <c r="N47" i="16" s="1"/>
  <c r="O39" i="16"/>
  <c r="O47" i="16" s="1"/>
  <c r="P39" i="16"/>
  <c r="P47" i="16" s="1"/>
  <c r="Q39" i="16"/>
  <c r="Q47" i="16" s="1"/>
  <c r="R39" i="16"/>
  <c r="S39" i="16"/>
  <c r="S47" i="16" s="1"/>
  <c r="T39" i="16"/>
  <c r="U39" i="16"/>
  <c r="U47" i="16" s="1"/>
  <c r="V39" i="16"/>
  <c r="V47" i="16" s="1"/>
  <c r="W39" i="16"/>
  <c r="W47" i="16" s="1"/>
  <c r="X39" i="16"/>
  <c r="X47" i="16" s="1"/>
  <c r="Y39" i="16"/>
  <c r="Y47" i="16" s="1"/>
  <c r="Z39" i="16"/>
  <c r="AA39" i="16"/>
  <c r="AA47" i="16" s="1"/>
  <c r="AB39" i="16"/>
  <c r="AB47" i="16" s="1"/>
  <c r="AC39" i="16"/>
  <c r="AC47" i="16" s="1"/>
  <c r="AD39" i="16"/>
  <c r="AD47" i="16" s="1"/>
  <c r="AE39" i="16"/>
  <c r="AE47" i="16" s="1"/>
  <c r="AF39" i="16"/>
  <c r="AF47" i="16" s="1"/>
  <c r="AG39" i="16"/>
  <c r="AG47" i="16" s="1"/>
  <c r="AH39" i="16"/>
  <c r="AI39" i="16"/>
  <c r="AI47" i="16" s="1"/>
  <c r="AJ39" i="16"/>
  <c r="AK39" i="16"/>
  <c r="AK47" i="16" s="1"/>
  <c r="AL39" i="16"/>
  <c r="AL47" i="16" s="1"/>
  <c r="AM39" i="16"/>
  <c r="AM47" i="16" s="1"/>
  <c r="AN39" i="16"/>
  <c r="AN47" i="16" s="1"/>
  <c r="AO39" i="16"/>
  <c r="AO47" i="16" s="1"/>
  <c r="AP39" i="16"/>
  <c r="AQ39" i="16"/>
  <c r="AQ47" i="16" s="1"/>
  <c r="AR39" i="16"/>
  <c r="AR47" i="16" s="1"/>
  <c r="AS39" i="16"/>
  <c r="AS47" i="16" s="1"/>
  <c r="AT39" i="16"/>
  <c r="AT47" i="16" s="1"/>
  <c r="AU39" i="16"/>
  <c r="AU47" i="16" s="1"/>
  <c r="AV39" i="16"/>
  <c r="AV47" i="16" s="1"/>
  <c r="AW39" i="16"/>
  <c r="AW47" i="16" s="1"/>
  <c r="AX39" i="16"/>
  <c r="AY39" i="16"/>
  <c r="AY47" i="16" s="1"/>
  <c r="AZ39" i="16"/>
  <c r="BA39" i="16"/>
  <c r="BA47" i="16" s="1"/>
  <c r="BB39" i="16"/>
  <c r="BB47" i="16" s="1"/>
  <c r="BC39" i="16"/>
  <c r="BC47" i="16" s="1"/>
  <c r="BD39" i="16"/>
  <c r="BD47" i="16" s="1"/>
  <c r="BE39" i="16"/>
  <c r="BE47" i="16" s="1"/>
  <c r="BF39" i="16"/>
  <c r="BG39" i="16"/>
  <c r="BG47" i="16" s="1"/>
  <c r="BH39" i="16"/>
  <c r="BH47" i="16" s="1"/>
  <c r="BI39" i="16"/>
  <c r="BI47" i="16" s="1"/>
  <c r="BJ39" i="16"/>
  <c r="BJ47" i="16" s="1"/>
  <c r="BK39" i="16"/>
  <c r="BK47" i="16" s="1"/>
  <c r="BL39" i="16"/>
  <c r="BL47" i="16" s="1"/>
  <c r="BM39" i="16"/>
  <c r="BM47" i="16" s="1"/>
  <c r="BN39" i="16"/>
  <c r="C40" i="16"/>
  <c r="D40" i="16"/>
  <c r="E40" i="16"/>
  <c r="F40" i="16"/>
  <c r="G40" i="16"/>
  <c r="H40" i="16"/>
  <c r="I40" i="16"/>
  <c r="J40" i="16"/>
  <c r="K40" i="16"/>
  <c r="L40" i="16"/>
  <c r="M40" i="16"/>
  <c r="N40" i="16"/>
  <c r="O40" i="16"/>
  <c r="P40" i="16"/>
  <c r="Q40" i="16"/>
  <c r="R40" i="16"/>
  <c r="S40" i="16"/>
  <c r="T40" i="16"/>
  <c r="U40" i="16"/>
  <c r="V40" i="16"/>
  <c r="W40" i="16"/>
  <c r="X40" i="16"/>
  <c r="Y40" i="16"/>
  <c r="Z40" i="16"/>
  <c r="AA40" i="16"/>
  <c r="AB40" i="16"/>
  <c r="AC40" i="16"/>
  <c r="AD40" i="16"/>
  <c r="AE40" i="16"/>
  <c r="AF40" i="16"/>
  <c r="AG40" i="16"/>
  <c r="AH40" i="16"/>
  <c r="AI40" i="16"/>
  <c r="AJ40" i="16"/>
  <c r="AK40" i="16"/>
  <c r="AL40" i="16"/>
  <c r="AM40" i="16"/>
  <c r="AN40" i="16"/>
  <c r="AO40" i="16"/>
  <c r="AP40" i="16"/>
  <c r="AQ40" i="16"/>
  <c r="AR40" i="16"/>
  <c r="AS40" i="16"/>
  <c r="AT40" i="16"/>
  <c r="AU40" i="16"/>
  <c r="AV40" i="16"/>
  <c r="AW40" i="16"/>
  <c r="AX40" i="16"/>
  <c r="AY40" i="16"/>
  <c r="AZ40" i="16"/>
  <c r="BA40" i="16"/>
  <c r="BB40" i="16"/>
  <c r="BC40" i="16"/>
  <c r="BD40" i="16"/>
  <c r="BE40" i="16"/>
  <c r="BF40" i="16"/>
  <c r="BG40" i="16"/>
  <c r="BH40" i="16"/>
  <c r="BI40" i="16"/>
  <c r="BJ40" i="16"/>
  <c r="BK40" i="16"/>
  <c r="BL40" i="16"/>
  <c r="BM40" i="16"/>
  <c r="BN40" i="16"/>
  <c r="C35" i="16"/>
  <c r="D35" i="16"/>
  <c r="E35" i="16"/>
  <c r="F35" i="16"/>
  <c r="G35" i="16"/>
  <c r="H35" i="16"/>
  <c r="I35" i="16"/>
  <c r="J35" i="16"/>
  <c r="K35" i="16"/>
  <c r="L35" i="16"/>
  <c r="M35" i="16"/>
  <c r="N35" i="16"/>
  <c r="O35" i="16"/>
  <c r="P35" i="16"/>
  <c r="Q35" i="16"/>
  <c r="R35" i="16"/>
  <c r="S35" i="16"/>
  <c r="T35" i="16"/>
  <c r="U35" i="16"/>
  <c r="V35" i="16"/>
  <c r="W35" i="16"/>
  <c r="X35" i="16"/>
  <c r="Y35" i="16"/>
  <c r="Z35" i="16"/>
  <c r="AA35" i="16"/>
  <c r="AB35" i="16"/>
  <c r="AC35" i="16"/>
  <c r="AD35" i="16"/>
  <c r="AE35" i="16"/>
  <c r="AF35" i="16"/>
  <c r="AG35" i="16"/>
  <c r="AH35" i="16"/>
  <c r="AI35" i="16"/>
  <c r="AJ35" i="16"/>
  <c r="AK35" i="16"/>
  <c r="AL35" i="16"/>
  <c r="AM35" i="16"/>
  <c r="AN35" i="16"/>
  <c r="AO35" i="16"/>
  <c r="AP35" i="16"/>
  <c r="AQ35" i="16"/>
  <c r="AR35" i="16"/>
  <c r="AS35" i="16"/>
  <c r="AT35" i="16"/>
  <c r="AU35" i="16"/>
  <c r="AV35" i="16"/>
  <c r="AW35" i="16"/>
  <c r="AX35" i="16"/>
  <c r="AY35" i="16"/>
  <c r="AZ35" i="16"/>
  <c r="BA35" i="16"/>
  <c r="BB35" i="16"/>
  <c r="BC35" i="16"/>
  <c r="BD35" i="16"/>
  <c r="BE35" i="16"/>
  <c r="BF35" i="16"/>
  <c r="BG35" i="16"/>
  <c r="BH35" i="16"/>
  <c r="BI35" i="16"/>
  <c r="BJ35" i="16"/>
  <c r="BK35" i="16"/>
  <c r="BL35" i="16"/>
  <c r="BM35" i="16"/>
  <c r="BN35" i="16"/>
  <c r="C36" i="16"/>
  <c r="D36" i="16"/>
  <c r="E36" i="16"/>
  <c r="F36" i="16"/>
  <c r="G36" i="16"/>
  <c r="H36" i="16"/>
  <c r="I36" i="16"/>
  <c r="J36" i="16"/>
  <c r="K36" i="16"/>
  <c r="L36" i="16"/>
  <c r="M36" i="16"/>
  <c r="N36" i="16"/>
  <c r="O36" i="16"/>
  <c r="P36" i="16"/>
  <c r="Q36" i="16"/>
  <c r="R36" i="16"/>
  <c r="S36" i="16"/>
  <c r="T36" i="16"/>
  <c r="U36" i="16"/>
  <c r="V36" i="16"/>
  <c r="W36" i="16"/>
  <c r="X36" i="16"/>
  <c r="Y36" i="16"/>
  <c r="Z36" i="16"/>
  <c r="AA36" i="16"/>
  <c r="AB36" i="16"/>
  <c r="AC36" i="16"/>
  <c r="AD36" i="16"/>
  <c r="AE36" i="16"/>
  <c r="AF36" i="16"/>
  <c r="AG36" i="16"/>
  <c r="AH36" i="16"/>
  <c r="AI36" i="16"/>
  <c r="AJ36" i="16"/>
  <c r="AK36" i="16"/>
  <c r="AL36" i="16"/>
  <c r="AM36" i="16"/>
  <c r="AN36" i="16"/>
  <c r="AO36" i="16"/>
  <c r="AP36" i="16"/>
  <c r="AQ36" i="16"/>
  <c r="AR36" i="16"/>
  <c r="AS36" i="16"/>
  <c r="AT36" i="16"/>
  <c r="AU36" i="16"/>
  <c r="AV36" i="16"/>
  <c r="AW36" i="16"/>
  <c r="AX36" i="16"/>
  <c r="AY36" i="16"/>
  <c r="AZ36" i="16"/>
  <c r="BA36" i="16"/>
  <c r="BB36" i="16"/>
  <c r="BC36" i="16"/>
  <c r="BD36" i="16"/>
  <c r="BE36" i="16"/>
  <c r="BF36" i="16"/>
  <c r="BG36" i="16"/>
  <c r="BH36" i="16"/>
  <c r="BI36" i="16"/>
  <c r="BJ36" i="16"/>
  <c r="BK36" i="16"/>
  <c r="BL36" i="16"/>
  <c r="BM36" i="16"/>
  <c r="BN36" i="16"/>
  <c r="C37" i="16"/>
  <c r="D37" i="16"/>
  <c r="E37" i="16"/>
  <c r="F37" i="16"/>
  <c r="G37" i="16"/>
  <c r="H37" i="16"/>
  <c r="I37" i="16"/>
  <c r="J37" i="16"/>
  <c r="K37" i="16"/>
  <c r="L37" i="16"/>
  <c r="M37" i="16"/>
  <c r="N37" i="16"/>
  <c r="O37" i="16"/>
  <c r="P37" i="16"/>
  <c r="Q37" i="16"/>
  <c r="R37" i="16"/>
  <c r="S37" i="16"/>
  <c r="T37" i="16"/>
  <c r="U37" i="16"/>
  <c r="V37" i="16"/>
  <c r="W37" i="16"/>
  <c r="X37" i="16"/>
  <c r="Y37" i="16"/>
  <c r="Z37" i="16"/>
  <c r="AA37" i="16"/>
  <c r="AB37" i="16"/>
  <c r="AC37" i="16"/>
  <c r="AD37" i="16"/>
  <c r="AE37" i="16"/>
  <c r="AF37" i="16"/>
  <c r="AG37" i="16"/>
  <c r="AH37" i="16"/>
  <c r="AI37" i="16"/>
  <c r="AJ37" i="16"/>
  <c r="AK37" i="16"/>
  <c r="AL37" i="16"/>
  <c r="AM37" i="16"/>
  <c r="AN37" i="16"/>
  <c r="AO37" i="16"/>
  <c r="AP37" i="16"/>
  <c r="AQ37" i="16"/>
  <c r="AR37" i="16"/>
  <c r="AS37" i="16"/>
  <c r="AT37" i="16"/>
  <c r="AU37" i="16"/>
  <c r="AV37" i="16"/>
  <c r="AW37" i="16"/>
  <c r="AX37" i="16"/>
  <c r="AY37" i="16"/>
  <c r="AZ37" i="16"/>
  <c r="BA37" i="16"/>
  <c r="BB37" i="16"/>
  <c r="BC37" i="16"/>
  <c r="BD37" i="16"/>
  <c r="BE37" i="16"/>
  <c r="BF37" i="16"/>
  <c r="BG37" i="16"/>
  <c r="BH37" i="16"/>
  <c r="BI37" i="16"/>
  <c r="BJ37" i="16"/>
  <c r="BK37" i="16"/>
  <c r="BL37" i="16"/>
  <c r="BM37" i="16"/>
  <c r="BN37" i="16"/>
  <c r="C32" i="16"/>
  <c r="C46" i="16" s="1"/>
  <c r="D32" i="16"/>
  <c r="E32" i="16"/>
  <c r="E46" i="16" s="1"/>
  <c r="F32" i="16"/>
  <c r="F46" i="16" s="1"/>
  <c r="G32" i="16"/>
  <c r="G46" i="16" s="1"/>
  <c r="H32" i="16"/>
  <c r="H46" i="16" s="1"/>
  <c r="I32" i="16"/>
  <c r="I46" i="16" s="1"/>
  <c r="J32" i="16"/>
  <c r="K32" i="16"/>
  <c r="K46" i="16" s="1"/>
  <c r="L32" i="16"/>
  <c r="L46" i="16" s="1"/>
  <c r="M32" i="16"/>
  <c r="M46" i="16" s="1"/>
  <c r="N32" i="16"/>
  <c r="N46" i="16" s="1"/>
  <c r="O32" i="16"/>
  <c r="O46" i="16" s="1"/>
  <c r="P32" i="16"/>
  <c r="P46" i="16" s="1"/>
  <c r="Q32" i="16"/>
  <c r="Q46" i="16" s="1"/>
  <c r="R32" i="16"/>
  <c r="S32" i="16"/>
  <c r="S46" i="16" s="1"/>
  <c r="T32" i="16"/>
  <c r="U32" i="16"/>
  <c r="U46" i="16" s="1"/>
  <c r="V32" i="16"/>
  <c r="V46" i="16" s="1"/>
  <c r="W32" i="16"/>
  <c r="W46" i="16" s="1"/>
  <c r="X32" i="16"/>
  <c r="X46" i="16" s="1"/>
  <c r="Y32" i="16"/>
  <c r="Y46" i="16" s="1"/>
  <c r="Z32" i="16"/>
  <c r="AA32" i="16"/>
  <c r="AA46" i="16" s="1"/>
  <c r="AB32" i="16"/>
  <c r="AB46" i="16" s="1"/>
  <c r="AC32" i="16"/>
  <c r="AC46" i="16" s="1"/>
  <c r="AD32" i="16"/>
  <c r="AD46" i="16" s="1"/>
  <c r="AE32" i="16"/>
  <c r="AE46" i="16" s="1"/>
  <c r="AF32" i="16"/>
  <c r="AF46" i="16" s="1"/>
  <c r="AG32" i="16"/>
  <c r="AG46" i="16" s="1"/>
  <c r="AH32" i="16"/>
  <c r="AI32" i="16"/>
  <c r="AI46" i="16" s="1"/>
  <c r="AJ32" i="16"/>
  <c r="AK32" i="16"/>
  <c r="AK46" i="16" s="1"/>
  <c r="AL32" i="16"/>
  <c r="AL46" i="16" s="1"/>
  <c r="AM32" i="16"/>
  <c r="AM46" i="16" s="1"/>
  <c r="AN32" i="16"/>
  <c r="AN46" i="16" s="1"/>
  <c r="AO32" i="16"/>
  <c r="AO46" i="16" s="1"/>
  <c r="AP32" i="16"/>
  <c r="AQ32" i="16"/>
  <c r="AQ46" i="16" s="1"/>
  <c r="AR32" i="16"/>
  <c r="AR46" i="16" s="1"/>
  <c r="AS32" i="16"/>
  <c r="AS46" i="16" s="1"/>
  <c r="AT32" i="16"/>
  <c r="AT46" i="16" s="1"/>
  <c r="AU32" i="16"/>
  <c r="AU46" i="16" s="1"/>
  <c r="AV32" i="16"/>
  <c r="AV46" i="16" s="1"/>
  <c r="AW32" i="16"/>
  <c r="AW46" i="16" s="1"/>
  <c r="AX32" i="16"/>
  <c r="AY32" i="16"/>
  <c r="AY46" i="16" s="1"/>
  <c r="AZ32" i="16"/>
  <c r="BA32" i="16"/>
  <c r="BA46" i="16" s="1"/>
  <c r="BB32" i="16"/>
  <c r="BB46" i="16" s="1"/>
  <c r="BC32" i="16"/>
  <c r="BC46" i="16" s="1"/>
  <c r="BD32" i="16"/>
  <c r="BD46" i="16" s="1"/>
  <c r="BE32" i="16"/>
  <c r="BE46" i="16" s="1"/>
  <c r="BF32" i="16"/>
  <c r="BG32" i="16"/>
  <c r="BG46" i="16" s="1"/>
  <c r="BH32" i="16"/>
  <c r="BH46" i="16" s="1"/>
  <c r="BI32" i="16"/>
  <c r="BI46" i="16" s="1"/>
  <c r="BJ32" i="16"/>
  <c r="BJ46" i="16" s="1"/>
  <c r="BK32" i="16"/>
  <c r="BK46" i="16" s="1"/>
  <c r="BL32" i="16"/>
  <c r="BL46" i="16" s="1"/>
  <c r="BM32" i="16"/>
  <c r="BM46" i="16" s="1"/>
  <c r="BN32" i="16"/>
  <c r="C33" i="16"/>
  <c r="D33" i="16"/>
  <c r="E33" i="16"/>
  <c r="F33" i="16"/>
  <c r="G33" i="16"/>
  <c r="H33" i="16"/>
  <c r="I33" i="16"/>
  <c r="J33" i="16"/>
  <c r="K33" i="16"/>
  <c r="L33" i="16"/>
  <c r="M33" i="16"/>
  <c r="N33" i="16"/>
  <c r="O33" i="16"/>
  <c r="P33" i="16"/>
  <c r="Q33" i="16"/>
  <c r="R33" i="16"/>
  <c r="S33" i="16"/>
  <c r="T33" i="16"/>
  <c r="U33" i="16"/>
  <c r="V33" i="16"/>
  <c r="W33" i="16"/>
  <c r="X33" i="16"/>
  <c r="Y33" i="16"/>
  <c r="Z33" i="16"/>
  <c r="AA33" i="16"/>
  <c r="AB33" i="16"/>
  <c r="AC33" i="16"/>
  <c r="AD33" i="16"/>
  <c r="AE33" i="16"/>
  <c r="AF33" i="16"/>
  <c r="AG33" i="16"/>
  <c r="AH33" i="16"/>
  <c r="AI33" i="16"/>
  <c r="AJ33" i="16"/>
  <c r="AK33" i="16"/>
  <c r="AL33" i="16"/>
  <c r="AM33" i="16"/>
  <c r="AN33" i="16"/>
  <c r="AO33" i="16"/>
  <c r="AP33" i="16"/>
  <c r="AQ33" i="16"/>
  <c r="AR33" i="16"/>
  <c r="AS33" i="16"/>
  <c r="AT33" i="16"/>
  <c r="AU33" i="16"/>
  <c r="AV33" i="16"/>
  <c r="AW33" i="16"/>
  <c r="AX33" i="16"/>
  <c r="AY33" i="16"/>
  <c r="AZ33" i="16"/>
  <c r="BA33" i="16"/>
  <c r="BB33" i="16"/>
  <c r="BC33" i="16"/>
  <c r="BD33" i="16"/>
  <c r="BE33" i="16"/>
  <c r="BF33" i="16"/>
  <c r="BG33" i="16"/>
  <c r="BH33" i="16"/>
  <c r="BI33" i="16"/>
  <c r="BJ33" i="16"/>
  <c r="BK33" i="16"/>
  <c r="BL33" i="16"/>
  <c r="BM33" i="16"/>
  <c r="BN33" i="16"/>
  <c r="C28" i="16"/>
  <c r="D28" i="16"/>
  <c r="E28" i="16"/>
  <c r="F28" i="16"/>
  <c r="G28" i="16"/>
  <c r="H28" i="16"/>
  <c r="I28" i="16"/>
  <c r="J28" i="16"/>
  <c r="K28" i="16"/>
  <c r="L28" i="16"/>
  <c r="M28" i="16"/>
  <c r="N28" i="16"/>
  <c r="O28" i="16"/>
  <c r="P28" i="16"/>
  <c r="Q28" i="16"/>
  <c r="R28" i="16"/>
  <c r="S28" i="16"/>
  <c r="T28" i="16"/>
  <c r="U28" i="16"/>
  <c r="V28" i="16"/>
  <c r="W28" i="16"/>
  <c r="X28" i="16"/>
  <c r="Y28" i="16"/>
  <c r="Z28" i="16"/>
  <c r="AA28" i="16"/>
  <c r="AB28" i="16"/>
  <c r="AC28" i="16"/>
  <c r="AD28" i="16"/>
  <c r="AE28" i="16"/>
  <c r="AF28" i="16"/>
  <c r="AG28" i="16"/>
  <c r="AH28" i="16"/>
  <c r="AI28" i="16"/>
  <c r="AJ28" i="16"/>
  <c r="AK28" i="16"/>
  <c r="AL28" i="16"/>
  <c r="AM28" i="16"/>
  <c r="AN28" i="16"/>
  <c r="AO28" i="16"/>
  <c r="AP28" i="16"/>
  <c r="AQ28" i="16"/>
  <c r="AR28" i="16"/>
  <c r="AS28" i="16"/>
  <c r="AT28" i="16"/>
  <c r="AU28" i="16"/>
  <c r="AV28" i="16"/>
  <c r="AW28" i="16"/>
  <c r="AX28" i="16"/>
  <c r="AY28" i="16"/>
  <c r="AZ28" i="16"/>
  <c r="BA28" i="16"/>
  <c r="BB28" i="16"/>
  <c r="BC28" i="16"/>
  <c r="BD28" i="16"/>
  <c r="BE28" i="16"/>
  <c r="BF28" i="16"/>
  <c r="BG28" i="16"/>
  <c r="BH28" i="16"/>
  <c r="BI28" i="16"/>
  <c r="BJ28" i="16"/>
  <c r="BK28" i="16"/>
  <c r="BL28" i="16"/>
  <c r="BM28" i="16"/>
  <c r="BN28" i="16"/>
  <c r="C29" i="16"/>
  <c r="D29" i="16"/>
  <c r="E29" i="16"/>
  <c r="F29" i="16"/>
  <c r="G29" i="16"/>
  <c r="H29" i="16"/>
  <c r="I29" i="16"/>
  <c r="J29" i="16"/>
  <c r="K29" i="16"/>
  <c r="L29" i="16"/>
  <c r="M29" i="16"/>
  <c r="N29" i="16"/>
  <c r="O29" i="16"/>
  <c r="P29" i="16"/>
  <c r="Q29" i="16"/>
  <c r="R29" i="16"/>
  <c r="S29" i="16"/>
  <c r="T29" i="16"/>
  <c r="U29" i="16"/>
  <c r="V29" i="16"/>
  <c r="W29" i="16"/>
  <c r="X29" i="16"/>
  <c r="Y29" i="16"/>
  <c r="Z29" i="16"/>
  <c r="AA29" i="16"/>
  <c r="AB29" i="16"/>
  <c r="AC29" i="16"/>
  <c r="AD29" i="16"/>
  <c r="AE29" i="16"/>
  <c r="AF29" i="16"/>
  <c r="AG29" i="16"/>
  <c r="AH29" i="16"/>
  <c r="AI29" i="16"/>
  <c r="AJ29" i="16"/>
  <c r="AK29" i="16"/>
  <c r="AL29" i="16"/>
  <c r="AM29" i="16"/>
  <c r="AN29" i="16"/>
  <c r="AO29" i="16"/>
  <c r="AP29" i="16"/>
  <c r="AQ29" i="16"/>
  <c r="AR29" i="16"/>
  <c r="AS29" i="16"/>
  <c r="AT29" i="16"/>
  <c r="AU29" i="16"/>
  <c r="AV29" i="16"/>
  <c r="AW29" i="16"/>
  <c r="AX29" i="16"/>
  <c r="AY29" i="16"/>
  <c r="AZ29" i="16"/>
  <c r="BA29" i="16"/>
  <c r="BB29" i="16"/>
  <c r="BC29" i="16"/>
  <c r="BD29" i="16"/>
  <c r="BE29" i="16"/>
  <c r="BF29" i="16"/>
  <c r="BG29" i="16"/>
  <c r="BH29" i="16"/>
  <c r="BI29" i="16"/>
  <c r="BJ29" i="16"/>
  <c r="BK29" i="16"/>
  <c r="BL29" i="16"/>
  <c r="BM29" i="16"/>
  <c r="BN29" i="16"/>
  <c r="C30" i="16"/>
  <c r="D30" i="16"/>
  <c r="E30" i="16"/>
  <c r="F30" i="16"/>
  <c r="G30" i="16"/>
  <c r="H30" i="16"/>
  <c r="I30" i="16"/>
  <c r="J30" i="16"/>
  <c r="K30" i="16"/>
  <c r="L30" i="16"/>
  <c r="M30" i="16"/>
  <c r="N30" i="16"/>
  <c r="O30" i="16"/>
  <c r="P30" i="16"/>
  <c r="Q30" i="16"/>
  <c r="R30" i="16"/>
  <c r="S30" i="16"/>
  <c r="T30" i="16"/>
  <c r="U30" i="16"/>
  <c r="V30" i="16"/>
  <c r="W30" i="16"/>
  <c r="X30" i="16"/>
  <c r="Y30" i="16"/>
  <c r="Z30" i="16"/>
  <c r="AA30" i="16"/>
  <c r="AB30" i="16"/>
  <c r="AC30" i="16"/>
  <c r="AD30" i="16"/>
  <c r="AE30" i="16"/>
  <c r="AF30" i="16"/>
  <c r="AG30" i="16"/>
  <c r="AH30" i="16"/>
  <c r="AI30" i="16"/>
  <c r="AJ30" i="16"/>
  <c r="AK30" i="16"/>
  <c r="AL30" i="16"/>
  <c r="AM30" i="16"/>
  <c r="AN30" i="16"/>
  <c r="AO30" i="16"/>
  <c r="AP30" i="16"/>
  <c r="AQ30" i="16"/>
  <c r="AR30" i="16"/>
  <c r="AS30" i="16"/>
  <c r="AT30" i="16"/>
  <c r="AU30" i="16"/>
  <c r="AV30" i="16"/>
  <c r="AW30" i="16"/>
  <c r="AX30" i="16"/>
  <c r="AY30" i="16"/>
  <c r="AZ30" i="16"/>
  <c r="BA30" i="16"/>
  <c r="BB30" i="16"/>
  <c r="BC30" i="16"/>
  <c r="BD30" i="16"/>
  <c r="BE30" i="16"/>
  <c r="BF30" i="16"/>
  <c r="BG30" i="16"/>
  <c r="BH30" i="16"/>
  <c r="BI30" i="16"/>
  <c r="BJ30" i="16"/>
  <c r="BK30" i="16"/>
  <c r="BL30" i="16"/>
  <c r="BM30" i="16"/>
  <c r="BN30" i="16"/>
  <c r="C25" i="16"/>
  <c r="C45" i="16" s="1"/>
  <c r="D25" i="16"/>
  <c r="E25" i="16"/>
  <c r="E45" i="16" s="1"/>
  <c r="F25" i="16"/>
  <c r="F45" i="16" s="1"/>
  <c r="G25" i="16"/>
  <c r="G45" i="16" s="1"/>
  <c r="H25" i="16"/>
  <c r="H45" i="16" s="1"/>
  <c r="I25" i="16"/>
  <c r="I45" i="16" s="1"/>
  <c r="J25" i="16"/>
  <c r="K25" i="16"/>
  <c r="K45" i="16" s="1"/>
  <c r="L25" i="16"/>
  <c r="L45" i="16" s="1"/>
  <c r="M25" i="16"/>
  <c r="M45" i="16" s="1"/>
  <c r="N25" i="16"/>
  <c r="N45" i="16" s="1"/>
  <c r="O25" i="16"/>
  <c r="O45" i="16" s="1"/>
  <c r="P25" i="16"/>
  <c r="P45" i="16" s="1"/>
  <c r="Q25" i="16"/>
  <c r="Q45" i="16" s="1"/>
  <c r="R25" i="16"/>
  <c r="S25" i="16"/>
  <c r="S45" i="16" s="1"/>
  <c r="T25" i="16"/>
  <c r="U25" i="16"/>
  <c r="U45" i="16" s="1"/>
  <c r="V25" i="16"/>
  <c r="V45" i="16" s="1"/>
  <c r="W25" i="16"/>
  <c r="W45" i="16" s="1"/>
  <c r="X25" i="16"/>
  <c r="X45" i="16" s="1"/>
  <c r="Y25" i="16"/>
  <c r="Y45" i="16" s="1"/>
  <c r="Z25" i="16"/>
  <c r="AA25" i="16"/>
  <c r="AA45" i="16" s="1"/>
  <c r="AB25" i="16"/>
  <c r="AB45" i="16" s="1"/>
  <c r="AC25" i="16"/>
  <c r="AC45" i="16" s="1"/>
  <c r="AD25" i="16"/>
  <c r="AD45" i="16" s="1"/>
  <c r="AE25" i="16"/>
  <c r="AE45" i="16" s="1"/>
  <c r="AF25" i="16"/>
  <c r="AF45" i="16" s="1"/>
  <c r="AG25" i="16"/>
  <c r="AG45" i="16" s="1"/>
  <c r="AH25" i="16"/>
  <c r="AI25" i="16"/>
  <c r="AI45" i="16" s="1"/>
  <c r="AJ25" i="16"/>
  <c r="AK25" i="16"/>
  <c r="AK45" i="16" s="1"/>
  <c r="AL25" i="16"/>
  <c r="AL45" i="16" s="1"/>
  <c r="AM25" i="16"/>
  <c r="AM45" i="16" s="1"/>
  <c r="AN25" i="16"/>
  <c r="AN45" i="16" s="1"/>
  <c r="AO25" i="16"/>
  <c r="AO45" i="16" s="1"/>
  <c r="AP25" i="16"/>
  <c r="AQ25" i="16"/>
  <c r="AQ45" i="16" s="1"/>
  <c r="AR25" i="16"/>
  <c r="AR45" i="16" s="1"/>
  <c r="AS25" i="16"/>
  <c r="AS45" i="16" s="1"/>
  <c r="AT25" i="16"/>
  <c r="AT45" i="16" s="1"/>
  <c r="AU25" i="16"/>
  <c r="AU45" i="16" s="1"/>
  <c r="AV25" i="16"/>
  <c r="AV45" i="16" s="1"/>
  <c r="AW25" i="16"/>
  <c r="AW45" i="16" s="1"/>
  <c r="AX25" i="16"/>
  <c r="AY25" i="16"/>
  <c r="AY45" i="16" s="1"/>
  <c r="AZ25" i="16"/>
  <c r="BA25" i="16"/>
  <c r="BA45" i="16" s="1"/>
  <c r="BB25" i="16"/>
  <c r="BB45" i="16" s="1"/>
  <c r="BC25" i="16"/>
  <c r="BC45" i="16" s="1"/>
  <c r="BD25" i="16"/>
  <c r="BD45" i="16" s="1"/>
  <c r="BE25" i="16"/>
  <c r="BE45" i="16" s="1"/>
  <c r="BF25" i="16"/>
  <c r="BG25" i="16"/>
  <c r="BG45" i="16" s="1"/>
  <c r="BH25" i="16"/>
  <c r="BH45" i="16" s="1"/>
  <c r="BI25" i="16"/>
  <c r="BI45" i="16" s="1"/>
  <c r="BJ25" i="16"/>
  <c r="BJ45" i="16" s="1"/>
  <c r="BK25" i="16"/>
  <c r="BK45" i="16" s="1"/>
  <c r="BL25" i="16"/>
  <c r="BL45" i="16" s="1"/>
  <c r="BM25" i="16"/>
  <c r="BM45" i="16" s="1"/>
  <c r="BN25" i="16"/>
  <c r="C26" i="16"/>
  <c r="D26" i="16"/>
  <c r="E26" i="16"/>
  <c r="F26" i="16"/>
  <c r="G26" i="16"/>
  <c r="H26" i="16"/>
  <c r="I26" i="16"/>
  <c r="J26" i="16"/>
  <c r="K26" i="16"/>
  <c r="L26" i="16"/>
  <c r="M26" i="16"/>
  <c r="N26" i="16"/>
  <c r="O26" i="16"/>
  <c r="P26" i="16"/>
  <c r="Q26" i="16"/>
  <c r="R26" i="16"/>
  <c r="S26" i="16"/>
  <c r="T26" i="16"/>
  <c r="U26" i="16"/>
  <c r="V26" i="16"/>
  <c r="W26" i="16"/>
  <c r="X26" i="16"/>
  <c r="Y26" i="16"/>
  <c r="Z26" i="16"/>
  <c r="AA26" i="16"/>
  <c r="AB26" i="16"/>
  <c r="AC26" i="16"/>
  <c r="AD26" i="16"/>
  <c r="AE26" i="16"/>
  <c r="AF26" i="16"/>
  <c r="AG26" i="16"/>
  <c r="AH26" i="16"/>
  <c r="AI26" i="16"/>
  <c r="AJ26" i="16"/>
  <c r="AK26" i="16"/>
  <c r="AL26" i="16"/>
  <c r="AM26" i="16"/>
  <c r="AN26" i="16"/>
  <c r="AO26" i="16"/>
  <c r="AP26" i="16"/>
  <c r="AQ26" i="16"/>
  <c r="AR26" i="16"/>
  <c r="AS26" i="16"/>
  <c r="AT26" i="16"/>
  <c r="AU26" i="16"/>
  <c r="AV26" i="16"/>
  <c r="AW26" i="16"/>
  <c r="AX26" i="16"/>
  <c r="AY26" i="16"/>
  <c r="AZ26" i="16"/>
  <c r="BA26" i="16"/>
  <c r="BB26" i="16"/>
  <c r="BC26" i="16"/>
  <c r="BD26" i="16"/>
  <c r="BE26" i="16"/>
  <c r="BF26" i="16"/>
  <c r="BG26" i="16"/>
  <c r="BH26" i="16"/>
  <c r="BI26" i="16"/>
  <c r="BJ26" i="16"/>
  <c r="BK26" i="16"/>
  <c r="BL26" i="16"/>
  <c r="BM26" i="16"/>
  <c r="BN26" i="16"/>
  <c r="C21" i="16"/>
  <c r="D21" i="16"/>
  <c r="E21" i="16"/>
  <c r="F21" i="16"/>
  <c r="G21" i="16"/>
  <c r="H21" i="16"/>
  <c r="I21" i="16"/>
  <c r="J21" i="16"/>
  <c r="K21" i="16"/>
  <c r="L21" i="16"/>
  <c r="M21" i="16"/>
  <c r="N21" i="16"/>
  <c r="O21" i="16"/>
  <c r="P21" i="16"/>
  <c r="Q21" i="16"/>
  <c r="R21" i="16"/>
  <c r="S21" i="16"/>
  <c r="T21" i="16"/>
  <c r="U21" i="16"/>
  <c r="V21" i="16"/>
  <c r="W21" i="16"/>
  <c r="X21" i="16"/>
  <c r="Y21" i="16"/>
  <c r="Z21" i="16"/>
  <c r="AA21" i="16"/>
  <c r="AB21" i="16"/>
  <c r="AC21" i="16"/>
  <c r="AD21" i="16"/>
  <c r="AE21" i="16"/>
  <c r="AF21" i="16"/>
  <c r="AG21" i="16"/>
  <c r="AH21" i="16"/>
  <c r="AI21" i="16"/>
  <c r="AJ21" i="16"/>
  <c r="AK21" i="16"/>
  <c r="AL21" i="16"/>
  <c r="AM21" i="16"/>
  <c r="AN21" i="16"/>
  <c r="AO21" i="16"/>
  <c r="AP21" i="16"/>
  <c r="AQ21" i="16"/>
  <c r="AR21" i="16"/>
  <c r="AS21" i="16"/>
  <c r="AT21" i="16"/>
  <c r="AU21" i="16"/>
  <c r="AV21" i="16"/>
  <c r="AW21" i="16"/>
  <c r="AX21" i="16"/>
  <c r="AY21" i="16"/>
  <c r="AZ21" i="16"/>
  <c r="BA21" i="16"/>
  <c r="BB21" i="16"/>
  <c r="BC21" i="16"/>
  <c r="BD21" i="16"/>
  <c r="BE21" i="16"/>
  <c r="BF21" i="16"/>
  <c r="BG21" i="16"/>
  <c r="BH21" i="16"/>
  <c r="BI21" i="16"/>
  <c r="BJ21" i="16"/>
  <c r="BK21" i="16"/>
  <c r="BL21" i="16"/>
  <c r="BM21" i="16"/>
  <c r="BN21" i="16"/>
  <c r="C22" i="16"/>
  <c r="D22" i="16"/>
  <c r="E22" i="16"/>
  <c r="F22" i="16"/>
  <c r="G22" i="16"/>
  <c r="H22" i="16"/>
  <c r="I22" i="16"/>
  <c r="J22" i="16"/>
  <c r="K22" i="16"/>
  <c r="L22" i="16"/>
  <c r="M22" i="16"/>
  <c r="N22" i="16"/>
  <c r="O22" i="16"/>
  <c r="P22" i="16"/>
  <c r="Q22" i="16"/>
  <c r="R22" i="16"/>
  <c r="S22" i="16"/>
  <c r="T22" i="16"/>
  <c r="U22" i="16"/>
  <c r="V22" i="16"/>
  <c r="W22" i="16"/>
  <c r="X22" i="16"/>
  <c r="Y22" i="16"/>
  <c r="Z22" i="16"/>
  <c r="AA22" i="16"/>
  <c r="AB22" i="16"/>
  <c r="AC22" i="16"/>
  <c r="AD22" i="16"/>
  <c r="AE22" i="16"/>
  <c r="AF22" i="16"/>
  <c r="AG22" i="16"/>
  <c r="AH22" i="16"/>
  <c r="AI22" i="16"/>
  <c r="AJ22" i="16"/>
  <c r="AK22" i="16"/>
  <c r="AL22" i="16"/>
  <c r="AM22" i="16"/>
  <c r="AN22" i="16"/>
  <c r="AO22" i="16"/>
  <c r="AP22" i="16"/>
  <c r="AQ22" i="16"/>
  <c r="AR22" i="16"/>
  <c r="AS22" i="16"/>
  <c r="AT22" i="16"/>
  <c r="AU22" i="16"/>
  <c r="AV22" i="16"/>
  <c r="AW22" i="16"/>
  <c r="AX22" i="16"/>
  <c r="AY22" i="16"/>
  <c r="AZ22" i="16"/>
  <c r="BA22" i="16"/>
  <c r="BB22" i="16"/>
  <c r="BC22" i="16"/>
  <c r="BD22" i="16"/>
  <c r="BE22" i="16"/>
  <c r="BF22" i="16"/>
  <c r="BG22" i="16"/>
  <c r="BH22" i="16"/>
  <c r="BI22" i="16"/>
  <c r="BJ22" i="16"/>
  <c r="BK22" i="16"/>
  <c r="BL22" i="16"/>
  <c r="BM22" i="16"/>
  <c r="BN22" i="16"/>
  <c r="C23" i="16"/>
  <c r="D23" i="16"/>
  <c r="E23" i="16"/>
  <c r="F23" i="16"/>
  <c r="G23" i="16"/>
  <c r="H23" i="16"/>
  <c r="I23" i="16"/>
  <c r="J23" i="16"/>
  <c r="K23" i="16"/>
  <c r="L23" i="16"/>
  <c r="M23" i="16"/>
  <c r="N23" i="16"/>
  <c r="O23" i="16"/>
  <c r="P23" i="16"/>
  <c r="Q23" i="16"/>
  <c r="R23" i="16"/>
  <c r="S23" i="16"/>
  <c r="T23" i="16"/>
  <c r="U23" i="16"/>
  <c r="V23" i="16"/>
  <c r="W23" i="16"/>
  <c r="X23" i="16"/>
  <c r="Y23" i="16"/>
  <c r="Z23" i="16"/>
  <c r="AA23" i="16"/>
  <c r="AB23" i="16"/>
  <c r="AC23" i="16"/>
  <c r="AD23" i="16"/>
  <c r="AE23" i="16"/>
  <c r="AF23" i="16"/>
  <c r="AG23" i="16"/>
  <c r="AH23" i="16"/>
  <c r="AI23" i="16"/>
  <c r="AJ23" i="16"/>
  <c r="AK23" i="16"/>
  <c r="AL23" i="16"/>
  <c r="AM23" i="16"/>
  <c r="AN23" i="16"/>
  <c r="AO23" i="16"/>
  <c r="AP23" i="16"/>
  <c r="AQ23" i="16"/>
  <c r="AR23" i="16"/>
  <c r="AS23" i="16"/>
  <c r="AT23" i="16"/>
  <c r="AU23" i="16"/>
  <c r="AV23" i="16"/>
  <c r="AW23" i="16"/>
  <c r="AX23" i="16"/>
  <c r="AY23" i="16"/>
  <c r="AZ23" i="16"/>
  <c r="BA23" i="16"/>
  <c r="BB23" i="16"/>
  <c r="BC23" i="16"/>
  <c r="BD23" i="16"/>
  <c r="BE23" i="16"/>
  <c r="BF23" i="16"/>
  <c r="BG23" i="16"/>
  <c r="BH23" i="16"/>
  <c r="BI23" i="16"/>
  <c r="BJ23" i="16"/>
  <c r="BK23" i="16"/>
  <c r="BL23" i="16"/>
  <c r="BM23" i="16"/>
  <c r="BN23" i="16"/>
  <c r="C11" i="16"/>
  <c r="C43" i="16" s="1"/>
  <c r="D11" i="16"/>
  <c r="E11" i="16"/>
  <c r="E43" i="16" s="1"/>
  <c r="F11" i="16"/>
  <c r="F43" i="16" s="1"/>
  <c r="G11" i="16"/>
  <c r="G43" i="16" s="1"/>
  <c r="H11" i="16"/>
  <c r="H43" i="16" s="1"/>
  <c r="I11" i="16"/>
  <c r="I43" i="16" s="1"/>
  <c r="J11" i="16"/>
  <c r="K11" i="16"/>
  <c r="K43" i="16" s="1"/>
  <c r="L11" i="16"/>
  <c r="L43" i="16" s="1"/>
  <c r="M11" i="16"/>
  <c r="M43" i="16" s="1"/>
  <c r="N11" i="16"/>
  <c r="N43" i="16" s="1"/>
  <c r="O11" i="16"/>
  <c r="O43" i="16" s="1"/>
  <c r="P11" i="16"/>
  <c r="P43" i="16" s="1"/>
  <c r="Q11" i="16"/>
  <c r="Q43" i="16" s="1"/>
  <c r="R11" i="16"/>
  <c r="S11" i="16"/>
  <c r="S43" i="16" s="1"/>
  <c r="T11" i="16"/>
  <c r="U11" i="16"/>
  <c r="U43" i="16" s="1"/>
  <c r="U49" i="16" s="1"/>
  <c r="U50" i="16" s="1"/>
  <c r="V11" i="16"/>
  <c r="V43" i="16" s="1"/>
  <c r="W11" i="16"/>
  <c r="W43" i="16" s="1"/>
  <c r="X11" i="16"/>
  <c r="X43" i="16" s="1"/>
  <c r="Y11" i="16"/>
  <c r="Y43" i="16" s="1"/>
  <c r="Z11" i="16"/>
  <c r="AA11" i="16"/>
  <c r="AA43" i="16" s="1"/>
  <c r="AB11" i="16"/>
  <c r="AB43" i="16" s="1"/>
  <c r="AC11" i="16"/>
  <c r="AC43" i="16" s="1"/>
  <c r="AD11" i="16"/>
  <c r="AD43" i="16" s="1"/>
  <c r="AE11" i="16"/>
  <c r="AE43" i="16" s="1"/>
  <c r="AF11" i="16"/>
  <c r="AF43" i="16" s="1"/>
  <c r="AG11" i="16"/>
  <c r="AG43" i="16" s="1"/>
  <c r="AH11" i="16"/>
  <c r="AI11" i="16"/>
  <c r="AI43" i="16" s="1"/>
  <c r="AJ11" i="16"/>
  <c r="AK11" i="16"/>
  <c r="AK43" i="16" s="1"/>
  <c r="AK49" i="16" s="1"/>
  <c r="AK50" i="16" s="1"/>
  <c r="AL11" i="16"/>
  <c r="AL43" i="16" s="1"/>
  <c r="AM11" i="16"/>
  <c r="AM43" i="16" s="1"/>
  <c r="AN11" i="16"/>
  <c r="AN43" i="16" s="1"/>
  <c r="AO11" i="16"/>
  <c r="AO43" i="16" s="1"/>
  <c r="AP11" i="16"/>
  <c r="AQ11" i="16"/>
  <c r="AQ43" i="16" s="1"/>
  <c r="AR11" i="16"/>
  <c r="AR43" i="16" s="1"/>
  <c r="AS11" i="16"/>
  <c r="AS43" i="16" s="1"/>
  <c r="AT11" i="16"/>
  <c r="AT43" i="16" s="1"/>
  <c r="AU11" i="16"/>
  <c r="AU43" i="16" s="1"/>
  <c r="AV11" i="16"/>
  <c r="AV43" i="16" s="1"/>
  <c r="AW11" i="16"/>
  <c r="AW43" i="16" s="1"/>
  <c r="AX11" i="16"/>
  <c r="AY11" i="16"/>
  <c r="AY43" i="16" s="1"/>
  <c r="AZ11" i="16"/>
  <c r="BA11" i="16"/>
  <c r="BA43" i="16" s="1"/>
  <c r="BB11" i="16"/>
  <c r="BB43" i="16" s="1"/>
  <c r="BC11" i="16"/>
  <c r="BC43" i="16" s="1"/>
  <c r="BD11" i="16"/>
  <c r="BD43" i="16" s="1"/>
  <c r="BE11" i="16"/>
  <c r="BE43" i="16" s="1"/>
  <c r="BF11" i="16"/>
  <c r="BG11" i="16"/>
  <c r="BG43" i="16" s="1"/>
  <c r="BH11" i="16"/>
  <c r="BH43" i="16" s="1"/>
  <c r="BI11" i="16"/>
  <c r="BI43" i="16" s="1"/>
  <c r="BJ11" i="16"/>
  <c r="BJ43" i="16" s="1"/>
  <c r="BK11" i="16"/>
  <c r="BK43" i="16" s="1"/>
  <c r="BL11" i="16"/>
  <c r="BL43" i="16" s="1"/>
  <c r="BM11" i="16"/>
  <c r="BM43" i="16" s="1"/>
  <c r="BN11" i="16"/>
  <c r="C12" i="16"/>
  <c r="D12" i="16"/>
  <c r="E12" i="16"/>
  <c r="F12" i="16"/>
  <c r="G12" i="16"/>
  <c r="H12" i="16"/>
  <c r="I12" i="16"/>
  <c r="J12" i="16"/>
  <c r="K12" i="16"/>
  <c r="L12" i="16"/>
  <c r="M12" i="16"/>
  <c r="N12" i="16"/>
  <c r="O12" i="16"/>
  <c r="P12" i="16"/>
  <c r="Q12" i="16"/>
  <c r="R12" i="16"/>
  <c r="S12" i="16"/>
  <c r="T12" i="16"/>
  <c r="U12" i="16"/>
  <c r="V12" i="16"/>
  <c r="W12" i="16"/>
  <c r="X12" i="16"/>
  <c r="Y12" i="16"/>
  <c r="Z12" i="16"/>
  <c r="AA12" i="16"/>
  <c r="AB12" i="16"/>
  <c r="AC12" i="16"/>
  <c r="AD12" i="16"/>
  <c r="AE12" i="16"/>
  <c r="AF12" i="16"/>
  <c r="AG12" i="16"/>
  <c r="AH12" i="16"/>
  <c r="AI12" i="16"/>
  <c r="AJ12" i="16"/>
  <c r="AK12" i="16"/>
  <c r="AL12" i="16"/>
  <c r="AM12" i="16"/>
  <c r="AN12" i="16"/>
  <c r="AO12" i="16"/>
  <c r="AP12" i="16"/>
  <c r="AQ12" i="16"/>
  <c r="AR12" i="16"/>
  <c r="AS12" i="16"/>
  <c r="AT12" i="16"/>
  <c r="AU12" i="16"/>
  <c r="AV12" i="16"/>
  <c r="AW12" i="16"/>
  <c r="AX12" i="16"/>
  <c r="AY12" i="16"/>
  <c r="AZ12" i="16"/>
  <c r="BA12" i="16"/>
  <c r="BB12" i="16"/>
  <c r="BC12" i="16"/>
  <c r="BD12" i="16"/>
  <c r="BE12" i="16"/>
  <c r="BF12" i="16"/>
  <c r="BG12" i="16"/>
  <c r="BH12" i="16"/>
  <c r="BI12" i="16"/>
  <c r="BJ12" i="16"/>
  <c r="BK12" i="16"/>
  <c r="BL12" i="16"/>
  <c r="BM12" i="16"/>
  <c r="BN12" i="16"/>
  <c r="C7" i="16"/>
  <c r="D7" i="16"/>
  <c r="E7" i="16"/>
  <c r="F7" i="16"/>
  <c r="G7" i="16"/>
  <c r="H7" i="16"/>
  <c r="I7" i="16"/>
  <c r="J7" i="16"/>
  <c r="K7" i="16"/>
  <c r="L7" i="16"/>
  <c r="M7" i="16"/>
  <c r="N7" i="16"/>
  <c r="O7" i="16"/>
  <c r="P7" i="16"/>
  <c r="Q7" i="16"/>
  <c r="R7" i="16"/>
  <c r="S7" i="16"/>
  <c r="T7" i="16"/>
  <c r="U7" i="16"/>
  <c r="V7" i="16"/>
  <c r="W7" i="16"/>
  <c r="X7" i="16"/>
  <c r="Y7" i="16"/>
  <c r="Z7" i="16"/>
  <c r="AA7" i="16"/>
  <c r="AB7" i="16"/>
  <c r="AC7" i="16"/>
  <c r="AD7" i="16"/>
  <c r="AE7" i="16"/>
  <c r="AF7" i="16"/>
  <c r="AG7" i="16"/>
  <c r="AH7" i="16"/>
  <c r="AI7" i="16"/>
  <c r="AJ7" i="16"/>
  <c r="AK7" i="16"/>
  <c r="AL7" i="16"/>
  <c r="AM7" i="16"/>
  <c r="AN7" i="16"/>
  <c r="AO7" i="16"/>
  <c r="AP7" i="16"/>
  <c r="AQ7" i="16"/>
  <c r="AR7" i="16"/>
  <c r="AS7" i="16"/>
  <c r="AT7" i="16"/>
  <c r="AU7" i="16"/>
  <c r="AV7" i="16"/>
  <c r="AW7" i="16"/>
  <c r="AX7" i="16"/>
  <c r="AY7" i="16"/>
  <c r="AZ7" i="16"/>
  <c r="BA7" i="16"/>
  <c r="BB7" i="16"/>
  <c r="BC7" i="16"/>
  <c r="BD7" i="16"/>
  <c r="BE7" i="16"/>
  <c r="BF7" i="16"/>
  <c r="BG7" i="16"/>
  <c r="BH7" i="16"/>
  <c r="BI7" i="16"/>
  <c r="BJ7" i="16"/>
  <c r="BK7" i="16"/>
  <c r="BL7" i="16"/>
  <c r="BM7" i="16"/>
  <c r="BN7" i="16"/>
  <c r="C8" i="16"/>
  <c r="D8" i="16"/>
  <c r="E8" i="16"/>
  <c r="F8" i="16"/>
  <c r="G8" i="16"/>
  <c r="H8" i="16"/>
  <c r="I8" i="16"/>
  <c r="J8" i="16"/>
  <c r="K8" i="16"/>
  <c r="L8" i="16"/>
  <c r="M8" i="16"/>
  <c r="N8" i="16"/>
  <c r="O8" i="16"/>
  <c r="P8" i="16"/>
  <c r="Q8" i="16"/>
  <c r="R8" i="16"/>
  <c r="S8" i="16"/>
  <c r="T8" i="16"/>
  <c r="U8" i="16"/>
  <c r="V8" i="16"/>
  <c r="W8" i="16"/>
  <c r="X8" i="16"/>
  <c r="Y8" i="16"/>
  <c r="Z8" i="16"/>
  <c r="AA8" i="16"/>
  <c r="AB8" i="16"/>
  <c r="AC8" i="16"/>
  <c r="AD8" i="16"/>
  <c r="AE8" i="16"/>
  <c r="AF8" i="16"/>
  <c r="AG8" i="16"/>
  <c r="AH8" i="16"/>
  <c r="AI8" i="16"/>
  <c r="AJ8" i="16"/>
  <c r="AK8" i="16"/>
  <c r="AL8" i="16"/>
  <c r="AM8" i="16"/>
  <c r="AN8" i="16"/>
  <c r="AO8" i="16"/>
  <c r="AP8" i="16"/>
  <c r="AQ8" i="16"/>
  <c r="AR8" i="16"/>
  <c r="AS8" i="16"/>
  <c r="AT8" i="16"/>
  <c r="AU8" i="16"/>
  <c r="AV8" i="16"/>
  <c r="AW8" i="16"/>
  <c r="AX8" i="16"/>
  <c r="AY8" i="16"/>
  <c r="AZ8" i="16"/>
  <c r="BA8" i="16"/>
  <c r="BB8" i="16"/>
  <c r="BC8" i="16"/>
  <c r="BD8" i="16"/>
  <c r="BE8" i="16"/>
  <c r="BF8" i="16"/>
  <c r="BG8" i="16"/>
  <c r="BH8" i="16"/>
  <c r="BI8" i="16"/>
  <c r="BJ8" i="16"/>
  <c r="BK8" i="16"/>
  <c r="BL8" i="16"/>
  <c r="BM8" i="16"/>
  <c r="BN8" i="16"/>
  <c r="C9" i="16"/>
  <c r="D9" i="16"/>
  <c r="E9" i="16"/>
  <c r="F9" i="16"/>
  <c r="G9" i="16"/>
  <c r="H9" i="16"/>
  <c r="I9" i="16"/>
  <c r="J9" i="16"/>
  <c r="K9" i="16"/>
  <c r="L9" i="16"/>
  <c r="M9" i="16"/>
  <c r="N9" i="16"/>
  <c r="O9" i="16"/>
  <c r="P9" i="16"/>
  <c r="Q9" i="16"/>
  <c r="R9" i="16"/>
  <c r="S9" i="16"/>
  <c r="T9" i="16"/>
  <c r="U9" i="16"/>
  <c r="V9" i="16"/>
  <c r="W9" i="16"/>
  <c r="X9" i="16"/>
  <c r="Y9" i="16"/>
  <c r="Z9" i="16"/>
  <c r="AA9" i="16"/>
  <c r="AB9" i="16"/>
  <c r="AC9" i="16"/>
  <c r="AD9" i="16"/>
  <c r="AE9" i="16"/>
  <c r="AF9" i="16"/>
  <c r="AG9" i="16"/>
  <c r="AH9" i="16"/>
  <c r="AI9" i="16"/>
  <c r="AJ9" i="16"/>
  <c r="AK9" i="16"/>
  <c r="AL9" i="16"/>
  <c r="AM9" i="16"/>
  <c r="AN9" i="16"/>
  <c r="AO9" i="16"/>
  <c r="AP9" i="16"/>
  <c r="AQ9" i="16"/>
  <c r="AR9" i="16"/>
  <c r="AS9" i="16"/>
  <c r="AT9" i="16"/>
  <c r="AU9" i="16"/>
  <c r="AV9" i="16"/>
  <c r="AW9" i="16"/>
  <c r="AX9" i="16"/>
  <c r="AY9" i="16"/>
  <c r="AZ9" i="16"/>
  <c r="BA9" i="16"/>
  <c r="BB9" i="16"/>
  <c r="BC9" i="16"/>
  <c r="BD9" i="16"/>
  <c r="BE9" i="16"/>
  <c r="BF9" i="16"/>
  <c r="BG9" i="16"/>
  <c r="BH9" i="16"/>
  <c r="BI9" i="16"/>
  <c r="BJ9" i="16"/>
  <c r="BK9" i="16"/>
  <c r="BL9" i="16"/>
  <c r="BM9" i="16"/>
  <c r="BN9" i="16"/>
  <c r="BL3" i="16"/>
  <c r="BL42" i="16" s="1"/>
  <c r="BL49" i="16" s="1"/>
  <c r="BL50" i="16" s="1"/>
  <c r="C2" i="16"/>
  <c r="D2" i="16"/>
  <c r="E2" i="16"/>
  <c r="F2" i="16"/>
  <c r="G2" i="16"/>
  <c r="H2" i="16"/>
  <c r="I2" i="16"/>
  <c r="J2" i="16"/>
  <c r="K2" i="16"/>
  <c r="L2" i="16"/>
  <c r="M2" i="16"/>
  <c r="N2" i="16"/>
  <c r="O2" i="16"/>
  <c r="P2" i="16"/>
  <c r="Q2" i="16"/>
  <c r="R2" i="16"/>
  <c r="S2" i="16"/>
  <c r="T2" i="16"/>
  <c r="U2" i="16"/>
  <c r="V2" i="16"/>
  <c r="W2" i="16"/>
  <c r="X2" i="16"/>
  <c r="Y2" i="16"/>
  <c r="Z2" i="16"/>
  <c r="AA2" i="16"/>
  <c r="AB2" i="16"/>
  <c r="AC2" i="16"/>
  <c r="AD2" i="16"/>
  <c r="AE2" i="16"/>
  <c r="AF2" i="16"/>
  <c r="AG2" i="16"/>
  <c r="AH2" i="16"/>
  <c r="AI2" i="16"/>
  <c r="AJ2" i="16"/>
  <c r="AK2" i="16"/>
  <c r="AL2" i="16"/>
  <c r="AM2" i="16"/>
  <c r="AN2" i="16"/>
  <c r="AO2" i="16"/>
  <c r="AP2" i="16"/>
  <c r="AQ2" i="16"/>
  <c r="AR2" i="16"/>
  <c r="AS2" i="16"/>
  <c r="AT2" i="16"/>
  <c r="AU2" i="16"/>
  <c r="AV2" i="16"/>
  <c r="AW2" i="16"/>
  <c r="AX2" i="16"/>
  <c r="AY2" i="16"/>
  <c r="AZ2" i="16"/>
  <c r="BA2" i="16"/>
  <c r="BB2" i="16"/>
  <c r="BC2" i="16"/>
  <c r="BD2" i="16"/>
  <c r="BE2" i="16"/>
  <c r="BF2" i="16"/>
  <c r="BG2" i="16"/>
  <c r="BH2" i="16"/>
  <c r="BI2" i="16"/>
  <c r="BJ2" i="16"/>
  <c r="BK2" i="16"/>
  <c r="BL2" i="16"/>
  <c r="BM2" i="16"/>
  <c r="BN2" i="16"/>
  <c r="C3" i="16"/>
  <c r="C42" i="16" s="1"/>
  <c r="D3" i="16"/>
  <c r="E3" i="16"/>
  <c r="E42" i="16" s="1"/>
  <c r="F3" i="16"/>
  <c r="F42" i="16" s="1"/>
  <c r="G3" i="16"/>
  <c r="G42" i="16" s="1"/>
  <c r="H3" i="16"/>
  <c r="H42" i="16" s="1"/>
  <c r="I3" i="16"/>
  <c r="I42" i="16" s="1"/>
  <c r="J3" i="16"/>
  <c r="K3" i="16"/>
  <c r="K42" i="16" s="1"/>
  <c r="L3" i="16"/>
  <c r="L42" i="16" s="1"/>
  <c r="M3" i="16"/>
  <c r="M42" i="16" s="1"/>
  <c r="N3" i="16"/>
  <c r="N42" i="16" s="1"/>
  <c r="O3" i="16"/>
  <c r="O42" i="16" s="1"/>
  <c r="P3" i="16"/>
  <c r="P42" i="16" s="1"/>
  <c r="Q3" i="16"/>
  <c r="Q42" i="16" s="1"/>
  <c r="R3" i="16"/>
  <c r="S3" i="16"/>
  <c r="S42" i="16" s="1"/>
  <c r="S49" i="16" s="1"/>
  <c r="S50" i="16" s="1"/>
  <c r="T3" i="16"/>
  <c r="U3" i="16"/>
  <c r="U42" i="16" s="1"/>
  <c r="V3" i="16"/>
  <c r="V42" i="16" s="1"/>
  <c r="W3" i="16"/>
  <c r="W42" i="16" s="1"/>
  <c r="X3" i="16"/>
  <c r="X42" i="16" s="1"/>
  <c r="Y3" i="16"/>
  <c r="Y42" i="16" s="1"/>
  <c r="Z3" i="16"/>
  <c r="AA3" i="16"/>
  <c r="AA42" i="16" s="1"/>
  <c r="AB3" i="16"/>
  <c r="AB42" i="16" s="1"/>
  <c r="AC3" i="16"/>
  <c r="AC42" i="16" s="1"/>
  <c r="AC49" i="16" s="1"/>
  <c r="AC50" i="16" s="1"/>
  <c r="AD3" i="16"/>
  <c r="AD42" i="16" s="1"/>
  <c r="AE3" i="16"/>
  <c r="AE42" i="16" s="1"/>
  <c r="AF3" i="16"/>
  <c r="AF42" i="16" s="1"/>
  <c r="AF49" i="16" s="1"/>
  <c r="AF50" i="16" s="1"/>
  <c r="AG3" i="16"/>
  <c r="AG42" i="16" s="1"/>
  <c r="AG49" i="16" s="1"/>
  <c r="AG50" i="16" s="1"/>
  <c r="AH3" i="16"/>
  <c r="AH42" i="16" s="1"/>
  <c r="AH49" i="16" s="1"/>
  <c r="AH50" i="16" s="1"/>
  <c r="AI3" i="16"/>
  <c r="AI42" i="16" s="1"/>
  <c r="AI49" i="16" s="1"/>
  <c r="AI50" i="16" s="1"/>
  <c r="AJ3" i="16"/>
  <c r="AK3" i="16"/>
  <c r="AK42" i="16" s="1"/>
  <c r="AL3" i="16"/>
  <c r="AL42" i="16" s="1"/>
  <c r="AM3" i="16"/>
  <c r="AM42" i="16" s="1"/>
  <c r="AN3" i="16"/>
  <c r="AN42" i="16" s="1"/>
  <c r="AO3" i="16"/>
  <c r="AO42" i="16" s="1"/>
  <c r="AP3" i="16"/>
  <c r="AQ3" i="16"/>
  <c r="AQ42" i="16" s="1"/>
  <c r="AR3" i="16"/>
  <c r="AR42" i="16" s="1"/>
  <c r="AS3" i="16"/>
  <c r="AS42" i="16" s="1"/>
  <c r="AS49" i="16" s="1"/>
  <c r="AS50" i="16" s="1"/>
  <c r="AT3" i="16"/>
  <c r="AT42" i="16" s="1"/>
  <c r="AU3" i="16"/>
  <c r="AU42" i="16" s="1"/>
  <c r="AU49" i="16" s="1"/>
  <c r="AU50" i="16" s="1"/>
  <c r="AV3" i="16"/>
  <c r="AV42" i="16" s="1"/>
  <c r="AV49" i="16" s="1"/>
  <c r="AV50" i="16" s="1"/>
  <c r="AW3" i="16"/>
  <c r="AW42" i="16" s="1"/>
  <c r="AW49" i="16" s="1"/>
  <c r="AW50" i="16" s="1"/>
  <c r="AX3" i="16"/>
  <c r="AX42" i="16" s="1"/>
  <c r="AX49" i="16" s="1"/>
  <c r="AX50" i="16" s="1"/>
  <c r="AY3" i="16"/>
  <c r="AY42" i="16" s="1"/>
  <c r="AY49" i="16" s="1"/>
  <c r="AY50" i="16" s="1"/>
  <c r="AZ3" i="16"/>
  <c r="BA3" i="16"/>
  <c r="BA42" i="16" s="1"/>
  <c r="BA49" i="16" s="1"/>
  <c r="BA50" i="16" s="1"/>
  <c r="BB3" i="16"/>
  <c r="BB42" i="16" s="1"/>
  <c r="BC3" i="16"/>
  <c r="BC42" i="16" s="1"/>
  <c r="BD3" i="16"/>
  <c r="BD42" i="16" s="1"/>
  <c r="BE3" i="16"/>
  <c r="BE42" i="16" s="1"/>
  <c r="BF3" i="16"/>
  <c r="BG3" i="16"/>
  <c r="BG42" i="16" s="1"/>
  <c r="BH3" i="16"/>
  <c r="BH42" i="16" s="1"/>
  <c r="BI3" i="16"/>
  <c r="BI42" i="16" s="1"/>
  <c r="BI49" i="16" s="1"/>
  <c r="BI50" i="16" s="1"/>
  <c r="BJ3" i="16"/>
  <c r="BJ42" i="16" s="1"/>
  <c r="BK3" i="16"/>
  <c r="BK42" i="16" s="1"/>
  <c r="BM3" i="16"/>
  <c r="BM42" i="16" s="1"/>
  <c r="BM49" i="16" s="1"/>
  <c r="BM50" i="16" s="1"/>
  <c r="BN3" i="16"/>
  <c r="C4" i="16"/>
  <c r="D4" i="16"/>
  <c r="E4" i="16"/>
  <c r="F4" i="16"/>
  <c r="G4" i="16"/>
  <c r="H4" i="16"/>
  <c r="I4" i="16"/>
  <c r="J4" i="16"/>
  <c r="K4" i="16"/>
  <c r="L4" i="16"/>
  <c r="M4" i="16"/>
  <c r="N4" i="16"/>
  <c r="O4" i="16"/>
  <c r="P4" i="16"/>
  <c r="Q4" i="16"/>
  <c r="R4" i="16"/>
  <c r="S4" i="16"/>
  <c r="T4" i="16"/>
  <c r="U4" i="16"/>
  <c r="V4" i="16"/>
  <c r="W4" i="16"/>
  <c r="X4" i="16"/>
  <c r="Y4" i="16"/>
  <c r="Z4" i="16"/>
  <c r="AA4" i="16"/>
  <c r="AB4" i="16"/>
  <c r="AC4" i="16"/>
  <c r="AD4" i="16"/>
  <c r="AE4" i="16"/>
  <c r="AF4" i="16"/>
  <c r="AG4" i="16"/>
  <c r="AH4" i="16"/>
  <c r="AI4" i="16"/>
  <c r="AJ4" i="16"/>
  <c r="AK4" i="16"/>
  <c r="AL4" i="16"/>
  <c r="AM4" i="16"/>
  <c r="AN4" i="16"/>
  <c r="AO4" i="16"/>
  <c r="AP4" i="16"/>
  <c r="AQ4" i="16"/>
  <c r="AR4" i="16"/>
  <c r="AS4" i="16"/>
  <c r="AT4" i="16"/>
  <c r="AU4" i="16"/>
  <c r="AV4" i="16"/>
  <c r="AW4" i="16"/>
  <c r="AX4" i="16"/>
  <c r="AY4" i="16"/>
  <c r="AZ4" i="16"/>
  <c r="BA4" i="16"/>
  <c r="BB4" i="16"/>
  <c r="BC4" i="16"/>
  <c r="BD4" i="16"/>
  <c r="BE4" i="16"/>
  <c r="BF4" i="16"/>
  <c r="BG4" i="16"/>
  <c r="BH4" i="16"/>
  <c r="BI4" i="16"/>
  <c r="BJ4" i="16"/>
  <c r="BK4" i="16"/>
  <c r="BL4" i="16"/>
  <c r="BM4" i="16"/>
  <c r="BN4" i="16"/>
  <c r="B40" i="16"/>
  <c r="B39" i="16"/>
  <c r="B47" i="16" s="1"/>
  <c r="B37" i="16"/>
  <c r="B36" i="16"/>
  <c r="B35" i="16"/>
  <c r="B33" i="16"/>
  <c r="B32" i="16"/>
  <c r="B46" i="16" s="1"/>
  <c r="B30" i="16"/>
  <c r="B29" i="16"/>
  <c r="B28" i="16"/>
  <c r="B26" i="16"/>
  <c r="B25" i="16"/>
  <c r="B45" i="16" s="1"/>
  <c r="B23" i="16"/>
  <c r="B22" i="16"/>
  <c r="B21" i="16"/>
  <c r="B12" i="16"/>
  <c r="B11" i="16"/>
  <c r="B43" i="16" s="1"/>
  <c r="B9" i="16"/>
  <c r="B8" i="16"/>
  <c r="B7" i="16"/>
  <c r="B4" i="16"/>
  <c r="B3" i="16"/>
  <c r="B2" i="16"/>
  <c r="C36" i="24"/>
  <c r="C37" i="24"/>
  <c r="C38" i="24"/>
  <c r="C47" i="24" s="1"/>
  <c r="C39" i="24"/>
  <c r="C40" i="24"/>
  <c r="B40" i="24"/>
  <c r="B39" i="24"/>
  <c r="B38" i="24"/>
  <c r="B47" i="24" s="1"/>
  <c r="B37" i="24"/>
  <c r="B36" i="24"/>
  <c r="C29" i="24"/>
  <c r="C30" i="24"/>
  <c r="C31" i="24"/>
  <c r="C46" i="24" s="1"/>
  <c r="C32" i="24"/>
  <c r="C33" i="24"/>
  <c r="B33" i="24"/>
  <c r="B32" i="24"/>
  <c r="B31" i="24"/>
  <c r="B46" i="24" s="1"/>
  <c r="B30" i="24"/>
  <c r="B29" i="24"/>
  <c r="C22" i="24"/>
  <c r="C23" i="24"/>
  <c r="C24" i="24"/>
  <c r="C45" i="24" s="1"/>
  <c r="C25" i="24"/>
  <c r="C26" i="24"/>
  <c r="B26" i="24"/>
  <c r="B25" i="24"/>
  <c r="B24" i="24"/>
  <c r="B45" i="24" s="1"/>
  <c r="B23" i="24"/>
  <c r="B22" i="24"/>
  <c r="C9" i="24"/>
  <c r="C10" i="24"/>
  <c r="C43" i="24" s="1"/>
  <c r="C11" i="24"/>
  <c r="C12" i="24"/>
  <c r="B12" i="24"/>
  <c r="B11" i="24"/>
  <c r="B10" i="24"/>
  <c r="B43" i="24" s="1"/>
  <c r="B9" i="24"/>
  <c r="C8" i="24"/>
  <c r="B8" i="24"/>
  <c r="C4" i="24"/>
  <c r="C42" i="24" s="1"/>
  <c r="C5" i="24"/>
  <c r="B5" i="24"/>
  <c r="B4" i="24"/>
  <c r="B42" i="24" s="1"/>
  <c r="C3" i="24"/>
  <c r="B3" i="24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C40" i="19"/>
  <c r="C47" i="19" s="1"/>
  <c r="D40" i="19"/>
  <c r="D47" i="19" s="1"/>
  <c r="E40" i="19"/>
  <c r="E47" i="19" s="1"/>
  <c r="F40" i="19"/>
  <c r="F47" i="19" s="1"/>
  <c r="G40" i="19"/>
  <c r="G47" i="19" s="1"/>
  <c r="H40" i="19"/>
  <c r="H47" i="19" s="1"/>
  <c r="I40" i="19"/>
  <c r="I47" i="19" s="1"/>
  <c r="J40" i="19"/>
  <c r="K40" i="19"/>
  <c r="K47" i="19" s="1"/>
  <c r="L40" i="19"/>
  <c r="M40" i="19"/>
  <c r="M47" i="19" s="1"/>
  <c r="N40" i="19"/>
  <c r="N47" i="19" s="1"/>
  <c r="O40" i="19"/>
  <c r="O47" i="19" s="1"/>
  <c r="P40" i="19"/>
  <c r="P47" i="19" s="1"/>
  <c r="C32" i="19"/>
  <c r="C46" i="19" s="1"/>
  <c r="D32" i="19"/>
  <c r="D46" i="19" s="1"/>
  <c r="E32" i="19"/>
  <c r="E46" i="19" s="1"/>
  <c r="F32" i="19"/>
  <c r="F46" i="19" s="1"/>
  <c r="G32" i="19"/>
  <c r="G46" i="19" s="1"/>
  <c r="H32" i="19"/>
  <c r="H46" i="19" s="1"/>
  <c r="I32" i="19"/>
  <c r="I46" i="19" s="1"/>
  <c r="J32" i="19"/>
  <c r="K32" i="19"/>
  <c r="K46" i="19" s="1"/>
  <c r="L32" i="19"/>
  <c r="L46" i="19" s="1"/>
  <c r="M32" i="19"/>
  <c r="M46" i="19" s="1"/>
  <c r="N32" i="19"/>
  <c r="N46" i="19" s="1"/>
  <c r="O32" i="19"/>
  <c r="O46" i="19" s="1"/>
  <c r="P32" i="19"/>
  <c r="P46" i="19" s="1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C25" i="19"/>
  <c r="C45" i="19" s="1"/>
  <c r="D25" i="19"/>
  <c r="D45" i="19" s="1"/>
  <c r="E25" i="19"/>
  <c r="E45" i="19" s="1"/>
  <c r="F25" i="19"/>
  <c r="F45" i="19" s="1"/>
  <c r="G25" i="19"/>
  <c r="G45" i="19" s="1"/>
  <c r="H25" i="19"/>
  <c r="I25" i="19"/>
  <c r="I45" i="19" s="1"/>
  <c r="J25" i="19"/>
  <c r="J45" i="19" s="1"/>
  <c r="K25" i="19"/>
  <c r="K45" i="19" s="1"/>
  <c r="L25" i="19"/>
  <c r="L45" i="19" s="1"/>
  <c r="M25" i="19"/>
  <c r="M45" i="19" s="1"/>
  <c r="N25" i="19"/>
  <c r="O25" i="19"/>
  <c r="O45" i="19" s="1"/>
  <c r="P25" i="19"/>
  <c r="P45" i="19" s="1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C11" i="19"/>
  <c r="C43" i="19" s="1"/>
  <c r="D11" i="19"/>
  <c r="E11" i="19"/>
  <c r="E43" i="19" s="1"/>
  <c r="F11" i="19"/>
  <c r="F43" i="19" s="1"/>
  <c r="G11" i="19"/>
  <c r="G43" i="19" s="1"/>
  <c r="H11" i="19"/>
  <c r="H43" i="19" s="1"/>
  <c r="I11" i="19"/>
  <c r="I43" i="19" s="1"/>
  <c r="J11" i="19"/>
  <c r="J43" i="19" s="1"/>
  <c r="K11" i="19"/>
  <c r="K43" i="19" s="1"/>
  <c r="L11" i="19"/>
  <c r="L43" i="19" s="1"/>
  <c r="M11" i="19"/>
  <c r="M43" i="19" s="1"/>
  <c r="N11" i="19"/>
  <c r="N43" i="19" s="1"/>
  <c r="O11" i="19"/>
  <c r="O43" i="19" s="1"/>
  <c r="P11" i="19"/>
  <c r="P43" i="19" s="1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B12" i="19"/>
  <c r="B11" i="19"/>
  <c r="B43" i="19" s="1"/>
  <c r="B26" i="19"/>
  <c r="B25" i="19"/>
  <c r="B45" i="19" s="1"/>
  <c r="B33" i="19"/>
  <c r="B32" i="19"/>
  <c r="B40" i="19"/>
  <c r="B47" i="19" s="1"/>
  <c r="B39" i="19"/>
  <c r="C11" i="20"/>
  <c r="C43" i="20" s="1"/>
  <c r="D11" i="20"/>
  <c r="D43" i="20" s="1"/>
  <c r="E11" i="20"/>
  <c r="E43" i="20" s="1"/>
  <c r="F11" i="20"/>
  <c r="F43" i="20" s="1"/>
  <c r="G11" i="20"/>
  <c r="G43" i="20" s="1"/>
  <c r="H11" i="20"/>
  <c r="H43" i="20" s="1"/>
  <c r="I11" i="20"/>
  <c r="I43" i="20" s="1"/>
  <c r="J11" i="20"/>
  <c r="J43" i="20" s="1"/>
  <c r="C12" i="20"/>
  <c r="D12" i="20"/>
  <c r="E12" i="20"/>
  <c r="F12" i="20"/>
  <c r="G12" i="20"/>
  <c r="H12" i="20"/>
  <c r="I12" i="20"/>
  <c r="J12" i="20"/>
  <c r="C25" i="20"/>
  <c r="C45" i="20" s="1"/>
  <c r="D25" i="20"/>
  <c r="D45" i="20" s="1"/>
  <c r="E25" i="20"/>
  <c r="E45" i="20" s="1"/>
  <c r="F25" i="20"/>
  <c r="F45" i="20" s="1"/>
  <c r="G25" i="20"/>
  <c r="G45" i="20" s="1"/>
  <c r="H25" i="20"/>
  <c r="H45" i="20" s="1"/>
  <c r="I25" i="20"/>
  <c r="I45" i="20" s="1"/>
  <c r="J25" i="20"/>
  <c r="J45" i="20" s="1"/>
  <c r="C26" i="20"/>
  <c r="D26" i="20"/>
  <c r="E26" i="20"/>
  <c r="F26" i="20"/>
  <c r="G26" i="20"/>
  <c r="H26" i="20"/>
  <c r="I26" i="20"/>
  <c r="J26" i="20"/>
  <c r="C32" i="20"/>
  <c r="C46" i="20" s="1"/>
  <c r="D32" i="20"/>
  <c r="D46" i="20" s="1"/>
  <c r="E32" i="20"/>
  <c r="E46" i="20" s="1"/>
  <c r="F32" i="20"/>
  <c r="F46" i="20" s="1"/>
  <c r="G32" i="20"/>
  <c r="G46" i="20" s="1"/>
  <c r="H32" i="20"/>
  <c r="I32" i="20"/>
  <c r="I46" i="20" s="1"/>
  <c r="J32" i="20"/>
  <c r="J46" i="20" s="1"/>
  <c r="C33" i="20"/>
  <c r="D33" i="20"/>
  <c r="E33" i="20"/>
  <c r="F33" i="20"/>
  <c r="G33" i="20"/>
  <c r="H33" i="20"/>
  <c r="I33" i="20"/>
  <c r="J33" i="20"/>
  <c r="C39" i="20"/>
  <c r="D39" i="20"/>
  <c r="E39" i="20"/>
  <c r="F39" i="20"/>
  <c r="G39" i="20"/>
  <c r="H39" i="20"/>
  <c r="I39" i="20"/>
  <c r="J39" i="20"/>
  <c r="C40" i="20"/>
  <c r="C47" i="20" s="1"/>
  <c r="D40" i="20"/>
  <c r="D47" i="20" s="1"/>
  <c r="E40" i="20"/>
  <c r="E47" i="20" s="1"/>
  <c r="F40" i="20"/>
  <c r="G40" i="20"/>
  <c r="G47" i="20" s="1"/>
  <c r="H40" i="20"/>
  <c r="H47" i="20" s="1"/>
  <c r="I40" i="20"/>
  <c r="I47" i="20" s="1"/>
  <c r="J40" i="20"/>
  <c r="J47" i="20" s="1"/>
  <c r="B40" i="20"/>
  <c r="B47" i="20" s="1"/>
  <c r="B39" i="20"/>
  <c r="B33" i="20"/>
  <c r="B32" i="20"/>
  <c r="B46" i="20" s="1"/>
  <c r="B26" i="20"/>
  <c r="B25" i="20"/>
  <c r="B12" i="20"/>
  <c r="B11" i="20"/>
  <c r="C11" i="18"/>
  <c r="C43" i="18" s="1"/>
  <c r="D11" i="18"/>
  <c r="D43" i="18" s="1"/>
  <c r="E11" i="18"/>
  <c r="E43" i="18" s="1"/>
  <c r="F11" i="18"/>
  <c r="G11" i="18"/>
  <c r="G43" i="18" s="1"/>
  <c r="H11" i="18"/>
  <c r="I11" i="18"/>
  <c r="I43" i="18" s="1"/>
  <c r="J11" i="18"/>
  <c r="J43" i="18" s="1"/>
  <c r="K11" i="18"/>
  <c r="K43" i="18" s="1"/>
  <c r="L11" i="18"/>
  <c r="L43" i="18" s="1"/>
  <c r="M11" i="18"/>
  <c r="M43" i="18" s="1"/>
  <c r="N11" i="18"/>
  <c r="N43" i="18" s="1"/>
  <c r="O11" i="18"/>
  <c r="O43" i="18" s="1"/>
  <c r="P11" i="18"/>
  <c r="P43" i="18" s="1"/>
  <c r="Q11" i="18"/>
  <c r="Q43" i="18" s="1"/>
  <c r="R11" i="18"/>
  <c r="R43" i="18" s="1"/>
  <c r="C12" i="18"/>
  <c r="D12" i="18"/>
  <c r="E12" i="18"/>
  <c r="F12" i="18"/>
  <c r="G12" i="18"/>
  <c r="H12" i="18"/>
  <c r="I12" i="18"/>
  <c r="J12" i="18"/>
  <c r="K12" i="18"/>
  <c r="L12" i="18"/>
  <c r="M12" i="18"/>
  <c r="N12" i="18"/>
  <c r="O12" i="18"/>
  <c r="P12" i="18"/>
  <c r="Q12" i="18"/>
  <c r="R12" i="18"/>
  <c r="C25" i="18"/>
  <c r="C45" i="18" s="1"/>
  <c r="D25" i="18"/>
  <c r="D45" i="18" s="1"/>
  <c r="E25" i="18"/>
  <c r="E45" i="18" s="1"/>
  <c r="F25" i="18"/>
  <c r="G25" i="18"/>
  <c r="G45" i="18" s="1"/>
  <c r="H25" i="18"/>
  <c r="I25" i="18"/>
  <c r="I45" i="18" s="1"/>
  <c r="J25" i="18"/>
  <c r="J45" i="18" s="1"/>
  <c r="K25" i="18"/>
  <c r="K45" i="18" s="1"/>
  <c r="L25" i="18"/>
  <c r="L45" i="18" s="1"/>
  <c r="M25" i="18"/>
  <c r="M45" i="18" s="1"/>
  <c r="N25" i="18"/>
  <c r="N45" i="18" s="1"/>
  <c r="O25" i="18"/>
  <c r="O45" i="18" s="1"/>
  <c r="P25" i="18"/>
  <c r="P45" i="18" s="1"/>
  <c r="Q25" i="18"/>
  <c r="Q45" i="18" s="1"/>
  <c r="R25" i="18"/>
  <c r="R45" i="18" s="1"/>
  <c r="C26" i="18"/>
  <c r="D26" i="18"/>
  <c r="E26" i="18"/>
  <c r="F26" i="18"/>
  <c r="G26" i="18"/>
  <c r="H26" i="18"/>
  <c r="I26" i="18"/>
  <c r="J26" i="18"/>
  <c r="K26" i="18"/>
  <c r="L26" i="18"/>
  <c r="M26" i="18"/>
  <c r="N26" i="18"/>
  <c r="O26" i="18"/>
  <c r="P26" i="18"/>
  <c r="Q26" i="18"/>
  <c r="R26" i="18"/>
  <c r="C32" i="18"/>
  <c r="C46" i="18" s="1"/>
  <c r="D32" i="18"/>
  <c r="D46" i="18" s="1"/>
  <c r="E32" i="18"/>
  <c r="E46" i="18" s="1"/>
  <c r="F32" i="18"/>
  <c r="G32" i="18"/>
  <c r="G46" i="18" s="1"/>
  <c r="H32" i="18"/>
  <c r="I32" i="18"/>
  <c r="I46" i="18" s="1"/>
  <c r="J32" i="18"/>
  <c r="J46" i="18" s="1"/>
  <c r="K32" i="18"/>
  <c r="K46" i="18" s="1"/>
  <c r="L32" i="18"/>
  <c r="L46" i="18" s="1"/>
  <c r="M32" i="18"/>
  <c r="M46" i="18" s="1"/>
  <c r="N32" i="18"/>
  <c r="N46" i="18" s="1"/>
  <c r="O32" i="18"/>
  <c r="O46" i="18" s="1"/>
  <c r="P32" i="18"/>
  <c r="P46" i="18" s="1"/>
  <c r="Q32" i="18"/>
  <c r="Q46" i="18" s="1"/>
  <c r="R32" i="18"/>
  <c r="R46" i="18" s="1"/>
  <c r="C33" i="18"/>
  <c r="D33" i="18"/>
  <c r="E33" i="18"/>
  <c r="F33" i="18"/>
  <c r="G33" i="18"/>
  <c r="H33" i="18"/>
  <c r="I33" i="18"/>
  <c r="J33" i="18"/>
  <c r="K33" i="18"/>
  <c r="L33" i="18"/>
  <c r="M33" i="18"/>
  <c r="N33" i="18"/>
  <c r="O33" i="18"/>
  <c r="P33" i="18"/>
  <c r="Q33" i="18"/>
  <c r="R33" i="18"/>
  <c r="C39" i="18"/>
  <c r="D39" i="18"/>
  <c r="E39" i="18"/>
  <c r="F39" i="18"/>
  <c r="G39" i="18"/>
  <c r="H39" i="18"/>
  <c r="I39" i="18"/>
  <c r="J39" i="18"/>
  <c r="K39" i="18"/>
  <c r="L39" i="18"/>
  <c r="M39" i="18"/>
  <c r="N39" i="18"/>
  <c r="O39" i="18"/>
  <c r="P39" i="18"/>
  <c r="Q39" i="18"/>
  <c r="R39" i="18"/>
  <c r="C40" i="18"/>
  <c r="C47" i="18" s="1"/>
  <c r="D40" i="18"/>
  <c r="D47" i="18" s="1"/>
  <c r="E40" i="18"/>
  <c r="E47" i="18" s="1"/>
  <c r="F40" i="18"/>
  <c r="G40" i="18"/>
  <c r="G47" i="18" s="1"/>
  <c r="H40" i="18"/>
  <c r="I40" i="18"/>
  <c r="I47" i="18" s="1"/>
  <c r="J40" i="18"/>
  <c r="J47" i="18" s="1"/>
  <c r="K40" i="18"/>
  <c r="K47" i="18" s="1"/>
  <c r="L40" i="18"/>
  <c r="L47" i="18" s="1"/>
  <c r="M40" i="18"/>
  <c r="M47" i="18" s="1"/>
  <c r="N40" i="18"/>
  <c r="N47" i="18" s="1"/>
  <c r="O40" i="18"/>
  <c r="O47" i="18" s="1"/>
  <c r="P40" i="18"/>
  <c r="P47" i="18" s="1"/>
  <c r="Q40" i="18"/>
  <c r="Q47" i="18" s="1"/>
  <c r="R40" i="18"/>
  <c r="R47" i="18" s="1"/>
  <c r="B40" i="18"/>
  <c r="B47" i="18" s="1"/>
  <c r="B39" i="18"/>
  <c r="B33" i="18"/>
  <c r="B32" i="18"/>
  <c r="B46" i="18" s="1"/>
  <c r="B26" i="18"/>
  <c r="B25" i="18"/>
  <c r="B45" i="18" s="1"/>
  <c r="B12" i="18"/>
  <c r="B11" i="18"/>
  <c r="B43" i="18" s="1"/>
  <c r="C39" i="17"/>
  <c r="C47" i="17" s="1"/>
  <c r="D39" i="17"/>
  <c r="D47" i="17" s="1"/>
  <c r="E39" i="17"/>
  <c r="E47" i="17" s="1"/>
  <c r="F39" i="17"/>
  <c r="F47" i="17" s="1"/>
  <c r="G39" i="17"/>
  <c r="G47" i="17" s="1"/>
  <c r="H39" i="17"/>
  <c r="H47" i="17" s="1"/>
  <c r="I39" i="17"/>
  <c r="I47" i="17" s="1"/>
  <c r="J39" i="17"/>
  <c r="J47" i="17" s="1"/>
  <c r="K39" i="17"/>
  <c r="K47" i="17" s="1"/>
  <c r="L39" i="17"/>
  <c r="L47" i="17" s="1"/>
  <c r="M39" i="17"/>
  <c r="M47" i="17" s="1"/>
  <c r="N39" i="17"/>
  <c r="N47" i="17" s="1"/>
  <c r="O39" i="17"/>
  <c r="O47" i="17" s="1"/>
  <c r="P39" i="17"/>
  <c r="P47" i="17" s="1"/>
  <c r="Q39" i="17"/>
  <c r="Q47" i="17" s="1"/>
  <c r="R39" i="17"/>
  <c r="R47" i="17" s="1"/>
  <c r="C40" i="17"/>
  <c r="D40" i="17"/>
  <c r="E40" i="17"/>
  <c r="F40" i="17"/>
  <c r="G40" i="17"/>
  <c r="H40" i="17"/>
  <c r="I40" i="17"/>
  <c r="J40" i="17"/>
  <c r="K40" i="17"/>
  <c r="L40" i="17"/>
  <c r="M40" i="17"/>
  <c r="N40" i="17"/>
  <c r="O40" i="17"/>
  <c r="P40" i="17"/>
  <c r="Q40" i="17"/>
  <c r="R40" i="17"/>
  <c r="C32" i="17"/>
  <c r="C46" i="17" s="1"/>
  <c r="D32" i="17"/>
  <c r="D46" i="17" s="1"/>
  <c r="E32" i="17"/>
  <c r="E46" i="17" s="1"/>
  <c r="F32" i="17"/>
  <c r="F46" i="17" s="1"/>
  <c r="G32" i="17"/>
  <c r="G46" i="17" s="1"/>
  <c r="H32" i="17"/>
  <c r="H46" i="17" s="1"/>
  <c r="I32" i="17"/>
  <c r="I46" i="17" s="1"/>
  <c r="J32" i="17"/>
  <c r="J46" i="17" s="1"/>
  <c r="K32" i="17"/>
  <c r="K46" i="17" s="1"/>
  <c r="L32" i="17"/>
  <c r="L46" i="17" s="1"/>
  <c r="M32" i="17"/>
  <c r="M46" i="17" s="1"/>
  <c r="N32" i="17"/>
  <c r="N46" i="17" s="1"/>
  <c r="O32" i="17"/>
  <c r="O46" i="17" s="1"/>
  <c r="P32" i="17"/>
  <c r="P46" i="17" s="1"/>
  <c r="Q32" i="17"/>
  <c r="Q46" i="17" s="1"/>
  <c r="R32" i="17"/>
  <c r="R46" i="17" s="1"/>
  <c r="C33" i="17"/>
  <c r="D33" i="17"/>
  <c r="E33" i="17"/>
  <c r="F33" i="17"/>
  <c r="G33" i="17"/>
  <c r="H33" i="17"/>
  <c r="I33" i="17"/>
  <c r="J33" i="17"/>
  <c r="K33" i="17"/>
  <c r="L33" i="17"/>
  <c r="M33" i="17"/>
  <c r="N33" i="17"/>
  <c r="O33" i="17"/>
  <c r="P33" i="17"/>
  <c r="Q33" i="17"/>
  <c r="R33" i="17"/>
  <c r="C25" i="17"/>
  <c r="C45" i="17" s="1"/>
  <c r="D25" i="17"/>
  <c r="D45" i="17" s="1"/>
  <c r="E25" i="17"/>
  <c r="E45" i="17" s="1"/>
  <c r="F25" i="17"/>
  <c r="F45" i="17" s="1"/>
  <c r="G25" i="17"/>
  <c r="G45" i="17" s="1"/>
  <c r="H25" i="17"/>
  <c r="H45" i="17" s="1"/>
  <c r="I25" i="17"/>
  <c r="I45" i="17" s="1"/>
  <c r="J25" i="17"/>
  <c r="J45" i="17" s="1"/>
  <c r="K25" i="17"/>
  <c r="K45" i="17" s="1"/>
  <c r="L25" i="17"/>
  <c r="M25" i="17"/>
  <c r="M45" i="17" s="1"/>
  <c r="N25" i="17"/>
  <c r="N45" i="17" s="1"/>
  <c r="O25" i="17"/>
  <c r="O45" i="17" s="1"/>
  <c r="P25" i="17"/>
  <c r="P45" i="17" s="1"/>
  <c r="Q25" i="17"/>
  <c r="Q45" i="17" s="1"/>
  <c r="R25" i="17"/>
  <c r="R45" i="17" s="1"/>
  <c r="C26" i="17"/>
  <c r="D26" i="17"/>
  <c r="E26" i="17"/>
  <c r="F26" i="17"/>
  <c r="G26" i="17"/>
  <c r="H26" i="17"/>
  <c r="I26" i="17"/>
  <c r="J26" i="17"/>
  <c r="K26" i="17"/>
  <c r="L26" i="17"/>
  <c r="M26" i="17"/>
  <c r="N26" i="17"/>
  <c r="O26" i="17"/>
  <c r="P26" i="17"/>
  <c r="Q26" i="17"/>
  <c r="R26" i="17"/>
  <c r="C11" i="17"/>
  <c r="C43" i="17" s="1"/>
  <c r="D11" i="17"/>
  <c r="D43" i="17" s="1"/>
  <c r="E11" i="17"/>
  <c r="E43" i="17" s="1"/>
  <c r="F11" i="17"/>
  <c r="G11" i="17"/>
  <c r="G43" i="17" s="1"/>
  <c r="H11" i="17"/>
  <c r="H43" i="17" s="1"/>
  <c r="I11" i="17"/>
  <c r="I43" i="17" s="1"/>
  <c r="J11" i="17"/>
  <c r="J43" i="17" s="1"/>
  <c r="K11" i="17"/>
  <c r="K43" i="17" s="1"/>
  <c r="L11" i="17"/>
  <c r="L43" i="17" s="1"/>
  <c r="M11" i="17"/>
  <c r="M43" i="17" s="1"/>
  <c r="N11" i="17"/>
  <c r="N43" i="17" s="1"/>
  <c r="O11" i="17"/>
  <c r="O43" i="17" s="1"/>
  <c r="P11" i="17"/>
  <c r="P43" i="17" s="1"/>
  <c r="Q11" i="17"/>
  <c r="Q43" i="17" s="1"/>
  <c r="R11" i="17"/>
  <c r="R43" i="17" s="1"/>
  <c r="C12" i="17"/>
  <c r="D12" i="17"/>
  <c r="E12" i="17"/>
  <c r="F12" i="17"/>
  <c r="G12" i="17"/>
  <c r="H12" i="17"/>
  <c r="I12" i="17"/>
  <c r="J12" i="17"/>
  <c r="K12" i="17"/>
  <c r="L12" i="17"/>
  <c r="M12" i="17"/>
  <c r="N12" i="17"/>
  <c r="O12" i="17"/>
  <c r="P12" i="17"/>
  <c r="Q12" i="17"/>
  <c r="R12" i="17"/>
  <c r="B12" i="17"/>
  <c r="B11" i="17"/>
  <c r="B43" i="17" s="1"/>
  <c r="B26" i="17"/>
  <c r="B33" i="17"/>
  <c r="B32" i="17"/>
  <c r="B40" i="17"/>
  <c r="B39" i="17"/>
  <c r="B47" i="17" s="1"/>
  <c r="C39" i="15"/>
  <c r="D39" i="15"/>
  <c r="E39" i="15"/>
  <c r="F39" i="15"/>
  <c r="G39" i="15"/>
  <c r="H39" i="15"/>
  <c r="I39" i="15"/>
  <c r="J39" i="15"/>
  <c r="K39" i="15"/>
  <c r="L39" i="15"/>
  <c r="M39" i="15"/>
  <c r="N39" i="15"/>
  <c r="O39" i="15"/>
  <c r="P39" i="15"/>
  <c r="Q39" i="15"/>
  <c r="R39" i="15"/>
  <c r="C40" i="15"/>
  <c r="C48" i="15" s="1"/>
  <c r="D40" i="15"/>
  <c r="D48" i="15" s="1"/>
  <c r="E40" i="15"/>
  <c r="E48" i="15" s="1"/>
  <c r="F40" i="15"/>
  <c r="F48" i="15" s="1"/>
  <c r="G40" i="15"/>
  <c r="H40" i="15"/>
  <c r="H48" i="15" s="1"/>
  <c r="I40" i="15"/>
  <c r="I48" i="15" s="1"/>
  <c r="J40" i="15"/>
  <c r="J48" i="15" s="1"/>
  <c r="K40" i="15"/>
  <c r="K48" i="15" s="1"/>
  <c r="L40" i="15"/>
  <c r="L48" i="15" s="1"/>
  <c r="M40" i="15"/>
  <c r="M48" i="15" s="1"/>
  <c r="N40" i="15"/>
  <c r="N48" i="15" s="1"/>
  <c r="O40" i="15"/>
  <c r="O48" i="15" s="1"/>
  <c r="O50" i="15" s="1"/>
  <c r="O51" i="15" s="1"/>
  <c r="P40" i="15"/>
  <c r="P48" i="15" s="1"/>
  <c r="Q40" i="15"/>
  <c r="R40" i="15"/>
  <c r="R48" i="15" s="1"/>
  <c r="B40" i="15"/>
  <c r="B39" i="15"/>
  <c r="C32" i="15"/>
  <c r="C47" i="15" s="1"/>
  <c r="D32" i="15"/>
  <c r="D47" i="15" s="1"/>
  <c r="E32" i="15"/>
  <c r="E47" i="15" s="1"/>
  <c r="F32" i="15"/>
  <c r="F47" i="15" s="1"/>
  <c r="G32" i="15"/>
  <c r="G47" i="15" s="1"/>
  <c r="H32" i="15"/>
  <c r="I32" i="15"/>
  <c r="I47" i="15" s="1"/>
  <c r="J32" i="15"/>
  <c r="K32" i="15"/>
  <c r="K47" i="15" s="1"/>
  <c r="L32" i="15"/>
  <c r="L47" i="15" s="1"/>
  <c r="M32" i="15"/>
  <c r="M47" i="15" s="1"/>
  <c r="N32" i="15"/>
  <c r="N47" i="15" s="1"/>
  <c r="O32" i="15"/>
  <c r="O47" i="15" s="1"/>
  <c r="P32" i="15"/>
  <c r="Q32" i="15"/>
  <c r="Q47" i="15" s="1"/>
  <c r="R32" i="15"/>
  <c r="R47" i="15" s="1"/>
  <c r="C33" i="15"/>
  <c r="D33" i="15"/>
  <c r="E33" i="15"/>
  <c r="F33" i="15"/>
  <c r="G33" i="15"/>
  <c r="H33" i="15"/>
  <c r="I33" i="15"/>
  <c r="J33" i="15"/>
  <c r="K33" i="15"/>
  <c r="L33" i="15"/>
  <c r="M33" i="15"/>
  <c r="N33" i="15"/>
  <c r="O33" i="15"/>
  <c r="P33" i="15"/>
  <c r="Q33" i="15"/>
  <c r="R33" i="15"/>
  <c r="B33" i="15"/>
  <c r="B32" i="15"/>
  <c r="B47" i="15" s="1"/>
  <c r="C25" i="15"/>
  <c r="C46" i="15" s="1"/>
  <c r="D25" i="15"/>
  <c r="D46" i="15" s="1"/>
  <c r="E25" i="15"/>
  <c r="E46" i="15" s="1"/>
  <c r="F25" i="15"/>
  <c r="F46" i="15" s="1"/>
  <c r="G25" i="15"/>
  <c r="G46" i="15" s="1"/>
  <c r="H25" i="15"/>
  <c r="I25" i="15"/>
  <c r="I46" i="15" s="1"/>
  <c r="J25" i="15"/>
  <c r="K25" i="15"/>
  <c r="K46" i="15" s="1"/>
  <c r="L25" i="15"/>
  <c r="L46" i="15" s="1"/>
  <c r="M25" i="15"/>
  <c r="M46" i="15" s="1"/>
  <c r="N25" i="15"/>
  <c r="N46" i="15" s="1"/>
  <c r="O25" i="15"/>
  <c r="O46" i="15" s="1"/>
  <c r="P25" i="15"/>
  <c r="Q25" i="15"/>
  <c r="Q46" i="15" s="1"/>
  <c r="R25" i="15"/>
  <c r="R46" i="15" s="1"/>
  <c r="C26" i="15"/>
  <c r="D26" i="15"/>
  <c r="E26" i="15"/>
  <c r="F26" i="15"/>
  <c r="G26" i="15"/>
  <c r="H26" i="15"/>
  <c r="I26" i="15"/>
  <c r="J26" i="15"/>
  <c r="K26" i="15"/>
  <c r="L26" i="15"/>
  <c r="M26" i="15"/>
  <c r="N26" i="15"/>
  <c r="O26" i="15"/>
  <c r="P26" i="15"/>
  <c r="Q26" i="15"/>
  <c r="R26" i="15"/>
  <c r="B26" i="15"/>
  <c r="B25" i="15"/>
  <c r="B46" i="15" s="1"/>
  <c r="C11" i="15"/>
  <c r="C44" i="15" s="1"/>
  <c r="D11" i="15"/>
  <c r="D44" i="15" s="1"/>
  <c r="E11" i="15"/>
  <c r="E44" i="15" s="1"/>
  <c r="F11" i="15"/>
  <c r="F44" i="15" s="1"/>
  <c r="G11" i="15"/>
  <c r="G44" i="15" s="1"/>
  <c r="H11" i="15"/>
  <c r="I11" i="15"/>
  <c r="I44" i="15" s="1"/>
  <c r="J11" i="15"/>
  <c r="K11" i="15"/>
  <c r="K44" i="15" s="1"/>
  <c r="L11" i="15"/>
  <c r="L44" i="15" s="1"/>
  <c r="M11" i="15"/>
  <c r="M44" i="15" s="1"/>
  <c r="N11" i="15"/>
  <c r="N44" i="15" s="1"/>
  <c r="O11" i="15"/>
  <c r="O44" i="15" s="1"/>
  <c r="P11" i="15"/>
  <c r="Q11" i="15"/>
  <c r="Q44" i="15" s="1"/>
  <c r="R11" i="15"/>
  <c r="R44" i="15" s="1"/>
  <c r="C12" i="15"/>
  <c r="D12" i="15"/>
  <c r="E12" i="15"/>
  <c r="F12" i="15"/>
  <c r="G12" i="15"/>
  <c r="H12" i="15"/>
  <c r="I12" i="15"/>
  <c r="J12" i="15"/>
  <c r="K12" i="15"/>
  <c r="L12" i="15"/>
  <c r="M12" i="15"/>
  <c r="N12" i="15"/>
  <c r="O12" i="15"/>
  <c r="P12" i="15"/>
  <c r="Q12" i="15"/>
  <c r="R12" i="15"/>
  <c r="B12" i="15"/>
  <c r="B11" i="15"/>
  <c r="B44" i="15" s="1"/>
  <c r="C39" i="14"/>
  <c r="D39" i="14"/>
  <c r="E39" i="14"/>
  <c r="F39" i="14"/>
  <c r="G39" i="14"/>
  <c r="H39" i="14"/>
  <c r="I39" i="14"/>
  <c r="J39" i="14"/>
  <c r="K39" i="14"/>
  <c r="L39" i="14"/>
  <c r="M39" i="14"/>
  <c r="N39" i="14"/>
  <c r="O39" i="14"/>
  <c r="P39" i="14"/>
  <c r="Q39" i="14"/>
  <c r="R39" i="14"/>
  <c r="C40" i="14"/>
  <c r="C47" i="14" s="1"/>
  <c r="D40" i="14"/>
  <c r="D47" i="14" s="1"/>
  <c r="E40" i="14"/>
  <c r="E47" i="14" s="1"/>
  <c r="F40" i="14"/>
  <c r="F47" i="14" s="1"/>
  <c r="G40" i="14"/>
  <c r="G47" i="14" s="1"/>
  <c r="H40" i="14"/>
  <c r="I40" i="14"/>
  <c r="I47" i="14" s="1"/>
  <c r="J40" i="14"/>
  <c r="J47" i="14" s="1"/>
  <c r="K40" i="14"/>
  <c r="K47" i="14" s="1"/>
  <c r="L40" i="14"/>
  <c r="L47" i="14" s="1"/>
  <c r="M40" i="14"/>
  <c r="M47" i="14" s="1"/>
  <c r="N40" i="14"/>
  <c r="N47" i="14" s="1"/>
  <c r="O40" i="14"/>
  <c r="O47" i="14" s="1"/>
  <c r="P40" i="14"/>
  <c r="Q40" i="14"/>
  <c r="Q47" i="14" s="1"/>
  <c r="R40" i="14"/>
  <c r="B40" i="14"/>
  <c r="B47" i="14" s="1"/>
  <c r="B39" i="14"/>
  <c r="C32" i="14"/>
  <c r="C46" i="14" s="1"/>
  <c r="D32" i="14"/>
  <c r="D46" i="14" s="1"/>
  <c r="E32" i="14"/>
  <c r="E46" i="14" s="1"/>
  <c r="F32" i="14"/>
  <c r="F46" i="14" s="1"/>
  <c r="G32" i="14"/>
  <c r="G46" i="14" s="1"/>
  <c r="H32" i="14"/>
  <c r="H46" i="14" s="1"/>
  <c r="I32" i="14"/>
  <c r="J32" i="14"/>
  <c r="J46" i="14" s="1"/>
  <c r="K32" i="14"/>
  <c r="K46" i="14" s="1"/>
  <c r="L32" i="14"/>
  <c r="L46" i="14" s="1"/>
  <c r="M32" i="14"/>
  <c r="M46" i="14" s="1"/>
  <c r="N32" i="14"/>
  <c r="N46" i="14" s="1"/>
  <c r="O32" i="14"/>
  <c r="O46" i="14" s="1"/>
  <c r="P32" i="14"/>
  <c r="P46" i="14" s="1"/>
  <c r="Q32" i="14"/>
  <c r="R32" i="14"/>
  <c r="R46" i="14" s="1"/>
  <c r="C33" i="14"/>
  <c r="D33" i="14"/>
  <c r="E33" i="14"/>
  <c r="F33" i="14"/>
  <c r="G33" i="14"/>
  <c r="H33" i="14"/>
  <c r="I33" i="14"/>
  <c r="J33" i="14"/>
  <c r="K33" i="14"/>
  <c r="L33" i="14"/>
  <c r="M33" i="14"/>
  <c r="N33" i="14"/>
  <c r="O33" i="14"/>
  <c r="P33" i="14"/>
  <c r="Q33" i="14"/>
  <c r="R33" i="14"/>
  <c r="B33" i="14"/>
  <c r="B32" i="14"/>
  <c r="C25" i="14"/>
  <c r="C45" i="14" s="1"/>
  <c r="D25" i="14"/>
  <c r="D45" i="14" s="1"/>
  <c r="E25" i="14"/>
  <c r="E45" i="14" s="1"/>
  <c r="F25" i="14"/>
  <c r="F45" i="14" s="1"/>
  <c r="G25" i="14"/>
  <c r="G45" i="14" s="1"/>
  <c r="H25" i="14"/>
  <c r="H45" i="14" s="1"/>
  <c r="I25" i="14"/>
  <c r="I45" i="14" s="1"/>
  <c r="J25" i="14"/>
  <c r="J45" i="14" s="1"/>
  <c r="K25" i="14"/>
  <c r="K45" i="14" s="1"/>
  <c r="L25" i="14"/>
  <c r="L45" i="14" s="1"/>
  <c r="M25" i="14"/>
  <c r="M45" i="14" s="1"/>
  <c r="N25" i="14"/>
  <c r="N45" i="14" s="1"/>
  <c r="O25" i="14"/>
  <c r="O45" i="14" s="1"/>
  <c r="P25" i="14"/>
  <c r="P45" i="14" s="1"/>
  <c r="Q25" i="14"/>
  <c r="Q45" i="14" s="1"/>
  <c r="Q49" i="14" s="1"/>
  <c r="Q50" i="14" s="1"/>
  <c r="R25" i="14"/>
  <c r="R45" i="14" s="1"/>
  <c r="C26" i="14"/>
  <c r="D26" i="14"/>
  <c r="E26" i="14"/>
  <c r="F26" i="14"/>
  <c r="G26" i="14"/>
  <c r="H26" i="14"/>
  <c r="I26" i="14"/>
  <c r="J26" i="14"/>
  <c r="K26" i="14"/>
  <c r="L26" i="14"/>
  <c r="M26" i="14"/>
  <c r="N26" i="14"/>
  <c r="O26" i="14"/>
  <c r="P26" i="14"/>
  <c r="Q26" i="14"/>
  <c r="R26" i="14"/>
  <c r="B26" i="14"/>
  <c r="B25" i="14"/>
  <c r="B45" i="14" s="1"/>
  <c r="C11" i="14"/>
  <c r="C43" i="14" s="1"/>
  <c r="D11" i="14"/>
  <c r="D43" i="14" s="1"/>
  <c r="E11" i="14"/>
  <c r="E43" i="14" s="1"/>
  <c r="F11" i="14"/>
  <c r="G11" i="14"/>
  <c r="G43" i="14" s="1"/>
  <c r="H11" i="14"/>
  <c r="H43" i="14" s="1"/>
  <c r="I11" i="14"/>
  <c r="I43" i="14" s="1"/>
  <c r="J11" i="14"/>
  <c r="J43" i="14" s="1"/>
  <c r="K11" i="14"/>
  <c r="K43" i="14" s="1"/>
  <c r="L11" i="14"/>
  <c r="L43" i="14" s="1"/>
  <c r="M11" i="14"/>
  <c r="M43" i="14" s="1"/>
  <c r="N11" i="14"/>
  <c r="O11" i="14"/>
  <c r="O43" i="14" s="1"/>
  <c r="P11" i="14"/>
  <c r="Q11" i="14"/>
  <c r="Q43" i="14" s="1"/>
  <c r="R11" i="14"/>
  <c r="R43" i="14" s="1"/>
  <c r="C12" i="14"/>
  <c r="D12" i="14"/>
  <c r="E12" i="14"/>
  <c r="F12" i="14"/>
  <c r="G12" i="14"/>
  <c r="H12" i="14"/>
  <c r="I12" i="14"/>
  <c r="J12" i="14"/>
  <c r="K12" i="14"/>
  <c r="L12" i="14"/>
  <c r="M12" i="14"/>
  <c r="N12" i="14"/>
  <c r="O12" i="14"/>
  <c r="P12" i="14"/>
  <c r="Q12" i="14"/>
  <c r="R12" i="14"/>
  <c r="B12" i="14"/>
  <c r="B11" i="14"/>
  <c r="B43" i="14" s="1"/>
  <c r="C38" i="7"/>
  <c r="D38" i="7"/>
  <c r="E38" i="7"/>
  <c r="F38" i="7"/>
  <c r="G38" i="7"/>
  <c r="H38" i="7"/>
  <c r="I38" i="7"/>
  <c r="J38" i="7"/>
  <c r="K38" i="7"/>
  <c r="L38" i="7"/>
  <c r="M38" i="7"/>
  <c r="N38" i="7"/>
  <c r="O38" i="7"/>
  <c r="P38" i="7"/>
  <c r="C39" i="7"/>
  <c r="C46" i="7" s="1"/>
  <c r="D39" i="7"/>
  <c r="D46" i="7" s="1"/>
  <c r="E39" i="7"/>
  <c r="E46" i="7" s="1"/>
  <c r="F39" i="7"/>
  <c r="F46" i="7" s="1"/>
  <c r="G39" i="7"/>
  <c r="G46" i="7" s="1"/>
  <c r="H39" i="7"/>
  <c r="H46" i="7" s="1"/>
  <c r="I39" i="7"/>
  <c r="I46" i="7" s="1"/>
  <c r="J39" i="7"/>
  <c r="J46" i="7" s="1"/>
  <c r="K39" i="7"/>
  <c r="K46" i="7" s="1"/>
  <c r="L39" i="7"/>
  <c r="L46" i="7" s="1"/>
  <c r="M39" i="7"/>
  <c r="M46" i="7" s="1"/>
  <c r="N39" i="7"/>
  <c r="N46" i="7" s="1"/>
  <c r="O39" i="7"/>
  <c r="O46" i="7" s="1"/>
  <c r="P39" i="7"/>
  <c r="P46" i="7" s="1"/>
  <c r="B39" i="7"/>
  <c r="B46" i="7" s="1"/>
  <c r="B38" i="7"/>
  <c r="C31" i="7"/>
  <c r="D31" i="7"/>
  <c r="D45" i="7" s="1"/>
  <c r="E31" i="7"/>
  <c r="E45" i="7" s="1"/>
  <c r="F31" i="7"/>
  <c r="F45" i="7" s="1"/>
  <c r="G31" i="7"/>
  <c r="G45" i="7" s="1"/>
  <c r="H31" i="7"/>
  <c r="H45" i="7" s="1"/>
  <c r="I31" i="7"/>
  <c r="J31" i="7"/>
  <c r="J45" i="7" s="1"/>
  <c r="K31" i="7"/>
  <c r="K45" i="7" s="1"/>
  <c r="L31" i="7"/>
  <c r="L45" i="7" s="1"/>
  <c r="M31" i="7"/>
  <c r="M45" i="7" s="1"/>
  <c r="N31" i="7"/>
  <c r="N45" i="7" s="1"/>
  <c r="O31" i="7"/>
  <c r="O45" i="7" s="1"/>
  <c r="P31" i="7"/>
  <c r="P45" i="7" s="1"/>
  <c r="C32" i="7"/>
  <c r="D32" i="7"/>
  <c r="E32" i="7"/>
  <c r="F32" i="7"/>
  <c r="G32" i="7"/>
  <c r="H32" i="7"/>
  <c r="I32" i="7"/>
  <c r="J32" i="7"/>
  <c r="K32" i="7"/>
  <c r="L32" i="7"/>
  <c r="M32" i="7"/>
  <c r="N32" i="7"/>
  <c r="O32" i="7"/>
  <c r="P32" i="7"/>
  <c r="B32" i="7"/>
  <c r="B31" i="7"/>
  <c r="C23" i="7"/>
  <c r="D23" i="7"/>
  <c r="E23" i="7"/>
  <c r="F23" i="7"/>
  <c r="G23" i="7"/>
  <c r="H23" i="7"/>
  <c r="I23" i="7"/>
  <c r="J23" i="7"/>
  <c r="K23" i="7"/>
  <c r="L23" i="7"/>
  <c r="M23" i="7"/>
  <c r="N23" i="7"/>
  <c r="O23" i="7"/>
  <c r="P23" i="7"/>
  <c r="C24" i="7"/>
  <c r="C44" i="7" s="1"/>
  <c r="D24" i="7"/>
  <c r="D44" i="7" s="1"/>
  <c r="E24" i="7"/>
  <c r="E44" i="7" s="1"/>
  <c r="F24" i="7"/>
  <c r="F44" i="7" s="1"/>
  <c r="G24" i="7"/>
  <c r="G44" i="7" s="1"/>
  <c r="H24" i="7"/>
  <c r="H44" i="7" s="1"/>
  <c r="I24" i="7"/>
  <c r="I44" i="7" s="1"/>
  <c r="J24" i="7"/>
  <c r="J44" i="7" s="1"/>
  <c r="K24" i="7"/>
  <c r="K44" i="7" s="1"/>
  <c r="L24" i="7"/>
  <c r="L44" i="7" s="1"/>
  <c r="M24" i="7"/>
  <c r="M44" i="7" s="1"/>
  <c r="N24" i="7"/>
  <c r="N44" i="7" s="1"/>
  <c r="O24" i="7"/>
  <c r="O44" i="7" s="1"/>
  <c r="P24" i="7"/>
  <c r="P44" i="7" s="1"/>
  <c r="B24" i="7"/>
  <c r="B44" i="7" s="1"/>
  <c r="B23" i="7"/>
  <c r="C11" i="7"/>
  <c r="C42" i="7" s="1"/>
  <c r="D11" i="7"/>
  <c r="D42" i="7" s="1"/>
  <c r="E11" i="7"/>
  <c r="E42" i="7" s="1"/>
  <c r="F11" i="7"/>
  <c r="F42" i="7" s="1"/>
  <c r="G42" i="7"/>
  <c r="H11" i="7"/>
  <c r="H42" i="7" s="1"/>
  <c r="I11" i="7"/>
  <c r="I42" i="7" s="1"/>
  <c r="J11" i="7"/>
  <c r="J42" i="7" s="1"/>
  <c r="K11" i="7"/>
  <c r="K42" i="7" s="1"/>
  <c r="L11" i="7"/>
  <c r="L42" i="7" s="1"/>
  <c r="M11" i="7"/>
  <c r="M42" i="7" s="1"/>
  <c r="N11" i="7"/>
  <c r="N42" i="7" s="1"/>
  <c r="O11" i="7"/>
  <c r="O42" i="7" s="1"/>
  <c r="P11" i="7"/>
  <c r="P42" i="7" s="1"/>
  <c r="C12" i="7"/>
  <c r="D12" i="7"/>
  <c r="E12" i="7"/>
  <c r="F12" i="7"/>
  <c r="G12" i="7"/>
  <c r="I12" i="7"/>
  <c r="J12" i="7"/>
  <c r="K12" i="7"/>
  <c r="L12" i="7"/>
  <c r="M12" i="7"/>
  <c r="N12" i="7"/>
  <c r="O12" i="7"/>
  <c r="P12" i="7"/>
  <c r="B12" i="7"/>
  <c r="B11" i="7"/>
  <c r="B42" i="7" s="1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B25" i="7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C4" i="19"/>
  <c r="C42" i="19" s="1"/>
  <c r="D4" i="19"/>
  <c r="D42" i="19" s="1"/>
  <c r="E4" i="19"/>
  <c r="E42" i="19" s="1"/>
  <c r="E49" i="19" s="1"/>
  <c r="E50" i="19" s="1"/>
  <c r="F4" i="19"/>
  <c r="F42" i="19" s="1"/>
  <c r="G4" i="19"/>
  <c r="G42" i="19" s="1"/>
  <c r="H4" i="19"/>
  <c r="I4" i="19"/>
  <c r="I42" i="19" s="1"/>
  <c r="J4" i="19"/>
  <c r="J42" i="19" s="1"/>
  <c r="K4" i="19"/>
  <c r="K42" i="19" s="1"/>
  <c r="L4" i="19"/>
  <c r="L42" i="19" s="1"/>
  <c r="M4" i="19"/>
  <c r="M42" i="19" s="1"/>
  <c r="N4" i="19"/>
  <c r="N42" i="19" s="1"/>
  <c r="N49" i="19" s="1"/>
  <c r="N50" i="19" s="1"/>
  <c r="O4" i="19"/>
  <c r="O42" i="19" s="1"/>
  <c r="P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B38" i="19"/>
  <c r="B37" i="19"/>
  <c r="B36" i="19"/>
  <c r="B31" i="19"/>
  <c r="B30" i="19"/>
  <c r="B29" i="19"/>
  <c r="B24" i="19"/>
  <c r="B23" i="19"/>
  <c r="B22" i="19"/>
  <c r="B10" i="19"/>
  <c r="B8" i="19"/>
  <c r="B3" i="19"/>
  <c r="B9" i="19"/>
  <c r="B5" i="19"/>
  <c r="B4" i="19"/>
  <c r="B42" i="19" s="1"/>
  <c r="C36" i="20"/>
  <c r="D36" i="20"/>
  <c r="E36" i="20"/>
  <c r="F36" i="20"/>
  <c r="G36" i="20"/>
  <c r="H36" i="20"/>
  <c r="I36" i="20"/>
  <c r="J36" i="20"/>
  <c r="C37" i="20"/>
  <c r="D37" i="20"/>
  <c r="E37" i="20"/>
  <c r="F37" i="20"/>
  <c r="G37" i="20"/>
  <c r="H37" i="20"/>
  <c r="I37" i="20"/>
  <c r="J37" i="20"/>
  <c r="C38" i="20"/>
  <c r="D38" i="20"/>
  <c r="E38" i="20"/>
  <c r="F38" i="20"/>
  <c r="G38" i="20"/>
  <c r="H38" i="20"/>
  <c r="I38" i="20"/>
  <c r="J38" i="20"/>
  <c r="B38" i="20"/>
  <c r="B37" i="20"/>
  <c r="B36" i="20"/>
  <c r="C29" i="20"/>
  <c r="D29" i="20"/>
  <c r="E29" i="20"/>
  <c r="F29" i="20"/>
  <c r="G29" i="20"/>
  <c r="H29" i="20"/>
  <c r="I29" i="20"/>
  <c r="J29" i="20"/>
  <c r="C30" i="20"/>
  <c r="D30" i="20"/>
  <c r="E30" i="20"/>
  <c r="F30" i="20"/>
  <c r="G30" i="20"/>
  <c r="H30" i="20"/>
  <c r="I30" i="20"/>
  <c r="J30" i="20"/>
  <c r="C31" i="20"/>
  <c r="D31" i="20"/>
  <c r="E31" i="20"/>
  <c r="F31" i="20"/>
  <c r="G31" i="20"/>
  <c r="H31" i="20"/>
  <c r="I31" i="20"/>
  <c r="J31" i="20"/>
  <c r="B31" i="20"/>
  <c r="B30" i="20"/>
  <c r="B29" i="20"/>
  <c r="C22" i="20"/>
  <c r="D22" i="20"/>
  <c r="E22" i="20"/>
  <c r="F22" i="20"/>
  <c r="G22" i="20"/>
  <c r="H22" i="20"/>
  <c r="I22" i="20"/>
  <c r="J22" i="20"/>
  <c r="C23" i="20"/>
  <c r="D23" i="20"/>
  <c r="E23" i="20"/>
  <c r="F23" i="20"/>
  <c r="G23" i="20"/>
  <c r="H23" i="20"/>
  <c r="I23" i="20"/>
  <c r="J23" i="20"/>
  <c r="C24" i="20"/>
  <c r="D24" i="20"/>
  <c r="E24" i="20"/>
  <c r="F24" i="20"/>
  <c r="G24" i="20"/>
  <c r="H24" i="20"/>
  <c r="I24" i="20"/>
  <c r="J24" i="20"/>
  <c r="B24" i="20"/>
  <c r="B23" i="20"/>
  <c r="B22" i="20"/>
  <c r="C3" i="20"/>
  <c r="D3" i="20"/>
  <c r="E3" i="20"/>
  <c r="F3" i="20"/>
  <c r="G3" i="20"/>
  <c r="H3" i="20"/>
  <c r="I3" i="20"/>
  <c r="J3" i="20"/>
  <c r="C4" i="20"/>
  <c r="D4" i="20"/>
  <c r="E4" i="20"/>
  <c r="F4" i="20"/>
  <c r="G4" i="20"/>
  <c r="H4" i="20"/>
  <c r="I4" i="20"/>
  <c r="J4" i="20"/>
  <c r="C5" i="20"/>
  <c r="C42" i="20" s="1"/>
  <c r="D5" i="20"/>
  <c r="D42" i="20" s="1"/>
  <c r="E5" i="20"/>
  <c r="E42" i="20" s="1"/>
  <c r="F5" i="20"/>
  <c r="G5" i="20"/>
  <c r="G42" i="20" s="1"/>
  <c r="H5" i="20"/>
  <c r="I5" i="20"/>
  <c r="I42" i="20" s="1"/>
  <c r="J5" i="20"/>
  <c r="J42" i="20" s="1"/>
  <c r="C8" i="20"/>
  <c r="D8" i="20"/>
  <c r="E8" i="20"/>
  <c r="F8" i="20"/>
  <c r="G8" i="20"/>
  <c r="H8" i="20"/>
  <c r="I8" i="20"/>
  <c r="J8" i="20"/>
  <c r="C9" i="20"/>
  <c r="D9" i="20"/>
  <c r="E9" i="20"/>
  <c r="F9" i="20"/>
  <c r="G9" i="20"/>
  <c r="H9" i="20"/>
  <c r="I9" i="20"/>
  <c r="J9" i="20"/>
  <c r="C10" i="20"/>
  <c r="D10" i="20"/>
  <c r="E10" i="20"/>
  <c r="F10" i="20"/>
  <c r="G10" i="20"/>
  <c r="H10" i="20"/>
  <c r="I10" i="20"/>
  <c r="J10" i="20"/>
  <c r="B10" i="20"/>
  <c r="B9" i="20"/>
  <c r="B8" i="20"/>
  <c r="B5" i="20"/>
  <c r="B4" i="20"/>
  <c r="B3" i="20"/>
  <c r="C36" i="18"/>
  <c r="D36" i="18"/>
  <c r="E36" i="18"/>
  <c r="F36" i="18"/>
  <c r="G36" i="18"/>
  <c r="H36" i="18"/>
  <c r="I36" i="18"/>
  <c r="J36" i="18"/>
  <c r="K36" i="18"/>
  <c r="L36" i="18"/>
  <c r="M36" i="18"/>
  <c r="N36" i="18"/>
  <c r="O36" i="18"/>
  <c r="P36" i="18"/>
  <c r="Q36" i="18"/>
  <c r="R36" i="18"/>
  <c r="C37" i="18"/>
  <c r="D37" i="18"/>
  <c r="E37" i="18"/>
  <c r="F37" i="18"/>
  <c r="G37" i="18"/>
  <c r="H37" i="18"/>
  <c r="I37" i="18"/>
  <c r="J37" i="18"/>
  <c r="K37" i="18"/>
  <c r="L37" i="18"/>
  <c r="M37" i="18"/>
  <c r="N37" i="18"/>
  <c r="O37" i="18"/>
  <c r="P37" i="18"/>
  <c r="Q37" i="18"/>
  <c r="R37" i="18"/>
  <c r="C38" i="18"/>
  <c r="D38" i="18"/>
  <c r="E38" i="18"/>
  <c r="F38" i="18"/>
  <c r="G38" i="18"/>
  <c r="H38" i="18"/>
  <c r="I38" i="18"/>
  <c r="J38" i="18"/>
  <c r="K38" i="18"/>
  <c r="L38" i="18"/>
  <c r="M38" i="18"/>
  <c r="N38" i="18"/>
  <c r="O38" i="18"/>
  <c r="P38" i="18"/>
  <c r="Q38" i="18"/>
  <c r="R38" i="18"/>
  <c r="C29" i="18"/>
  <c r="D29" i="18"/>
  <c r="E29" i="18"/>
  <c r="F29" i="18"/>
  <c r="G29" i="18"/>
  <c r="H29" i="18"/>
  <c r="I29" i="18"/>
  <c r="J29" i="18"/>
  <c r="K29" i="18"/>
  <c r="L29" i="18"/>
  <c r="M29" i="18"/>
  <c r="N29" i="18"/>
  <c r="O29" i="18"/>
  <c r="P29" i="18"/>
  <c r="Q29" i="18"/>
  <c r="R29" i="18"/>
  <c r="C30" i="18"/>
  <c r="D30" i="18"/>
  <c r="E30" i="18"/>
  <c r="F30" i="18"/>
  <c r="G30" i="18"/>
  <c r="H30" i="18"/>
  <c r="I30" i="18"/>
  <c r="J30" i="18"/>
  <c r="K30" i="18"/>
  <c r="L30" i="18"/>
  <c r="M30" i="18"/>
  <c r="N30" i="18"/>
  <c r="O30" i="18"/>
  <c r="P30" i="18"/>
  <c r="Q30" i="18"/>
  <c r="R30" i="18"/>
  <c r="C31" i="18"/>
  <c r="D31" i="18"/>
  <c r="E31" i="18"/>
  <c r="F31" i="18"/>
  <c r="G31" i="18"/>
  <c r="H31" i="18"/>
  <c r="I31" i="18"/>
  <c r="J31" i="18"/>
  <c r="K31" i="18"/>
  <c r="L31" i="18"/>
  <c r="M31" i="18"/>
  <c r="N31" i="18"/>
  <c r="O31" i="18"/>
  <c r="P31" i="18"/>
  <c r="Q31" i="18"/>
  <c r="R31" i="18"/>
  <c r="C22" i="18"/>
  <c r="D22" i="18"/>
  <c r="E22" i="18"/>
  <c r="F22" i="18"/>
  <c r="G22" i="18"/>
  <c r="H22" i="18"/>
  <c r="I22" i="18"/>
  <c r="J22" i="18"/>
  <c r="K22" i="18"/>
  <c r="L22" i="18"/>
  <c r="M22" i="18"/>
  <c r="N22" i="18"/>
  <c r="O22" i="18"/>
  <c r="P22" i="18"/>
  <c r="Q22" i="18"/>
  <c r="R22" i="18"/>
  <c r="C23" i="18"/>
  <c r="D23" i="18"/>
  <c r="E23" i="18"/>
  <c r="F23" i="18"/>
  <c r="G23" i="18"/>
  <c r="H23" i="18"/>
  <c r="I23" i="18"/>
  <c r="J23" i="18"/>
  <c r="K23" i="18"/>
  <c r="L23" i="18"/>
  <c r="M23" i="18"/>
  <c r="N23" i="18"/>
  <c r="O23" i="18"/>
  <c r="P23" i="18"/>
  <c r="Q23" i="18"/>
  <c r="R23" i="18"/>
  <c r="C24" i="18"/>
  <c r="D24" i="18"/>
  <c r="E24" i="18"/>
  <c r="F24" i="18"/>
  <c r="G24" i="18"/>
  <c r="H24" i="18"/>
  <c r="I24" i="18"/>
  <c r="J24" i="18"/>
  <c r="K24" i="18"/>
  <c r="L24" i="18"/>
  <c r="M24" i="18"/>
  <c r="N24" i="18"/>
  <c r="O24" i="18"/>
  <c r="P24" i="18"/>
  <c r="Q24" i="18"/>
  <c r="R24" i="18"/>
  <c r="C8" i="18"/>
  <c r="D8" i="18"/>
  <c r="E8" i="18"/>
  <c r="F8" i="18"/>
  <c r="G8" i="18"/>
  <c r="H8" i="18"/>
  <c r="I8" i="18"/>
  <c r="J8" i="18"/>
  <c r="K8" i="18"/>
  <c r="L8" i="18"/>
  <c r="M8" i="18"/>
  <c r="N8" i="18"/>
  <c r="O8" i="18"/>
  <c r="P8" i="18"/>
  <c r="Q8" i="18"/>
  <c r="R8" i="18"/>
  <c r="C9" i="18"/>
  <c r="D9" i="18"/>
  <c r="E9" i="18"/>
  <c r="F9" i="18"/>
  <c r="G9" i="18"/>
  <c r="H9" i="18"/>
  <c r="I9" i="18"/>
  <c r="J9" i="18"/>
  <c r="K9" i="18"/>
  <c r="L9" i="18"/>
  <c r="M9" i="18"/>
  <c r="N9" i="18"/>
  <c r="O9" i="18"/>
  <c r="P9" i="18"/>
  <c r="Q9" i="18"/>
  <c r="R9" i="18"/>
  <c r="C10" i="18"/>
  <c r="D10" i="18"/>
  <c r="E10" i="18"/>
  <c r="F10" i="18"/>
  <c r="G10" i="18"/>
  <c r="H10" i="18"/>
  <c r="I10" i="18"/>
  <c r="J10" i="18"/>
  <c r="K10" i="18"/>
  <c r="L10" i="18"/>
  <c r="M10" i="18"/>
  <c r="N10" i="18"/>
  <c r="O10" i="18"/>
  <c r="P10" i="18"/>
  <c r="Q10" i="18"/>
  <c r="R10" i="18"/>
  <c r="C3" i="18"/>
  <c r="D3" i="18"/>
  <c r="E3" i="18"/>
  <c r="F3" i="18"/>
  <c r="G3" i="18"/>
  <c r="H3" i="18"/>
  <c r="I3" i="18"/>
  <c r="J3" i="18"/>
  <c r="K3" i="18"/>
  <c r="L3" i="18"/>
  <c r="M3" i="18"/>
  <c r="N3" i="18"/>
  <c r="O3" i="18"/>
  <c r="P3" i="18"/>
  <c r="Q3" i="18"/>
  <c r="R3" i="18"/>
  <c r="C4" i="18"/>
  <c r="D4" i="18"/>
  <c r="E4" i="18"/>
  <c r="F4" i="18"/>
  <c r="G4" i="18"/>
  <c r="H4" i="18"/>
  <c r="I4" i="18"/>
  <c r="J4" i="18"/>
  <c r="K4" i="18"/>
  <c r="L4" i="18"/>
  <c r="M4" i="18"/>
  <c r="N4" i="18"/>
  <c r="O4" i="18"/>
  <c r="P4" i="18"/>
  <c r="Q4" i="18"/>
  <c r="R4" i="18"/>
  <c r="C5" i="18"/>
  <c r="C42" i="18" s="1"/>
  <c r="C49" i="18" s="1"/>
  <c r="C50" i="18" s="1"/>
  <c r="D5" i="18"/>
  <c r="D42" i="18" s="1"/>
  <c r="E5" i="18"/>
  <c r="E42" i="18" s="1"/>
  <c r="F5" i="18"/>
  <c r="G5" i="18"/>
  <c r="G42" i="18" s="1"/>
  <c r="H5" i="18"/>
  <c r="I5" i="18"/>
  <c r="I42" i="18" s="1"/>
  <c r="I49" i="18" s="1"/>
  <c r="I50" i="18" s="1"/>
  <c r="J5" i="18"/>
  <c r="J42" i="18" s="1"/>
  <c r="J49" i="18" s="1"/>
  <c r="J50" i="18" s="1"/>
  <c r="K5" i="18"/>
  <c r="K42" i="18" s="1"/>
  <c r="K49" i="18" s="1"/>
  <c r="K50" i="18" s="1"/>
  <c r="L5" i="18"/>
  <c r="L42" i="18" s="1"/>
  <c r="L49" i="18" s="1"/>
  <c r="L50" i="18" s="1"/>
  <c r="M5" i="18"/>
  <c r="M42" i="18" s="1"/>
  <c r="N5" i="18"/>
  <c r="O5" i="18"/>
  <c r="O42" i="18" s="1"/>
  <c r="P5" i="18"/>
  <c r="P42" i="18" s="1"/>
  <c r="Q5" i="18"/>
  <c r="Q42" i="18" s="1"/>
  <c r="Q49" i="18" s="1"/>
  <c r="Q50" i="18" s="1"/>
  <c r="R5" i="18"/>
  <c r="R42" i="18" s="1"/>
  <c r="R49" i="18" s="1"/>
  <c r="R50" i="18" s="1"/>
  <c r="B38" i="18"/>
  <c r="B37" i="18"/>
  <c r="B36" i="18"/>
  <c r="B31" i="18"/>
  <c r="B30" i="18"/>
  <c r="B29" i="18"/>
  <c r="B24" i="18"/>
  <c r="B23" i="18"/>
  <c r="B22" i="18"/>
  <c r="B10" i="18"/>
  <c r="B9" i="18"/>
  <c r="B8" i="18"/>
  <c r="B5" i="18"/>
  <c r="B42" i="18" s="1"/>
  <c r="B4" i="18"/>
  <c r="B3" i="18"/>
  <c r="C3" i="17"/>
  <c r="D3" i="17"/>
  <c r="E3" i="17"/>
  <c r="F3" i="17"/>
  <c r="G3" i="17"/>
  <c r="H3" i="17"/>
  <c r="I3" i="17"/>
  <c r="J3" i="17"/>
  <c r="K3" i="17"/>
  <c r="L3" i="17"/>
  <c r="M3" i="17"/>
  <c r="N3" i="17"/>
  <c r="O3" i="17"/>
  <c r="P3" i="17"/>
  <c r="Q3" i="17"/>
  <c r="R3" i="17"/>
  <c r="C4" i="17"/>
  <c r="C42" i="17" s="1"/>
  <c r="C49" i="17" s="1"/>
  <c r="C50" i="17" s="1"/>
  <c r="D4" i="17"/>
  <c r="E4" i="17"/>
  <c r="E42" i="17" s="1"/>
  <c r="F4" i="17"/>
  <c r="G4" i="17"/>
  <c r="G42" i="17" s="1"/>
  <c r="H4" i="17"/>
  <c r="H42" i="17" s="1"/>
  <c r="H49" i="17" s="1"/>
  <c r="H50" i="17" s="1"/>
  <c r="I4" i="17"/>
  <c r="I42" i="17" s="1"/>
  <c r="I49" i="17" s="1"/>
  <c r="I50" i="17" s="1"/>
  <c r="J4" i="17"/>
  <c r="J42" i="17" s="1"/>
  <c r="J49" i="17" s="1"/>
  <c r="J50" i="17" s="1"/>
  <c r="K4" i="17"/>
  <c r="K42" i="17" s="1"/>
  <c r="L4" i="17"/>
  <c r="M4" i="17"/>
  <c r="M42" i="17" s="1"/>
  <c r="N4" i="17"/>
  <c r="N42" i="17" s="1"/>
  <c r="O4" i="17"/>
  <c r="O42" i="17" s="1"/>
  <c r="O49" i="17" s="1"/>
  <c r="O50" i="17" s="1"/>
  <c r="P4" i="17"/>
  <c r="P42" i="17" s="1"/>
  <c r="P49" i="17" s="1"/>
  <c r="P50" i="17" s="1"/>
  <c r="Q4" i="17"/>
  <c r="Q42" i="17" s="1"/>
  <c r="R4" i="17"/>
  <c r="R42" i="17" s="1"/>
  <c r="R49" i="17" s="1"/>
  <c r="R50" i="17" s="1"/>
  <c r="C5" i="17"/>
  <c r="D5" i="17"/>
  <c r="E5" i="17"/>
  <c r="F5" i="17"/>
  <c r="G5" i="17"/>
  <c r="H5" i="17"/>
  <c r="I5" i="17"/>
  <c r="J5" i="17"/>
  <c r="K5" i="17"/>
  <c r="L5" i="17"/>
  <c r="M5" i="17"/>
  <c r="N5" i="17"/>
  <c r="O5" i="17"/>
  <c r="P5" i="17"/>
  <c r="Q5" i="17"/>
  <c r="R5" i="17"/>
  <c r="C8" i="17"/>
  <c r="D8" i="17"/>
  <c r="E8" i="17"/>
  <c r="F8" i="17"/>
  <c r="G8" i="17"/>
  <c r="H8" i="17"/>
  <c r="I8" i="17"/>
  <c r="J8" i="17"/>
  <c r="K8" i="17"/>
  <c r="L8" i="17"/>
  <c r="M8" i="17"/>
  <c r="N8" i="17"/>
  <c r="O8" i="17"/>
  <c r="P8" i="17"/>
  <c r="Q8" i="17"/>
  <c r="R8" i="17"/>
  <c r="C9" i="17"/>
  <c r="D9" i="17"/>
  <c r="E9" i="17"/>
  <c r="F9" i="17"/>
  <c r="G9" i="17"/>
  <c r="H9" i="17"/>
  <c r="I9" i="17"/>
  <c r="J9" i="17"/>
  <c r="K9" i="17"/>
  <c r="L9" i="17"/>
  <c r="M9" i="17"/>
  <c r="N9" i="17"/>
  <c r="O9" i="17"/>
  <c r="P9" i="17"/>
  <c r="Q9" i="17"/>
  <c r="R9" i="17"/>
  <c r="C10" i="17"/>
  <c r="D10" i="17"/>
  <c r="E10" i="17"/>
  <c r="F10" i="17"/>
  <c r="G10" i="17"/>
  <c r="H10" i="17"/>
  <c r="I10" i="17"/>
  <c r="J10" i="17"/>
  <c r="K10" i="17"/>
  <c r="L10" i="17"/>
  <c r="M10" i="17"/>
  <c r="N10" i="17"/>
  <c r="O10" i="17"/>
  <c r="P10" i="17"/>
  <c r="Q10" i="17"/>
  <c r="R10" i="17"/>
  <c r="C22" i="17"/>
  <c r="D22" i="17"/>
  <c r="E22" i="17"/>
  <c r="F22" i="17"/>
  <c r="G22" i="17"/>
  <c r="H22" i="17"/>
  <c r="I22" i="17"/>
  <c r="J22" i="17"/>
  <c r="K22" i="17"/>
  <c r="L22" i="17"/>
  <c r="M22" i="17"/>
  <c r="N22" i="17"/>
  <c r="O22" i="17"/>
  <c r="P22" i="17"/>
  <c r="Q22" i="17"/>
  <c r="R22" i="17"/>
  <c r="C23" i="17"/>
  <c r="D23" i="17"/>
  <c r="E23" i="17"/>
  <c r="F23" i="17"/>
  <c r="G23" i="17"/>
  <c r="H23" i="17"/>
  <c r="I23" i="17"/>
  <c r="J23" i="17"/>
  <c r="K23" i="17"/>
  <c r="L23" i="17"/>
  <c r="M23" i="17"/>
  <c r="N23" i="17"/>
  <c r="O23" i="17"/>
  <c r="P23" i="17"/>
  <c r="Q23" i="17"/>
  <c r="R23" i="17"/>
  <c r="C24" i="17"/>
  <c r="D24" i="17"/>
  <c r="E24" i="17"/>
  <c r="F24" i="17"/>
  <c r="G24" i="17"/>
  <c r="H24" i="17"/>
  <c r="I24" i="17"/>
  <c r="J24" i="17"/>
  <c r="K24" i="17"/>
  <c r="L24" i="17"/>
  <c r="M24" i="17"/>
  <c r="N24" i="17"/>
  <c r="O24" i="17"/>
  <c r="P24" i="17"/>
  <c r="Q24" i="17"/>
  <c r="R24" i="17"/>
  <c r="C29" i="17"/>
  <c r="D29" i="17"/>
  <c r="E29" i="17"/>
  <c r="F29" i="17"/>
  <c r="G29" i="17"/>
  <c r="H29" i="17"/>
  <c r="I29" i="17"/>
  <c r="J29" i="17"/>
  <c r="K29" i="17"/>
  <c r="L29" i="17"/>
  <c r="M29" i="17"/>
  <c r="N29" i="17"/>
  <c r="O29" i="17"/>
  <c r="P29" i="17"/>
  <c r="Q29" i="17"/>
  <c r="R29" i="17"/>
  <c r="C30" i="17"/>
  <c r="D30" i="17"/>
  <c r="E30" i="17"/>
  <c r="F30" i="17"/>
  <c r="G30" i="17"/>
  <c r="H30" i="17"/>
  <c r="I30" i="17"/>
  <c r="J30" i="17"/>
  <c r="K30" i="17"/>
  <c r="L30" i="17"/>
  <c r="M30" i="17"/>
  <c r="N30" i="17"/>
  <c r="O30" i="17"/>
  <c r="P30" i="17"/>
  <c r="Q30" i="17"/>
  <c r="R30" i="17"/>
  <c r="C31" i="17"/>
  <c r="D31" i="17"/>
  <c r="E31" i="17"/>
  <c r="F31" i="17"/>
  <c r="G31" i="17"/>
  <c r="H31" i="17"/>
  <c r="I31" i="17"/>
  <c r="J31" i="17"/>
  <c r="K31" i="17"/>
  <c r="L31" i="17"/>
  <c r="M31" i="17"/>
  <c r="N31" i="17"/>
  <c r="O31" i="17"/>
  <c r="P31" i="17"/>
  <c r="Q31" i="17"/>
  <c r="R31" i="17"/>
  <c r="C36" i="17"/>
  <c r="D36" i="17"/>
  <c r="E36" i="17"/>
  <c r="F36" i="17"/>
  <c r="G36" i="17"/>
  <c r="H36" i="17"/>
  <c r="I36" i="17"/>
  <c r="J36" i="17"/>
  <c r="K36" i="17"/>
  <c r="L36" i="17"/>
  <c r="M36" i="17"/>
  <c r="N36" i="17"/>
  <c r="O36" i="17"/>
  <c r="P36" i="17"/>
  <c r="Q36" i="17"/>
  <c r="R36" i="17"/>
  <c r="C37" i="17"/>
  <c r="D37" i="17"/>
  <c r="E37" i="17"/>
  <c r="F37" i="17"/>
  <c r="G37" i="17"/>
  <c r="H37" i="17"/>
  <c r="I37" i="17"/>
  <c r="J37" i="17"/>
  <c r="K37" i="17"/>
  <c r="L37" i="17"/>
  <c r="M37" i="17"/>
  <c r="N37" i="17"/>
  <c r="O37" i="17"/>
  <c r="P37" i="17"/>
  <c r="Q37" i="17"/>
  <c r="R37" i="17"/>
  <c r="C38" i="17"/>
  <c r="D38" i="17"/>
  <c r="E38" i="17"/>
  <c r="F38" i="17"/>
  <c r="G38" i="17"/>
  <c r="H38" i="17"/>
  <c r="I38" i="17"/>
  <c r="J38" i="17"/>
  <c r="K38" i="17"/>
  <c r="L38" i="17"/>
  <c r="M38" i="17"/>
  <c r="N38" i="17"/>
  <c r="O38" i="17"/>
  <c r="P38" i="17"/>
  <c r="Q38" i="17"/>
  <c r="R38" i="17"/>
  <c r="B38" i="17"/>
  <c r="B37" i="17"/>
  <c r="B36" i="17"/>
  <c r="B31" i="17"/>
  <c r="B23" i="17"/>
  <c r="B22" i="17"/>
  <c r="B10" i="17"/>
  <c r="B9" i="17"/>
  <c r="B8" i="17"/>
  <c r="B5" i="17"/>
  <c r="B4" i="17"/>
  <c r="B42" i="17" s="1"/>
  <c r="B3" i="17"/>
  <c r="C3" i="15"/>
  <c r="D3" i="15"/>
  <c r="E3" i="15"/>
  <c r="F3" i="15"/>
  <c r="G3" i="15"/>
  <c r="H3" i="15"/>
  <c r="I3" i="15"/>
  <c r="J3" i="15"/>
  <c r="K3" i="15"/>
  <c r="L3" i="15"/>
  <c r="M3" i="15"/>
  <c r="N3" i="15"/>
  <c r="O3" i="15"/>
  <c r="P3" i="15"/>
  <c r="Q3" i="15"/>
  <c r="R3" i="15"/>
  <c r="C4" i="15"/>
  <c r="C43" i="15" s="1"/>
  <c r="D4" i="15"/>
  <c r="D43" i="15" s="1"/>
  <c r="E4" i="15"/>
  <c r="E43" i="15" s="1"/>
  <c r="F4" i="15"/>
  <c r="F43" i="15" s="1"/>
  <c r="G4" i="15"/>
  <c r="G43" i="15" s="1"/>
  <c r="G50" i="15" s="1"/>
  <c r="G51" i="15" s="1"/>
  <c r="H4" i="15"/>
  <c r="I4" i="15"/>
  <c r="I43" i="15" s="1"/>
  <c r="J4" i="15"/>
  <c r="K4" i="15"/>
  <c r="K43" i="15" s="1"/>
  <c r="L4" i="15"/>
  <c r="L43" i="15" s="1"/>
  <c r="M4" i="15"/>
  <c r="M43" i="15" s="1"/>
  <c r="M50" i="15" s="1"/>
  <c r="M51" i="15" s="1"/>
  <c r="N4" i="15"/>
  <c r="N43" i="15" s="1"/>
  <c r="O4" i="15"/>
  <c r="O43" i="15" s="1"/>
  <c r="P4" i="15"/>
  <c r="Q4" i="15"/>
  <c r="Q43" i="15" s="1"/>
  <c r="R4" i="15"/>
  <c r="R43" i="15" s="1"/>
  <c r="C5" i="15"/>
  <c r="D5" i="15"/>
  <c r="E5" i="15"/>
  <c r="F5" i="15"/>
  <c r="G5" i="15"/>
  <c r="H5" i="15"/>
  <c r="I5" i="15"/>
  <c r="J5" i="15"/>
  <c r="K5" i="15"/>
  <c r="L5" i="15"/>
  <c r="M5" i="15"/>
  <c r="N5" i="15"/>
  <c r="O5" i="15"/>
  <c r="P5" i="15"/>
  <c r="Q5" i="15"/>
  <c r="R5" i="15"/>
  <c r="C8" i="15"/>
  <c r="D8" i="15"/>
  <c r="E8" i="15"/>
  <c r="F8" i="15"/>
  <c r="G8" i="15"/>
  <c r="H8" i="15"/>
  <c r="I8" i="15"/>
  <c r="J8" i="15"/>
  <c r="K8" i="15"/>
  <c r="L8" i="15"/>
  <c r="M8" i="15"/>
  <c r="N8" i="15"/>
  <c r="O8" i="15"/>
  <c r="P8" i="15"/>
  <c r="Q8" i="15"/>
  <c r="R8" i="15"/>
  <c r="C9" i="15"/>
  <c r="D9" i="15"/>
  <c r="E9" i="15"/>
  <c r="F9" i="15"/>
  <c r="G9" i="15"/>
  <c r="H9" i="15"/>
  <c r="I9" i="15"/>
  <c r="J9" i="15"/>
  <c r="K9" i="15"/>
  <c r="L9" i="15"/>
  <c r="M9" i="15"/>
  <c r="N9" i="15"/>
  <c r="O9" i="15"/>
  <c r="P9" i="15"/>
  <c r="Q9" i="15"/>
  <c r="R9" i="15"/>
  <c r="C10" i="15"/>
  <c r="D10" i="15"/>
  <c r="E10" i="15"/>
  <c r="F10" i="15"/>
  <c r="G10" i="15"/>
  <c r="H10" i="15"/>
  <c r="I10" i="15"/>
  <c r="J10" i="15"/>
  <c r="K10" i="15"/>
  <c r="L10" i="15"/>
  <c r="M10" i="15"/>
  <c r="N10" i="15"/>
  <c r="O10" i="15"/>
  <c r="P10" i="15"/>
  <c r="Q10" i="15"/>
  <c r="R10" i="15"/>
  <c r="C22" i="15"/>
  <c r="D22" i="15"/>
  <c r="E22" i="15"/>
  <c r="F22" i="15"/>
  <c r="G22" i="15"/>
  <c r="H22" i="15"/>
  <c r="I22" i="15"/>
  <c r="J22" i="15"/>
  <c r="K22" i="15"/>
  <c r="L22" i="15"/>
  <c r="M22" i="15"/>
  <c r="N22" i="15"/>
  <c r="O22" i="15"/>
  <c r="P22" i="15"/>
  <c r="Q22" i="15"/>
  <c r="R22" i="15"/>
  <c r="C23" i="15"/>
  <c r="D23" i="15"/>
  <c r="E23" i="15"/>
  <c r="F23" i="15"/>
  <c r="G23" i="15"/>
  <c r="H23" i="15"/>
  <c r="I23" i="15"/>
  <c r="J23" i="15"/>
  <c r="K23" i="15"/>
  <c r="L23" i="15"/>
  <c r="M23" i="15"/>
  <c r="N23" i="15"/>
  <c r="O23" i="15"/>
  <c r="P23" i="15"/>
  <c r="Q23" i="15"/>
  <c r="R23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Q24" i="15"/>
  <c r="R24" i="15"/>
  <c r="C29" i="15"/>
  <c r="D29" i="15"/>
  <c r="E29" i="15"/>
  <c r="F29" i="15"/>
  <c r="G29" i="15"/>
  <c r="H29" i="15"/>
  <c r="I29" i="15"/>
  <c r="J29" i="15"/>
  <c r="K29" i="15"/>
  <c r="L29" i="15"/>
  <c r="M29" i="15"/>
  <c r="N29" i="15"/>
  <c r="O29" i="15"/>
  <c r="P29" i="15"/>
  <c r="Q29" i="15"/>
  <c r="R29" i="15"/>
  <c r="C30" i="15"/>
  <c r="D30" i="15"/>
  <c r="E30" i="15"/>
  <c r="F30" i="15"/>
  <c r="G30" i="15"/>
  <c r="H30" i="15"/>
  <c r="I30" i="15"/>
  <c r="J30" i="15"/>
  <c r="K30" i="15"/>
  <c r="L30" i="15"/>
  <c r="M30" i="15"/>
  <c r="N30" i="15"/>
  <c r="O30" i="15"/>
  <c r="P30" i="15"/>
  <c r="Q30" i="15"/>
  <c r="R30" i="15"/>
  <c r="C31" i="15"/>
  <c r="D31" i="15"/>
  <c r="E31" i="15"/>
  <c r="F31" i="15"/>
  <c r="G31" i="15"/>
  <c r="H31" i="15"/>
  <c r="I31" i="15"/>
  <c r="J31" i="15"/>
  <c r="K31" i="15"/>
  <c r="L31" i="15"/>
  <c r="M31" i="15"/>
  <c r="N31" i="15"/>
  <c r="O31" i="15"/>
  <c r="P31" i="15"/>
  <c r="Q31" i="15"/>
  <c r="R31" i="15"/>
  <c r="C36" i="15"/>
  <c r="D36" i="15"/>
  <c r="E36" i="15"/>
  <c r="F36" i="15"/>
  <c r="G36" i="15"/>
  <c r="H36" i="15"/>
  <c r="I36" i="15"/>
  <c r="J36" i="15"/>
  <c r="K36" i="15"/>
  <c r="L36" i="15"/>
  <c r="M36" i="15"/>
  <c r="N36" i="15"/>
  <c r="O36" i="15"/>
  <c r="P36" i="15"/>
  <c r="Q36" i="15"/>
  <c r="R36" i="15"/>
  <c r="C37" i="15"/>
  <c r="D37" i="15"/>
  <c r="E37" i="15"/>
  <c r="F37" i="15"/>
  <c r="G37" i="15"/>
  <c r="H37" i="15"/>
  <c r="I37" i="15"/>
  <c r="J37" i="15"/>
  <c r="K37" i="15"/>
  <c r="L37" i="15"/>
  <c r="M37" i="15"/>
  <c r="N37" i="15"/>
  <c r="O37" i="15"/>
  <c r="P37" i="15"/>
  <c r="Q37" i="15"/>
  <c r="R37" i="15"/>
  <c r="C38" i="15"/>
  <c r="D38" i="15"/>
  <c r="E38" i="15"/>
  <c r="F38" i="15"/>
  <c r="G38" i="15"/>
  <c r="H38" i="15"/>
  <c r="I38" i="15"/>
  <c r="J38" i="15"/>
  <c r="K38" i="15"/>
  <c r="L38" i="15"/>
  <c r="M38" i="15"/>
  <c r="N38" i="15"/>
  <c r="O38" i="15"/>
  <c r="P38" i="15"/>
  <c r="Q38" i="15"/>
  <c r="R38" i="15"/>
  <c r="B38" i="15"/>
  <c r="B37" i="15"/>
  <c r="B36" i="15"/>
  <c r="B31" i="15"/>
  <c r="B30" i="15"/>
  <c r="B29" i="15"/>
  <c r="B24" i="15"/>
  <c r="B23" i="15"/>
  <c r="B22" i="15"/>
  <c r="B10" i="15"/>
  <c r="B9" i="15"/>
  <c r="B8" i="15"/>
  <c r="B5" i="15"/>
  <c r="B4" i="15"/>
  <c r="B43" i="15" s="1"/>
  <c r="B3" i="15"/>
  <c r="C36" i="14"/>
  <c r="D36" i="14"/>
  <c r="E36" i="14"/>
  <c r="F36" i="14"/>
  <c r="G36" i="14"/>
  <c r="H36" i="14"/>
  <c r="I36" i="14"/>
  <c r="J36" i="14"/>
  <c r="K36" i="14"/>
  <c r="L36" i="14"/>
  <c r="M36" i="14"/>
  <c r="N36" i="14"/>
  <c r="O36" i="14"/>
  <c r="P36" i="14"/>
  <c r="Q36" i="14"/>
  <c r="R36" i="14"/>
  <c r="C37" i="14"/>
  <c r="D37" i="14"/>
  <c r="E37" i="14"/>
  <c r="F37" i="14"/>
  <c r="G37" i="14"/>
  <c r="H37" i="14"/>
  <c r="I37" i="14"/>
  <c r="J37" i="14"/>
  <c r="K37" i="14"/>
  <c r="L37" i="14"/>
  <c r="M37" i="14"/>
  <c r="N37" i="14"/>
  <c r="O37" i="14"/>
  <c r="P37" i="14"/>
  <c r="Q37" i="14"/>
  <c r="R37" i="14"/>
  <c r="C38" i="14"/>
  <c r="D38" i="14"/>
  <c r="E38" i="14"/>
  <c r="F38" i="14"/>
  <c r="G38" i="14"/>
  <c r="H38" i="14"/>
  <c r="I38" i="14"/>
  <c r="J38" i="14"/>
  <c r="K38" i="14"/>
  <c r="L38" i="14"/>
  <c r="M38" i="14"/>
  <c r="N38" i="14"/>
  <c r="O38" i="14"/>
  <c r="P38" i="14"/>
  <c r="Q38" i="14"/>
  <c r="R38" i="14"/>
  <c r="C29" i="14"/>
  <c r="D29" i="14"/>
  <c r="E29" i="14"/>
  <c r="F29" i="14"/>
  <c r="G29" i="14"/>
  <c r="H29" i="14"/>
  <c r="I29" i="14"/>
  <c r="J29" i="14"/>
  <c r="K29" i="14"/>
  <c r="L29" i="14"/>
  <c r="M29" i="14"/>
  <c r="N29" i="14"/>
  <c r="O29" i="14"/>
  <c r="P29" i="14"/>
  <c r="Q29" i="14"/>
  <c r="R29" i="14"/>
  <c r="C30" i="14"/>
  <c r="D30" i="14"/>
  <c r="E30" i="14"/>
  <c r="F30" i="14"/>
  <c r="G30" i="14"/>
  <c r="H30" i="14"/>
  <c r="I30" i="14"/>
  <c r="J30" i="14"/>
  <c r="K30" i="14"/>
  <c r="L30" i="14"/>
  <c r="M30" i="14"/>
  <c r="N30" i="14"/>
  <c r="O30" i="14"/>
  <c r="P30" i="14"/>
  <c r="Q30" i="14"/>
  <c r="R30" i="14"/>
  <c r="C31" i="14"/>
  <c r="D31" i="14"/>
  <c r="E31" i="14"/>
  <c r="F31" i="14"/>
  <c r="G31" i="14"/>
  <c r="H31" i="14"/>
  <c r="I31" i="14"/>
  <c r="J31" i="14"/>
  <c r="K31" i="14"/>
  <c r="L31" i="14"/>
  <c r="M31" i="14"/>
  <c r="N31" i="14"/>
  <c r="O31" i="14"/>
  <c r="P31" i="14"/>
  <c r="Q31" i="14"/>
  <c r="R31" i="14"/>
  <c r="B29" i="14"/>
  <c r="C22" i="14"/>
  <c r="D22" i="14"/>
  <c r="E22" i="14"/>
  <c r="F22" i="14"/>
  <c r="G22" i="14"/>
  <c r="H22" i="14"/>
  <c r="I22" i="14"/>
  <c r="J22" i="14"/>
  <c r="K22" i="14"/>
  <c r="L22" i="14"/>
  <c r="M22" i="14"/>
  <c r="N22" i="14"/>
  <c r="O22" i="14"/>
  <c r="P22" i="14"/>
  <c r="Q22" i="14"/>
  <c r="R22" i="14"/>
  <c r="C23" i="14"/>
  <c r="D23" i="14"/>
  <c r="E23" i="14"/>
  <c r="F23" i="14"/>
  <c r="G23" i="14"/>
  <c r="H23" i="14"/>
  <c r="I23" i="14"/>
  <c r="J23" i="14"/>
  <c r="K23" i="14"/>
  <c r="L23" i="14"/>
  <c r="M23" i="14"/>
  <c r="N23" i="14"/>
  <c r="O23" i="14"/>
  <c r="P23" i="14"/>
  <c r="Q23" i="14"/>
  <c r="R23" i="14"/>
  <c r="C24" i="14"/>
  <c r="D24" i="14"/>
  <c r="E24" i="14"/>
  <c r="F24" i="14"/>
  <c r="G24" i="14"/>
  <c r="H24" i="14"/>
  <c r="I24" i="14"/>
  <c r="J24" i="14"/>
  <c r="K24" i="14"/>
  <c r="L24" i="14"/>
  <c r="M24" i="14"/>
  <c r="N24" i="14"/>
  <c r="O24" i="14"/>
  <c r="P24" i="14"/>
  <c r="Q24" i="14"/>
  <c r="R24" i="14"/>
  <c r="C8" i="14"/>
  <c r="D8" i="14"/>
  <c r="E8" i="14"/>
  <c r="F8" i="14"/>
  <c r="G8" i="14"/>
  <c r="H8" i="14"/>
  <c r="I8" i="14"/>
  <c r="J8" i="14"/>
  <c r="K8" i="14"/>
  <c r="L8" i="14"/>
  <c r="M8" i="14"/>
  <c r="N8" i="14"/>
  <c r="O8" i="14"/>
  <c r="P8" i="14"/>
  <c r="Q8" i="14"/>
  <c r="R8" i="14"/>
  <c r="C9" i="14"/>
  <c r="D9" i="14"/>
  <c r="E9" i="14"/>
  <c r="F9" i="14"/>
  <c r="G9" i="14"/>
  <c r="H9" i="14"/>
  <c r="I9" i="14"/>
  <c r="J9" i="14"/>
  <c r="K9" i="14"/>
  <c r="L9" i="14"/>
  <c r="M9" i="14"/>
  <c r="N9" i="14"/>
  <c r="O9" i="14"/>
  <c r="P9" i="14"/>
  <c r="Q9" i="14"/>
  <c r="R9" i="14"/>
  <c r="C10" i="14"/>
  <c r="D10" i="14"/>
  <c r="E10" i="14"/>
  <c r="F10" i="14"/>
  <c r="G10" i="14"/>
  <c r="H10" i="14"/>
  <c r="I10" i="14"/>
  <c r="J10" i="14"/>
  <c r="K10" i="14"/>
  <c r="L10" i="14"/>
  <c r="M10" i="14"/>
  <c r="N10" i="14"/>
  <c r="O10" i="14"/>
  <c r="P10" i="14"/>
  <c r="Q10" i="14"/>
  <c r="R10" i="14"/>
  <c r="B8" i="14"/>
  <c r="C3" i="14"/>
  <c r="D3" i="14"/>
  <c r="E3" i="14"/>
  <c r="F3" i="14"/>
  <c r="G3" i="14"/>
  <c r="H3" i="14"/>
  <c r="I3" i="14"/>
  <c r="J3" i="14"/>
  <c r="K3" i="14"/>
  <c r="L3" i="14"/>
  <c r="M3" i="14"/>
  <c r="N3" i="14"/>
  <c r="O3" i="14"/>
  <c r="P3" i="14"/>
  <c r="Q3" i="14"/>
  <c r="R3" i="14"/>
  <c r="C4" i="14"/>
  <c r="C42" i="14" s="1"/>
  <c r="D4" i="14"/>
  <c r="D42" i="14" s="1"/>
  <c r="E4" i="14"/>
  <c r="E42" i="14" s="1"/>
  <c r="F4" i="14"/>
  <c r="F42" i="14" s="1"/>
  <c r="G4" i="14"/>
  <c r="G42" i="14" s="1"/>
  <c r="H4" i="14"/>
  <c r="H42" i="14" s="1"/>
  <c r="I4" i="14"/>
  <c r="I42" i="14" s="1"/>
  <c r="J4" i="14"/>
  <c r="J42" i="14" s="1"/>
  <c r="K4" i="14"/>
  <c r="K42" i="14" s="1"/>
  <c r="L4" i="14"/>
  <c r="L42" i="14" s="1"/>
  <c r="M4" i="14"/>
  <c r="N4" i="14"/>
  <c r="N42" i="14" s="1"/>
  <c r="O4" i="14"/>
  <c r="P4" i="14"/>
  <c r="P42" i="14" s="1"/>
  <c r="Q4" i="14"/>
  <c r="Q42" i="14" s="1"/>
  <c r="R4" i="14"/>
  <c r="R42" i="14" s="1"/>
  <c r="C5" i="14"/>
  <c r="D5" i="14"/>
  <c r="E5" i="14"/>
  <c r="F5" i="14"/>
  <c r="G5" i="14"/>
  <c r="H5" i="14"/>
  <c r="I5" i="14"/>
  <c r="J5" i="14"/>
  <c r="K5" i="14"/>
  <c r="L5" i="14"/>
  <c r="M5" i="14"/>
  <c r="N5" i="14"/>
  <c r="O5" i="14"/>
  <c r="P5" i="14"/>
  <c r="Q5" i="14"/>
  <c r="R5" i="14"/>
  <c r="B37" i="14"/>
  <c r="B38" i="14"/>
  <c r="B36" i="14"/>
  <c r="B31" i="14"/>
  <c r="B30" i="14"/>
  <c r="B24" i="14"/>
  <c r="B23" i="14"/>
  <c r="B22" i="14"/>
  <c r="B10" i="14"/>
  <c r="B9" i="14"/>
  <c r="B5" i="14"/>
  <c r="B4" i="14"/>
  <c r="B42" i="14" s="1"/>
  <c r="B3" i="14"/>
  <c r="E5" i="21"/>
  <c r="E19" i="21"/>
  <c r="J49" i="19" l="1"/>
  <c r="J50" i="19" s="1"/>
  <c r="I49" i="16"/>
  <c r="I50" i="16" s="1"/>
  <c r="AP49" i="16"/>
  <c r="AP50" i="16" s="1"/>
  <c r="L50" i="15"/>
  <c r="L51" i="15" s="1"/>
  <c r="G49" i="18"/>
  <c r="G50" i="18" s="1"/>
  <c r="X49" i="16"/>
  <c r="X50" i="16" s="1"/>
  <c r="B18" i="7"/>
  <c r="Q50" i="15"/>
  <c r="Q51" i="15" s="1"/>
  <c r="AJ49" i="16"/>
  <c r="AJ50" i="16" s="1"/>
  <c r="H49" i="20"/>
  <c r="H50" i="20" s="1"/>
  <c r="N50" i="15"/>
  <c r="N51" i="15" s="1"/>
  <c r="AO49" i="16"/>
  <c r="AO50" i="16" s="1"/>
  <c r="I49" i="19"/>
  <c r="I50" i="19" s="1"/>
  <c r="G49" i="17"/>
  <c r="G50" i="17" s="1"/>
  <c r="BC49" i="16"/>
  <c r="BC50" i="16" s="1"/>
  <c r="AM49" i="16"/>
  <c r="AM50" i="16" s="1"/>
  <c r="W49" i="16"/>
  <c r="W50" i="16" s="1"/>
  <c r="G49" i="16"/>
  <c r="G50" i="16" s="1"/>
  <c r="I17" i="7"/>
  <c r="K49" i="19"/>
  <c r="K50" i="19" s="1"/>
  <c r="BE49" i="16"/>
  <c r="BE50" i="16" s="1"/>
  <c r="AN49" i="16"/>
  <c r="AN50" i="16" s="1"/>
  <c r="E49" i="18"/>
  <c r="E50" i="18" s="1"/>
  <c r="G49" i="19"/>
  <c r="G50" i="19" s="1"/>
  <c r="J49" i="20"/>
  <c r="J50" i="20" s="1"/>
  <c r="BB49" i="16"/>
  <c r="BB50" i="16" s="1"/>
  <c r="AL49" i="16"/>
  <c r="AL50" i="16" s="1"/>
  <c r="V49" i="16"/>
  <c r="V50" i="16" s="1"/>
  <c r="C17" i="7"/>
  <c r="Z49" i="16"/>
  <c r="Z50" i="16" s="1"/>
  <c r="P49" i="19"/>
  <c r="P50" i="19" s="1"/>
  <c r="Y49" i="16"/>
  <c r="Y50" i="16" s="1"/>
  <c r="BD49" i="16"/>
  <c r="BD50" i="16" s="1"/>
  <c r="E49" i="17"/>
  <c r="E50" i="17" s="1"/>
  <c r="D49" i="18"/>
  <c r="D50" i="18" s="1"/>
  <c r="F49" i="19"/>
  <c r="F50" i="19" s="1"/>
  <c r="I49" i="20"/>
  <c r="I50" i="20" s="1"/>
  <c r="O18" i="7"/>
  <c r="T49" i="16"/>
  <c r="T50" i="16" s="1"/>
  <c r="H49" i="19"/>
  <c r="H50" i="19" s="1"/>
  <c r="F49" i="17"/>
  <c r="F50" i="17" s="1"/>
  <c r="E49" i="16"/>
  <c r="E50" i="16" s="1"/>
  <c r="L49" i="17"/>
  <c r="L50" i="17" s="1"/>
  <c r="Q49" i="17"/>
  <c r="Q50" i="17" s="1"/>
  <c r="P49" i="18"/>
  <c r="P50" i="18" s="1"/>
  <c r="E49" i="20"/>
  <c r="E50" i="20" s="1"/>
  <c r="D49" i="17"/>
  <c r="D50" i="17" s="1"/>
  <c r="B49" i="24"/>
  <c r="B50" i="24" s="1"/>
  <c r="C49" i="19"/>
  <c r="C50" i="19" s="1"/>
  <c r="Q49" i="16"/>
  <c r="Q50" i="16" s="1"/>
  <c r="B15" i="7"/>
  <c r="N49" i="18"/>
  <c r="N50" i="18" s="1"/>
  <c r="D49" i="20"/>
  <c r="D50" i="20" s="1"/>
  <c r="R49" i="14"/>
  <c r="R50" i="14" s="1"/>
  <c r="C49" i="20"/>
  <c r="C50" i="20" s="1"/>
  <c r="O49" i="16"/>
  <c r="O50" i="16" s="1"/>
  <c r="H49" i="18"/>
  <c r="H50" i="18" s="1"/>
  <c r="N49" i="17"/>
  <c r="N50" i="17" s="1"/>
  <c r="M49" i="18"/>
  <c r="M50" i="18" s="1"/>
  <c r="O49" i="19"/>
  <c r="O50" i="19" s="1"/>
  <c r="E50" i="15"/>
  <c r="E51" i="15" s="1"/>
  <c r="BJ49" i="16"/>
  <c r="BJ50" i="16" s="1"/>
  <c r="AT49" i="16"/>
  <c r="AT50" i="16" s="1"/>
  <c r="AD49" i="16"/>
  <c r="AD50" i="16" s="1"/>
  <c r="E17" i="7"/>
  <c r="F49" i="18"/>
  <c r="F50" i="18" s="1"/>
  <c r="BN49" i="16"/>
  <c r="BN50" i="16" s="1"/>
  <c r="D49" i="19"/>
  <c r="D50" i="19" s="1"/>
  <c r="M49" i="17"/>
  <c r="M50" i="17" s="1"/>
  <c r="M49" i="19"/>
  <c r="M50" i="19" s="1"/>
  <c r="C50" i="15"/>
  <c r="C51" i="15" s="1"/>
  <c r="BH49" i="16"/>
  <c r="BH50" i="16" s="1"/>
  <c r="AR49" i="16"/>
  <c r="AR50" i="16" s="1"/>
  <c r="AB49" i="16"/>
  <c r="AB50" i="16" s="1"/>
  <c r="I18" i="7"/>
  <c r="F15" i="7"/>
  <c r="BF49" i="16"/>
  <c r="BF50" i="16" s="1"/>
  <c r="G49" i="20"/>
  <c r="G50" i="20" s="1"/>
  <c r="F49" i="20"/>
  <c r="F50" i="20" s="1"/>
  <c r="O49" i="18"/>
  <c r="O50" i="18" s="1"/>
  <c r="B49" i="17"/>
  <c r="B50" i="17" s="1"/>
  <c r="D50" i="15"/>
  <c r="D51" i="15" s="1"/>
  <c r="M15" i="7"/>
  <c r="K49" i="17"/>
  <c r="K50" i="17" s="1"/>
  <c r="L49" i="19"/>
  <c r="L50" i="19" s="1"/>
  <c r="BG49" i="16"/>
  <c r="BG50" i="16" s="1"/>
  <c r="AQ49" i="16"/>
  <c r="AQ50" i="16" s="1"/>
  <c r="AA49" i="16"/>
  <c r="AA50" i="16" s="1"/>
  <c r="AZ49" i="16"/>
  <c r="AZ50" i="16" s="1"/>
  <c r="E15" i="7"/>
  <c r="B17" i="7"/>
  <c r="P18" i="7"/>
  <c r="C15" i="7"/>
  <c r="P17" i="7"/>
  <c r="N18" i="7"/>
  <c r="P16" i="7"/>
  <c r="P43" i="7" s="1"/>
  <c r="O17" i="7"/>
  <c r="M18" i="7"/>
  <c r="O16" i="7"/>
  <c r="O43" i="7" s="1"/>
  <c r="N17" i="7"/>
  <c r="L18" i="7"/>
  <c r="B16" i="7"/>
  <c r="B43" i="7" s="1"/>
  <c r="N16" i="7"/>
  <c r="N43" i="7" s="1"/>
  <c r="M17" i="7"/>
  <c r="K18" i="7"/>
  <c r="P15" i="7"/>
  <c r="M16" i="7"/>
  <c r="M43" i="7" s="1"/>
  <c r="L17" i="7"/>
  <c r="J18" i="7"/>
  <c r="O15" i="7"/>
  <c r="L16" i="7"/>
  <c r="L43" i="7" s="1"/>
  <c r="K17" i="7"/>
  <c r="H18" i="7"/>
  <c r="N15" i="7"/>
  <c r="K16" i="7"/>
  <c r="K43" i="7" s="1"/>
  <c r="J17" i="7"/>
  <c r="G18" i="7"/>
  <c r="L15" i="7"/>
  <c r="I16" i="7"/>
  <c r="I43" i="7" s="1"/>
  <c r="H17" i="7"/>
  <c r="E18" i="7"/>
  <c r="K15" i="7"/>
  <c r="G16" i="7"/>
  <c r="G43" i="7" s="1"/>
  <c r="G17" i="7"/>
  <c r="D18" i="7"/>
  <c r="J15" i="7"/>
  <c r="F16" i="7"/>
  <c r="F43" i="7" s="1"/>
  <c r="F17" i="7"/>
  <c r="C18" i="7"/>
  <c r="H15" i="7"/>
  <c r="E16" i="7"/>
  <c r="E43" i="7" s="1"/>
  <c r="I15" i="7"/>
  <c r="G15" i="7"/>
  <c r="D16" i="7"/>
  <c r="D43" i="7" s="1"/>
  <c r="D17" i="7"/>
  <c r="B42" i="20"/>
  <c r="B49" i="20" s="1"/>
  <c r="B50" i="20" s="1"/>
  <c r="H16" i="7"/>
  <c r="H43" i="7" s="1"/>
  <c r="B49" i="19"/>
  <c r="B50" i="19" s="1"/>
  <c r="B49" i="18"/>
  <c r="B50" i="18" s="1"/>
  <c r="M49" i="16"/>
  <c r="M50" i="16" s="1"/>
  <c r="H49" i="16"/>
  <c r="H50" i="16" s="1"/>
  <c r="R49" i="16"/>
  <c r="R50" i="16" s="1"/>
  <c r="P50" i="15"/>
  <c r="P51" i="15" s="1"/>
  <c r="H50" i="15"/>
  <c r="H51" i="15" s="1"/>
  <c r="K50" i="15"/>
  <c r="K51" i="15" s="1"/>
  <c r="R50" i="15"/>
  <c r="R51" i="15" s="1"/>
  <c r="J50" i="15"/>
  <c r="J51" i="15" s="1"/>
  <c r="I50" i="15"/>
  <c r="I51" i="15" s="1"/>
  <c r="N49" i="16"/>
  <c r="N50" i="16" s="1"/>
  <c r="P49" i="16"/>
  <c r="P50" i="16" s="1"/>
  <c r="D49" i="16"/>
  <c r="D50" i="16" s="1"/>
  <c r="L49" i="16"/>
  <c r="L50" i="16" s="1"/>
  <c r="C49" i="16"/>
  <c r="C50" i="16" s="1"/>
  <c r="K49" i="16"/>
  <c r="K50" i="16" s="1"/>
  <c r="J49" i="16"/>
  <c r="J50" i="16" s="1"/>
  <c r="B49" i="16"/>
  <c r="B50" i="16" s="1"/>
  <c r="B50" i="15"/>
  <c r="B51" i="15" s="1"/>
  <c r="J49" i="14"/>
  <c r="J50" i="14" s="1"/>
  <c r="I49" i="14"/>
  <c r="I50" i="14" s="1"/>
  <c r="N49" i="14"/>
  <c r="N50" i="14" s="1"/>
  <c r="E49" i="14"/>
  <c r="E50" i="14" s="1"/>
  <c r="K49" i="14"/>
  <c r="K50" i="14" s="1"/>
  <c r="H49" i="14"/>
  <c r="H50" i="14" s="1"/>
  <c r="F49" i="14"/>
  <c r="F50" i="14" s="1"/>
  <c r="G49" i="14"/>
  <c r="G50" i="14" s="1"/>
  <c r="M49" i="14"/>
  <c r="M50" i="14" s="1"/>
  <c r="B49" i="14"/>
  <c r="B50" i="14" s="1"/>
  <c r="P49" i="14"/>
  <c r="P50" i="14" s="1"/>
  <c r="D49" i="14"/>
  <c r="D50" i="14" s="1"/>
  <c r="O49" i="14"/>
  <c r="O50" i="14" s="1"/>
  <c r="C49" i="14"/>
  <c r="C50" i="14" s="1"/>
  <c r="L49" i="14"/>
  <c r="L50" i="14" s="1"/>
  <c r="C35" i="7"/>
  <c r="D35" i="7"/>
  <c r="E35" i="7"/>
  <c r="F35" i="7"/>
  <c r="G35" i="7"/>
  <c r="H35" i="7"/>
  <c r="I35" i="7"/>
  <c r="J35" i="7"/>
  <c r="K35" i="7"/>
  <c r="L35" i="7"/>
  <c r="M35" i="7"/>
  <c r="N35" i="7"/>
  <c r="O35" i="7"/>
  <c r="P35" i="7"/>
  <c r="C36" i="7"/>
  <c r="D36" i="7"/>
  <c r="E36" i="7"/>
  <c r="F36" i="7"/>
  <c r="G36" i="7"/>
  <c r="H36" i="7"/>
  <c r="I36" i="7"/>
  <c r="K36" i="7"/>
  <c r="L36" i="7"/>
  <c r="M36" i="7"/>
  <c r="N36" i="7"/>
  <c r="O36" i="7"/>
  <c r="P36" i="7"/>
  <c r="C37" i="7"/>
  <c r="D37" i="7"/>
  <c r="E37" i="7"/>
  <c r="F37" i="7"/>
  <c r="G37" i="7"/>
  <c r="H37" i="7"/>
  <c r="I37" i="7"/>
  <c r="J37" i="7"/>
  <c r="K37" i="7"/>
  <c r="L37" i="7"/>
  <c r="M37" i="7"/>
  <c r="N37" i="7"/>
  <c r="O37" i="7"/>
  <c r="P37" i="7"/>
  <c r="B37" i="7"/>
  <c r="B36" i="7"/>
  <c r="B35" i="7"/>
  <c r="C28" i="7"/>
  <c r="D28" i="7"/>
  <c r="E28" i="7"/>
  <c r="F28" i="7"/>
  <c r="G28" i="7"/>
  <c r="H28" i="7"/>
  <c r="I28" i="7"/>
  <c r="J28" i="7"/>
  <c r="K28" i="7"/>
  <c r="L28" i="7"/>
  <c r="M28" i="7"/>
  <c r="N28" i="7"/>
  <c r="O28" i="7"/>
  <c r="P28" i="7"/>
  <c r="C29" i="7"/>
  <c r="D29" i="7"/>
  <c r="E29" i="7"/>
  <c r="F29" i="7"/>
  <c r="G29" i="7"/>
  <c r="H29" i="7"/>
  <c r="I29" i="7"/>
  <c r="J29" i="7"/>
  <c r="K29" i="7"/>
  <c r="L29" i="7"/>
  <c r="M29" i="7"/>
  <c r="N29" i="7"/>
  <c r="O29" i="7"/>
  <c r="P29" i="7"/>
  <c r="C30" i="7"/>
  <c r="D30" i="7"/>
  <c r="E30" i="7"/>
  <c r="F30" i="7"/>
  <c r="G30" i="7"/>
  <c r="H30" i="7"/>
  <c r="I30" i="7"/>
  <c r="J30" i="7"/>
  <c r="K30" i="7"/>
  <c r="L30" i="7"/>
  <c r="M30" i="7"/>
  <c r="N30" i="7"/>
  <c r="O30" i="7"/>
  <c r="P30" i="7"/>
  <c r="B30" i="7"/>
  <c r="B29" i="7"/>
  <c r="B28" i="7"/>
  <c r="B22" i="7"/>
  <c r="B21" i="7"/>
  <c r="D8" i="7"/>
  <c r="E8" i="7"/>
  <c r="F8" i="7"/>
  <c r="G8" i="7"/>
  <c r="H8" i="7"/>
  <c r="I8" i="7"/>
  <c r="J8" i="7"/>
  <c r="K8" i="7"/>
  <c r="L8" i="7"/>
  <c r="M8" i="7"/>
  <c r="N8" i="7"/>
  <c r="O8" i="7"/>
  <c r="P8" i="7"/>
  <c r="C9" i="7"/>
  <c r="D9" i="7"/>
  <c r="E9" i="7"/>
  <c r="F9" i="7"/>
  <c r="G9" i="7"/>
  <c r="H9" i="7"/>
  <c r="I9" i="7"/>
  <c r="J9" i="7"/>
  <c r="K9" i="7"/>
  <c r="L9" i="7"/>
  <c r="M9" i="7"/>
  <c r="N9" i="7"/>
  <c r="O9" i="7"/>
  <c r="P9" i="7"/>
  <c r="C10" i="7"/>
  <c r="D10" i="7"/>
  <c r="F10" i="7"/>
  <c r="G10" i="7"/>
  <c r="H10" i="7"/>
  <c r="I10" i="7"/>
  <c r="J10" i="7"/>
  <c r="K10" i="7"/>
  <c r="L10" i="7"/>
  <c r="M10" i="7"/>
  <c r="N10" i="7"/>
  <c r="O10" i="7"/>
  <c r="P10" i="7"/>
  <c r="B10" i="7"/>
  <c r="B9" i="7"/>
  <c r="B8" i="7"/>
  <c r="C3" i="7"/>
  <c r="D3" i="7"/>
  <c r="E3" i="7"/>
  <c r="F3" i="7"/>
  <c r="G3" i="7"/>
  <c r="H3" i="7"/>
  <c r="I3" i="7"/>
  <c r="J3" i="7"/>
  <c r="K3" i="7"/>
  <c r="L3" i="7"/>
  <c r="M3" i="7"/>
  <c r="N3" i="7"/>
  <c r="O3" i="7"/>
  <c r="P3" i="7"/>
  <c r="C4" i="7"/>
  <c r="D4" i="7"/>
  <c r="E4" i="7"/>
  <c r="F4" i="7"/>
  <c r="G4" i="7"/>
  <c r="H4" i="7"/>
  <c r="I4" i="7"/>
  <c r="J4" i="7"/>
  <c r="K4" i="7"/>
  <c r="L4" i="7"/>
  <c r="M4" i="7"/>
  <c r="N4" i="7"/>
  <c r="O4" i="7"/>
  <c r="P4" i="7"/>
  <c r="C5" i="7"/>
  <c r="D5" i="7"/>
  <c r="F5" i="7"/>
  <c r="G5" i="7"/>
  <c r="H5" i="7"/>
  <c r="I5" i="7"/>
  <c r="J5" i="7"/>
  <c r="K5" i="7"/>
  <c r="L5" i="7"/>
  <c r="M5" i="7"/>
  <c r="N5" i="7"/>
  <c r="O5" i="7"/>
  <c r="P5" i="7"/>
  <c r="B5" i="7"/>
  <c r="B4" i="7"/>
  <c r="B3" i="7"/>
  <c r="B41" i="7" s="1"/>
  <c r="B48" i="7" s="1"/>
  <c r="B49" i="7" s="1"/>
  <c r="C22" i="7"/>
  <c r="D22" i="7"/>
  <c r="E22" i="7"/>
  <c r="F22" i="7"/>
  <c r="G22" i="7"/>
  <c r="H22" i="7"/>
  <c r="I22" i="7"/>
  <c r="J22" i="7"/>
  <c r="K22" i="7"/>
  <c r="L22" i="7"/>
  <c r="M22" i="7"/>
  <c r="N22" i="7"/>
  <c r="O22" i="7"/>
  <c r="P22" i="7"/>
  <c r="C21" i="7"/>
  <c r="D21" i="7"/>
  <c r="E21" i="7"/>
  <c r="F21" i="7"/>
  <c r="G21" i="7"/>
  <c r="H21" i="7"/>
  <c r="I21" i="7"/>
  <c r="J21" i="7"/>
  <c r="K21" i="7"/>
  <c r="L21" i="7"/>
  <c r="M21" i="7"/>
  <c r="N21" i="7"/>
  <c r="O21" i="7"/>
  <c r="P21" i="7"/>
  <c r="F12" i="21"/>
  <c r="H12" i="21"/>
  <c r="F13" i="21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F186" i="22"/>
  <c r="C186" i="22" s="1"/>
  <c r="F194" i="22"/>
  <c r="C194" i="22" s="1"/>
  <c r="F190" i="22"/>
  <c r="C190" i="22" s="1"/>
  <c r="F185" i="22"/>
  <c r="C185" i="22" s="1"/>
  <c r="F181" i="22"/>
  <c r="C181" i="22" s="1"/>
  <c r="F197" i="22"/>
  <c r="C197" i="22" s="1"/>
  <c r="F193" i="22"/>
  <c r="C193" i="22" s="1"/>
  <c r="F189" i="22"/>
  <c r="C189" i="22" s="1"/>
  <c r="F184" i="22"/>
  <c r="C184" i="22" s="1"/>
  <c r="F180" i="22"/>
  <c r="C180" i="22" s="1"/>
  <c r="F196" i="22"/>
  <c r="C196" i="22" s="1"/>
  <c r="F192" i="22"/>
  <c r="C192" i="22" s="1"/>
  <c r="F188" i="22"/>
  <c r="C188" i="22" s="1"/>
  <c r="F183" i="22"/>
  <c r="C183" i="22" s="1"/>
  <c r="F179" i="22"/>
  <c r="C179" i="22" s="1"/>
  <c r="F195" i="22"/>
  <c r="C195" i="22" s="1"/>
  <c r="F191" i="22"/>
  <c r="C191" i="22" s="1"/>
  <c r="F187" i="22"/>
  <c r="C187" i="22" s="1"/>
  <c r="F182" i="22"/>
  <c r="C182" i="22" s="1"/>
  <c r="F178" i="22"/>
  <c r="C178" i="22" s="1"/>
  <c r="E12" i="21"/>
  <c r="E13" i="21"/>
  <c r="P41" i="7" l="1"/>
  <c r="P48" i="7" s="1"/>
  <c r="P49" i="7" s="1"/>
  <c r="H41" i="7"/>
  <c r="H48" i="7" s="1"/>
  <c r="H49" i="7" s="1"/>
  <c r="G41" i="7"/>
  <c r="G48" i="7" s="1"/>
  <c r="G49" i="7" s="1"/>
  <c r="F41" i="7"/>
  <c r="F48" i="7" s="1"/>
  <c r="F49" i="7" s="1"/>
  <c r="I41" i="7"/>
  <c r="I48" i="7" s="1"/>
  <c r="I49" i="7" s="1"/>
  <c r="E41" i="7"/>
  <c r="E48" i="7" s="1"/>
  <c r="E49" i="7" s="1"/>
  <c r="O41" i="7"/>
  <c r="O48" i="7" s="1"/>
  <c r="O49" i="7" s="1"/>
  <c r="C41" i="7"/>
  <c r="C48" i="7" s="1"/>
  <c r="C49" i="7" s="1"/>
  <c r="N41" i="7"/>
  <c r="N48" i="7" s="1"/>
  <c r="N49" i="7" s="1"/>
  <c r="M41" i="7"/>
  <c r="M48" i="7" s="1"/>
  <c r="M49" i="7" s="1"/>
  <c r="D41" i="7"/>
  <c r="D48" i="7" s="1"/>
  <c r="D49" i="7" s="1"/>
  <c r="L41" i="7"/>
  <c r="L48" i="7" s="1"/>
  <c r="L49" i="7" s="1"/>
  <c r="K41" i="7"/>
  <c r="K48" i="7" s="1"/>
  <c r="K49" i="7" s="1"/>
  <c r="J41" i="7"/>
  <c r="J48" i="7" s="1"/>
  <c r="J49" i="7" s="1"/>
  <c r="F17" i="21"/>
  <c r="F15" i="21"/>
  <c r="F10" i="21"/>
  <c r="F8" i="21"/>
  <c r="F6" i="21"/>
  <c r="F3" i="21"/>
  <c r="E17" i="21"/>
  <c r="E3" i="21"/>
  <c r="E10" i="21"/>
  <c r="E20" i="21"/>
  <c r="E6" i="21"/>
  <c r="E8" i="21"/>
  <c r="E15" i="21"/>
  <c r="G20" i="21" l="1"/>
  <c r="I20" i="21" s="1"/>
  <c r="G10" i="21"/>
  <c r="I10" i="21" s="1"/>
  <c r="N197" i="22"/>
  <c r="N196" i="22"/>
  <c r="N195" i="22"/>
  <c r="G17" i="21" s="1"/>
  <c r="I17" i="21" s="1"/>
  <c r="N194" i="22"/>
  <c r="N193" i="22"/>
  <c r="N192" i="22"/>
  <c r="N191" i="22"/>
  <c r="G15" i="21" s="1"/>
  <c r="I15" i="21" s="1"/>
  <c r="N190" i="22"/>
  <c r="N189" i="22"/>
  <c r="N188" i="22"/>
  <c r="N187" i="22"/>
  <c r="G19" i="21" s="1"/>
  <c r="I19" i="21" s="1"/>
  <c r="N186" i="22"/>
  <c r="N185" i="22"/>
  <c r="N184" i="22"/>
  <c r="N183" i="22"/>
  <c r="N182" i="22"/>
  <c r="G13" i="21" s="1"/>
  <c r="I13" i="21" s="1"/>
  <c r="N181" i="22"/>
  <c r="N180" i="22"/>
  <c r="N179" i="22"/>
  <c r="N178" i="22"/>
  <c r="N177" i="22"/>
  <c r="F177" i="22"/>
  <c r="C177" i="22" s="1"/>
  <c r="D177" i="22"/>
  <c r="N176" i="22"/>
  <c r="F176" i="22"/>
  <c r="C176" i="22" s="1"/>
  <c r="D176" i="22"/>
  <c r="N175" i="22"/>
  <c r="F175" i="22"/>
  <c r="C175" i="22" s="1"/>
  <c r="D175" i="22"/>
  <c r="N174" i="22"/>
  <c r="F174" i="22"/>
  <c r="C174" i="22" s="1"/>
  <c r="D174" i="22"/>
  <c r="N173" i="22"/>
  <c r="F173" i="22"/>
  <c r="C173" i="22" s="1"/>
  <c r="D173" i="22"/>
  <c r="N172" i="22"/>
  <c r="F172" i="22"/>
  <c r="C172" i="22" s="1"/>
  <c r="D172" i="22"/>
  <c r="N171" i="22"/>
  <c r="F171" i="22"/>
  <c r="C171" i="22" s="1"/>
  <c r="D171" i="22"/>
  <c r="N170" i="22"/>
  <c r="D170" i="22"/>
  <c r="C170" i="22"/>
  <c r="N169" i="22"/>
  <c r="F169" i="22"/>
  <c r="C169" i="22" s="1"/>
  <c r="D169" i="22"/>
  <c r="N168" i="22"/>
  <c r="F168" i="22"/>
  <c r="C168" i="22" s="1"/>
  <c r="D168" i="22"/>
  <c r="N167" i="22"/>
  <c r="F167" i="22"/>
  <c r="C167" i="22" s="1"/>
  <c r="D167" i="22"/>
  <c r="N166" i="22"/>
  <c r="F166" i="22"/>
  <c r="C166" i="22" s="1"/>
  <c r="D166" i="22"/>
  <c r="N165" i="22"/>
  <c r="F165" i="22"/>
  <c r="C165" i="22" s="1"/>
  <c r="D165" i="22"/>
  <c r="N164" i="22"/>
  <c r="F164" i="22"/>
  <c r="C164" i="22" s="1"/>
  <c r="D164" i="22"/>
  <c r="N163" i="22"/>
  <c r="F163" i="22"/>
  <c r="C163" i="22" s="1"/>
  <c r="D163" i="22"/>
  <c r="N162" i="22"/>
  <c r="F162" i="22"/>
  <c r="C162" i="22" s="1"/>
  <c r="D162" i="22"/>
  <c r="N161" i="22"/>
  <c r="F161" i="22"/>
  <c r="C161" i="22" s="1"/>
  <c r="D161" i="22"/>
  <c r="N160" i="22"/>
  <c r="F160" i="22"/>
  <c r="C160" i="22" s="1"/>
  <c r="D160" i="22"/>
  <c r="N159" i="22"/>
  <c r="F159" i="22"/>
  <c r="C159" i="22" s="1"/>
  <c r="D159" i="22"/>
  <c r="N158" i="22"/>
  <c r="F158" i="22"/>
  <c r="C158" i="22" s="1"/>
  <c r="D158" i="22"/>
  <c r="N157" i="22"/>
  <c r="F157" i="22"/>
  <c r="C157" i="22" s="1"/>
  <c r="D157" i="22"/>
  <c r="N156" i="22"/>
  <c r="F156" i="22"/>
  <c r="C156" i="22" s="1"/>
  <c r="D156" i="22"/>
  <c r="N155" i="22"/>
  <c r="F155" i="22"/>
  <c r="C155" i="22" s="1"/>
  <c r="D155" i="22"/>
  <c r="N154" i="22"/>
  <c r="F154" i="22"/>
  <c r="C154" i="22" s="1"/>
  <c r="D154" i="22"/>
  <c r="N153" i="22"/>
  <c r="F153" i="22"/>
  <c r="C153" i="22" s="1"/>
  <c r="D153" i="22"/>
  <c r="N152" i="22"/>
  <c r="F152" i="22"/>
  <c r="C152" i="22" s="1"/>
  <c r="D152" i="22"/>
  <c r="N151" i="22"/>
  <c r="F151" i="22"/>
  <c r="C151" i="22" s="1"/>
  <c r="D151" i="22"/>
  <c r="N150" i="22"/>
  <c r="F150" i="22"/>
  <c r="C150" i="22" s="1"/>
  <c r="D150" i="22"/>
  <c r="N149" i="22"/>
  <c r="F149" i="22"/>
  <c r="C149" i="22" s="1"/>
  <c r="D149" i="22"/>
  <c r="D148" i="22"/>
  <c r="C148" i="22"/>
  <c r="N147" i="22"/>
  <c r="F147" i="22"/>
  <c r="C147" i="22" s="1"/>
  <c r="D147" i="22"/>
  <c r="N146" i="22"/>
  <c r="D146" i="22"/>
  <c r="C146" i="22"/>
  <c r="N145" i="22"/>
  <c r="F145" i="22"/>
  <c r="C145" i="22" s="1"/>
  <c r="D145" i="22"/>
  <c r="N144" i="22"/>
  <c r="F144" i="22"/>
  <c r="C144" i="22" s="1"/>
  <c r="D144" i="22"/>
  <c r="N143" i="22"/>
  <c r="F143" i="22"/>
  <c r="C143" i="22" s="1"/>
  <c r="D143" i="22"/>
  <c r="N142" i="22"/>
  <c r="F142" i="22"/>
  <c r="C142" i="22" s="1"/>
  <c r="D142" i="22"/>
  <c r="N141" i="22"/>
  <c r="F141" i="22"/>
  <c r="C141" i="22" s="1"/>
  <c r="D141" i="22"/>
  <c r="N140" i="22"/>
  <c r="F140" i="22"/>
  <c r="C140" i="22" s="1"/>
  <c r="D140" i="22"/>
  <c r="N139" i="22"/>
  <c r="F139" i="22"/>
  <c r="C139" i="22" s="1"/>
  <c r="D139" i="22"/>
  <c r="N138" i="22"/>
  <c r="F138" i="22"/>
  <c r="C138" i="22" s="1"/>
  <c r="D138" i="22"/>
  <c r="N137" i="22"/>
  <c r="F137" i="22"/>
  <c r="C137" i="22" s="1"/>
  <c r="D137" i="22"/>
  <c r="N136" i="22"/>
  <c r="F136" i="22"/>
  <c r="C136" i="22" s="1"/>
  <c r="D136" i="22"/>
  <c r="N135" i="22"/>
  <c r="F135" i="22"/>
  <c r="C135" i="22" s="1"/>
  <c r="D135" i="22"/>
  <c r="N134" i="22"/>
  <c r="F134" i="22"/>
  <c r="C134" i="22" s="1"/>
  <c r="D134" i="22"/>
  <c r="N133" i="22"/>
  <c r="F133" i="22"/>
  <c r="C133" i="22" s="1"/>
  <c r="D133" i="22"/>
  <c r="N132" i="22"/>
  <c r="F132" i="22"/>
  <c r="C132" i="22" s="1"/>
  <c r="D132" i="22"/>
  <c r="N131" i="22"/>
  <c r="F131" i="22"/>
  <c r="C131" i="22" s="1"/>
  <c r="D131" i="22"/>
  <c r="N130" i="22"/>
  <c r="F130" i="22"/>
  <c r="C130" i="22" s="1"/>
  <c r="D130" i="22"/>
  <c r="N129" i="22"/>
  <c r="F129" i="22"/>
  <c r="C129" i="22" s="1"/>
  <c r="D129" i="22"/>
  <c r="N128" i="22"/>
  <c r="F128" i="22"/>
  <c r="C128" i="22" s="1"/>
  <c r="D128" i="22"/>
  <c r="N127" i="22"/>
  <c r="F127" i="22"/>
  <c r="C127" i="22" s="1"/>
  <c r="D127" i="22"/>
  <c r="N126" i="22"/>
  <c r="F126" i="22"/>
  <c r="C126" i="22" s="1"/>
  <c r="D126" i="22"/>
  <c r="N125" i="22"/>
  <c r="F125" i="22"/>
  <c r="C125" i="22" s="1"/>
  <c r="D125" i="22"/>
  <c r="N124" i="22"/>
  <c r="F124" i="22"/>
  <c r="C124" i="22" s="1"/>
  <c r="D124" i="22"/>
  <c r="N123" i="22"/>
  <c r="F123" i="22"/>
  <c r="C123" i="22" s="1"/>
  <c r="D123" i="22"/>
  <c r="N122" i="22"/>
  <c r="F122" i="22"/>
  <c r="C122" i="22" s="1"/>
  <c r="D122" i="22"/>
  <c r="N121" i="22"/>
  <c r="F121" i="22"/>
  <c r="C121" i="22" s="1"/>
  <c r="D121" i="22"/>
  <c r="N120" i="22"/>
  <c r="F120" i="22"/>
  <c r="C120" i="22" s="1"/>
  <c r="D120" i="22"/>
  <c r="N119" i="22"/>
  <c r="G8" i="21" s="1"/>
  <c r="I8" i="21" s="1"/>
  <c r="F119" i="22"/>
  <c r="C119" i="22" s="1"/>
  <c r="D119" i="22"/>
  <c r="N118" i="22"/>
  <c r="F118" i="22"/>
  <c r="C118" i="22" s="1"/>
  <c r="D118" i="22"/>
  <c r="N117" i="22"/>
  <c r="F117" i="22"/>
  <c r="C117" i="22" s="1"/>
  <c r="D117" i="22"/>
  <c r="N116" i="22"/>
  <c r="F116" i="22"/>
  <c r="C116" i="22" s="1"/>
  <c r="D116" i="22"/>
  <c r="N115" i="22"/>
  <c r="F115" i="22"/>
  <c r="C115" i="22" s="1"/>
  <c r="D115" i="22"/>
  <c r="N114" i="22"/>
  <c r="F114" i="22"/>
  <c r="C114" i="22" s="1"/>
  <c r="D114" i="22"/>
  <c r="N113" i="22"/>
  <c r="F113" i="22"/>
  <c r="C113" i="22" s="1"/>
  <c r="D113" i="22"/>
  <c r="N112" i="22"/>
  <c r="F112" i="22"/>
  <c r="C112" i="22" s="1"/>
  <c r="D112" i="22"/>
  <c r="N111" i="22"/>
  <c r="F111" i="22"/>
  <c r="C111" i="22" s="1"/>
  <c r="D111" i="22"/>
  <c r="N110" i="22"/>
  <c r="F110" i="22"/>
  <c r="C110" i="22" s="1"/>
  <c r="D110" i="22"/>
  <c r="N109" i="22"/>
  <c r="F109" i="22"/>
  <c r="C109" i="22" s="1"/>
  <c r="D109" i="22"/>
  <c r="N108" i="22"/>
  <c r="F108" i="22"/>
  <c r="C108" i="22" s="1"/>
  <c r="D108" i="22"/>
  <c r="N107" i="22"/>
  <c r="F107" i="22"/>
  <c r="C107" i="22" s="1"/>
  <c r="D107" i="22"/>
  <c r="N106" i="22"/>
  <c r="F106" i="22"/>
  <c r="C106" i="22" s="1"/>
  <c r="D106" i="22"/>
  <c r="N105" i="22"/>
  <c r="F105" i="22"/>
  <c r="C105" i="22" s="1"/>
  <c r="D105" i="22"/>
  <c r="N104" i="22"/>
  <c r="F104" i="22"/>
  <c r="C104" i="22" s="1"/>
  <c r="D104" i="22"/>
  <c r="N103" i="22"/>
  <c r="F103" i="22"/>
  <c r="C103" i="22" s="1"/>
  <c r="D103" i="22"/>
  <c r="N102" i="22"/>
  <c r="F102" i="22"/>
  <c r="C102" i="22" s="1"/>
  <c r="D102" i="22"/>
  <c r="N101" i="22"/>
  <c r="F101" i="22"/>
  <c r="C101" i="22" s="1"/>
  <c r="D101" i="22"/>
  <c r="N100" i="22"/>
  <c r="F100" i="22"/>
  <c r="C100" i="22" s="1"/>
  <c r="D100" i="22"/>
  <c r="N99" i="22"/>
  <c r="F99" i="22"/>
  <c r="C99" i="22" s="1"/>
  <c r="D99" i="22"/>
  <c r="N98" i="22"/>
  <c r="F98" i="22"/>
  <c r="C98" i="22" s="1"/>
  <c r="D98" i="22"/>
  <c r="N97" i="22"/>
  <c r="F97" i="22"/>
  <c r="C97" i="22" s="1"/>
  <c r="D97" i="22"/>
  <c r="N96" i="22"/>
  <c r="F96" i="22"/>
  <c r="C96" i="22" s="1"/>
  <c r="D96" i="22"/>
  <c r="N95" i="22"/>
  <c r="F95" i="22"/>
  <c r="C95" i="22" s="1"/>
  <c r="D95" i="22"/>
  <c r="N94" i="22"/>
  <c r="F94" i="22"/>
  <c r="C94" i="22" s="1"/>
  <c r="D94" i="22"/>
  <c r="N93" i="22"/>
  <c r="F93" i="22"/>
  <c r="C93" i="22" s="1"/>
  <c r="D93" i="22"/>
  <c r="N92" i="22"/>
  <c r="F92" i="22"/>
  <c r="C92" i="22" s="1"/>
  <c r="D92" i="22"/>
  <c r="N91" i="22"/>
  <c r="F91" i="22"/>
  <c r="C91" i="22" s="1"/>
  <c r="D91" i="22"/>
  <c r="N90" i="22"/>
  <c r="F90" i="22"/>
  <c r="C90" i="22" s="1"/>
  <c r="D90" i="22"/>
  <c r="N89" i="22"/>
  <c r="F89" i="22"/>
  <c r="C89" i="22" s="1"/>
  <c r="D89" i="22"/>
  <c r="N88" i="22"/>
  <c r="F88" i="22"/>
  <c r="C88" i="22" s="1"/>
  <c r="D88" i="22"/>
  <c r="N87" i="22"/>
  <c r="F87" i="22"/>
  <c r="C87" i="22" s="1"/>
  <c r="D87" i="22"/>
  <c r="N86" i="22"/>
  <c r="F86" i="22"/>
  <c r="C86" i="22" s="1"/>
  <c r="D86" i="22"/>
  <c r="N85" i="22"/>
  <c r="F85" i="22"/>
  <c r="C85" i="22" s="1"/>
  <c r="D85" i="22"/>
  <c r="N84" i="22"/>
  <c r="F84" i="22"/>
  <c r="C84" i="22" s="1"/>
  <c r="D84" i="22"/>
  <c r="N83" i="22"/>
  <c r="F83" i="22"/>
  <c r="C83" i="22" s="1"/>
  <c r="D83" i="22"/>
  <c r="N82" i="22"/>
  <c r="F82" i="22"/>
  <c r="C82" i="22" s="1"/>
  <c r="D82" i="22"/>
  <c r="N81" i="22"/>
  <c r="F81" i="22"/>
  <c r="C81" i="22" s="1"/>
  <c r="D81" i="22"/>
  <c r="N80" i="22"/>
  <c r="F80" i="22"/>
  <c r="C80" i="22" s="1"/>
  <c r="D80" i="22"/>
  <c r="N79" i="22"/>
  <c r="F79" i="22"/>
  <c r="C79" i="22" s="1"/>
  <c r="D79" i="22"/>
  <c r="N78" i="22"/>
  <c r="F78" i="22"/>
  <c r="C78" i="22" s="1"/>
  <c r="D78" i="22"/>
  <c r="N77" i="22"/>
  <c r="F77" i="22"/>
  <c r="C77" i="22" s="1"/>
  <c r="D77" i="22"/>
  <c r="N76" i="22"/>
  <c r="F76" i="22"/>
  <c r="C76" i="22" s="1"/>
  <c r="D76" i="22"/>
  <c r="N75" i="22"/>
  <c r="F75" i="22"/>
  <c r="C75" i="22" s="1"/>
  <c r="D75" i="22"/>
  <c r="N74" i="22"/>
  <c r="F74" i="22"/>
  <c r="C74" i="22" s="1"/>
  <c r="D74" i="22"/>
  <c r="N73" i="22"/>
  <c r="F73" i="22"/>
  <c r="C73" i="22" s="1"/>
  <c r="D73" i="22"/>
  <c r="N72" i="22"/>
  <c r="F72" i="22"/>
  <c r="C72" i="22" s="1"/>
  <c r="D72" i="22"/>
  <c r="N71" i="22"/>
  <c r="F71" i="22"/>
  <c r="C71" i="22" s="1"/>
  <c r="D71" i="22"/>
  <c r="N70" i="22"/>
  <c r="F70" i="22"/>
  <c r="C70" i="22" s="1"/>
  <c r="D70" i="22"/>
  <c r="N69" i="22"/>
  <c r="F69" i="22"/>
  <c r="C69" i="22" s="1"/>
  <c r="D69" i="22"/>
  <c r="N68" i="22"/>
  <c r="F68" i="22"/>
  <c r="C68" i="22" s="1"/>
  <c r="D68" i="22"/>
  <c r="N67" i="22"/>
  <c r="F67" i="22"/>
  <c r="C67" i="22" s="1"/>
  <c r="D67" i="22"/>
  <c r="N66" i="22"/>
  <c r="F66" i="22"/>
  <c r="C66" i="22" s="1"/>
  <c r="D66" i="22"/>
  <c r="N65" i="22"/>
  <c r="F65" i="22"/>
  <c r="C65" i="22" s="1"/>
  <c r="D65" i="22"/>
  <c r="N64" i="22"/>
  <c r="F64" i="22"/>
  <c r="C64" i="22" s="1"/>
  <c r="D64" i="22"/>
  <c r="N63" i="22"/>
  <c r="F63" i="22"/>
  <c r="C63" i="22" s="1"/>
  <c r="D63" i="22"/>
  <c r="N62" i="22"/>
  <c r="F62" i="22"/>
  <c r="C62" i="22" s="1"/>
  <c r="D62" i="22"/>
  <c r="N61" i="22"/>
  <c r="F61" i="22"/>
  <c r="C61" i="22" s="1"/>
  <c r="D61" i="22"/>
  <c r="N60" i="22"/>
  <c r="F60" i="22"/>
  <c r="C60" i="22" s="1"/>
  <c r="D60" i="22"/>
  <c r="N59" i="22"/>
  <c r="F59" i="22"/>
  <c r="C59" i="22" s="1"/>
  <c r="D59" i="22"/>
  <c r="N58" i="22"/>
  <c r="F58" i="22"/>
  <c r="C58" i="22" s="1"/>
  <c r="D58" i="22"/>
  <c r="N57" i="22"/>
  <c r="F57" i="22"/>
  <c r="C57" i="22" s="1"/>
  <c r="D57" i="22"/>
  <c r="N56" i="22"/>
  <c r="F56" i="22"/>
  <c r="C56" i="22" s="1"/>
  <c r="D56" i="22"/>
  <c r="N55" i="22"/>
  <c r="F55" i="22"/>
  <c r="C55" i="22" s="1"/>
  <c r="D55" i="22"/>
  <c r="N54" i="22"/>
  <c r="F54" i="22"/>
  <c r="C54" i="22" s="1"/>
  <c r="D54" i="22"/>
  <c r="N53" i="22"/>
  <c r="F53" i="22"/>
  <c r="C53" i="22" s="1"/>
  <c r="D53" i="22"/>
  <c r="N52" i="22"/>
  <c r="F52" i="22"/>
  <c r="C52" i="22" s="1"/>
  <c r="D52" i="22"/>
  <c r="N51" i="22"/>
  <c r="F51" i="22"/>
  <c r="C51" i="22" s="1"/>
  <c r="D51" i="22"/>
  <c r="N50" i="22"/>
  <c r="F50" i="22"/>
  <c r="C50" i="22" s="1"/>
  <c r="D50" i="22"/>
  <c r="N49" i="22"/>
  <c r="F49" i="22"/>
  <c r="C49" i="22" s="1"/>
  <c r="D49" i="22"/>
  <c r="N48" i="22"/>
  <c r="F48" i="22"/>
  <c r="C48" i="22" s="1"/>
  <c r="D48" i="22"/>
  <c r="N47" i="22"/>
  <c r="F47" i="22"/>
  <c r="C47" i="22" s="1"/>
  <c r="D47" i="22"/>
  <c r="N46" i="22"/>
  <c r="F46" i="22"/>
  <c r="C46" i="22" s="1"/>
  <c r="D46" i="22"/>
  <c r="N45" i="22"/>
  <c r="F45" i="22"/>
  <c r="C45" i="22" s="1"/>
  <c r="D45" i="22"/>
  <c r="N44" i="22"/>
  <c r="F44" i="22"/>
  <c r="C44" i="22" s="1"/>
  <c r="D44" i="22"/>
  <c r="N43" i="22"/>
  <c r="F43" i="22"/>
  <c r="C43" i="22" s="1"/>
  <c r="D43" i="22"/>
  <c r="N42" i="22"/>
  <c r="F42" i="22"/>
  <c r="C42" i="22" s="1"/>
  <c r="D42" i="22"/>
  <c r="N41" i="22"/>
  <c r="F41" i="22"/>
  <c r="C41" i="22" s="1"/>
  <c r="D41" i="22"/>
  <c r="N40" i="22"/>
  <c r="F40" i="22"/>
  <c r="C40" i="22" s="1"/>
  <c r="D40" i="22"/>
  <c r="N39" i="22"/>
  <c r="F39" i="22"/>
  <c r="C39" i="22" s="1"/>
  <c r="D39" i="22"/>
  <c r="N38" i="22"/>
  <c r="F38" i="22"/>
  <c r="C38" i="22" s="1"/>
  <c r="D38" i="22"/>
  <c r="N37" i="22"/>
  <c r="F37" i="22"/>
  <c r="C37" i="22" s="1"/>
  <c r="D37" i="22"/>
  <c r="N36" i="22"/>
  <c r="F36" i="22"/>
  <c r="C36" i="22" s="1"/>
  <c r="D36" i="22"/>
  <c r="N35" i="22"/>
  <c r="F35" i="22"/>
  <c r="C35" i="22" s="1"/>
  <c r="D35" i="22"/>
  <c r="N34" i="22"/>
  <c r="F34" i="22"/>
  <c r="C34" i="22" s="1"/>
  <c r="D34" i="22"/>
  <c r="N33" i="22"/>
  <c r="F33" i="22"/>
  <c r="C33" i="22" s="1"/>
  <c r="D33" i="22"/>
  <c r="N32" i="22"/>
  <c r="F32" i="22"/>
  <c r="C32" i="22" s="1"/>
  <c r="D32" i="22"/>
  <c r="N31" i="22"/>
  <c r="F31" i="22"/>
  <c r="C31" i="22" s="1"/>
  <c r="D31" i="22"/>
  <c r="N30" i="22"/>
  <c r="F30" i="22"/>
  <c r="C30" i="22" s="1"/>
  <c r="D30" i="22"/>
  <c r="N29" i="22"/>
  <c r="F29" i="22"/>
  <c r="C29" i="22" s="1"/>
  <c r="D29" i="22"/>
  <c r="N28" i="22"/>
  <c r="F28" i="22"/>
  <c r="C28" i="22" s="1"/>
  <c r="D28" i="22"/>
  <c r="N27" i="22"/>
  <c r="F27" i="22"/>
  <c r="C27" i="22" s="1"/>
  <c r="D27" i="22"/>
  <c r="N26" i="22"/>
  <c r="G6" i="21" s="1"/>
  <c r="I6" i="21" s="1"/>
  <c r="F26" i="22"/>
  <c r="C26" i="22" s="1"/>
  <c r="D26" i="22"/>
  <c r="N25" i="22"/>
  <c r="F25" i="22"/>
  <c r="C25" i="22" s="1"/>
  <c r="D25" i="22"/>
  <c r="N24" i="22"/>
  <c r="F24" i="22"/>
  <c r="C24" i="22" s="1"/>
  <c r="D24" i="22"/>
  <c r="N23" i="22"/>
  <c r="F23" i="22"/>
  <c r="C23" i="22" s="1"/>
  <c r="D23" i="22"/>
  <c r="N22" i="22"/>
  <c r="F22" i="22"/>
  <c r="C22" i="22" s="1"/>
  <c r="D22" i="22"/>
  <c r="N21" i="22"/>
  <c r="F21" i="22"/>
  <c r="C21" i="22" s="1"/>
  <c r="D21" i="22"/>
  <c r="N20" i="22"/>
  <c r="F20" i="22"/>
  <c r="C20" i="22" s="1"/>
  <c r="D20" i="22"/>
  <c r="N19" i="22"/>
  <c r="F19" i="22"/>
  <c r="C19" i="22" s="1"/>
  <c r="D19" i="22"/>
  <c r="N18" i="22"/>
  <c r="F18" i="22"/>
  <c r="C18" i="22" s="1"/>
  <c r="D18" i="22"/>
  <c r="N17" i="22"/>
  <c r="F17" i="22"/>
  <c r="C17" i="22" s="1"/>
  <c r="D17" i="22"/>
  <c r="N16" i="22"/>
  <c r="G5" i="21" s="1"/>
  <c r="I5" i="21" s="1"/>
  <c r="F16" i="22"/>
  <c r="C16" i="22" s="1"/>
  <c r="D16" i="22"/>
  <c r="N15" i="22"/>
  <c r="F15" i="22"/>
  <c r="C15" i="22" s="1"/>
  <c r="D15" i="22"/>
  <c r="N14" i="22"/>
  <c r="F14" i="22"/>
  <c r="C14" i="22" s="1"/>
  <c r="D14" i="22"/>
  <c r="N13" i="22"/>
  <c r="F13" i="22"/>
  <c r="C13" i="22" s="1"/>
  <c r="D13" i="22"/>
  <c r="N12" i="22"/>
  <c r="G12" i="21" s="1"/>
  <c r="I12" i="21" s="1"/>
  <c r="F12" i="22"/>
  <c r="C12" i="22" s="1"/>
  <c r="D12" i="22"/>
  <c r="N11" i="22"/>
  <c r="F11" i="22"/>
  <c r="C11" i="22" s="1"/>
  <c r="D11" i="22"/>
  <c r="N10" i="22"/>
  <c r="F10" i="22"/>
  <c r="C10" i="22" s="1"/>
  <c r="D10" i="22"/>
  <c r="N9" i="22"/>
  <c r="F9" i="22"/>
  <c r="C9" i="22" s="1"/>
  <c r="D9" i="22"/>
  <c r="N8" i="22"/>
  <c r="F8" i="22"/>
  <c r="C8" i="22" s="1"/>
  <c r="D8" i="22"/>
  <c r="N7" i="22"/>
  <c r="F7" i="22"/>
  <c r="C7" i="22" s="1"/>
  <c r="D7" i="22"/>
  <c r="N6" i="22"/>
  <c r="F6" i="22"/>
  <c r="C6" i="22" s="1"/>
  <c r="D6" i="22"/>
  <c r="N5" i="22"/>
  <c r="F5" i="22"/>
  <c r="C5" i="22" s="1"/>
  <c r="D5" i="22"/>
  <c r="N4" i="22"/>
  <c r="F4" i="22"/>
  <c r="C4" i="22" s="1"/>
  <c r="D4" i="22"/>
  <c r="N3" i="22"/>
  <c r="F3" i="22"/>
  <c r="C3" i="22" s="1"/>
  <c r="D3" i="22"/>
  <c r="N2" i="22"/>
  <c r="G3" i="21" s="1"/>
  <c r="I3" i="21" s="1"/>
  <c r="F2" i="22"/>
  <c r="C2" i="22" s="1"/>
  <c r="D2" i="22"/>
  <c r="H20" i="21"/>
  <c r="H17" i="21"/>
  <c r="H15" i="21"/>
  <c r="H10" i="21"/>
  <c r="H8" i="21"/>
  <c r="H6" i="21"/>
  <c r="H3" i="21"/>
  <c r="R193" i="1" l="1"/>
  <c r="R195" i="1"/>
  <c r="R201" i="1"/>
  <c r="R207" i="1"/>
  <c r="R213" i="1"/>
  <c r="R219" i="1"/>
  <c r="R225" i="1"/>
  <c r="R231" i="1"/>
  <c r="R237" i="1"/>
  <c r="R243" i="1"/>
  <c r="R249" i="1"/>
  <c r="R255" i="1"/>
  <c r="R261" i="1"/>
  <c r="R267" i="1"/>
  <c r="R273" i="1"/>
  <c r="R279" i="1"/>
  <c r="R285" i="1"/>
  <c r="R291" i="1"/>
  <c r="R297" i="1"/>
  <c r="R303" i="1"/>
  <c r="R309" i="1"/>
  <c r="R315" i="1"/>
  <c r="R321" i="1"/>
  <c r="R327" i="1"/>
  <c r="R333" i="1"/>
  <c r="R339" i="1"/>
  <c r="R345" i="1"/>
  <c r="R351" i="1"/>
  <c r="R357" i="1"/>
  <c r="R363" i="1"/>
  <c r="R369" i="1"/>
  <c r="R375" i="1"/>
  <c r="R381" i="1"/>
  <c r="R387" i="1"/>
  <c r="R393" i="1"/>
  <c r="R399" i="1"/>
  <c r="R405" i="1"/>
  <c r="R411" i="1"/>
  <c r="R417" i="1"/>
  <c r="R423" i="1"/>
  <c r="R429" i="1"/>
  <c r="R435" i="1"/>
  <c r="R441" i="1"/>
  <c r="R447" i="1"/>
  <c r="R453" i="1"/>
  <c r="R459" i="1"/>
  <c r="R465" i="1"/>
  <c r="R471" i="1"/>
  <c r="R477" i="1"/>
  <c r="R483" i="1"/>
  <c r="R489" i="1"/>
  <c r="R495" i="1"/>
  <c r="R501" i="1"/>
  <c r="R507" i="1"/>
  <c r="R513" i="1"/>
  <c r="R519" i="1"/>
  <c r="R525" i="1"/>
  <c r="R531" i="1"/>
  <c r="R537" i="1"/>
  <c r="R543" i="1"/>
  <c r="R549" i="1"/>
  <c r="R555" i="1"/>
  <c r="R561" i="1"/>
  <c r="R567" i="1"/>
  <c r="R573" i="1"/>
  <c r="R579" i="1"/>
  <c r="R585" i="1"/>
  <c r="R591" i="1"/>
  <c r="R597" i="1"/>
  <c r="R603" i="1"/>
  <c r="R609" i="1"/>
  <c r="R615" i="1"/>
  <c r="R621" i="1"/>
  <c r="R627" i="1"/>
  <c r="R633" i="1"/>
  <c r="R639" i="1"/>
  <c r="R645" i="1"/>
  <c r="R651" i="1"/>
  <c r="R657" i="1"/>
  <c r="R663" i="1"/>
  <c r="R669" i="1"/>
  <c r="R675" i="1"/>
  <c r="R681" i="1"/>
  <c r="R687" i="1"/>
  <c r="R693" i="1"/>
  <c r="S193" i="1"/>
  <c r="S195" i="1"/>
  <c r="S201" i="1"/>
  <c r="S207" i="1"/>
  <c r="S213" i="1"/>
  <c r="S219" i="1"/>
  <c r="S225" i="1"/>
  <c r="S231" i="1"/>
  <c r="S237" i="1"/>
  <c r="S243" i="1"/>
  <c r="S249" i="1"/>
  <c r="S255" i="1"/>
  <c r="S261" i="1"/>
  <c r="S267" i="1"/>
  <c r="S273" i="1"/>
  <c r="S279" i="1"/>
  <c r="S285" i="1"/>
  <c r="S291" i="1"/>
  <c r="S297" i="1"/>
  <c r="S303" i="1"/>
  <c r="S309" i="1"/>
  <c r="S315" i="1"/>
  <c r="S321" i="1"/>
  <c r="S327" i="1"/>
  <c r="S333" i="1"/>
  <c r="S339" i="1"/>
  <c r="S345" i="1"/>
  <c r="S351" i="1"/>
  <c r="S357" i="1"/>
  <c r="S363" i="1"/>
  <c r="S369" i="1"/>
  <c r="S375" i="1"/>
  <c r="S381" i="1"/>
  <c r="S387" i="1"/>
  <c r="S393" i="1"/>
  <c r="S399" i="1"/>
  <c r="S405" i="1"/>
  <c r="S411" i="1"/>
  <c r="S417" i="1"/>
  <c r="S423" i="1"/>
  <c r="S429" i="1"/>
  <c r="S435" i="1"/>
  <c r="S441" i="1"/>
  <c r="S447" i="1"/>
  <c r="S453" i="1"/>
  <c r="S459" i="1"/>
  <c r="S465" i="1"/>
  <c r="S471" i="1"/>
  <c r="S477" i="1"/>
  <c r="S483" i="1"/>
  <c r="S489" i="1"/>
  <c r="S495" i="1"/>
  <c r="S501" i="1"/>
  <c r="S507" i="1"/>
  <c r="S513" i="1"/>
  <c r="S519" i="1"/>
  <c r="S525" i="1"/>
  <c r="S531" i="1"/>
  <c r="S537" i="1"/>
  <c r="S543" i="1"/>
  <c r="S549" i="1"/>
  <c r="S555" i="1"/>
  <c r="S561" i="1"/>
  <c r="S567" i="1"/>
  <c r="S573" i="1"/>
  <c r="S579" i="1"/>
  <c r="S585" i="1"/>
  <c r="S591" i="1"/>
  <c r="S597" i="1"/>
  <c r="S603" i="1"/>
  <c r="S609" i="1"/>
  <c r="S615" i="1"/>
  <c r="S621" i="1"/>
  <c r="S627" i="1"/>
  <c r="S633" i="1"/>
  <c r="S639" i="1"/>
  <c r="S645" i="1"/>
  <c r="S651" i="1"/>
  <c r="S657" i="1"/>
  <c r="S663" i="1"/>
  <c r="S669" i="1"/>
  <c r="S675" i="1"/>
  <c r="S681" i="1"/>
  <c r="S687" i="1"/>
  <c r="S693" i="1"/>
  <c r="R194" i="1"/>
  <c r="R196" i="1"/>
  <c r="R202" i="1"/>
  <c r="R208" i="1"/>
  <c r="R214" i="1"/>
  <c r="R220" i="1"/>
  <c r="R226" i="1"/>
  <c r="R232" i="1"/>
  <c r="R238" i="1"/>
  <c r="R244" i="1"/>
  <c r="R250" i="1"/>
  <c r="R256" i="1"/>
  <c r="R262" i="1"/>
  <c r="R268" i="1"/>
  <c r="R274" i="1"/>
  <c r="R280" i="1"/>
  <c r="R286" i="1"/>
  <c r="R292" i="1"/>
  <c r="R298" i="1"/>
  <c r="R304" i="1"/>
  <c r="R310" i="1"/>
  <c r="R316" i="1"/>
  <c r="R322" i="1"/>
  <c r="R328" i="1"/>
  <c r="R334" i="1"/>
  <c r="R340" i="1"/>
  <c r="R346" i="1"/>
  <c r="R352" i="1"/>
  <c r="R358" i="1"/>
  <c r="R364" i="1"/>
  <c r="R370" i="1"/>
  <c r="R376" i="1"/>
  <c r="R382" i="1"/>
  <c r="R388" i="1"/>
  <c r="R394" i="1"/>
  <c r="R400" i="1"/>
  <c r="R406" i="1"/>
  <c r="R412" i="1"/>
  <c r="R418" i="1"/>
  <c r="R424" i="1"/>
  <c r="R430" i="1"/>
  <c r="R436" i="1"/>
  <c r="R442" i="1"/>
  <c r="R448" i="1"/>
  <c r="R454" i="1"/>
  <c r="R460" i="1"/>
  <c r="R466" i="1"/>
  <c r="R472" i="1"/>
  <c r="R478" i="1"/>
  <c r="R484" i="1"/>
  <c r="R490" i="1"/>
  <c r="R496" i="1"/>
  <c r="R502" i="1"/>
  <c r="R508" i="1"/>
  <c r="R514" i="1"/>
  <c r="R520" i="1"/>
  <c r="R526" i="1"/>
  <c r="R532" i="1"/>
  <c r="R538" i="1"/>
  <c r="R544" i="1"/>
  <c r="R550" i="1"/>
  <c r="R556" i="1"/>
  <c r="R562" i="1"/>
  <c r="R568" i="1"/>
  <c r="R574" i="1"/>
  <c r="R580" i="1"/>
  <c r="R586" i="1"/>
  <c r="S194" i="1"/>
  <c r="S196" i="1"/>
  <c r="S202" i="1"/>
  <c r="S208" i="1"/>
  <c r="S214" i="1"/>
  <c r="S220" i="1"/>
  <c r="S226" i="1"/>
  <c r="S232" i="1"/>
  <c r="S238" i="1"/>
  <c r="S244" i="1"/>
  <c r="S250" i="1"/>
  <c r="S256" i="1"/>
  <c r="S262" i="1"/>
  <c r="S268" i="1"/>
  <c r="S274" i="1"/>
  <c r="S280" i="1"/>
  <c r="S286" i="1"/>
  <c r="S292" i="1"/>
  <c r="S298" i="1"/>
  <c r="S304" i="1"/>
  <c r="S310" i="1"/>
  <c r="S316" i="1"/>
  <c r="S322" i="1"/>
  <c r="S328" i="1"/>
  <c r="S334" i="1"/>
  <c r="S340" i="1"/>
  <c r="S346" i="1"/>
  <c r="S352" i="1"/>
  <c r="S358" i="1"/>
  <c r="S364" i="1"/>
  <c r="S370" i="1"/>
  <c r="S376" i="1"/>
  <c r="S382" i="1"/>
  <c r="S388" i="1"/>
  <c r="S394" i="1"/>
  <c r="S400" i="1"/>
  <c r="S406" i="1"/>
  <c r="S412" i="1"/>
  <c r="S418" i="1"/>
  <c r="S424" i="1"/>
  <c r="S430" i="1"/>
  <c r="S436" i="1"/>
  <c r="S442" i="1"/>
  <c r="S448" i="1"/>
  <c r="S454" i="1"/>
  <c r="S460" i="1"/>
  <c r="S466" i="1"/>
  <c r="S472" i="1"/>
  <c r="S478" i="1"/>
  <c r="S484" i="1"/>
  <c r="S490" i="1"/>
  <c r="S496" i="1"/>
  <c r="S502" i="1"/>
  <c r="S508" i="1"/>
  <c r="S514" i="1"/>
  <c r="S520" i="1"/>
  <c r="S526" i="1"/>
  <c r="S532" i="1"/>
  <c r="S538" i="1"/>
  <c r="S544" i="1"/>
  <c r="S550" i="1"/>
  <c r="S556" i="1"/>
  <c r="S562" i="1"/>
  <c r="S568" i="1"/>
  <c r="S574" i="1"/>
  <c r="S580" i="1"/>
  <c r="S586" i="1"/>
  <c r="S592" i="1"/>
  <c r="S598" i="1"/>
  <c r="S604" i="1"/>
  <c r="S610" i="1"/>
  <c r="S616" i="1"/>
  <c r="S622" i="1"/>
  <c r="S628" i="1"/>
  <c r="S634" i="1"/>
  <c r="S640" i="1"/>
  <c r="S646" i="1"/>
  <c r="S652" i="1"/>
  <c r="S658" i="1"/>
  <c r="S664" i="1"/>
  <c r="S670" i="1"/>
  <c r="S676" i="1"/>
  <c r="S682" i="1"/>
  <c r="S688" i="1"/>
  <c r="S694" i="1"/>
  <c r="R197" i="1"/>
  <c r="R203" i="1"/>
  <c r="R209" i="1"/>
  <c r="R215" i="1"/>
  <c r="R221" i="1"/>
  <c r="R227" i="1"/>
  <c r="R233" i="1"/>
  <c r="R239" i="1"/>
  <c r="R245" i="1"/>
  <c r="R251" i="1"/>
  <c r="R257" i="1"/>
  <c r="R263" i="1"/>
  <c r="R269" i="1"/>
  <c r="R275" i="1"/>
  <c r="R281" i="1"/>
  <c r="R287" i="1"/>
  <c r="R293" i="1"/>
  <c r="R299" i="1"/>
  <c r="R305" i="1"/>
  <c r="R311" i="1"/>
  <c r="R317" i="1"/>
  <c r="R323" i="1"/>
  <c r="R329" i="1"/>
  <c r="R335" i="1"/>
  <c r="R341" i="1"/>
  <c r="R347" i="1"/>
  <c r="R353" i="1"/>
  <c r="R359" i="1"/>
  <c r="R365" i="1"/>
  <c r="R371" i="1"/>
  <c r="R377" i="1"/>
  <c r="R383" i="1"/>
  <c r="R389" i="1"/>
  <c r="R395" i="1"/>
  <c r="R401" i="1"/>
  <c r="R407" i="1"/>
  <c r="R413" i="1"/>
  <c r="R419" i="1"/>
  <c r="R425" i="1"/>
  <c r="R431" i="1"/>
  <c r="R437" i="1"/>
  <c r="R443" i="1"/>
  <c r="R449" i="1"/>
  <c r="R455" i="1"/>
  <c r="R461" i="1"/>
  <c r="R467" i="1"/>
  <c r="R473" i="1"/>
  <c r="R479" i="1"/>
  <c r="R485" i="1"/>
  <c r="R491" i="1"/>
  <c r="R497" i="1"/>
  <c r="R503" i="1"/>
  <c r="R509" i="1"/>
  <c r="R515" i="1"/>
  <c r="R521" i="1"/>
  <c r="R527" i="1"/>
  <c r="R533" i="1"/>
  <c r="R539" i="1"/>
  <c r="R545" i="1"/>
  <c r="R551" i="1"/>
  <c r="R557" i="1"/>
  <c r="R563" i="1"/>
  <c r="R569" i="1"/>
  <c r="R575" i="1"/>
  <c r="R581" i="1"/>
  <c r="R587" i="1"/>
  <c r="R593" i="1"/>
  <c r="R599" i="1"/>
  <c r="R605" i="1"/>
  <c r="R611" i="1"/>
  <c r="R617" i="1"/>
  <c r="R623" i="1"/>
  <c r="R629" i="1"/>
  <c r="R635" i="1"/>
  <c r="R641" i="1"/>
  <c r="R647" i="1"/>
  <c r="R653" i="1"/>
  <c r="R659" i="1"/>
  <c r="R665" i="1"/>
  <c r="S197" i="1"/>
  <c r="S203" i="1"/>
  <c r="S209" i="1"/>
  <c r="S215" i="1"/>
  <c r="S221" i="1"/>
  <c r="S227" i="1"/>
  <c r="S233" i="1"/>
  <c r="S239" i="1"/>
  <c r="S245" i="1"/>
  <c r="S251" i="1"/>
  <c r="S257" i="1"/>
  <c r="S263" i="1"/>
  <c r="S269" i="1"/>
  <c r="S275" i="1"/>
  <c r="S281" i="1"/>
  <c r="S287" i="1"/>
  <c r="S293" i="1"/>
  <c r="S299" i="1"/>
  <c r="S305" i="1"/>
  <c r="S311" i="1"/>
  <c r="S317" i="1"/>
  <c r="S323" i="1"/>
  <c r="S329" i="1"/>
  <c r="S335" i="1"/>
  <c r="S341" i="1"/>
  <c r="S347" i="1"/>
  <c r="S353" i="1"/>
  <c r="S359" i="1"/>
  <c r="S365" i="1"/>
  <c r="S371" i="1"/>
  <c r="S377" i="1"/>
  <c r="S383" i="1"/>
  <c r="S389" i="1"/>
  <c r="S395" i="1"/>
  <c r="S401" i="1"/>
  <c r="S407" i="1"/>
  <c r="S413" i="1"/>
  <c r="S419" i="1"/>
  <c r="S425" i="1"/>
  <c r="S431" i="1"/>
  <c r="S437" i="1"/>
  <c r="S443" i="1"/>
  <c r="S449" i="1"/>
  <c r="S455" i="1"/>
  <c r="S461" i="1"/>
  <c r="S467" i="1"/>
  <c r="S473" i="1"/>
  <c r="S479" i="1"/>
  <c r="S485" i="1"/>
  <c r="S491" i="1"/>
  <c r="S497" i="1"/>
  <c r="S503" i="1"/>
  <c r="S509" i="1"/>
  <c r="S515" i="1"/>
  <c r="S521" i="1"/>
  <c r="S527" i="1"/>
  <c r="S533" i="1"/>
  <c r="S539" i="1"/>
  <c r="S545" i="1"/>
  <c r="S551" i="1"/>
  <c r="S557" i="1"/>
  <c r="S563" i="1"/>
  <c r="S569" i="1"/>
  <c r="S575" i="1"/>
  <c r="S581" i="1"/>
  <c r="S587" i="1"/>
  <c r="S593" i="1"/>
  <c r="S599" i="1"/>
  <c r="S605" i="1"/>
  <c r="S611" i="1"/>
  <c r="S617" i="1"/>
  <c r="S623" i="1"/>
  <c r="S629" i="1"/>
  <c r="S635" i="1"/>
  <c r="S641" i="1"/>
  <c r="S647" i="1"/>
  <c r="S653" i="1"/>
  <c r="S659" i="1"/>
  <c r="S665" i="1"/>
  <c r="R198" i="1"/>
  <c r="R204" i="1"/>
  <c r="R210" i="1"/>
  <c r="R216" i="1"/>
  <c r="R222" i="1"/>
  <c r="R228" i="1"/>
  <c r="R234" i="1"/>
  <c r="R240" i="1"/>
  <c r="R246" i="1"/>
  <c r="R252" i="1"/>
  <c r="R258" i="1"/>
  <c r="R264" i="1"/>
  <c r="R270" i="1"/>
  <c r="R276" i="1"/>
  <c r="R282" i="1"/>
  <c r="R288" i="1"/>
  <c r="R294" i="1"/>
  <c r="R300" i="1"/>
  <c r="R306" i="1"/>
  <c r="R312" i="1"/>
  <c r="R318" i="1"/>
  <c r="R324" i="1"/>
  <c r="R330" i="1"/>
  <c r="R336" i="1"/>
  <c r="R342" i="1"/>
  <c r="R348" i="1"/>
  <c r="R354" i="1"/>
  <c r="R360" i="1"/>
  <c r="R366" i="1"/>
  <c r="R372" i="1"/>
  <c r="R378" i="1"/>
  <c r="R384" i="1"/>
  <c r="R390" i="1"/>
  <c r="R396" i="1"/>
  <c r="R402" i="1"/>
  <c r="R408" i="1"/>
  <c r="R414" i="1"/>
  <c r="R420" i="1"/>
  <c r="R426" i="1"/>
  <c r="R432" i="1"/>
  <c r="R438" i="1"/>
  <c r="R444" i="1"/>
  <c r="R450" i="1"/>
  <c r="R456" i="1"/>
  <c r="R462" i="1"/>
  <c r="R468" i="1"/>
  <c r="R474" i="1"/>
  <c r="R480" i="1"/>
  <c r="R486" i="1"/>
  <c r="R492" i="1"/>
  <c r="R498" i="1"/>
  <c r="R504" i="1"/>
  <c r="R510" i="1"/>
  <c r="R516" i="1"/>
  <c r="R522" i="1"/>
  <c r="R528" i="1"/>
  <c r="R534" i="1"/>
  <c r="R540" i="1"/>
  <c r="S198" i="1"/>
  <c r="S204" i="1"/>
  <c r="S210" i="1"/>
  <c r="S216" i="1"/>
  <c r="S222" i="1"/>
  <c r="S228" i="1"/>
  <c r="S234" i="1"/>
  <c r="S240" i="1"/>
  <c r="S246" i="1"/>
  <c r="S252" i="1"/>
  <c r="S258" i="1"/>
  <c r="S264" i="1"/>
  <c r="S270" i="1"/>
  <c r="S276" i="1"/>
  <c r="S282" i="1"/>
  <c r="S288" i="1"/>
  <c r="S294" i="1"/>
  <c r="S300" i="1"/>
  <c r="S306" i="1"/>
  <c r="S312" i="1"/>
  <c r="S318" i="1"/>
  <c r="S324" i="1"/>
  <c r="S330" i="1"/>
  <c r="S336" i="1"/>
  <c r="S342" i="1"/>
  <c r="S348" i="1"/>
  <c r="S354" i="1"/>
  <c r="S360" i="1"/>
  <c r="S366" i="1"/>
  <c r="S372" i="1"/>
  <c r="S378" i="1"/>
  <c r="S384" i="1"/>
  <c r="S390" i="1"/>
  <c r="S396" i="1"/>
  <c r="S402" i="1"/>
  <c r="S408" i="1"/>
  <c r="S414" i="1"/>
  <c r="S420" i="1"/>
  <c r="S426" i="1"/>
  <c r="S432" i="1"/>
  <c r="S438" i="1"/>
  <c r="S444" i="1"/>
  <c r="S450" i="1"/>
  <c r="S456" i="1"/>
  <c r="S462" i="1"/>
  <c r="S468" i="1"/>
  <c r="S474" i="1"/>
  <c r="S480" i="1"/>
  <c r="S486" i="1"/>
  <c r="S492" i="1"/>
  <c r="S498" i="1"/>
  <c r="S504" i="1"/>
  <c r="S510" i="1"/>
  <c r="S516" i="1"/>
  <c r="S522" i="1"/>
  <c r="S528" i="1"/>
  <c r="S534" i="1"/>
  <c r="S540" i="1"/>
  <c r="R199" i="1"/>
  <c r="R205" i="1"/>
  <c r="R211" i="1"/>
  <c r="R217" i="1"/>
  <c r="R223" i="1"/>
  <c r="R229" i="1"/>
  <c r="R235" i="1"/>
  <c r="R241" i="1"/>
  <c r="R247" i="1"/>
  <c r="R253" i="1"/>
  <c r="R259" i="1"/>
  <c r="R265" i="1"/>
  <c r="R271" i="1"/>
  <c r="R277" i="1"/>
  <c r="R283" i="1"/>
  <c r="R289" i="1"/>
  <c r="R295" i="1"/>
  <c r="R301" i="1"/>
  <c r="R307" i="1"/>
  <c r="R313" i="1"/>
  <c r="R319" i="1"/>
  <c r="R325" i="1"/>
  <c r="R331" i="1"/>
  <c r="R337" i="1"/>
  <c r="R343" i="1"/>
  <c r="R349" i="1"/>
  <c r="R355" i="1"/>
  <c r="R361" i="1"/>
  <c r="R367" i="1"/>
  <c r="R373" i="1"/>
  <c r="R379" i="1"/>
  <c r="R385" i="1"/>
  <c r="R391" i="1"/>
  <c r="R397" i="1"/>
  <c r="R403" i="1"/>
  <c r="R409" i="1"/>
  <c r="R415" i="1"/>
  <c r="R421" i="1"/>
  <c r="R427" i="1"/>
  <c r="R433" i="1"/>
  <c r="R439" i="1"/>
  <c r="R445" i="1"/>
  <c r="R451" i="1"/>
  <c r="R457" i="1"/>
  <c r="R463" i="1"/>
  <c r="R469" i="1"/>
  <c r="R475" i="1"/>
  <c r="R481" i="1"/>
  <c r="R487" i="1"/>
  <c r="R493" i="1"/>
  <c r="R499" i="1"/>
  <c r="R505" i="1"/>
  <c r="R511" i="1"/>
  <c r="R517" i="1"/>
  <c r="R523" i="1"/>
  <c r="R529" i="1"/>
  <c r="R535" i="1"/>
  <c r="R541" i="1"/>
  <c r="R547" i="1"/>
  <c r="R553" i="1"/>
  <c r="R559" i="1"/>
  <c r="R565" i="1"/>
  <c r="R571" i="1"/>
  <c r="R577" i="1"/>
  <c r="R583" i="1"/>
  <c r="R589" i="1"/>
  <c r="R595" i="1"/>
  <c r="R601" i="1"/>
  <c r="R607" i="1"/>
  <c r="R613" i="1"/>
  <c r="R619" i="1"/>
  <c r="R625" i="1"/>
  <c r="R631" i="1"/>
  <c r="R637" i="1"/>
  <c r="R643" i="1"/>
  <c r="R649" i="1"/>
  <c r="R655" i="1"/>
  <c r="R661" i="1"/>
  <c r="R667" i="1"/>
  <c r="R673" i="1"/>
  <c r="R679" i="1"/>
  <c r="R685" i="1"/>
  <c r="R691" i="1"/>
  <c r="S199" i="1"/>
  <c r="S205" i="1"/>
  <c r="S211" i="1"/>
  <c r="S217" i="1"/>
  <c r="S223" i="1"/>
  <c r="S229" i="1"/>
  <c r="S235" i="1"/>
  <c r="S241" i="1"/>
  <c r="S247" i="1"/>
  <c r="S253" i="1"/>
  <c r="S259" i="1"/>
  <c r="S265" i="1"/>
  <c r="S271" i="1"/>
  <c r="S277" i="1"/>
  <c r="S283" i="1"/>
  <c r="S289" i="1"/>
  <c r="S295" i="1"/>
  <c r="S301" i="1"/>
  <c r="S307" i="1"/>
  <c r="S313" i="1"/>
  <c r="S319" i="1"/>
  <c r="S325" i="1"/>
  <c r="S331" i="1"/>
  <c r="S337" i="1"/>
  <c r="S343" i="1"/>
  <c r="S349" i="1"/>
  <c r="S355" i="1"/>
  <c r="S361" i="1"/>
  <c r="S367" i="1"/>
  <c r="S373" i="1"/>
  <c r="S379" i="1"/>
  <c r="S385" i="1"/>
  <c r="S391" i="1"/>
  <c r="S397" i="1"/>
  <c r="S403" i="1"/>
  <c r="S409" i="1"/>
  <c r="S415" i="1"/>
  <c r="S421" i="1"/>
  <c r="S427" i="1"/>
  <c r="S433" i="1"/>
  <c r="S439" i="1"/>
  <c r="S445" i="1"/>
  <c r="S451" i="1"/>
  <c r="S457" i="1"/>
  <c r="S463" i="1"/>
  <c r="S469" i="1"/>
  <c r="S475" i="1"/>
  <c r="S481" i="1"/>
  <c r="S487" i="1"/>
  <c r="S493" i="1"/>
  <c r="S499" i="1"/>
  <c r="S505" i="1"/>
  <c r="S511" i="1"/>
  <c r="S517" i="1"/>
  <c r="S523" i="1"/>
  <c r="S529" i="1"/>
  <c r="S535" i="1"/>
  <c r="S541" i="1"/>
  <c r="S547" i="1"/>
  <c r="S553" i="1"/>
  <c r="S559" i="1"/>
  <c r="S565" i="1"/>
  <c r="S200" i="1"/>
  <c r="S206" i="1"/>
  <c r="S212" i="1"/>
  <c r="S218" i="1"/>
  <c r="S224" i="1"/>
  <c r="S230" i="1"/>
  <c r="S236" i="1"/>
  <c r="S242" i="1"/>
  <c r="S248" i="1"/>
  <c r="S254" i="1"/>
  <c r="S260" i="1"/>
  <c r="S266" i="1"/>
  <c r="S272" i="1"/>
  <c r="S278" i="1"/>
  <c r="S284" i="1"/>
  <c r="S290" i="1"/>
  <c r="S296" i="1"/>
  <c r="S302" i="1"/>
  <c r="S308" i="1"/>
  <c r="S314" i="1"/>
  <c r="S320" i="1"/>
  <c r="S326" i="1"/>
  <c r="S332" i="1"/>
  <c r="S338" i="1"/>
  <c r="S344" i="1"/>
  <c r="S350" i="1"/>
  <c r="S356" i="1"/>
  <c r="S362" i="1"/>
  <c r="S368" i="1"/>
  <c r="S374" i="1"/>
  <c r="S380" i="1"/>
  <c r="S386" i="1"/>
  <c r="S392" i="1"/>
  <c r="S398" i="1"/>
  <c r="S404" i="1"/>
  <c r="S410" i="1"/>
  <c r="S416" i="1"/>
  <c r="S422" i="1"/>
  <c r="S428" i="1"/>
  <c r="S434" i="1"/>
  <c r="S440" i="1"/>
  <c r="S446" i="1"/>
  <c r="S452" i="1"/>
  <c r="S458" i="1"/>
  <c r="S464" i="1"/>
  <c r="S470" i="1"/>
  <c r="S476" i="1"/>
  <c r="S482" i="1"/>
  <c r="S488" i="1"/>
  <c r="S494" i="1"/>
  <c r="S500" i="1"/>
  <c r="S506" i="1"/>
  <c r="S512" i="1"/>
  <c r="S518" i="1"/>
  <c r="S524" i="1"/>
  <c r="S530" i="1"/>
  <c r="S536" i="1"/>
  <c r="S542" i="1"/>
  <c r="S548" i="1"/>
  <c r="S554" i="1"/>
  <c r="S560" i="1"/>
  <c r="S566" i="1"/>
  <c r="S572" i="1"/>
  <c r="S578" i="1"/>
  <c r="S584" i="1"/>
  <c r="S590" i="1"/>
  <c r="S596" i="1"/>
  <c r="S602" i="1"/>
  <c r="S608" i="1"/>
  <c r="S614" i="1"/>
  <c r="S620" i="1"/>
  <c r="S626" i="1"/>
  <c r="S632" i="1"/>
  <c r="S638" i="1"/>
  <c r="S644" i="1"/>
  <c r="S650" i="1"/>
  <c r="S656" i="1"/>
  <c r="R266" i="1"/>
  <c r="R338" i="1"/>
  <c r="R410" i="1"/>
  <c r="R482" i="1"/>
  <c r="S546" i="1"/>
  <c r="S570" i="1"/>
  <c r="S588" i="1"/>
  <c r="R602" i="1"/>
  <c r="R618" i="1"/>
  <c r="S631" i="1"/>
  <c r="R646" i="1"/>
  <c r="S660" i="1"/>
  <c r="S671" i="1"/>
  <c r="R680" i="1"/>
  <c r="S689" i="1"/>
  <c r="S697" i="1"/>
  <c r="S703" i="1"/>
  <c r="S709" i="1"/>
  <c r="S715" i="1"/>
  <c r="S721" i="1"/>
  <c r="S727" i="1"/>
  <c r="S733" i="1"/>
  <c r="S739" i="1"/>
  <c r="S745" i="1"/>
  <c r="S751" i="1"/>
  <c r="S757" i="1"/>
  <c r="S763" i="1"/>
  <c r="S769" i="1"/>
  <c r="S775" i="1"/>
  <c r="S781" i="1"/>
  <c r="S787" i="1"/>
  <c r="S793" i="1"/>
  <c r="S799" i="1"/>
  <c r="S805" i="1"/>
  <c r="S811" i="1"/>
  <c r="S817" i="1"/>
  <c r="S823" i="1"/>
  <c r="S829" i="1"/>
  <c r="S835" i="1"/>
  <c r="S841" i="1"/>
  <c r="S847" i="1"/>
  <c r="S853" i="1"/>
  <c r="S859" i="1"/>
  <c r="S865" i="1"/>
  <c r="S871" i="1"/>
  <c r="S877" i="1"/>
  <c r="S883" i="1"/>
  <c r="S889" i="1"/>
  <c r="S895" i="1"/>
  <c r="S901" i="1"/>
  <c r="S907" i="1"/>
  <c r="S913" i="1"/>
  <c r="S919" i="1"/>
  <c r="S925" i="1"/>
  <c r="S931" i="1"/>
  <c r="S937" i="1"/>
  <c r="S943" i="1"/>
  <c r="S949" i="1"/>
  <c r="S955" i="1"/>
  <c r="S961" i="1"/>
  <c r="S967" i="1"/>
  <c r="S973" i="1"/>
  <c r="S979" i="1"/>
  <c r="S985" i="1"/>
  <c r="S991" i="1"/>
  <c r="S997" i="1"/>
  <c r="S1003" i="1"/>
  <c r="S1009" i="1"/>
  <c r="S1015" i="1"/>
  <c r="S1021" i="1"/>
  <c r="S1027" i="1"/>
  <c r="S1033" i="1"/>
  <c r="S1039" i="1"/>
  <c r="S1045" i="1"/>
  <c r="S1051" i="1"/>
  <c r="S1057" i="1"/>
  <c r="S1063" i="1"/>
  <c r="S1069" i="1"/>
  <c r="S1075" i="1"/>
  <c r="S1081" i="1"/>
  <c r="S1087" i="1"/>
  <c r="S1093" i="1"/>
  <c r="S1099" i="1"/>
  <c r="S1105" i="1"/>
  <c r="S1111" i="1"/>
  <c r="R200" i="1"/>
  <c r="R272" i="1"/>
  <c r="R344" i="1"/>
  <c r="R416" i="1"/>
  <c r="R488" i="1"/>
  <c r="R548" i="1"/>
  <c r="S571" i="1"/>
  <c r="S589" i="1"/>
  <c r="R604" i="1"/>
  <c r="S618" i="1"/>
  <c r="R632" i="1"/>
  <c r="R648" i="1"/>
  <c r="S661" i="1"/>
  <c r="R672" i="1"/>
  <c r="S680" i="1"/>
  <c r="R690" i="1"/>
  <c r="R698" i="1"/>
  <c r="R704" i="1"/>
  <c r="R710" i="1"/>
  <c r="R716" i="1"/>
  <c r="R722" i="1"/>
  <c r="R728" i="1"/>
  <c r="R734" i="1"/>
  <c r="R740" i="1"/>
  <c r="R746" i="1"/>
  <c r="R752" i="1"/>
  <c r="R758" i="1"/>
  <c r="R764" i="1"/>
  <c r="R770" i="1"/>
  <c r="R776" i="1"/>
  <c r="R782" i="1"/>
  <c r="R788" i="1"/>
  <c r="R794" i="1"/>
  <c r="R800" i="1"/>
  <c r="R806" i="1"/>
  <c r="R812" i="1"/>
  <c r="R818" i="1"/>
  <c r="R824" i="1"/>
  <c r="R830" i="1"/>
  <c r="R836" i="1"/>
  <c r="R842" i="1"/>
  <c r="R848" i="1"/>
  <c r="R854" i="1"/>
  <c r="R860" i="1"/>
  <c r="R866" i="1"/>
  <c r="R872" i="1"/>
  <c r="R878" i="1"/>
  <c r="R884" i="1"/>
  <c r="R890" i="1"/>
  <c r="R896" i="1"/>
  <c r="R902" i="1"/>
  <c r="R908" i="1"/>
  <c r="R914" i="1"/>
  <c r="R920" i="1"/>
  <c r="R926" i="1"/>
  <c r="R932" i="1"/>
  <c r="R938" i="1"/>
  <c r="R944" i="1"/>
  <c r="R950" i="1"/>
  <c r="R956" i="1"/>
  <c r="R962" i="1"/>
  <c r="R968" i="1"/>
  <c r="R974" i="1"/>
  <c r="R980" i="1"/>
  <c r="R986" i="1"/>
  <c r="R992" i="1"/>
  <c r="R998" i="1"/>
  <c r="R1004" i="1"/>
  <c r="R1010" i="1"/>
  <c r="R1016" i="1"/>
  <c r="R1022" i="1"/>
  <c r="R1028" i="1"/>
  <c r="R1034" i="1"/>
  <c r="R1040" i="1"/>
  <c r="R1046" i="1"/>
  <c r="R1052" i="1"/>
  <c r="R1058" i="1"/>
  <c r="R1064" i="1"/>
  <c r="R1070" i="1"/>
  <c r="R1076" i="1"/>
  <c r="R1082" i="1"/>
  <c r="R1088" i="1"/>
  <c r="R1094" i="1"/>
  <c r="R1100" i="1"/>
  <c r="R1106" i="1"/>
  <c r="R1112" i="1"/>
  <c r="R206" i="1"/>
  <c r="R278" i="1"/>
  <c r="R350" i="1"/>
  <c r="R422" i="1"/>
  <c r="R494" i="1"/>
  <c r="R552" i="1"/>
  <c r="R572" i="1"/>
  <c r="R590" i="1"/>
  <c r="R606" i="1"/>
  <c r="S619" i="1"/>
  <c r="R634" i="1"/>
  <c r="S648" i="1"/>
  <c r="R662" i="1"/>
  <c r="S672" i="1"/>
  <c r="R682" i="1"/>
  <c r="S690" i="1"/>
  <c r="S698" i="1"/>
  <c r="S704" i="1"/>
  <c r="S710" i="1"/>
  <c r="S716" i="1"/>
  <c r="S722" i="1"/>
  <c r="S728" i="1"/>
  <c r="S734" i="1"/>
  <c r="S740" i="1"/>
  <c r="S746" i="1"/>
  <c r="S752" i="1"/>
  <c r="S758" i="1"/>
  <c r="S764" i="1"/>
  <c r="S770" i="1"/>
  <c r="S776" i="1"/>
  <c r="S782" i="1"/>
  <c r="S788" i="1"/>
  <c r="S794" i="1"/>
  <c r="S800" i="1"/>
  <c r="S806" i="1"/>
  <c r="S812" i="1"/>
  <c r="S818" i="1"/>
  <c r="S824" i="1"/>
  <c r="S830" i="1"/>
  <c r="S836" i="1"/>
  <c r="S842" i="1"/>
  <c r="S848" i="1"/>
  <c r="S854" i="1"/>
  <c r="S860" i="1"/>
  <c r="S866" i="1"/>
  <c r="S872" i="1"/>
  <c r="S878" i="1"/>
  <c r="S884" i="1"/>
  <c r="S890" i="1"/>
  <c r="S896" i="1"/>
  <c r="S902" i="1"/>
  <c r="S908" i="1"/>
  <c r="S914" i="1"/>
  <c r="S920" i="1"/>
  <c r="S926" i="1"/>
  <c r="S932" i="1"/>
  <c r="S938" i="1"/>
  <c r="S944" i="1"/>
  <c r="S950" i="1"/>
  <c r="S956" i="1"/>
  <c r="S962" i="1"/>
  <c r="S968" i="1"/>
  <c r="S974" i="1"/>
  <c r="S980" i="1"/>
  <c r="S986" i="1"/>
  <c r="S992" i="1"/>
  <c r="S998" i="1"/>
  <c r="S1004" i="1"/>
  <c r="S1010" i="1"/>
  <c r="S1016" i="1"/>
  <c r="S1022" i="1"/>
  <c r="S1028" i="1"/>
  <c r="S1034" i="1"/>
  <c r="S1040" i="1"/>
  <c r="S1046" i="1"/>
  <c r="S1052" i="1"/>
  <c r="S1058" i="1"/>
  <c r="S1064" i="1"/>
  <c r="S1070" i="1"/>
  <c r="S1076" i="1"/>
  <c r="S1082" i="1"/>
  <c r="S1088" i="1"/>
  <c r="S1094" i="1"/>
  <c r="S1100" i="1"/>
  <c r="S1106" i="1"/>
  <c r="R212" i="1"/>
  <c r="R284" i="1"/>
  <c r="R356" i="1"/>
  <c r="R428" i="1"/>
  <c r="R500" i="1"/>
  <c r="S552" i="1"/>
  <c r="R576" i="1"/>
  <c r="R592" i="1"/>
  <c r="S606" i="1"/>
  <c r="R620" i="1"/>
  <c r="R636" i="1"/>
  <c r="S649" i="1"/>
  <c r="S662" i="1"/>
  <c r="S673" i="1"/>
  <c r="R683" i="1"/>
  <c r="S691" i="1"/>
  <c r="R699" i="1"/>
  <c r="R705" i="1"/>
  <c r="R711" i="1"/>
  <c r="R717" i="1"/>
  <c r="R723" i="1"/>
  <c r="R729" i="1"/>
  <c r="R735" i="1"/>
  <c r="R741" i="1"/>
  <c r="R747" i="1"/>
  <c r="R753" i="1"/>
  <c r="R759" i="1"/>
  <c r="R765" i="1"/>
  <c r="R771" i="1"/>
  <c r="R777" i="1"/>
  <c r="R783" i="1"/>
  <c r="R789" i="1"/>
  <c r="R795" i="1"/>
  <c r="R801" i="1"/>
  <c r="R807" i="1"/>
  <c r="R813" i="1"/>
  <c r="R819" i="1"/>
  <c r="R825" i="1"/>
  <c r="R831" i="1"/>
  <c r="R837" i="1"/>
  <c r="R843" i="1"/>
  <c r="R849" i="1"/>
  <c r="R855" i="1"/>
  <c r="R861" i="1"/>
  <c r="R867" i="1"/>
  <c r="R873" i="1"/>
  <c r="R879" i="1"/>
  <c r="R885" i="1"/>
  <c r="R891" i="1"/>
  <c r="R897" i="1"/>
  <c r="R903" i="1"/>
  <c r="R909" i="1"/>
  <c r="R915" i="1"/>
  <c r="R921" i="1"/>
  <c r="R927" i="1"/>
  <c r="R933" i="1"/>
  <c r="R939" i="1"/>
  <c r="R945" i="1"/>
  <c r="R951" i="1"/>
  <c r="R957" i="1"/>
  <c r="R963" i="1"/>
  <c r="R969" i="1"/>
  <c r="R975" i="1"/>
  <c r="R981" i="1"/>
  <c r="R987" i="1"/>
  <c r="R993" i="1"/>
  <c r="R999" i="1"/>
  <c r="R1005" i="1"/>
  <c r="R1011" i="1"/>
  <c r="R1017" i="1"/>
  <c r="R1023" i="1"/>
  <c r="R1029" i="1"/>
  <c r="R1035" i="1"/>
  <c r="R1041" i="1"/>
  <c r="R1047" i="1"/>
  <c r="R1053" i="1"/>
  <c r="R1059" i="1"/>
  <c r="R1065" i="1"/>
  <c r="R1071" i="1"/>
  <c r="R1077" i="1"/>
  <c r="R1083" i="1"/>
  <c r="R1089" i="1"/>
  <c r="R1095" i="1"/>
  <c r="R1101" i="1"/>
  <c r="R1107" i="1"/>
  <c r="R218" i="1"/>
  <c r="R290" i="1"/>
  <c r="R362" i="1"/>
  <c r="R434" i="1"/>
  <c r="R506" i="1"/>
  <c r="R554" i="1"/>
  <c r="S576" i="1"/>
  <c r="R594" i="1"/>
  <c r="S607" i="1"/>
  <c r="R622" i="1"/>
  <c r="S636" i="1"/>
  <c r="R650" i="1"/>
  <c r="R664" i="1"/>
  <c r="R674" i="1"/>
  <c r="S683" i="1"/>
  <c r="R692" i="1"/>
  <c r="S699" i="1"/>
  <c r="S705" i="1"/>
  <c r="S711" i="1"/>
  <c r="S717" i="1"/>
  <c r="S723" i="1"/>
  <c r="S729" i="1"/>
  <c r="S735" i="1"/>
  <c r="S741" i="1"/>
  <c r="S747" i="1"/>
  <c r="S753" i="1"/>
  <c r="S759" i="1"/>
  <c r="S765" i="1"/>
  <c r="S771" i="1"/>
  <c r="S777" i="1"/>
  <c r="S783" i="1"/>
  <c r="S789" i="1"/>
  <c r="S795" i="1"/>
  <c r="S801" i="1"/>
  <c r="S807" i="1"/>
  <c r="S813" i="1"/>
  <c r="S819" i="1"/>
  <c r="S825" i="1"/>
  <c r="S831" i="1"/>
  <c r="S837" i="1"/>
  <c r="S843" i="1"/>
  <c r="S849" i="1"/>
  <c r="S855" i="1"/>
  <c r="S861" i="1"/>
  <c r="S867" i="1"/>
  <c r="S873" i="1"/>
  <c r="S879" i="1"/>
  <c r="S885" i="1"/>
  <c r="S891" i="1"/>
  <c r="S897" i="1"/>
  <c r="S903" i="1"/>
  <c r="S909" i="1"/>
  <c r="S915" i="1"/>
  <c r="S921" i="1"/>
  <c r="S927" i="1"/>
  <c r="S933" i="1"/>
  <c r="S939" i="1"/>
  <c r="S945" i="1"/>
  <c r="S951" i="1"/>
  <c r="S957" i="1"/>
  <c r="S963" i="1"/>
  <c r="S969" i="1"/>
  <c r="S975" i="1"/>
  <c r="S981" i="1"/>
  <c r="S987" i="1"/>
  <c r="S993" i="1"/>
  <c r="S999" i="1"/>
  <c r="S1005" i="1"/>
  <c r="S1011" i="1"/>
  <c r="S1017" i="1"/>
  <c r="S1023" i="1"/>
  <c r="S1029" i="1"/>
  <c r="S1035" i="1"/>
  <c r="S1041" i="1"/>
  <c r="S1047" i="1"/>
  <c r="S1053" i="1"/>
  <c r="S1059" i="1"/>
  <c r="S1065" i="1"/>
  <c r="S1071" i="1"/>
  <c r="S1077" i="1"/>
  <c r="S1083" i="1"/>
  <c r="S1089" i="1"/>
  <c r="S1095" i="1"/>
  <c r="S1101" i="1"/>
  <c r="S1107" i="1"/>
  <c r="R224" i="1"/>
  <c r="R296" i="1"/>
  <c r="R368" i="1"/>
  <c r="R440" i="1"/>
  <c r="R512" i="1"/>
  <c r="R558" i="1"/>
  <c r="S577" i="1"/>
  <c r="S594" i="1"/>
  <c r="R608" i="1"/>
  <c r="R624" i="1"/>
  <c r="S637" i="1"/>
  <c r="R652" i="1"/>
  <c r="R666" i="1"/>
  <c r="S674" i="1"/>
  <c r="R684" i="1"/>
  <c r="S692" i="1"/>
  <c r="R700" i="1"/>
  <c r="R706" i="1"/>
  <c r="R712" i="1"/>
  <c r="R718" i="1"/>
  <c r="R724" i="1"/>
  <c r="R730" i="1"/>
  <c r="R736" i="1"/>
  <c r="R742" i="1"/>
  <c r="R748" i="1"/>
  <c r="R754" i="1"/>
  <c r="R760" i="1"/>
  <c r="R766" i="1"/>
  <c r="R772" i="1"/>
  <c r="R778" i="1"/>
  <c r="R784" i="1"/>
  <c r="R790" i="1"/>
  <c r="R796" i="1"/>
  <c r="R802" i="1"/>
  <c r="R808" i="1"/>
  <c r="R814" i="1"/>
  <c r="R820" i="1"/>
  <c r="R826" i="1"/>
  <c r="R832" i="1"/>
  <c r="R838" i="1"/>
  <c r="R844" i="1"/>
  <c r="R850" i="1"/>
  <c r="R856" i="1"/>
  <c r="R862" i="1"/>
  <c r="R868" i="1"/>
  <c r="R874" i="1"/>
  <c r="R880" i="1"/>
  <c r="R886" i="1"/>
  <c r="R892" i="1"/>
  <c r="R898" i="1"/>
  <c r="R904" i="1"/>
  <c r="R910" i="1"/>
  <c r="R916" i="1"/>
  <c r="R922" i="1"/>
  <c r="R928" i="1"/>
  <c r="R934" i="1"/>
  <c r="R940" i="1"/>
  <c r="R946" i="1"/>
  <c r="R952" i="1"/>
  <c r="R958" i="1"/>
  <c r="R964" i="1"/>
  <c r="R970" i="1"/>
  <c r="R976" i="1"/>
  <c r="R982" i="1"/>
  <c r="R988" i="1"/>
  <c r="R994" i="1"/>
  <c r="R1000" i="1"/>
  <c r="R1006" i="1"/>
  <c r="R1012" i="1"/>
  <c r="R1018" i="1"/>
  <c r="R1024" i="1"/>
  <c r="R1030" i="1"/>
  <c r="R1036" i="1"/>
  <c r="R1042" i="1"/>
  <c r="R1048" i="1"/>
  <c r="R230" i="1"/>
  <c r="R302" i="1"/>
  <c r="R374" i="1"/>
  <c r="R446" i="1"/>
  <c r="R518" i="1"/>
  <c r="S558" i="1"/>
  <c r="R578" i="1"/>
  <c r="S595" i="1"/>
  <c r="R610" i="1"/>
  <c r="S624" i="1"/>
  <c r="R638" i="1"/>
  <c r="R654" i="1"/>
  <c r="S666" i="1"/>
  <c r="R676" i="1"/>
  <c r="S684" i="1"/>
  <c r="R694" i="1"/>
  <c r="S700" i="1"/>
  <c r="S706" i="1"/>
  <c r="S712" i="1"/>
  <c r="S718" i="1"/>
  <c r="S724" i="1"/>
  <c r="S730" i="1"/>
  <c r="S736" i="1"/>
  <c r="S742" i="1"/>
  <c r="S748" i="1"/>
  <c r="S754" i="1"/>
  <c r="S760" i="1"/>
  <c r="S766" i="1"/>
  <c r="S772" i="1"/>
  <c r="S778" i="1"/>
  <c r="S784" i="1"/>
  <c r="S790" i="1"/>
  <c r="S796" i="1"/>
  <c r="S802" i="1"/>
  <c r="S808" i="1"/>
  <c r="S814" i="1"/>
  <c r="S820" i="1"/>
  <c r="S826" i="1"/>
  <c r="S832" i="1"/>
  <c r="S838" i="1"/>
  <c r="S844" i="1"/>
  <c r="S850" i="1"/>
  <c r="S856" i="1"/>
  <c r="S862" i="1"/>
  <c r="S868" i="1"/>
  <c r="S874" i="1"/>
  <c r="S880" i="1"/>
  <c r="S886" i="1"/>
  <c r="S892" i="1"/>
  <c r="S898" i="1"/>
  <c r="S904" i="1"/>
  <c r="S910" i="1"/>
  <c r="S916" i="1"/>
  <c r="S922" i="1"/>
  <c r="S928" i="1"/>
  <c r="S934" i="1"/>
  <c r="S940" i="1"/>
  <c r="S946" i="1"/>
  <c r="S952" i="1"/>
  <c r="S958" i="1"/>
  <c r="S964" i="1"/>
  <c r="S970" i="1"/>
  <c r="S976" i="1"/>
  <c r="S982" i="1"/>
  <c r="S988" i="1"/>
  <c r="S994" i="1"/>
  <c r="S1000" i="1"/>
  <c r="S1006" i="1"/>
  <c r="S1012" i="1"/>
  <c r="S1018" i="1"/>
  <c r="S1024" i="1"/>
  <c r="S1030" i="1"/>
  <c r="S1036" i="1"/>
  <c r="S1042" i="1"/>
  <c r="S1048" i="1"/>
  <c r="S1054" i="1"/>
  <c r="R236" i="1"/>
  <c r="R308" i="1"/>
  <c r="R380" i="1"/>
  <c r="R452" i="1"/>
  <c r="R524" i="1"/>
  <c r="R560" i="1"/>
  <c r="R582" i="1"/>
  <c r="R596" i="1"/>
  <c r="R612" i="1"/>
  <c r="S625" i="1"/>
  <c r="R640" i="1"/>
  <c r="S654" i="1"/>
  <c r="S667" i="1"/>
  <c r="R677" i="1"/>
  <c r="S685" i="1"/>
  <c r="R695" i="1"/>
  <c r="R701" i="1"/>
  <c r="R707" i="1"/>
  <c r="R713" i="1"/>
  <c r="R719" i="1"/>
  <c r="R725" i="1"/>
  <c r="R731" i="1"/>
  <c r="R737" i="1"/>
  <c r="R743" i="1"/>
  <c r="R749" i="1"/>
  <c r="R755" i="1"/>
  <c r="R761" i="1"/>
  <c r="R767" i="1"/>
  <c r="R773" i="1"/>
  <c r="R779" i="1"/>
  <c r="R785" i="1"/>
  <c r="R791" i="1"/>
  <c r="R797" i="1"/>
  <c r="R803" i="1"/>
  <c r="R809" i="1"/>
  <c r="R815" i="1"/>
  <c r="R821" i="1"/>
  <c r="R827" i="1"/>
  <c r="R833" i="1"/>
  <c r="R839" i="1"/>
  <c r="R845" i="1"/>
  <c r="R851" i="1"/>
  <c r="R857" i="1"/>
  <c r="R863" i="1"/>
  <c r="R869" i="1"/>
  <c r="R875" i="1"/>
  <c r="R881" i="1"/>
  <c r="R887" i="1"/>
  <c r="R893" i="1"/>
  <c r="R899" i="1"/>
  <c r="R905" i="1"/>
  <c r="R911" i="1"/>
  <c r="R917" i="1"/>
  <c r="R923" i="1"/>
  <c r="R929" i="1"/>
  <c r="R935" i="1"/>
  <c r="R941" i="1"/>
  <c r="R947" i="1"/>
  <c r="R953" i="1"/>
  <c r="R959" i="1"/>
  <c r="R965" i="1"/>
  <c r="R971" i="1"/>
  <c r="R977" i="1"/>
  <c r="R983" i="1"/>
  <c r="R989" i="1"/>
  <c r="R995" i="1"/>
  <c r="R1001" i="1"/>
  <c r="R1007" i="1"/>
  <c r="R1013" i="1"/>
  <c r="R1019" i="1"/>
  <c r="R1025" i="1"/>
  <c r="R242" i="1"/>
  <c r="R314" i="1"/>
  <c r="R386" i="1"/>
  <c r="R458" i="1"/>
  <c r="R530" i="1"/>
  <c r="R564" i="1"/>
  <c r="S582" i="1"/>
  <c r="R598" i="1"/>
  <c r="S612" i="1"/>
  <c r="R626" i="1"/>
  <c r="R642" i="1"/>
  <c r="S655" i="1"/>
  <c r="R668" i="1"/>
  <c r="S677" i="1"/>
  <c r="R686" i="1"/>
  <c r="S695" i="1"/>
  <c r="S701" i="1"/>
  <c r="S707" i="1"/>
  <c r="S713" i="1"/>
  <c r="S719" i="1"/>
  <c r="S725" i="1"/>
  <c r="S731" i="1"/>
  <c r="S737" i="1"/>
  <c r="S743" i="1"/>
  <c r="S749" i="1"/>
  <c r="S755" i="1"/>
  <c r="S761" i="1"/>
  <c r="S767" i="1"/>
  <c r="S773" i="1"/>
  <c r="S779" i="1"/>
  <c r="S785" i="1"/>
  <c r="S791" i="1"/>
  <c r="S797" i="1"/>
  <c r="S803" i="1"/>
  <c r="S809" i="1"/>
  <c r="S815" i="1"/>
  <c r="S821" i="1"/>
  <c r="S827" i="1"/>
  <c r="S833" i="1"/>
  <c r="S839" i="1"/>
  <c r="S845" i="1"/>
  <c r="S851" i="1"/>
  <c r="S857" i="1"/>
  <c r="S863" i="1"/>
  <c r="S869" i="1"/>
  <c r="S875" i="1"/>
  <c r="S881" i="1"/>
  <c r="S887" i="1"/>
  <c r="S893" i="1"/>
  <c r="S899" i="1"/>
  <c r="S905" i="1"/>
  <c r="S911" i="1"/>
  <c r="S917" i="1"/>
  <c r="S923" i="1"/>
  <c r="S929" i="1"/>
  <c r="S935" i="1"/>
  <c r="S941" i="1"/>
  <c r="S947" i="1"/>
  <c r="S953" i="1"/>
  <c r="S959" i="1"/>
  <c r="S965" i="1"/>
  <c r="S971" i="1"/>
  <c r="S977" i="1"/>
  <c r="S983" i="1"/>
  <c r="S989" i="1"/>
  <c r="S995" i="1"/>
  <c r="S1001" i="1"/>
  <c r="S1007" i="1"/>
  <c r="S1013" i="1"/>
  <c r="S1019" i="1"/>
  <c r="R248" i="1"/>
  <c r="R320" i="1"/>
  <c r="R392" i="1"/>
  <c r="R464" i="1"/>
  <c r="R536" i="1"/>
  <c r="S564" i="1"/>
  <c r="S583" i="1"/>
  <c r="R600" i="1"/>
  <c r="S613" i="1"/>
  <c r="R628" i="1"/>
  <c r="S642" i="1"/>
  <c r="R656" i="1"/>
  <c r="S668" i="1"/>
  <c r="R678" i="1"/>
  <c r="S686" i="1"/>
  <c r="R696" i="1"/>
  <c r="R702" i="1"/>
  <c r="R708" i="1"/>
  <c r="R714" i="1"/>
  <c r="R720" i="1"/>
  <c r="R726" i="1"/>
  <c r="R732" i="1"/>
  <c r="R738" i="1"/>
  <c r="R744" i="1"/>
  <c r="R750" i="1"/>
  <c r="R756" i="1"/>
  <c r="R762" i="1"/>
  <c r="R768" i="1"/>
  <c r="R774" i="1"/>
  <c r="R780" i="1"/>
  <c r="R786" i="1"/>
  <c r="R792" i="1"/>
  <c r="R798" i="1"/>
  <c r="R804" i="1"/>
  <c r="R810" i="1"/>
  <c r="R816" i="1"/>
  <c r="R822" i="1"/>
  <c r="R828" i="1"/>
  <c r="R834" i="1"/>
  <c r="R840" i="1"/>
  <c r="R846" i="1"/>
  <c r="R852" i="1"/>
  <c r="R858" i="1"/>
  <c r="R864" i="1"/>
  <c r="R870" i="1"/>
  <c r="R876" i="1"/>
  <c r="R882" i="1"/>
  <c r="R888" i="1"/>
  <c r="R894" i="1"/>
  <c r="R900" i="1"/>
  <c r="R906" i="1"/>
  <c r="R912" i="1"/>
  <c r="R918" i="1"/>
  <c r="R924" i="1"/>
  <c r="R930" i="1"/>
  <c r="R936" i="1"/>
  <c r="R942" i="1"/>
  <c r="R948" i="1"/>
  <c r="R954" i="1"/>
  <c r="R960" i="1"/>
  <c r="R966" i="1"/>
  <c r="R972" i="1"/>
  <c r="R978" i="1"/>
  <c r="R984" i="1"/>
  <c r="R990" i="1"/>
  <c r="R996" i="1"/>
  <c r="R1002" i="1"/>
  <c r="R1008" i="1"/>
  <c r="R1014" i="1"/>
  <c r="R1020" i="1"/>
  <c r="R1026" i="1"/>
  <c r="R1032" i="1"/>
  <c r="R1038" i="1"/>
  <c r="R1044" i="1"/>
  <c r="R1050" i="1"/>
  <c r="R1056" i="1"/>
  <c r="R1062" i="1"/>
  <c r="R1068" i="1"/>
  <c r="R1074" i="1"/>
  <c r="R1080" i="1"/>
  <c r="R1086" i="1"/>
  <c r="R1092" i="1"/>
  <c r="R1098" i="1"/>
  <c r="R1104" i="1"/>
  <c r="R1110" i="1"/>
  <c r="R260" i="1"/>
  <c r="R332" i="1"/>
  <c r="R404" i="1"/>
  <c r="R476" i="1"/>
  <c r="R546" i="1"/>
  <c r="R570" i="1"/>
  <c r="R588" i="1"/>
  <c r="S601" i="1"/>
  <c r="R616" i="1"/>
  <c r="S630" i="1"/>
  <c r="R644" i="1"/>
  <c r="R660" i="1"/>
  <c r="R671" i="1"/>
  <c r="S679" i="1"/>
  <c r="R689" i="1"/>
  <c r="R697" i="1"/>
  <c r="R703" i="1"/>
  <c r="R709" i="1"/>
  <c r="R715" i="1"/>
  <c r="R721" i="1"/>
  <c r="R727" i="1"/>
  <c r="R733" i="1"/>
  <c r="R739" i="1"/>
  <c r="R745" i="1"/>
  <c r="R751" i="1"/>
  <c r="R757" i="1"/>
  <c r="R763" i="1"/>
  <c r="R769" i="1"/>
  <c r="R775" i="1"/>
  <c r="R781" i="1"/>
  <c r="R787" i="1"/>
  <c r="R793" i="1"/>
  <c r="R799" i="1"/>
  <c r="R805" i="1"/>
  <c r="R811" i="1"/>
  <c r="R817" i="1"/>
  <c r="R823" i="1"/>
  <c r="R829" i="1"/>
  <c r="R835" i="1"/>
  <c r="R841" i="1"/>
  <c r="R847" i="1"/>
  <c r="R853" i="1"/>
  <c r="R859" i="1"/>
  <c r="R865" i="1"/>
  <c r="R871" i="1"/>
  <c r="R877" i="1"/>
  <c r="R883" i="1"/>
  <c r="R889" i="1"/>
  <c r="R895" i="1"/>
  <c r="R901" i="1"/>
  <c r="R907" i="1"/>
  <c r="R913" i="1"/>
  <c r="R919" i="1"/>
  <c r="R925" i="1"/>
  <c r="R931" i="1"/>
  <c r="R937" i="1"/>
  <c r="R943" i="1"/>
  <c r="R949" i="1"/>
  <c r="R955" i="1"/>
  <c r="R961" i="1"/>
  <c r="R967" i="1"/>
  <c r="R973" i="1"/>
  <c r="R979" i="1"/>
  <c r="R985" i="1"/>
  <c r="R991" i="1"/>
  <c r="R997" i="1"/>
  <c r="R1003" i="1"/>
  <c r="R1009" i="1"/>
  <c r="R1015" i="1"/>
  <c r="R1021" i="1"/>
  <c r="R1027" i="1"/>
  <c r="R1033" i="1"/>
  <c r="R1039" i="1"/>
  <c r="R1045" i="1"/>
  <c r="R1051" i="1"/>
  <c r="R1057" i="1"/>
  <c r="R1063" i="1"/>
  <c r="R1069" i="1"/>
  <c r="R1075" i="1"/>
  <c r="R1081" i="1"/>
  <c r="R1087" i="1"/>
  <c r="R1093" i="1"/>
  <c r="R1099" i="1"/>
  <c r="R1105" i="1"/>
  <c r="R1111" i="1"/>
  <c r="R254" i="1"/>
  <c r="R670" i="1"/>
  <c r="S750" i="1"/>
  <c r="S822" i="1"/>
  <c r="S894" i="1"/>
  <c r="S966" i="1"/>
  <c r="R1031" i="1"/>
  <c r="R1054" i="1"/>
  <c r="S1067" i="1"/>
  <c r="R1084" i="1"/>
  <c r="R1097" i="1"/>
  <c r="S1110" i="1"/>
  <c r="R1118" i="1"/>
  <c r="R1124" i="1"/>
  <c r="R1130" i="1"/>
  <c r="R1136" i="1"/>
  <c r="R1142" i="1"/>
  <c r="R1148" i="1"/>
  <c r="R1154" i="1"/>
  <c r="R1160" i="1"/>
  <c r="R1166" i="1"/>
  <c r="R1172" i="1"/>
  <c r="R1178" i="1"/>
  <c r="R1184" i="1"/>
  <c r="R1190" i="1"/>
  <c r="R1196" i="1"/>
  <c r="R1202" i="1"/>
  <c r="R1208" i="1"/>
  <c r="R1214" i="1"/>
  <c r="R1220" i="1"/>
  <c r="R1226" i="1"/>
  <c r="R1232" i="1"/>
  <c r="R1238" i="1"/>
  <c r="R1244" i="1"/>
  <c r="R1250" i="1"/>
  <c r="R1256" i="1"/>
  <c r="R1262" i="1"/>
  <c r="R1268" i="1"/>
  <c r="R1274" i="1"/>
  <c r="R1280" i="1"/>
  <c r="R1286" i="1"/>
  <c r="R1292" i="1"/>
  <c r="R1298" i="1"/>
  <c r="R1304" i="1"/>
  <c r="R1310" i="1"/>
  <c r="R1316" i="1"/>
  <c r="R1322" i="1"/>
  <c r="R1328" i="1"/>
  <c r="R1334" i="1"/>
  <c r="R1340" i="1"/>
  <c r="R1346" i="1"/>
  <c r="R1352" i="1"/>
  <c r="R1358" i="1"/>
  <c r="R1364" i="1"/>
  <c r="R1370" i="1"/>
  <c r="R1376" i="1"/>
  <c r="R1382" i="1"/>
  <c r="R1388" i="1"/>
  <c r="R1394" i="1"/>
  <c r="R1400" i="1"/>
  <c r="R1406" i="1"/>
  <c r="R1412" i="1"/>
  <c r="R1418" i="1"/>
  <c r="R1424" i="1"/>
  <c r="R1430" i="1"/>
  <c r="R1436" i="1"/>
  <c r="R1442" i="1"/>
  <c r="R1448" i="1"/>
  <c r="R1454" i="1"/>
  <c r="R1460" i="1"/>
  <c r="R1466" i="1"/>
  <c r="R1472" i="1"/>
  <c r="R1478" i="1"/>
  <c r="R1484" i="1"/>
  <c r="R1490" i="1"/>
  <c r="R1496" i="1"/>
  <c r="R1502" i="1"/>
  <c r="R1508" i="1"/>
  <c r="R1514" i="1"/>
  <c r="R1520" i="1"/>
  <c r="R1526" i="1"/>
  <c r="R1532" i="1"/>
  <c r="R1538" i="1"/>
  <c r="R1544" i="1"/>
  <c r="R1550" i="1"/>
  <c r="R1556" i="1"/>
  <c r="R1562" i="1"/>
  <c r="R1568" i="1"/>
  <c r="R1574" i="1"/>
  <c r="R1580" i="1"/>
  <c r="R1586" i="1"/>
  <c r="R1592" i="1"/>
  <c r="R1598" i="1"/>
  <c r="R1604" i="1"/>
  <c r="R1610" i="1"/>
  <c r="R1616" i="1"/>
  <c r="R1622" i="1"/>
  <c r="R1628" i="1"/>
  <c r="R1634" i="1"/>
  <c r="R1640" i="1"/>
  <c r="R1646" i="1"/>
  <c r="R1652" i="1"/>
  <c r="R1658" i="1"/>
  <c r="R1664" i="1"/>
  <c r="R1670" i="1"/>
  <c r="R1676" i="1"/>
  <c r="R1682" i="1"/>
  <c r="R1688" i="1"/>
  <c r="R326" i="1"/>
  <c r="S678" i="1"/>
  <c r="S756" i="1"/>
  <c r="S828" i="1"/>
  <c r="S900" i="1"/>
  <c r="S972" i="1"/>
  <c r="S1031" i="1"/>
  <c r="R1055" i="1"/>
  <c r="S1068" i="1"/>
  <c r="S1084" i="1"/>
  <c r="S1097" i="1"/>
  <c r="S1112" i="1"/>
  <c r="S1118" i="1"/>
  <c r="S1124" i="1"/>
  <c r="S1130" i="1"/>
  <c r="S1136" i="1"/>
  <c r="S1142" i="1"/>
  <c r="S1148" i="1"/>
  <c r="S1154" i="1"/>
  <c r="S1160" i="1"/>
  <c r="S1166" i="1"/>
  <c r="S1172" i="1"/>
  <c r="S1178" i="1"/>
  <c r="S1184" i="1"/>
  <c r="S1190" i="1"/>
  <c r="S1196" i="1"/>
  <c r="S1202" i="1"/>
  <c r="S1208" i="1"/>
  <c r="S1214" i="1"/>
  <c r="S1220" i="1"/>
  <c r="S1226" i="1"/>
  <c r="S1232" i="1"/>
  <c r="S1238" i="1"/>
  <c r="S1244" i="1"/>
  <c r="S1250" i="1"/>
  <c r="S1256" i="1"/>
  <c r="S1262" i="1"/>
  <c r="S1268" i="1"/>
  <c r="S1274" i="1"/>
  <c r="S1280" i="1"/>
  <c r="S1286" i="1"/>
  <c r="S1292" i="1"/>
  <c r="S1298" i="1"/>
  <c r="S1304" i="1"/>
  <c r="S1310" i="1"/>
  <c r="S1316" i="1"/>
  <c r="S1322" i="1"/>
  <c r="S1328" i="1"/>
  <c r="S1334" i="1"/>
  <c r="S1340" i="1"/>
  <c r="S1346" i="1"/>
  <c r="R398" i="1"/>
  <c r="R688" i="1"/>
  <c r="S762" i="1"/>
  <c r="S834" i="1"/>
  <c r="S906" i="1"/>
  <c r="S978" i="1"/>
  <c r="S1032" i="1"/>
  <c r="S1055" i="1"/>
  <c r="R1072" i="1"/>
  <c r="R1085" i="1"/>
  <c r="S1098" i="1"/>
  <c r="R1113" i="1"/>
  <c r="R1119" i="1"/>
  <c r="R1125" i="1"/>
  <c r="R1131" i="1"/>
  <c r="R1137" i="1"/>
  <c r="R1143" i="1"/>
  <c r="R1149" i="1"/>
  <c r="R1155" i="1"/>
  <c r="R1161" i="1"/>
  <c r="R1167" i="1"/>
  <c r="R1173" i="1"/>
  <c r="R1179" i="1"/>
  <c r="R1185" i="1"/>
  <c r="R1191" i="1"/>
  <c r="R1197" i="1"/>
  <c r="R1203" i="1"/>
  <c r="R1209" i="1"/>
  <c r="R1215" i="1"/>
  <c r="R1221" i="1"/>
  <c r="R1227" i="1"/>
  <c r="R1233" i="1"/>
  <c r="R1239" i="1"/>
  <c r="R1245" i="1"/>
  <c r="R1251" i="1"/>
  <c r="R1257" i="1"/>
  <c r="R1263" i="1"/>
  <c r="R1269" i="1"/>
  <c r="R1275" i="1"/>
  <c r="R1281" i="1"/>
  <c r="R1287" i="1"/>
  <c r="R1293" i="1"/>
  <c r="R1299" i="1"/>
  <c r="R1305" i="1"/>
  <c r="R1311" i="1"/>
  <c r="R1317" i="1"/>
  <c r="R1323" i="1"/>
  <c r="R1329" i="1"/>
  <c r="R1335" i="1"/>
  <c r="R1341" i="1"/>
  <c r="R1347" i="1"/>
  <c r="R1353" i="1"/>
  <c r="R1359" i="1"/>
  <c r="R1365" i="1"/>
  <c r="R1371" i="1"/>
  <c r="R1377" i="1"/>
  <c r="R1383" i="1"/>
  <c r="R1389" i="1"/>
  <c r="R1395" i="1"/>
  <c r="R1401" i="1"/>
  <c r="R1407" i="1"/>
  <c r="R1413" i="1"/>
  <c r="R1419" i="1"/>
  <c r="R1425" i="1"/>
  <c r="R1431" i="1"/>
  <c r="R1437" i="1"/>
  <c r="R1443" i="1"/>
  <c r="R1449" i="1"/>
  <c r="R1455" i="1"/>
  <c r="R1461" i="1"/>
  <c r="R1467" i="1"/>
  <c r="R1473" i="1"/>
  <c r="R1479" i="1"/>
  <c r="R1485" i="1"/>
  <c r="R1491" i="1"/>
  <c r="R1497" i="1"/>
  <c r="R1503" i="1"/>
  <c r="R1509" i="1"/>
  <c r="R1515" i="1"/>
  <c r="R1521" i="1"/>
  <c r="R1527" i="1"/>
  <c r="R1533" i="1"/>
  <c r="R1539" i="1"/>
  <c r="R1545" i="1"/>
  <c r="R1551" i="1"/>
  <c r="R1557" i="1"/>
  <c r="R1563" i="1"/>
  <c r="R1569" i="1"/>
  <c r="R1575" i="1"/>
  <c r="R1581" i="1"/>
  <c r="R1587" i="1"/>
  <c r="R1593" i="1"/>
  <c r="R1599" i="1"/>
  <c r="R470" i="1"/>
  <c r="S696" i="1"/>
  <c r="S768" i="1"/>
  <c r="S840" i="1"/>
  <c r="S912" i="1"/>
  <c r="S984" i="1"/>
  <c r="R1037" i="1"/>
  <c r="S1056" i="1"/>
  <c r="S1072" i="1"/>
  <c r="S1085" i="1"/>
  <c r="R1102" i="1"/>
  <c r="S1113" i="1"/>
  <c r="S1119" i="1"/>
  <c r="S1125" i="1"/>
  <c r="S1131" i="1"/>
  <c r="S1137" i="1"/>
  <c r="S1143" i="1"/>
  <c r="S1149" i="1"/>
  <c r="S1155" i="1"/>
  <c r="S1161" i="1"/>
  <c r="S1167" i="1"/>
  <c r="S1173" i="1"/>
  <c r="S1179" i="1"/>
  <c r="S1185" i="1"/>
  <c r="S1191" i="1"/>
  <c r="S1197" i="1"/>
  <c r="S1203" i="1"/>
  <c r="S1209" i="1"/>
  <c r="S1215" i="1"/>
  <c r="S1221" i="1"/>
  <c r="S1227" i="1"/>
  <c r="S1233" i="1"/>
  <c r="S1239" i="1"/>
  <c r="S1245" i="1"/>
  <c r="S1251" i="1"/>
  <c r="S1257" i="1"/>
  <c r="S1263" i="1"/>
  <c r="S1269" i="1"/>
  <c r="S1275" i="1"/>
  <c r="S1281" i="1"/>
  <c r="S1287" i="1"/>
  <c r="S1293" i="1"/>
  <c r="S1299" i="1"/>
  <c r="S1305" i="1"/>
  <c r="S1311" i="1"/>
  <c r="S1317" i="1"/>
  <c r="S1323" i="1"/>
  <c r="S1329" i="1"/>
  <c r="S1335" i="1"/>
  <c r="S1341" i="1"/>
  <c r="S1347" i="1"/>
  <c r="S1353" i="1"/>
  <c r="S1359" i="1"/>
  <c r="S1365" i="1"/>
  <c r="S1371" i="1"/>
  <c r="S1377" i="1"/>
  <c r="S1383" i="1"/>
  <c r="S1389" i="1"/>
  <c r="S1395" i="1"/>
  <c r="S1401" i="1"/>
  <c r="S1407" i="1"/>
  <c r="S1413" i="1"/>
  <c r="S1419" i="1"/>
  <c r="S1425" i="1"/>
  <c r="S1431" i="1"/>
  <c r="S1437" i="1"/>
  <c r="S1443" i="1"/>
  <c r="S1449" i="1"/>
  <c r="S1455" i="1"/>
  <c r="S1461" i="1"/>
  <c r="S1467" i="1"/>
  <c r="S1473" i="1"/>
  <c r="R542" i="1"/>
  <c r="S702" i="1"/>
  <c r="S774" i="1"/>
  <c r="S846" i="1"/>
  <c r="S918" i="1"/>
  <c r="S990" i="1"/>
  <c r="S1037" i="1"/>
  <c r="R1060" i="1"/>
  <c r="R1073" i="1"/>
  <c r="S1086" i="1"/>
  <c r="S1102" i="1"/>
  <c r="R1114" i="1"/>
  <c r="R1120" i="1"/>
  <c r="R1126" i="1"/>
  <c r="R1132" i="1"/>
  <c r="R1138" i="1"/>
  <c r="R1144" i="1"/>
  <c r="R1150" i="1"/>
  <c r="R1156" i="1"/>
  <c r="R1162" i="1"/>
  <c r="R1168" i="1"/>
  <c r="R1174" i="1"/>
  <c r="R1180" i="1"/>
  <c r="R1186" i="1"/>
  <c r="R1192" i="1"/>
  <c r="R1198" i="1"/>
  <c r="R1204" i="1"/>
  <c r="R1210" i="1"/>
  <c r="R1216" i="1"/>
  <c r="R1222" i="1"/>
  <c r="R1228" i="1"/>
  <c r="R1234" i="1"/>
  <c r="R1240" i="1"/>
  <c r="R1246" i="1"/>
  <c r="R1252" i="1"/>
  <c r="R1258" i="1"/>
  <c r="R1264" i="1"/>
  <c r="R1270" i="1"/>
  <c r="R1276" i="1"/>
  <c r="R1282" i="1"/>
  <c r="R1288" i="1"/>
  <c r="R1294" i="1"/>
  <c r="R1300" i="1"/>
  <c r="R1306" i="1"/>
  <c r="R1312" i="1"/>
  <c r="R1318" i="1"/>
  <c r="R1324" i="1"/>
  <c r="R1330" i="1"/>
  <c r="R1336" i="1"/>
  <c r="R1342" i="1"/>
  <c r="R1348" i="1"/>
  <c r="R1354" i="1"/>
  <c r="R1360" i="1"/>
  <c r="R1366" i="1"/>
  <c r="R1372" i="1"/>
  <c r="R1378" i="1"/>
  <c r="R1384" i="1"/>
  <c r="R1390" i="1"/>
  <c r="R1396" i="1"/>
  <c r="R1402" i="1"/>
  <c r="R1408" i="1"/>
  <c r="R1414" i="1"/>
  <c r="R1420" i="1"/>
  <c r="R1426" i="1"/>
  <c r="R1432" i="1"/>
  <c r="R1438" i="1"/>
  <c r="R1444" i="1"/>
  <c r="R566" i="1"/>
  <c r="S708" i="1"/>
  <c r="S780" i="1"/>
  <c r="S852" i="1"/>
  <c r="S924" i="1"/>
  <c r="S996" i="1"/>
  <c r="S1038" i="1"/>
  <c r="S1060" i="1"/>
  <c r="S1073" i="1"/>
  <c r="R1090" i="1"/>
  <c r="R1103" i="1"/>
  <c r="S1114" i="1"/>
  <c r="S1120" i="1"/>
  <c r="S1126" i="1"/>
  <c r="S1132" i="1"/>
  <c r="S1138" i="1"/>
  <c r="S1144" i="1"/>
  <c r="S1150" i="1"/>
  <c r="S1156" i="1"/>
  <c r="S1162" i="1"/>
  <c r="S1168" i="1"/>
  <c r="S1174" i="1"/>
  <c r="S1180" i="1"/>
  <c r="S1186" i="1"/>
  <c r="S1192" i="1"/>
  <c r="S1198" i="1"/>
  <c r="S1204" i="1"/>
  <c r="S1210" i="1"/>
  <c r="S1216" i="1"/>
  <c r="S1222" i="1"/>
  <c r="S1228" i="1"/>
  <c r="S1234" i="1"/>
  <c r="S1240" i="1"/>
  <c r="S1246" i="1"/>
  <c r="S1252" i="1"/>
  <c r="S1258" i="1"/>
  <c r="S1264" i="1"/>
  <c r="S1270" i="1"/>
  <c r="S1276" i="1"/>
  <c r="S1282" i="1"/>
  <c r="S1288" i="1"/>
  <c r="S1294" i="1"/>
  <c r="S1300" i="1"/>
  <c r="S1306" i="1"/>
  <c r="S1312" i="1"/>
  <c r="S1318" i="1"/>
  <c r="S1324" i="1"/>
  <c r="S1330" i="1"/>
  <c r="R584" i="1"/>
  <c r="S714" i="1"/>
  <c r="S786" i="1"/>
  <c r="S858" i="1"/>
  <c r="S930" i="1"/>
  <c r="S1002" i="1"/>
  <c r="R1043" i="1"/>
  <c r="R1061" i="1"/>
  <c r="S1074" i="1"/>
  <c r="S1090" i="1"/>
  <c r="S1103" i="1"/>
  <c r="R1115" i="1"/>
  <c r="R1121" i="1"/>
  <c r="R1127" i="1"/>
  <c r="R1133" i="1"/>
  <c r="R1139" i="1"/>
  <c r="R1145" i="1"/>
  <c r="R1151" i="1"/>
  <c r="R1157" i="1"/>
  <c r="R1163" i="1"/>
  <c r="R1169" i="1"/>
  <c r="R1175" i="1"/>
  <c r="R1181" i="1"/>
  <c r="R1187" i="1"/>
  <c r="R1193" i="1"/>
  <c r="R1199" i="1"/>
  <c r="R1205" i="1"/>
  <c r="R1211" i="1"/>
  <c r="R1217" i="1"/>
  <c r="R1223" i="1"/>
  <c r="R1229" i="1"/>
  <c r="R1235" i="1"/>
  <c r="R1241" i="1"/>
  <c r="R1247" i="1"/>
  <c r="R1253" i="1"/>
  <c r="R1259" i="1"/>
  <c r="R1265" i="1"/>
  <c r="R1271" i="1"/>
  <c r="R1277" i="1"/>
  <c r="R1283" i="1"/>
  <c r="R1289" i="1"/>
  <c r="R1295" i="1"/>
  <c r="R1301" i="1"/>
  <c r="R1307" i="1"/>
  <c r="R1313" i="1"/>
  <c r="R1319" i="1"/>
  <c r="R1325" i="1"/>
  <c r="R1331" i="1"/>
  <c r="S600" i="1"/>
  <c r="S720" i="1"/>
  <c r="S792" i="1"/>
  <c r="S864" i="1"/>
  <c r="S936" i="1"/>
  <c r="S1008" i="1"/>
  <c r="S1043" i="1"/>
  <c r="S1061" i="1"/>
  <c r="R1078" i="1"/>
  <c r="R1091" i="1"/>
  <c r="S1104" i="1"/>
  <c r="S1115" i="1"/>
  <c r="S1121" i="1"/>
  <c r="S1127" i="1"/>
  <c r="S1133" i="1"/>
  <c r="S1139" i="1"/>
  <c r="S1145" i="1"/>
  <c r="S1151" i="1"/>
  <c r="S1157" i="1"/>
  <c r="S1163" i="1"/>
  <c r="S1169" i="1"/>
  <c r="S1175" i="1"/>
  <c r="S1181" i="1"/>
  <c r="S1187" i="1"/>
  <c r="S1193" i="1"/>
  <c r="S1199" i="1"/>
  <c r="S1205" i="1"/>
  <c r="S1211" i="1"/>
  <c r="S1217" i="1"/>
  <c r="S1223" i="1"/>
  <c r="S1229" i="1"/>
  <c r="S1235" i="1"/>
  <c r="S1241" i="1"/>
  <c r="S1247" i="1"/>
  <c r="S1253" i="1"/>
  <c r="S1259" i="1"/>
  <c r="S1265" i="1"/>
  <c r="S1271" i="1"/>
  <c r="S1277" i="1"/>
  <c r="S1283" i="1"/>
  <c r="S1289" i="1"/>
  <c r="S1295" i="1"/>
  <c r="S1301" i="1"/>
  <c r="S1307" i="1"/>
  <c r="S1313" i="1"/>
  <c r="S1319" i="1"/>
  <c r="S1325" i="1"/>
  <c r="S1331" i="1"/>
  <c r="S1337" i="1"/>
  <c r="S1343" i="1"/>
  <c r="S1349" i="1"/>
  <c r="S1355" i="1"/>
  <c r="S1361" i="1"/>
  <c r="S1367" i="1"/>
  <c r="S1373" i="1"/>
  <c r="S1379" i="1"/>
  <c r="S1385" i="1"/>
  <c r="S1391" i="1"/>
  <c r="S1397" i="1"/>
  <c r="S1403" i="1"/>
  <c r="S1409" i="1"/>
  <c r="S1415" i="1"/>
  <c r="S1421" i="1"/>
  <c r="S1427" i="1"/>
  <c r="S1433" i="1"/>
  <c r="S1439" i="1"/>
  <c r="S1445" i="1"/>
  <c r="S1451" i="1"/>
  <c r="S1457" i="1"/>
  <c r="S1463" i="1"/>
  <c r="S1469" i="1"/>
  <c r="R614" i="1"/>
  <c r="S726" i="1"/>
  <c r="S798" i="1"/>
  <c r="S870" i="1"/>
  <c r="S942" i="1"/>
  <c r="S1014" i="1"/>
  <c r="S1044" i="1"/>
  <c r="S1062" i="1"/>
  <c r="S1078" i="1"/>
  <c r="S1091" i="1"/>
  <c r="R1108" i="1"/>
  <c r="R1116" i="1"/>
  <c r="R1122" i="1"/>
  <c r="R1128" i="1"/>
  <c r="R1134" i="1"/>
  <c r="R1140" i="1"/>
  <c r="R1146" i="1"/>
  <c r="R1152" i="1"/>
  <c r="R1158" i="1"/>
  <c r="R1164" i="1"/>
  <c r="R1170" i="1"/>
  <c r="R1176" i="1"/>
  <c r="R1182" i="1"/>
  <c r="R1188" i="1"/>
  <c r="R1194" i="1"/>
  <c r="R1200" i="1"/>
  <c r="R1206" i="1"/>
  <c r="S643" i="1"/>
  <c r="S738" i="1"/>
  <c r="S810" i="1"/>
  <c r="S882" i="1"/>
  <c r="S954" i="1"/>
  <c r="S1025" i="1"/>
  <c r="S1049" i="1"/>
  <c r="S1066" i="1"/>
  <c r="S1079" i="1"/>
  <c r="R1096" i="1"/>
  <c r="R1109" i="1"/>
  <c r="R1117" i="1"/>
  <c r="R1123" i="1"/>
  <c r="R1129" i="1"/>
  <c r="R1135" i="1"/>
  <c r="R1141" i="1"/>
  <c r="R1147" i="1"/>
  <c r="R1153" i="1"/>
  <c r="R1159" i="1"/>
  <c r="R1165" i="1"/>
  <c r="R1171" i="1"/>
  <c r="R1177" i="1"/>
  <c r="R1183" i="1"/>
  <c r="R1189" i="1"/>
  <c r="R1195" i="1"/>
  <c r="R1201" i="1"/>
  <c r="R1207" i="1"/>
  <c r="R1213" i="1"/>
  <c r="R1219" i="1"/>
  <c r="R1225" i="1"/>
  <c r="R1231" i="1"/>
  <c r="R1237" i="1"/>
  <c r="R1243" i="1"/>
  <c r="R1249" i="1"/>
  <c r="R1255" i="1"/>
  <c r="R1261" i="1"/>
  <c r="R1267" i="1"/>
  <c r="R1273" i="1"/>
  <c r="R1279" i="1"/>
  <c r="R1285" i="1"/>
  <c r="R1291" i="1"/>
  <c r="R1297" i="1"/>
  <c r="R1303" i="1"/>
  <c r="R1309" i="1"/>
  <c r="R1315" i="1"/>
  <c r="R1321" i="1"/>
  <c r="R1327" i="1"/>
  <c r="R1333" i="1"/>
  <c r="R1339" i="1"/>
  <c r="R1345" i="1"/>
  <c r="R1351" i="1"/>
  <c r="R1357" i="1"/>
  <c r="R1363" i="1"/>
  <c r="R1369" i="1"/>
  <c r="R1375" i="1"/>
  <c r="R1381" i="1"/>
  <c r="R1387" i="1"/>
  <c r="R1393" i="1"/>
  <c r="R1399" i="1"/>
  <c r="R1405" i="1"/>
  <c r="R1411" i="1"/>
  <c r="R1417" i="1"/>
  <c r="R1423" i="1"/>
  <c r="R1429" i="1"/>
  <c r="R1435" i="1"/>
  <c r="R1441" i="1"/>
  <c r="R1447" i="1"/>
  <c r="R1453" i="1"/>
  <c r="R1459" i="1"/>
  <c r="R1465" i="1"/>
  <c r="R1471" i="1"/>
  <c r="R1477" i="1"/>
  <c r="R1483" i="1"/>
  <c r="R1489" i="1"/>
  <c r="R1495" i="1"/>
  <c r="R1501" i="1"/>
  <c r="R1507" i="1"/>
  <c r="R1513" i="1"/>
  <c r="R1519" i="1"/>
  <c r="R1525" i="1"/>
  <c r="R1531" i="1"/>
  <c r="R1537" i="1"/>
  <c r="R1543" i="1"/>
  <c r="R1549" i="1"/>
  <c r="R1555" i="1"/>
  <c r="R630" i="1"/>
  <c r="R1049" i="1"/>
  <c r="S1122" i="1"/>
  <c r="S1158" i="1"/>
  <c r="S1194" i="1"/>
  <c r="R1224" i="1"/>
  <c r="R1248" i="1"/>
  <c r="R1272" i="1"/>
  <c r="R1296" i="1"/>
  <c r="R1320" i="1"/>
  <c r="S1338" i="1"/>
  <c r="S1352" i="1"/>
  <c r="S1364" i="1"/>
  <c r="S1376" i="1"/>
  <c r="S1388" i="1"/>
  <c r="S1400" i="1"/>
  <c r="S1412" i="1"/>
  <c r="S1424" i="1"/>
  <c r="S1436" i="1"/>
  <c r="S1448" i="1"/>
  <c r="S1458" i="1"/>
  <c r="R1469" i="1"/>
  <c r="S1478" i="1"/>
  <c r="S1486" i="1"/>
  <c r="R1494" i="1"/>
  <c r="S1502" i="1"/>
  <c r="S1510" i="1"/>
  <c r="R1518" i="1"/>
  <c r="S1526" i="1"/>
  <c r="S1534" i="1"/>
  <c r="R1542" i="1"/>
  <c r="S1550" i="1"/>
  <c r="S1558" i="1"/>
  <c r="S1565" i="1"/>
  <c r="S1572" i="1"/>
  <c r="S1579" i="1"/>
  <c r="S1587" i="1"/>
  <c r="S1594" i="1"/>
  <c r="S1601" i="1"/>
  <c r="R1608" i="1"/>
  <c r="S1614" i="1"/>
  <c r="R1621" i="1"/>
  <c r="S1627" i="1"/>
  <c r="S1634" i="1"/>
  <c r="R1641" i="1"/>
  <c r="S1647" i="1"/>
  <c r="R1654" i="1"/>
  <c r="S1660" i="1"/>
  <c r="R1667" i="1"/>
  <c r="S1673" i="1"/>
  <c r="R1680" i="1"/>
  <c r="S1686" i="1"/>
  <c r="R1693" i="1"/>
  <c r="R1699" i="1"/>
  <c r="R1705" i="1"/>
  <c r="R1711" i="1"/>
  <c r="R1717" i="1"/>
  <c r="R1723" i="1"/>
  <c r="R1729" i="1"/>
  <c r="R1735" i="1"/>
  <c r="R1741" i="1"/>
  <c r="R1747" i="1"/>
  <c r="R658" i="1"/>
  <c r="S1050" i="1"/>
  <c r="S1123" i="1"/>
  <c r="S1159" i="1"/>
  <c r="S1195" i="1"/>
  <c r="S1224" i="1"/>
  <c r="S1248" i="1"/>
  <c r="S1272" i="1"/>
  <c r="S1296" i="1"/>
  <c r="S1320" i="1"/>
  <c r="S1339" i="1"/>
  <c r="S1354" i="1"/>
  <c r="S1366" i="1"/>
  <c r="S1378" i="1"/>
  <c r="S1390" i="1"/>
  <c r="S1402" i="1"/>
  <c r="S1414" i="1"/>
  <c r="S1426" i="1"/>
  <c r="S1438" i="1"/>
  <c r="R1450" i="1"/>
  <c r="S1459" i="1"/>
  <c r="R1470" i="1"/>
  <c r="S1479" i="1"/>
  <c r="R1487" i="1"/>
  <c r="S1494" i="1"/>
  <c r="S1503" i="1"/>
  <c r="R1511" i="1"/>
  <c r="S1518" i="1"/>
  <c r="S1527" i="1"/>
  <c r="R1535" i="1"/>
  <c r="S1542" i="1"/>
  <c r="S1551" i="1"/>
  <c r="R1559" i="1"/>
  <c r="R1566" i="1"/>
  <c r="R1573" i="1"/>
  <c r="S1580" i="1"/>
  <c r="R1588" i="1"/>
  <c r="R1595" i="1"/>
  <c r="S732" i="1"/>
  <c r="R1066" i="1"/>
  <c r="S1128" i="1"/>
  <c r="S1164" i="1"/>
  <c r="S1200" i="1"/>
  <c r="S1225" i="1"/>
  <c r="S1249" i="1"/>
  <c r="S1273" i="1"/>
  <c r="S1297" i="1"/>
  <c r="S1321" i="1"/>
  <c r="S1342" i="1"/>
  <c r="R1355" i="1"/>
  <c r="R1367" i="1"/>
  <c r="R1379" i="1"/>
  <c r="R1391" i="1"/>
  <c r="R1403" i="1"/>
  <c r="R1415" i="1"/>
  <c r="R1427" i="1"/>
  <c r="R1439" i="1"/>
  <c r="S1450" i="1"/>
  <c r="S1460" i="1"/>
  <c r="S1470" i="1"/>
  <c r="R1480" i="1"/>
  <c r="S1487" i="1"/>
  <c r="S1495" i="1"/>
  <c r="R1504" i="1"/>
  <c r="S1511" i="1"/>
  <c r="S1519" i="1"/>
  <c r="R1528" i="1"/>
  <c r="S1535" i="1"/>
  <c r="S1543" i="1"/>
  <c r="R1552" i="1"/>
  <c r="S1559" i="1"/>
  <c r="S1566" i="1"/>
  <c r="S1573" i="1"/>
  <c r="S1581" i="1"/>
  <c r="S1588" i="1"/>
  <c r="S1595" i="1"/>
  <c r="S1602" i="1"/>
  <c r="R1609" i="1"/>
  <c r="S1615" i="1"/>
  <c r="S1622" i="1"/>
  <c r="R1629" i="1"/>
  <c r="S1635" i="1"/>
  <c r="R1642" i="1"/>
  <c r="S1648" i="1"/>
  <c r="R1655" i="1"/>
  <c r="S1661" i="1"/>
  <c r="R1668" i="1"/>
  <c r="S1674" i="1"/>
  <c r="R1681" i="1"/>
  <c r="S1687" i="1"/>
  <c r="R1694" i="1"/>
  <c r="R1700" i="1"/>
  <c r="R1706" i="1"/>
  <c r="R1712" i="1"/>
  <c r="R1718" i="1"/>
  <c r="R1724" i="1"/>
  <c r="R1730" i="1"/>
  <c r="R1736" i="1"/>
  <c r="R1742" i="1"/>
  <c r="R1748" i="1"/>
  <c r="R1754" i="1"/>
  <c r="R1760" i="1"/>
  <c r="R1766" i="1"/>
  <c r="R1772" i="1"/>
  <c r="R1778" i="1"/>
  <c r="R1784" i="1"/>
  <c r="R1790" i="1"/>
  <c r="R1796" i="1"/>
  <c r="R1802" i="1"/>
  <c r="R1808" i="1"/>
  <c r="R1814" i="1"/>
  <c r="R1820" i="1"/>
  <c r="R1826" i="1"/>
  <c r="R1832" i="1"/>
  <c r="R1838" i="1"/>
  <c r="R1844" i="1"/>
  <c r="R1850" i="1"/>
  <c r="R1856" i="1"/>
  <c r="R1862" i="1"/>
  <c r="R1868" i="1"/>
  <c r="R1874" i="1"/>
  <c r="R1880" i="1"/>
  <c r="R1886" i="1"/>
  <c r="R1892" i="1"/>
  <c r="S744" i="1"/>
  <c r="R1067" i="1"/>
  <c r="S1129" i="1"/>
  <c r="S1165" i="1"/>
  <c r="S1201" i="1"/>
  <c r="R1230" i="1"/>
  <c r="R1254" i="1"/>
  <c r="R1278" i="1"/>
  <c r="R1302" i="1"/>
  <c r="R1326" i="1"/>
  <c r="R1343" i="1"/>
  <c r="R1356" i="1"/>
  <c r="R1368" i="1"/>
  <c r="R1380" i="1"/>
  <c r="R1392" i="1"/>
  <c r="R1404" i="1"/>
  <c r="R1416" i="1"/>
  <c r="R1428" i="1"/>
  <c r="R1440" i="1"/>
  <c r="R1451" i="1"/>
  <c r="R1462" i="1"/>
  <c r="S1471" i="1"/>
  <c r="S1480" i="1"/>
  <c r="R1488" i="1"/>
  <c r="S1496" i="1"/>
  <c r="S1504" i="1"/>
  <c r="R1512" i="1"/>
  <c r="S1520" i="1"/>
  <c r="S1528" i="1"/>
  <c r="R1536" i="1"/>
  <c r="S804" i="1"/>
  <c r="R1079" i="1"/>
  <c r="S1134" i="1"/>
  <c r="S1170" i="1"/>
  <c r="S1206" i="1"/>
  <c r="S1230" i="1"/>
  <c r="S1254" i="1"/>
  <c r="S1278" i="1"/>
  <c r="S1302" i="1"/>
  <c r="S1326" i="1"/>
  <c r="R1344" i="1"/>
  <c r="S1356" i="1"/>
  <c r="S1368" i="1"/>
  <c r="S1380" i="1"/>
  <c r="S1392" i="1"/>
  <c r="S1404" i="1"/>
  <c r="S1416" i="1"/>
  <c r="S1428" i="1"/>
  <c r="S1440" i="1"/>
  <c r="R1452" i="1"/>
  <c r="S1462" i="1"/>
  <c r="S1472" i="1"/>
  <c r="R1481" i="1"/>
  <c r="S1488" i="1"/>
  <c r="S1497" i="1"/>
  <c r="R1505" i="1"/>
  <c r="S1512" i="1"/>
  <c r="S1521" i="1"/>
  <c r="R1529" i="1"/>
  <c r="S1536" i="1"/>
  <c r="S1545" i="1"/>
  <c r="R1553" i="1"/>
  <c r="S1560" i="1"/>
  <c r="S1567" i="1"/>
  <c r="S1575" i="1"/>
  <c r="S1582" i="1"/>
  <c r="S1589" i="1"/>
  <c r="S1596" i="1"/>
  <c r="S816" i="1"/>
  <c r="S1080" i="1"/>
  <c r="S1135" i="1"/>
  <c r="S1171" i="1"/>
  <c r="S1207" i="1"/>
  <c r="S1231" i="1"/>
  <c r="S1255" i="1"/>
  <c r="S1279" i="1"/>
  <c r="S1303" i="1"/>
  <c r="S1327" i="1"/>
  <c r="S1344" i="1"/>
  <c r="S1357" i="1"/>
  <c r="S1369" i="1"/>
  <c r="S1381" i="1"/>
  <c r="S1393" i="1"/>
  <c r="S1405" i="1"/>
  <c r="S1417" i="1"/>
  <c r="S1429" i="1"/>
  <c r="S1441" i="1"/>
  <c r="S1452" i="1"/>
  <c r="R1463" i="1"/>
  <c r="R1474" i="1"/>
  <c r="S1481" i="1"/>
  <c r="S1489" i="1"/>
  <c r="R1498" i="1"/>
  <c r="S1505" i="1"/>
  <c r="S876" i="1"/>
  <c r="S1092" i="1"/>
  <c r="S1140" i="1"/>
  <c r="S1176" i="1"/>
  <c r="R1212" i="1"/>
  <c r="R1236" i="1"/>
  <c r="R1260" i="1"/>
  <c r="R1284" i="1"/>
  <c r="R1308" i="1"/>
  <c r="R1332" i="1"/>
  <c r="S1345" i="1"/>
  <c r="S1358" i="1"/>
  <c r="S1370" i="1"/>
  <c r="S1382" i="1"/>
  <c r="S1394" i="1"/>
  <c r="S1406" i="1"/>
  <c r="S1418" i="1"/>
  <c r="S1430" i="1"/>
  <c r="S1442" i="1"/>
  <c r="S1453" i="1"/>
  <c r="R1464" i="1"/>
  <c r="S1474" i="1"/>
  <c r="R1482" i="1"/>
  <c r="S1490" i="1"/>
  <c r="S1498" i="1"/>
  <c r="R1506" i="1"/>
  <c r="S1514" i="1"/>
  <c r="S1522" i="1"/>
  <c r="R1530" i="1"/>
  <c r="S1538" i="1"/>
  <c r="S1546" i="1"/>
  <c r="R1554" i="1"/>
  <c r="S1561" i="1"/>
  <c r="S1569" i="1"/>
  <c r="S1576" i="1"/>
  <c r="S1583" i="1"/>
  <c r="S1590" i="1"/>
  <c r="S1597" i="1"/>
  <c r="R1605" i="1"/>
  <c r="S888" i="1"/>
  <c r="S1096" i="1"/>
  <c r="S1141" i="1"/>
  <c r="S1177" i="1"/>
  <c r="S1212" i="1"/>
  <c r="S1236" i="1"/>
  <c r="S1260" i="1"/>
  <c r="S1284" i="1"/>
  <c r="S1308" i="1"/>
  <c r="S1332" i="1"/>
  <c r="S1348" i="1"/>
  <c r="S1360" i="1"/>
  <c r="S1372" i="1"/>
  <c r="S1384" i="1"/>
  <c r="S1396" i="1"/>
  <c r="S1408" i="1"/>
  <c r="S1420" i="1"/>
  <c r="S1432" i="1"/>
  <c r="S1444" i="1"/>
  <c r="S1454" i="1"/>
  <c r="S1464" i="1"/>
  <c r="R1475" i="1"/>
  <c r="S1482" i="1"/>
  <c r="S1491" i="1"/>
  <c r="R1499" i="1"/>
  <c r="S1506" i="1"/>
  <c r="S1515" i="1"/>
  <c r="R1523" i="1"/>
  <c r="S1530" i="1"/>
  <c r="S1539" i="1"/>
  <c r="R1547" i="1"/>
  <c r="S948" i="1"/>
  <c r="S1108" i="1"/>
  <c r="S1146" i="1"/>
  <c r="S1182" i="1"/>
  <c r="S1213" i="1"/>
  <c r="S1237" i="1"/>
  <c r="S1261" i="1"/>
  <c r="S1285" i="1"/>
  <c r="S1309" i="1"/>
  <c r="S1333" i="1"/>
  <c r="R1349" i="1"/>
  <c r="R1361" i="1"/>
  <c r="R1373" i="1"/>
  <c r="R1385" i="1"/>
  <c r="R1397" i="1"/>
  <c r="R1409" i="1"/>
  <c r="R1421" i="1"/>
  <c r="R1433" i="1"/>
  <c r="R1445" i="1"/>
  <c r="R1456" i="1"/>
  <c r="S1465" i="1"/>
  <c r="S1475" i="1"/>
  <c r="S1483" i="1"/>
  <c r="R1492" i="1"/>
  <c r="S1499" i="1"/>
  <c r="S1507" i="1"/>
  <c r="R1516" i="1"/>
  <c r="S1523" i="1"/>
  <c r="S1531" i="1"/>
  <c r="R1540" i="1"/>
  <c r="S1547" i="1"/>
  <c r="S1555" i="1"/>
  <c r="S1563" i="1"/>
  <c r="S1570" i="1"/>
  <c r="S1577" i="1"/>
  <c r="S1584" i="1"/>
  <c r="S1591" i="1"/>
  <c r="S1599" i="1"/>
  <c r="R1606" i="1"/>
  <c r="S1612" i="1"/>
  <c r="R1619" i="1"/>
  <c r="S1625" i="1"/>
  <c r="R1632" i="1"/>
  <c r="S1638" i="1"/>
  <c r="R1645" i="1"/>
  <c r="S1651" i="1"/>
  <c r="S1658" i="1"/>
  <c r="R1665" i="1"/>
  <c r="S1671" i="1"/>
  <c r="R1678" i="1"/>
  <c r="S1684" i="1"/>
  <c r="R1691" i="1"/>
  <c r="R1697" i="1"/>
  <c r="R1703" i="1"/>
  <c r="R1709" i="1"/>
  <c r="R1715" i="1"/>
  <c r="R1721" i="1"/>
  <c r="R1727" i="1"/>
  <c r="R1733" i="1"/>
  <c r="R1739" i="1"/>
  <c r="R1745" i="1"/>
  <c r="R1751" i="1"/>
  <c r="R1757" i="1"/>
  <c r="R1763" i="1"/>
  <c r="R1769" i="1"/>
  <c r="R1775" i="1"/>
  <c r="R1781" i="1"/>
  <c r="R1787" i="1"/>
  <c r="R1793" i="1"/>
  <c r="R1799" i="1"/>
  <c r="R1805" i="1"/>
  <c r="R1811" i="1"/>
  <c r="R1817" i="1"/>
  <c r="R1823" i="1"/>
  <c r="R1829" i="1"/>
  <c r="R1835" i="1"/>
  <c r="R1841" i="1"/>
  <c r="R1847" i="1"/>
  <c r="R1853" i="1"/>
  <c r="R1859" i="1"/>
  <c r="R1865" i="1"/>
  <c r="R1871" i="1"/>
  <c r="R1877" i="1"/>
  <c r="R1883" i="1"/>
  <c r="R1889" i="1"/>
  <c r="S1026" i="1"/>
  <c r="S1117" i="1"/>
  <c r="S1153" i="1"/>
  <c r="S1189" i="1"/>
  <c r="S1219" i="1"/>
  <c r="S1243" i="1"/>
  <c r="S1267" i="1"/>
  <c r="S1291" i="1"/>
  <c r="S1315" i="1"/>
  <c r="R1338" i="1"/>
  <c r="S1351" i="1"/>
  <c r="S1363" i="1"/>
  <c r="S1375" i="1"/>
  <c r="S1387" i="1"/>
  <c r="S1399" i="1"/>
  <c r="S1411" i="1"/>
  <c r="S1423" i="1"/>
  <c r="S1435" i="1"/>
  <c r="S1447" i="1"/>
  <c r="R1458" i="1"/>
  <c r="S1468" i="1"/>
  <c r="S1477" i="1"/>
  <c r="R1486" i="1"/>
  <c r="S1493" i="1"/>
  <c r="S1501" i="1"/>
  <c r="R1510" i="1"/>
  <c r="S1517" i="1"/>
  <c r="S1525" i="1"/>
  <c r="R1534" i="1"/>
  <c r="S1541" i="1"/>
  <c r="S1549" i="1"/>
  <c r="R1558" i="1"/>
  <c r="R1565" i="1"/>
  <c r="R1572" i="1"/>
  <c r="R1579" i="1"/>
  <c r="S1586" i="1"/>
  <c r="R1594" i="1"/>
  <c r="R1601" i="1"/>
  <c r="S1607" i="1"/>
  <c r="R1614" i="1"/>
  <c r="S1620" i="1"/>
  <c r="R1627" i="1"/>
  <c r="S1633" i="1"/>
  <c r="S1640" i="1"/>
  <c r="R1647" i="1"/>
  <c r="S1653" i="1"/>
  <c r="R1660" i="1"/>
  <c r="S1666" i="1"/>
  <c r="R1673" i="1"/>
  <c r="S1679" i="1"/>
  <c r="R1686" i="1"/>
  <c r="S1692" i="1"/>
  <c r="S1698" i="1"/>
  <c r="S1704" i="1"/>
  <c r="S1710" i="1"/>
  <c r="S1716" i="1"/>
  <c r="S1722" i="1"/>
  <c r="S1728" i="1"/>
  <c r="S1734" i="1"/>
  <c r="S1740" i="1"/>
  <c r="S1746" i="1"/>
  <c r="S1752" i="1"/>
  <c r="S1758" i="1"/>
  <c r="S1764" i="1"/>
  <c r="S1770" i="1"/>
  <c r="S1776" i="1"/>
  <c r="S1782" i="1"/>
  <c r="S1788" i="1"/>
  <c r="S1794" i="1"/>
  <c r="S1800" i="1"/>
  <c r="S1806" i="1"/>
  <c r="S1812" i="1"/>
  <c r="S1818" i="1"/>
  <c r="S1824" i="1"/>
  <c r="S1830" i="1"/>
  <c r="S1836" i="1"/>
  <c r="S1842" i="1"/>
  <c r="S1848" i="1"/>
  <c r="S1854" i="1"/>
  <c r="S1860" i="1"/>
  <c r="S1866" i="1"/>
  <c r="S1872" i="1"/>
  <c r="S1878" i="1"/>
  <c r="S1884" i="1"/>
  <c r="S1890" i="1"/>
  <c r="S960" i="1"/>
  <c r="R1266" i="1"/>
  <c r="R1374" i="1"/>
  <c r="R1446" i="1"/>
  <c r="R1500" i="1"/>
  <c r="S1533" i="1"/>
  <c r="S1557" i="1"/>
  <c r="R1576" i="1"/>
  <c r="S1592" i="1"/>
  <c r="S1606" i="1"/>
  <c r="R1617" i="1"/>
  <c r="R1626" i="1"/>
  <c r="S1636" i="1"/>
  <c r="S1645" i="1"/>
  <c r="R1656" i="1"/>
  <c r="S1665" i="1"/>
  <c r="S1675" i="1"/>
  <c r="R1685" i="1"/>
  <c r="R1695" i="1"/>
  <c r="S1703" i="1"/>
  <c r="R1713" i="1"/>
  <c r="S1721" i="1"/>
  <c r="R1731" i="1"/>
  <c r="S1739" i="1"/>
  <c r="R1749" i="1"/>
  <c r="S1756" i="1"/>
  <c r="R1765" i="1"/>
  <c r="R1773" i="1"/>
  <c r="S1780" i="1"/>
  <c r="R1789" i="1"/>
  <c r="R1797" i="1"/>
  <c r="S1804" i="1"/>
  <c r="R1813" i="1"/>
  <c r="R1821" i="1"/>
  <c r="S1828" i="1"/>
  <c r="R1837" i="1"/>
  <c r="R1845" i="1"/>
  <c r="S1852" i="1"/>
  <c r="R1861" i="1"/>
  <c r="R1869" i="1"/>
  <c r="S1876" i="1"/>
  <c r="R1885" i="1"/>
  <c r="R1893" i="1"/>
  <c r="R1899" i="1"/>
  <c r="R1905" i="1"/>
  <c r="R1911" i="1"/>
  <c r="R1917" i="1"/>
  <c r="R1923" i="1"/>
  <c r="R1929" i="1"/>
  <c r="R1935" i="1"/>
  <c r="R1941" i="1"/>
  <c r="R1947" i="1"/>
  <c r="R1953" i="1"/>
  <c r="R1959" i="1"/>
  <c r="R1965" i="1"/>
  <c r="R1971" i="1"/>
  <c r="R1977" i="1"/>
  <c r="R1983" i="1"/>
  <c r="R1989" i="1"/>
  <c r="R1995" i="1"/>
  <c r="O193" i="1"/>
  <c r="O195" i="1"/>
  <c r="O201" i="1"/>
  <c r="O207" i="1"/>
  <c r="O213" i="1"/>
  <c r="O219" i="1"/>
  <c r="O225" i="1"/>
  <c r="O231" i="1"/>
  <c r="O237" i="1"/>
  <c r="O243" i="1"/>
  <c r="O249" i="1"/>
  <c r="O255" i="1"/>
  <c r="O261" i="1"/>
  <c r="O267" i="1"/>
  <c r="O273" i="1"/>
  <c r="O279" i="1"/>
  <c r="O285" i="1"/>
  <c r="O291" i="1"/>
  <c r="S1020" i="1"/>
  <c r="S1266" i="1"/>
  <c r="S1374" i="1"/>
  <c r="S1446" i="1"/>
  <c r="S1500" i="1"/>
  <c r="S1537" i="1"/>
  <c r="R1560" i="1"/>
  <c r="R1577" i="1"/>
  <c r="S1593" i="1"/>
  <c r="R1607" i="1"/>
  <c r="S1617" i="1"/>
  <c r="S1626" i="1"/>
  <c r="R1637" i="1"/>
  <c r="S1646" i="1"/>
  <c r="S1656" i="1"/>
  <c r="R1666" i="1"/>
  <c r="S1676" i="1"/>
  <c r="S1685" i="1"/>
  <c r="S1695" i="1"/>
  <c r="R1704" i="1"/>
  <c r="S1713" i="1"/>
  <c r="R1722" i="1"/>
  <c r="S1731" i="1"/>
  <c r="R1740" i="1"/>
  <c r="S1749" i="1"/>
  <c r="S1757" i="1"/>
  <c r="S1765" i="1"/>
  <c r="S1773" i="1"/>
  <c r="S1781" i="1"/>
  <c r="S1789" i="1"/>
  <c r="S1797" i="1"/>
  <c r="S1805" i="1"/>
  <c r="S1813" i="1"/>
  <c r="S1821" i="1"/>
  <c r="S1829" i="1"/>
  <c r="S1837" i="1"/>
  <c r="S1845" i="1"/>
  <c r="S1853" i="1"/>
  <c r="S1861" i="1"/>
  <c r="S1869" i="1"/>
  <c r="S1877" i="1"/>
  <c r="S1885" i="1"/>
  <c r="S1893" i="1"/>
  <c r="S1899" i="1"/>
  <c r="S1905" i="1"/>
  <c r="S1911" i="1"/>
  <c r="S1917" i="1"/>
  <c r="S1923" i="1"/>
  <c r="S1929" i="1"/>
  <c r="S1935" i="1"/>
  <c r="S1941" i="1"/>
  <c r="S1947" i="1"/>
  <c r="S1953" i="1"/>
  <c r="S1959" i="1"/>
  <c r="S1965" i="1"/>
  <c r="S1971" i="1"/>
  <c r="S1977" i="1"/>
  <c r="S1983" i="1"/>
  <c r="S1989" i="1"/>
  <c r="S1995" i="1"/>
  <c r="P193" i="1"/>
  <c r="P195" i="1"/>
  <c r="P201" i="1"/>
  <c r="S1109" i="1"/>
  <c r="R1290" i="1"/>
  <c r="R1386" i="1"/>
  <c r="S1456" i="1"/>
  <c r="S1508" i="1"/>
  <c r="S1540" i="1"/>
  <c r="R1561" i="1"/>
  <c r="R1578" i="1"/>
  <c r="R1596" i="1"/>
  <c r="S1608" i="1"/>
  <c r="R1618" i="1"/>
  <c r="S1628" i="1"/>
  <c r="S1637" i="1"/>
  <c r="R1648" i="1"/>
  <c r="R1657" i="1"/>
  <c r="S1667" i="1"/>
  <c r="R1677" i="1"/>
  <c r="R1687" i="1"/>
  <c r="R1696" i="1"/>
  <c r="S1705" i="1"/>
  <c r="R1714" i="1"/>
  <c r="S1723" i="1"/>
  <c r="R1732" i="1"/>
  <c r="S1741" i="1"/>
  <c r="R1750" i="1"/>
  <c r="R1758" i="1"/>
  <c r="S1766" i="1"/>
  <c r="R1774" i="1"/>
  <c r="R1782" i="1"/>
  <c r="S1790" i="1"/>
  <c r="R1798" i="1"/>
  <c r="R1806" i="1"/>
  <c r="S1814" i="1"/>
  <c r="R1822" i="1"/>
  <c r="R1830" i="1"/>
  <c r="S1838" i="1"/>
  <c r="R1846" i="1"/>
  <c r="R1854" i="1"/>
  <c r="S1862" i="1"/>
  <c r="R1870" i="1"/>
  <c r="R1878" i="1"/>
  <c r="S1886" i="1"/>
  <c r="R1894" i="1"/>
  <c r="R1900" i="1"/>
  <c r="R1906" i="1"/>
  <c r="R1912" i="1"/>
  <c r="R1918" i="1"/>
  <c r="R1924" i="1"/>
  <c r="R1930" i="1"/>
  <c r="R1936" i="1"/>
  <c r="R1942" i="1"/>
  <c r="R1948" i="1"/>
  <c r="R1954" i="1"/>
  <c r="R1960" i="1"/>
  <c r="R1966" i="1"/>
  <c r="R1972" i="1"/>
  <c r="R1978" i="1"/>
  <c r="R1984" i="1"/>
  <c r="R1990" i="1"/>
  <c r="R1996" i="1"/>
  <c r="O194" i="1"/>
  <c r="O196" i="1"/>
  <c r="O202" i="1"/>
  <c r="O208" i="1"/>
  <c r="O214" i="1"/>
  <c r="O220" i="1"/>
  <c r="O226" i="1"/>
  <c r="O232" i="1"/>
  <c r="O238" i="1"/>
  <c r="O244" i="1"/>
  <c r="O250" i="1"/>
  <c r="O256" i="1"/>
  <c r="O262" i="1"/>
  <c r="O268" i="1"/>
  <c r="O274" i="1"/>
  <c r="O280" i="1"/>
  <c r="O286" i="1"/>
  <c r="O292" i="1"/>
  <c r="O298" i="1"/>
  <c r="O304" i="1"/>
  <c r="O310" i="1"/>
  <c r="O316" i="1"/>
  <c r="O322" i="1"/>
  <c r="O328" i="1"/>
  <c r="O334" i="1"/>
  <c r="O340" i="1"/>
  <c r="S1116" i="1"/>
  <c r="S1290" i="1"/>
  <c r="S1386" i="1"/>
  <c r="R1457" i="1"/>
  <c r="S1509" i="1"/>
  <c r="R1541" i="1"/>
  <c r="S1562" i="1"/>
  <c r="S1578" i="1"/>
  <c r="R1597" i="1"/>
  <c r="S1609" i="1"/>
  <c r="S1618" i="1"/>
  <c r="S1629" i="1"/>
  <c r="R1638" i="1"/>
  <c r="R1649" i="1"/>
  <c r="S1657" i="1"/>
  <c r="S1668" i="1"/>
  <c r="S1677" i="1"/>
  <c r="S1688" i="1"/>
  <c r="S1696" i="1"/>
  <c r="S1706" i="1"/>
  <c r="S1714" i="1"/>
  <c r="S1724" i="1"/>
  <c r="S1732" i="1"/>
  <c r="S1742" i="1"/>
  <c r="S1750" i="1"/>
  <c r="R1759" i="1"/>
  <c r="R1767" i="1"/>
  <c r="S1774" i="1"/>
  <c r="R1783" i="1"/>
  <c r="R1791" i="1"/>
  <c r="S1798" i="1"/>
  <c r="R1807" i="1"/>
  <c r="R1815" i="1"/>
  <c r="S1822" i="1"/>
  <c r="R1831" i="1"/>
  <c r="R1839" i="1"/>
  <c r="S1846" i="1"/>
  <c r="R1855" i="1"/>
  <c r="R1863" i="1"/>
  <c r="S1870" i="1"/>
  <c r="R1879" i="1"/>
  <c r="R1887" i="1"/>
  <c r="S1147" i="1"/>
  <c r="R1314" i="1"/>
  <c r="R1398" i="1"/>
  <c r="S1466" i="1"/>
  <c r="S1513" i="1"/>
  <c r="S1544" i="1"/>
  <c r="R1564" i="1"/>
  <c r="R1582" i="1"/>
  <c r="S1598" i="1"/>
  <c r="S1610" i="1"/>
  <c r="S1619" i="1"/>
  <c r="R1630" i="1"/>
  <c r="R1639" i="1"/>
  <c r="S1649" i="1"/>
  <c r="R1659" i="1"/>
  <c r="R1669" i="1"/>
  <c r="S1678" i="1"/>
  <c r="R1689" i="1"/>
  <c r="S1697" i="1"/>
  <c r="R1707" i="1"/>
  <c r="S1715" i="1"/>
  <c r="R1725" i="1"/>
  <c r="S1733" i="1"/>
  <c r="R1743" i="1"/>
  <c r="S1751" i="1"/>
  <c r="S1759" i="1"/>
  <c r="S1767" i="1"/>
  <c r="S1775" i="1"/>
  <c r="S1783" i="1"/>
  <c r="S1791" i="1"/>
  <c r="S1799" i="1"/>
  <c r="S1807" i="1"/>
  <c r="S1815" i="1"/>
  <c r="S1823" i="1"/>
  <c r="S1831" i="1"/>
  <c r="S1839" i="1"/>
  <c r="S1847" i="1"/>
  <c r="S1855" i="1"/>
  <c r="S1863" i="1"/>
  <c r="S1871" i="1"/>
  <c r="S1152" i="1"/>
  <c r="S1314" i="1"/>
  <c r="S1398" i="1"/>
  <c r="R1468" i="1"/>
  <c r="S1516" i="1"/>
  <c r="R1546" i="1"/>
  <c r="S1564" i="1"/>
  <c r="R1583" i="1"/>
  <c r="R1600" i="1"/>
  <c r="R1611" i="1"/>
  <c r="R1620" i="1"/>
  <c r="S1630" i="1"/>
  <c r="S1639" i="1"/>
  <c r="R1650" i="1"/>
  <c r="S1659" i="1"/>
  <c r="S1669" i="1"/>
  <c r="R1679" i="1"/>
  <c r="S1689" i="1"/>
  <c r="R1698" i="1"/>
  <c r="S1707" i="1"/>
  <c r="R1716" i="1"/>
  <c r="S1725" i="1"/>
  <c r="R1734" i="1"/>
  <c r="S1743" i="1"/>
  <c r="R1752" i="1"/>
  <c r="S1760" i="1"/>
  <c r="R1768" i="1"/>
  <c r="R1776" i="1"/>
  <c r="S1784" i="1"/>
  <c r="R1792" i="1"/>
  <c r="S1183" i="1"/>
  <c r="S1336" i="1"/>
  <c r="R1410" i="1"/>
  <c r="R1476" i="1"/>
  <c r="R1517" i="1"/>
  <c r="R1548" i="1"/>
  <c r="R1567" i="1"/>
  <c r="R1584" i="1"/>
  <c r="S1600" i="1"/>
  <c r="S1611" i="1"/>
  <c r="S1621" i="1"/>
  <c r="R1631" i="1"/>
  <c r="S1641" i="1"/>
  <c r="S1650" i="1"/>
  <c r="R1661" i="1"/>
  <c r="S1670" i="1"/>
  <c r="S1680" i="1"/>
  <c r="R1690" i="1"/>
  <c r="S1699" i="1"/>
  <c r="R1708" i="1"/>
  <c r="S1717" i="1"/>
  <c r="R1726" i="1"/>
  <c r="S1735" i="1"/>
  <c r="R1744" i="1"/>
  <c r="R1753" i="1"/>
  <c r="R1761" i="1"/>
  <c r="S1768" i="1"/>
  <c r="R1777" i="1"/>
  <c r="R1785" i="1"/>
  <c r="S1792" i="1"/>
  <c r="R1801" i="1"/>
  <c r="R1809" i="1"/>
  <c r="S1816" i="1"/>
  <c r="R1825" i="1"/>
  <c r="R1833" i="1"/>
  <c r="S1840" i="1"/>
  <c r="R1849" i="1"/>
  <c r="R1857" i="1"/>
  <c r="S1864" i="1"/>
  <c r="S1188" i="1"/>
  <c r="R1337" i="1"/>
  <c r="S1410" i="1"/>
  <c r="S1476" i="1"/>
  <c r="R1522" i="1"/>
  <c r="S1548" i="1"/>
  <c r="S1568" i="1"/>
  <c r="R1585" i="1"/>
  <c r="R1602" i="1"/>
  <c r="R1612" i="1"/>
  <c r="R1623" i="1"/>
  <c r="S1631" i="1"/>
  <c r="S1642" i="1"/>
  <c r="R1651" i="1"/>
  <c r="R1662" i="1"/>
  <c r="R1671" i="1"/>
  <c r="S1681" i="1"/>
  <c r="S1690" i="1"/>
  <c r="S1700" i="1"/>
  <c r="S1708" i="1"/>
  <c r="S1718" i="1"/>
  <c r="S1726" i="1"/>
  <c r="S1736" i="1"/>
  <c r="S1744" i="1"/>
  <c r="S1753" i="1"/>
  <c r="S1761" i="1"/>
  <c r="S1769" i="1"/>
  <c r="S1777" i="1"/>
  <c r="S1785" i="1"/>
  <c r="S1793" i="1"/>
  <c r="S1801" i="1"/>
  <c r="S1809" i="1"/>
  <c r="S1817" i="1"/>
  <c r="S1825" i="1"/>
  <c r="S1833" i="1"/>
  <c r="S1841" i="1"/>
  <c r="S1849" i="1"/>
  <c r="S1857" i="1"/>
  <c r="S1865" i="1"/>
  <c r="R1242" i="1"/>
  <c r="R1362" i="1"/>
  <c r="R1434" i="1"/>
  <c r="S1492" i="1"/>
  <c r="S1529" i="1"/>
  <c r="S1554" i="1"/>
  <c r="S1571" i="1"/>
  <c r="R1590" i="1"/>
  <c r="S1604" i="1"/>
  <c r="R1615" i="1"/>
  <c r="S1624" i="1"/>
  <c r="R1635" i="1"/>
  <c r="R1644" i="1"/>
  <c r="S1654" i="1"/>
  <c r="S1663" i="1"/>
  <c r="R1674" i="1"/>
  <c r="S1683" i="1"/>
  <c r="S1693" i="1"/>
  <c r="R1702" i="1"/>
  <c r="S1711" i="1"/>
  <c r="R1720" i="1"/>
  <c r="S1729" i="1"/>
  <c r="R1738" i="1"/>
  <c r="S1747" i="1"/>
  <c r="S1755" i="1"/>
  <c r="S1763" i="1"/>
  <c r="S1771" i="1"/>
  <c r="S1779" i="1"/>
  <c r="S1787" i="1"/>
  <c r="S1795" i="1"/>
  <c r="S1803" i="1"/>
  <c r="S1811" i="1"/>
  <c r="S1819" i="1"/>
  <c r="S1827" i="1"/>
  <c r="S1835" i="1"/>
  <c r="S1843" i="1"/>
  <c r="S1851" i="1"/>
  <c r="S1859" i="1"/>
  <c r="S1867" i="1"/>
  <c r="S1875" i="1"/>
  <c r="S1883" i="1"/>
  <c r="S1891" i="1"/>
  <c r="R1898" i="1"/>
  <c r="R1904" i="1"/>
  <c r="R1910" i="1"/>
  <c r="R1916" i="1"/>
  <c r="R1922" i="1"/>
  <c r="R1928" i="1"/>
  <c r="R1934" i="1"/>
  <c r="R1940" i="1"/>
  <c r="R1946" i="1"/>
  <c r="R1952" i="1"/>
  <c r="R1958" i="1"/>
  <c r="R1964" i="1"/>
  <c r="R1970" i="1"/>
  <c r="R1976" i="1"/>
  <c r="R1982" i="1"/>
  <c r="R1988" i="1"/>
  <c r="R1994" i="1"/>
  <c r="R2000" i="1"/>
  <c r="O200" i="1"/>
  <c r="O206" i="1"/>
  <c r="O212" i="1"/>
  <c r="O218" i="1"/>
  <c r="O224" i="1"/>
  <c r="O230" i="1"/>
  <c r="O236" i="1"/>
  <c r="O242" i="1"/>
  <c r="O248" i="1"/>
  <c r="O254" i="1"/>
  <c r="O260" i="1"/>
  <c r="O266" i="1"/>
  <c r="O272" i="1"/>
  <c r="O278" i="1"/>
  <c r="O284" i="1"/>
  <c r="O290" i="1"/>
  <c r="O296" i="1"/>
  <c r="O302" i="1"/>
  <c r="O308" i="1"/>
  <c r="O314" i="1"/>
  <c r="O320" i="1"/>
  <c r="O326" i="1"/>
  <c r="O332" i="1"/>
  <c r="O338" i="1"/>
  <c r="S1242" i="1"/>
  <c r="S1362" i="1"/>
  <c r="S1434" i="1"/>
  <c r="R1493" i="1"/>
  <c r="S1532" i="1"/>
  <c r="S1556" i="1"/>
  <c r="S1574" i="1"/>
  <c r="R1591" i="1"/>
  <c r="S1605" i="1"/>
  <c r="S1616" i="1"/>
  <c r="R1625" i="1"/>
  <c r="R1636" i="1"/>
  <c r="S1644" i="1"/>
  <c r="S1655" i="1"/>
  <c r="S1664" i="1"/>
  <c r="R1675" i="1"/>
  <c r="R1684" i="1"/>
  <c r="S1694" i="1"/>
  <c r="S1702" i="1"/>
  <c r="S1712" i="1"/>
  <c r="S1720" i="1"/>
  <c r="S1730" i="1"/>
  <c r="S1738" i="1"/>
  <c r="S1748" i="1"/>
  <c r="R1756" i="1"/>
  <c r="R1764" i="1"/>
  <c r="S1772" i="1"/>
  <c r="R1780" i="1"/>
  <c r="R1788" i="1"/>
  <c r="S1796" i="1"/>
  <c r="R1804" i="1"/>
  <c r="R1812" i="1"/>
  <c r="S1820" i="1"/>
  <c r="R1828" i="1"/>
  <c r="R1836" i="1"/>
  <c r="S1844" i="1"/>
  <c r="R1852" i="1"/>
  <c r="R1860" i="1"/>
  <c r="S1868" i="1"/>
  <c r="R1876" i="1"/>
  <c r="R1884" i="1"/>
  <c r="S1892" i="1"/>
  <c r="S1898" i="1"/>
  <c r="S1904" i="1"/>
  <c r="S1910" i="1"/>
  <c r="S1916" i="1"/>
  <c r="S1922" i="1"/>
  <c r="S1928" i="1"/>
  <c r="S1934" i="1"/>
  <c r="S1940" i="1"/>
  <c r="S1946" i="1"/>
  <c r="S1952" i="1"/>
  <c r="S1958" i="1"/>
  <c r="S1964" i="1"/>
  <c r="S1970" i="1"/>
  <c r="S1976" i="1"/>
  <c r="S1982" i="1"/>
  <c r="S1988" i="1"/>
  <c r="S1994" i="1"/>
  <c r="S2000" i="1"/>
  <c r="P200" i="1"/>
  <c r="P206" i="1"/>
  <c r="P212" i="1"/>
  <c r="P218" i="1"/>
  <c r="P224" i="1"/>
  <c r="P230" i="1"/>
  <c r="P236" i="1"/>
  <c r="P242" i="1"/>
  <c r="P248" i="1"/>
  <c r="P254" i="1"/>
  <c r="P260" i="1"/>
  <c r="P266" i="1"/>
  <c r="P272" i="1"/>
  <c r="P278" i="1"/>
  <c r="P284" i="1"/>
  <c r="P290" i="1"/>
  <c r="P296" i="1"/>
  <c r="P302" i="1"/>
  <c r="P308" i="1"/>
  <c r="P314" i="1"/>
  <c r="P320" i="1"/>
  <c r="P326" i="1"/>
  <c r="P332" i="1"/>
  <c r="P338" i="1"/>
  <c r="R1218" i="1"/>
  <c r="R1570" i="1"/>
  <c r="R1643" i="1"/>
  <c r="R1701" i="1"/>
  <c r="S1754" i="1"/>
  <c r="R1800" i="1"/>
  <c r="S1832" i="1"/>
  <c r="R1864" i="1"/>
  <c r="R1882" i="1"/>
  <c r="S1896" i="1"/>
  <c r="S1907" i="1"/>
  <c r="S1918" i="1"/>
  <c r="R1927" i="1"/>
  <c r="R1938" i="1"/>
  <c r="R1949" i="1"/>
  <c r="S1957" i="1"/>
  <c r="S1968" i="1"/>
  <c r="S1979" i="1"/>
  <c r="S1990" i="1"/>
  <c r="R1999" i="1"/>
  <c r="O198" i="1"/>
  <c r="P208" i="1"/>
  <c r="P216" i="1"/>
  <c r="P226" i="1"/>
  <c r="P234" i="1"/>
  <c r="P244" i="1"/>
  <c r="P252" i="1"/>
  <c r="P262" i="1"/>
  <c r="P270" i="1"/>
  <c r="P280" i="1"/>
  <c r="P288" i="1"/>
  <c r="P297" i="1"/>
  <c r="P305" i="1"/>
  <c r="O313" i="1"/>
  <c r="P321" i="1"/>
  <c r="P329" i="1"/>
  <c r="O337" i="1"/>
  <c r="P344" i="1"/>
  <c r="P350" i="1"/>
  <c r="P356" i="1"/>
  <c r="P362" i="1"/>
  <c r="P368" i="1"/>
  <c r="P374" i="1"/>
  <c r="P380" i="1"/>
  <c r="P386" i="1"/>
  <c r="P392" i="1"/>
  <c r="P398" i="1"/>
  <c r="P404" i="1"/>
  <c r="P410" i="1"/>
  <c r="P416" i="1"/>
  <c r="P422" i="1"/>
  <c r="P428" i="1"/>
  <c r="P434" i="1"/>
  <c r="P440" i="1"/>
  <c r="P446" i="1"/>
  <c r="P452" i="1"/>
  <c r="P458" i="1"/>
  <c r="P464" i="1"/>
  <c r="P470" i="1"/>
  <c r="P476" i="1"/>
  <c r="P482" i="1"/>
  <c r="P488" i="1"/>
  <c r="P494" i="1"/>
  <c r="P500" i="1"/>
  <c r="P506" i="1"/>
  <c r="P512" i="1"/>
  <c r="S1218" i="1"/>
  <c r="R1571" i="1"/>
  <c r="S1643" i="1"/>
  <c r="S1701" i="1"/>
  <c r="R1755" i="1"/>
  <c r="S1802" i="1"/>
  <c r="R1834" i="1"/>
  <c r="R1866" i="1"/>
  <c r="S1882" i="1"/>
  <c r="R1897" i="1"/>
  <c r="R1908" i="1"/>
  <c r="R1919" i="1"/>
  <c r="S1927" i="1"/>
  <c r="S1938" i="1"/>
  <c r="S1949" i="1"/>
  <c r="S1960" i="1"/>
  <c r="R1969" i="1"/>
  <c r="R1980" i="1"/>
  <c r="R1991" i="1"/>
  <c r="S1999" i="1"/>
  <c r="P198" i="1"/>
  <c r="O209" i="1"/>
  <c r="O217" i="1"/>
  <c r="O227" i="1"/>
  <c r="O235" i="1"/>
  <c r="O245" i="1"/>
  <c r="O253" i="1"/>
  <c r="O263" i="1"/>
  <c r="O271" i="1"/>
  <c r="O281" i="1"/>
  <c r="O289" i="1"/>
  <c r="P298" i="1"/>
  <c r="O306" i="1"/>
  <c r="P313" i="1"/>
  <c r="P322" i="1"/>
  <c r="O330" i="1"/>
  <c r="P337" i="1"/>
  <c r="O345" i="1"/>
  <c r="O351" i="1"/>
  <c r="O357" i="1"/>
  <c r="O363" i="1"/>
  <c r="O369" i="1"/>
  <c r="O375" i="1"/>
  <c r="O381" i="1"/>
  <c r="O387" i="1"/>
  <c r="O393" i="1"/>
  <c r="O399" i="1"/>
  <c r="O405" i="1"/>
  <c r="O411" i="1"/>
  <c r="O417" i="1"/>
  <c r="O423" i="1"/>
  <c r="O429" i="1"/>
  <c r="O435" i="1"/>
  <c r="O441" i="1"/>
  <c r="O447" i="1"/>
  <c r="O453" i="1"/>
  <c r="O459" i="1"/>
  <c r="O465" i="1"/>
  <c r="O471" i="1"/>
  <c r="O477" i="1"/>
  <c r="O483" i="1"/>
  <c r="O489" i="1"/>
  <c r="O495" i="1"/>
  <c r="O501" i="1"/>
  <c r="O507" i="1"/>
  <c r="O513" i="1"/>
  <c r="O519" i="1"/>
  <c r="O525" i="1"/>
  <c r="O531" i="1"/>
  <c r="O537" i="1"/>
  <c r="O543" i="1"/>
  <c r="O549" i="1"/>
  <c r="O555" i="1"/>
  <c r="O561" i="1"/>
  <c r="O567" i="1"/>
  <c r="O573" i="1"/>
  <c r="O579" i="1"/>
  <c r="O585" i="1"/>
  <c r="O591" i="1"/>
  <c r="O597" i="1"/>
  <c r="R1350" i="1"/>
  <c r="S1585" i="1"/>
  <c r="S1652" i="1"/>
  <c r="S1709" i="1"/>
  <c r="R1762" i="1"/>
  <c r="R1803" i="1"/>
  <c r="S1834" i="1"/>
  <c r="R1867" i="1"/>
  <c r="S1887" i="1"/>
  <c r="S1897" i="1"/>
  <c r="S1908" i="1"/>
  <c r="S1919" i="1"/>
  <c r="S1930" i="1"/>
  <c r="R1939" i="1"/>
  <c r="R1950" i="1"/>
  <c r="R1961" i="1"/>
  <c r="S1969" i="1"/>
  <c r="S1980" i="1"/>
  <c r="S1991" i="1"/>
  <c r="P194" i="1"/>
  <c r="O199" i="1"/>
  <c r="P209" i="1"/>
  <c r="P217" i="1"/>
  <c r="P227" i="1"/>
  <c r="P235" i="1"/>
  <c r="P245" i="1"/>
  <c r="P253" i="1"/>
  <c r="P263" i="1"/>
  <c r="P271" i="1"/>
  <c r="P281" i="1"/>
  <c r="P289" i="1"/>
  <c r="O299" i="1"/>
  <c r="P306" i="1"/>
  <c r="O315" i="1"/>
  <c r="O323" i="1"/>
  <c r="P330" i="1"/>
  <c r="O339" i="1"/>
  <c r="P345" i="1"/>
  <c r="P351" i="1"/>
  <c r="S1350" i="1"/>
  <c r="R1589" i="1"/>
  <c r="R1653" i="1"/>
  <c r="R1710" i="1"/>
  <c r="S1762" i="1"/>
  <c r="S1808" i="1"/>
  <c r="R1840" i="1"/>
  <c r="R1872" i="1"/>
  <c r="R1888" i="1"/>
  <c r="S1900" i="1"/>
  <c r="R1909" i="1"/>
  <c r="R1920" i="1"/>
  <c r="R1931" i="1"/>
  <c r="S1939" i="1"/>
  <c r="S1950" i="1"/>
  <c r="S1961" i="1"/>
  <c r="S1972" i="1"/>
  <c r="R1981" i="1"/>
  <c r="R1992" i="1"/>
  <c r="P199" i="1"/>
  <c r="O210" i="1"/>
  <c r="P219" i="1"/>
  <c r="O228" i="1"/>
  <c r="P237" i="1"/>
  <c r="O246" i="1"/>
  <c r="P255" i="1"/>
  <c r="O264" i="1"/>
  <c r="P273" i="1"/>
  <c r="O282" i="1"/>
  <c r="P291" i="1"/>
  <c r="P299" i="1"/>
  <c r="O307" i="1"/>
  <c r="P315" i="1"/>
  <c r="P323" i="1"/>
  <c r="O331" i="1"/>
  <c r="P339" i="1"/>
  <c r="O346" i="1"/>
  <c r="O352" i="1"/>
  <c r="R1422" i="1"/>
  <c r="R1603" i="1"/>
  <c r="S1662" i="1"/>
  <c r="R1719" i="1"/>
  <c r="R1770" i="1"/>
  <c r="R1810" i="1"/>
  <c r="R1842" i="1"/>
  <c r="R1873" i="1"/>
  <c r="S1888" i="1"/>
  <c r="R1901" i="1"/>
  <c r="S1909" i="1"/>
  <c r="S1920" i="1"/>
  <c r="S1931" i="1"/>
  <c r="S1942" i="1"/>
  <c r="R1951" i="1"/>
  <c r="R1962" i="1"/>
  <c r="R1973" i="1"/>
  <c r="S1981" i="1"/>
  <c r="S1992" i="1"/>
  <c r="P202" i="1"/>
  <c r="P210" i="1"/>
  <c r="P220" i="1"/>
  <c r="P228" i="1"/>
  <c r="P238" i="1"/>
  <c r="P246" i="1"/>
  <c r="P256" i="1"/>
  <c r="P264" i="1"/>
  <c r="P274" i="1"/>
  <c r="P282" i="1"/>
  <c r="P292" i="1"/>
  <c r="O300" i="1"/>
  <c r="P307" i="1"/>
  <c r="P316" i="1"/>
  <c r="O324" i="1"/>
  <c r="P331" i="1"/>
  <c r="P340" i="1"/>
  <c r="P346" i="1"/>
  <c r="P352" i="1"/>
  <c r="S1422" i="1"/>
  <c r="S1603" i="1"/>
  <c r="R1663" i="1"/>
  <c r="S1719" i="1"/>
  <c r="R1771" i="1"/>
  <c r="S1810" i="1"/>
  <c r="R1843" i="1"/>
  <c r="S1873" i="1"/>
  <c r="S1889" i="1"/>
  <c r="S1901" i="1"/>
  <c r="S1912" i="1"/>
  <c r="R1921" i="1"/>
  <c r="R1932" i="1"/>
  <c r="R1943" i="1"/>
  <c r="S1951" i="1"/>
  <c r="S1962" i="1"/>
  <c r="S1973" i="1"/>
  <c r="S1984" i="1"/>
  <c r="R1993" i="1"/>
  <c r="O203" i="1"/>
  <c r="O211" i="1"/>
  <c r="O221" i="1"/>
  <c r="O229" i="1"/>
  <c r="O239" i="1"/>
  <c r="O247" i="1"/>
  <c r="O257" i="1"/>
  <c r="O265" i="1"/>
  <c r="O275" i="1"/>
  <c r="O283" i="1"/>
  <c r="O293" i="1"/>
  <c r="P300" i="1"/>
  <c r="O309" i="1"/>
  <c r="O317" i="1"/>
  <c r="P324" i="1"/>
  <c r="O333" i="1"/>
  <c r="O341" i="1"/>
  <c r="O347" i="1"/>
  <c r="O353" i="1"/>
  <c r="O359" i="1"/>
  <c r="S1484" i="1"/>
  <c r="R1613" i="1"/>
  <c r="R1672" i="1"/>
  <c r="S1727" i="1"/>
  <c r="S1778" i="1"/>
  <c r="R1816" i="1"/>
  <c r="R1848" i="1"/>
  <c r="S1874" i="1"/>
  <c r="R1890" i="1"/>
  <c r="R1902" i="1"/>
  <c r="R1913" i="1"/>
  <c r="S1921" i="1"/>
  <c r="S1932" i="1"/>
  <c r="S1943" i="1"/>
  <c r="S1954" i="1"/>
  <c r="R1963" i="1"/>
  <c r="R1974" i="1"/>
  <c r="R1985" i="1"/>
  <c r="S1993" i="1"/>
  <c r="P203" i="1"/>
  <c r="P211" i="1"/>
  <c r="P221" i="1"/>
  <c r="P229" i="1"/>
  <c r="P239" i="1"/>
  <c r="P247" i="1"/>
  <c r="P257" i="1"/>
  <c r="P265" i="1"/>
  <c r="P275" i="1"/>
  <c r="P283" i="1"/>
  <c r="P293" i="1"/>
  <c r="O301" i="1"/>
  <c r="P309" i="1"/>
  <c r="P317" i="1"/>
  <c r="O325" i="1"/>
  <c r="P333" i="1"/>
  <c r="P341" i="1"/>
  <c r="P347" i="1"/>
  <c r="P353" i="1"/>
  <c r="P359" i="1"/>
  <c r="S1485" i="1"/>
  <c r="S1613" i="1"/>
  <c r="S1672" i="1"/>
  <c r="R1728" i="1"/>
  <c r="R1779" i="1"/>
  <c r="R1818" i="1"/>
  <c r="S1850" i="1"/>
  <c r="R1875" i="1"/>
  <c r="R1891" i="1"/>
  <c r="S1902" i="1"/>
  <c r="S1913" i="1"/>
  <c r="S1924" i="1"/>
  <c r="R1933" i="1"/>
  <c r="R1944" i="1"/>
  <c r="R1955" i="1"/>
  <c r="S1963" i="1"/>
  <c r="S1974" i="1"/>
  <c r="S1985" i="1"/>
  <c r="S1996" i="1"/>
  <c r="O204" i="1"/>
  <c r="P213" i="1"/>
  <c r="O222" i="1"/>
  <c r="P231" i="1"/>
  <c r="O240" i="1"/>
  <c r="P249" i="1"/>
  <c r="O258" i="1"/>
  <c r="P267" i="1"/>
  <c r="O276" i="1"/>
  <c r="P285" i="1"/>
  <c r="O294" i="1"/>
  <c r="P301" i="1"/>
  <c r="P310" i="1"/>
  <c r="O318" i="1"/>
  <c r="P325" i="1"/>
  <c r="P334" i="1"/>
  <c r="O342" i="1"/>
  <c r="O348" i="1"/>
  <c r="O354" i="1"/>
  <c r="O360" i="1"/>
  <c r="O366" i="1"/>
  <c r="O372" i="1"/>
  <c r="O378" i="1"/>
  <c r="O384" i="1"/>
  <c r="O390" i="1"/>
  <c r="O396" i="1"/>
  <c r="O402" i="1"/>
  <c r="O408" i="1"/>
  <c r="O414" i="1"/>
  <c r="O420" i="1"/>
  <c r="O426" i="1"/>
  <c r="O432" i="1"/>
  <c r="O438" i="1"/>
  <c r="O444" i="1"/>
  <c r="O450" i="1"/>
  <c r="O456" i="1"/>
  <c r="O462" i="1"/>
  <c r="O468" i="1"/>
  <c r="O474" i="1"/>
  <c r="O480" i="1"/>
  <c r="O486" i="1"/>
  <c r="O492" i="1"/>
  <c r="O498" i="1"/>
  <c r="O504" i="1"/>
  <c r="O510" i="1"/>
  <c r="O516" i="1"/>
  <c r="O522" i="1"/>
  <c r="O528" i="1"/>
  <c r="O534" i="1"/>
  <c r="O540" i="1"/>
  <c r="O546" i="1"/>
  <c r="O552" i="1"/>
  <c r="O558" i="1"/>
  <c r="O564" i="1"/>
  <c r="O570" i="1"/>
  <c r="O576" i="1"/>
  <c r="O582" i="1"/>
  <c r="O588" i="1"/>
  <c r="O594" i="1"/>
  <c r="O600" i="1"/>
  <c r="O606" i="1"/>
  <c r="O612" i="1"/>
  <c r="O618" i="1"/>
  <c r="O624" i="1"/>
  <c r="O630" i="1"/>
  <c r="R1524" i="1"/>
  <c r="S1623" i="1"/>
  <c r="S1682" i="1"/>
  <c r="R1737" i="1"/>
  <c r="R1786" i="1"/>
  <c r="R1819" i="1"/>
  <c r="R1851" i="1"/>
  <c r="S1879" i="1"/>
  <c r="S1894" i="1"/>
  <c r="R1903" i="1"/>
  <c r="R1914" i="1"/>
  <c r="R1925" i="1"/>
  <c r="S1933" i="1"/>
  <c r="S1944" i="1"/>
  <c r="S1955" i="1"/>
  <c r="S1966" i="1"/>
  <c r="R1975" i="1"/>
  <c r="R1986" i="1"/>
  <c r="R1997" i="1"/>
  <c r="P204" i="1"/>
  <c r="P214" i="1"/>
  <c r="P222" i="1"/>
  <c r="P232" i="1"/>
  <c r="P240" i="1"/>
  <c r="P250" i="1"/>
  <c r="P258" i="1"/>
  <c r="P268" i="1"/>
  <c r="P276" i="1"/>
  <c r="P286" i="1"/>
  <c r="P294" i="1"/>
  <c r="O303" i="1"/>
  <c r="O311" i="1"/>
  <c r="P318" i="1"/>
  <c r="O327" i="1"/>
  <c r="O335" i="1"/>
  <c r="P342" i="1"/>
  <c r="P348" i="1"/>
  <c r="P354" i="1"/>
  <c r="P360" i="1"/>
  <c r="P366" i="1"/>
  <c r="P372" i="1"/>
  <c r="P378" i="1"/>
  <c r="P384" i="1"/>
  <c r="P390" i="1"/>
  <c r="P396" i="1"/>
  <c r="P402" i="1"/>
  <c r="P408" i="1"/>
  <c r="P414" i="1"/>
  <c r="P420" i="1"/>
  <c r="P426" i="1"/>
  <c r="P432" i="1"/>
  <c r="P438" i="1"/>
  <c r="P444" i="1"/>
  <c r="P450" i="1"/>
  <c r="P456" i="1"/>
  <c r="P462" i="1"/>
  <c r="P468" i="1"/>
  <c r="P474" i="1"/>
  <c r="P480" i="1"/>
  <c r="P486" i="1"/>
  <c r="P492" i="1"/>
  <c r="P498" i="1"/>
  <c r="P504" i="1"/>
  <c r="P510" i="1"/>
  <c r="P516" i="1"/>
  <c r="P522" i="1"/>
  <c r="P528" i="1"/>
  <c r="P534" i="1"/>
  <c r="P540" i="1"/>
  <c r="P546" i="1"/>
  <c r="P552" i="1"/>
  <c r="P558" i="1"/>
  <c r="P564" i="1"/>
  <c r="P570" i="1"/>
  <c r="P576" i="1"/>
  <c r="P582" i="1"/>
  <c r="P588" i="1"/>
  <c r="P594" i="1"/>
  <c r="P600" i="1"/>
  <c r="P606" i="1"/>
  <c r="P612" i="1"/>
  <c r="P618" i="1"/>
  <c r="P624" i="1"/>
  <c r="P630" i="1"/>
  <c r="P636" i="1"/>
  <c r="S1553" i="1"/>
  <c r="R1633" i="1"/>
  <c r="R1692" i="1"/>
  <c r="R1746" i="1"/>
  <c r="R1795" i="1"/>
  <c r="R1827" i="1"/>
  <c r="S1858" i="1"/>
  <c r="S1881" i="1"/>
  <c r="R1896" i="1"/>
  <c r="R1907" i="1"/>
  <c r="S1915" i="1"/>
  <c r="S1926" i="1"/>
  <c r="S1937" i="1"/>
  <c r="S1948" i="1"/>
  <c r="R1957" i="1"/>
  <c r="R1968" i="1"/>
  <c r="R1979" i="1"/>
  <c r="S1987" i="1"/>
  <c r="S1998" i="1"/>
  <c r="P197" i="1"/>
  <c r="P207" i="1"/>
  <c r="O216" i="1"/>
  <c r="P225" i="1"/>
  <c r="O234" i="1"/>
  <c r="P243" i="1"/>
  <c r="O252" i="1"/>
  <c r="P261" i="1"/>
  <c r="O270" i="1"/>
  <c r="P279" i="1"/>
  <c r="O288" i="1"/>
  <c r="O297" i="1"/>
  <c r="O305" i="1"/>
  <c r="P312" i="1"/>
  <c r="O321" i="1"/>
  <c r="O329" i="1"/>
  <c r="P336" i="1"/>
  <c r="O344" i="1"/>
  <c r="O350" i="1"/>
  <c r="O356" i="1"/>
  <c r="O362" i="1"/>
  <c r="O368" i="1"/>
  <c r="O374" i="1"/>
  <c r="O380" i="1"/>
  <c r="O386" i="1"/>
  <c r="O392" i="1"/>
  <c r="O398" i="1"/>
  <c r="O404" i="1"/>
  <c r="O410" i="1"/>
  <c r="O416" i="1"/>
  <c r="O422" i="1"/>
  <c r="O428" i="1"/>
  <c r="O434" i="1"/>
  <c r="O440" i="1"/>
  <c r="O446" i="1"/>
  <c r="O452" i="1"/>
  <c r="O458" i="1"/>
  <c r="O464" i="1"/>
  <c r="O470" i="1"/>
  <c r="O476" i="1"/>
  <c r="O482" i="1"/>
  <c r="O488" i="1"/>
  <c r="O494" i="1"/>
  <c r="O500" i="1"/>
  <c r="O506" i="1"/>
  <c r="O512" i="1"/>
  <c r="O518" i="1"/>
  <c r="O524" i="1"/>
  <c r="O530" i="1"/>
  <c r="O536" i="1"/>
  <c r="O542" i="1"/>
  <c r="O548" i="1"/>
  <c r="O554" i="1"/>
  <c r="O560" i="1"/>
  <c r="O566" i="1"/>
  <c r="O572" i="1"/>
  <c r="O578" i="1"/>
  <c r="O584" i="1"/>
  <c r="O590" i="1"/>
  <c r="O596" i="1"/>
  <c r="O602" i="1"/>
  <c r="O608" i="1"/>
  <c r="O614" i="1"/>
  <c r="O620" i="1"/>
  <c r="O626" i="1"/>
  <c r="S1524" i="1"/>
  <c r="S1856" i="1"/>
  <c r="S1936" i="1"/>
  <c r="S1997" i="1"/>
  <c r="O241" i="1"/>
  <c r="O295" i="1"/>
  <c r="O343" i="1"/>
  <c r="O364" i="1"/>
  <c r="P373" i="1"/>
  <c r="P383" i="1"/>
  <c r="P394" i="1"/>
  <c r="P405" i="1"/>
  <c r="O415" i="1"/>
  <c r="O425" i="1"/>
  <c r="O436" i="1"/>
  <c r="P445" i="1"/>
  <c r="P455" i="1"/>
  <c r="P466" i="1"/>
  <c r="P477" i="1"/>
  <c r="O487" i="1"/>
  <c r="O497" i="1"/>
  <c r="O508" i="1"/>
  <c r="P517" i="1"/>
  <c r="P526" i="1"/>
  <c r="P535" i="1"/>
  <c r="P544" i="1"/>
  <c r="P553" i="1"/>
  <c r="P562" i="1"/>
  <c r="P571" i="1"/>
  <c r="P580" i="1"/>
  <c r="P589" i="1"/>
  <c r="P598" i="1"/>
  <c r="O607" i="1"/>
  <c r="O615" i="1"/>
  <c r="P622" i="1"/>
  <c r="O631" i="1"/>
  <c r="P637" i="1"/>
  <c r="P643" i="1"/>
  <c r="P649" i="1"/>
  <c r="P655" i="1"/>
  <c r="P661" i="1"/>
  <c r="P667" i="1"/>
  <c r="P673" i="1"/>
  <c r="P679" i="1"/>
  <c r="P685" i="1"/>
  <c r="P691" i="1"/>
  <c r="P697" i="1"/>
  <c r="P703" i="1"/>
  <c r="P709" i="1"/>
  <c r="P715" i="1"/>
  <c r="P721" i="1"/>
  <c r="P727" i="1"/>
  <c r="P733" i="1"/>
  <c r="P739" i="1"/>
  <c r="P745" i="1"/>
  <c r="P751" i="1"/>
  <c r="P757" i="1"/>
  <c r="P763" i="1"/>
  <c r="P769" i="1"/>
  <c r="P775" i="1"/>
  <c r="P781" i="1"/>
  <c r="P787" i="1"/>
  <c r="P793" i="1"/>
  <c r="P799" i="1"/>
  <c r="P805" i="1"/>
  <c r="P811" i="1"/>
  <c r="P817" i="1"/>
  <c r="P823" i="1"/>
  <c r="P829" i="1"/>
  <c r="P835" i="1"/>
  <c r="P841" i="1"/>
  <c r="P847" i="1"/>
  <c r="P853" i="1"/>
  <c r="P859" i="1"/>
  <c r="P865" i="1"/>
  <c r="P871" i="1"/>
  <c r="P877" i="1"/>
  <c r="P883" i="1"/>
  <c r="P889" i="1"/>
  <c r="P895" i="1"/>
  <c r="P901" i="1"/>
  <c r="P907" i="1"/>
  <c r="P913" i="1"/>
  <c r="P919" i="1"/>
  <c r="P925" i="1"/>
  <c r="P931" i="1"/>
  <c r="P937" i="1"/>
  <c r="P943" i="1"/>
  <c r="P949" i="1"/>
  <c r="P955" i="1"/>
  <c r="P961" i="1"/>
  <c r="P967" i="1"/>
  <c r="P973" i="1"/>
  <c r="P979" i="1"/>
  <c r="P985" i="1"/>
  <c r="P991" i="1"/>
  <c r="P997" i="1"/>
  <c r="P1003" i="1"/>
  <c r="P1009" i="1"/>
  <c r="P1015" i="1"/>
  <c r="P1021" i="1"/>
  <c r="P1027" i="1"/>
  <c r="P1033" i="1"/>
  <c r="P1039" i="1"/>
  <c r="P1045" i="1"/>
  <c r="P1051" i="1"/>
  <c r="P1057" i="1"/>
  <c r="P1063" i="1"/>
  <c r="P1069" i="1"/>
  <c r="P1075" i="1"/>
  <c r="P1081" i="1"/>
  <c r="S1552" i="1"/>
  <c r="R1858" i="1"/>
  <c r="R1937" i="1"/>
  <c r="R1998" i="1"/>
  <c r="P241" i="1"/>
  <c r="P295" i="1"/>
  <c r="P343" i="1"/>
  <c r="P364" i="1"/>
  <c r="P375" i="1"/>
  <c r="O385" i="1"/>
  <c r="O395" i="1"/>
  <c r="O406" i="1"/>
  <c r="P415" i="1"/>
  <c r="P425" i="1"/>
  <c r="P436" i="1"/>
  <c r="P447" i="1"/>
  <c r="O457" i="1"/>
  <c r="O467" i="1"/>
  <c r="O478" i="1"/>
  <c r="P487" i="1"/>
  <c r="P497" i="1"/>
  <c r="P508" i="1"/>
  <c r="P518" i="1"/>
  <c r="O527" i="1"/>
  <c r="P536" i="1"/>
  <c r="O545" i="1"/>
  <c r="P554" i="1"/>
  <c r="O563" i="1"/>
  <c r="P572" i="1"/>
  <c r="O581" i="1"/>
  <c r="P590" i="1"/>
  <c r="O599" i="1"/>
  <c r="P607" i="1"/>
  <c r="P615" i="1"/>
  <c r="O623" i="1"/>
  <c r="P631" i="1"/>
  <c r="O638" i="1"/>
  <c r="O644" i="1"/>
  <c r="O650" i="1"/>
  <c r="O656" i="1"/>
  <c r="O662" i="1"/>
  <c r="O668" i="1"/>
  <c r="O674" i="1"/>
  <c r="O680" i="1"/>
  <c r="O686" i="1"/>
  <c r="O692" i="1"/>
  <c r="O698" i="1"/>
  <c r="O704" i="1"/>
  <c r="O710" i="1"/>
  <c r="O716" i="1"/>
  <c r="O722" i="1"/>
  <c r="O728" i="1"/>
  <c r="O734" i="1"/>
  <c r="O740" i="1"/>
  <c r="O746" i="1"/>
  <c r="O752" i="1"/>
  <c r="O758" i="1"/>
  <c r="O764" i="1"/>
  <c r="O770" i="1"/>
  <c r="O776" i="1"/>
  <c r="O782" i="1"/>
  <c r="O788" i="1"/>
  <c r="O794" i="1"/>
  <c r="O800" i="1"/>
  <c r="O806" i="1"/>
  <c r="R1624" i="1"/>
  <c r="S1880" i="1"/>
  <c r="R1945" i="1"/>
  <c r="P196" i="1"/>
  <c r="O251" i="1"/>
  <c r="P303" i="1"/>
  <c r="O349" i="1"/>
  <c r="O365" i="1"/>
  <c r="O376" i="1"/>
  <c r="P385" i="1"/>
  <c r="P395" i="1"/>
  <c r="P406" i="1"/>
  <c r="P417" i="1"/>
  <c r="O427" i="1"/>
  <c r="O437" i="1"/>
  <c r="O448" i="1"/>
  <c r="P457" i="1"/>
  <c r="P467" i="1"/>
  <c r="P478" i="1"/>
  <c r="P489" i="1"/>
  <c r="O499" i="1"/>
  <c r="O509" i="1"/>
  <c r="P519" i="1"/>
  <c r="P527" i="1"/>
  <c r="P537" i="1"/>
  <c r="P545" i="1"/>
  <c r="P555" i="1"/>
  <c r="P563" i="1"/>
  <c r="P573" i="1"/>
  <c r="P581" i="1"/>
  <c r="P591" i="1"/>
  <c r="P599" i="1"/>
  <c r="P608" i="1"/>
  <c r="O616" i="1"/>
  <c r="P623" i="1"/>
  <c r="O632" i="1"/>
  <c r="P638" i="1"/>
  <c r="P644" i="1"/>
  <c r="P650" i="1"/>
  <c r="P656" i="1"/>
  <c r="P662" i="1"/>
  <c r="P668" i="1"/>
  <c r="P674" i="1"/>
  <c r="P680" i="1"/>
  <c r="P686" i="1"/>
  <c r="P692" i="1"/>
  <c r="P698" i="1"/>
  <c r="P704" i="1"/>
  <c r="P710" i="1"/>
  <c r="P716" i="1"/>
  <c r="P722" i="1"/>
  <c r="P728" i="1"/>
  <c r="P734" i="1"/>
  <c r="P740" i="1"/>
  <c r="P746" i="1"/>
  <c r="P752" i="1"/>
  <c r="P758" i="1"/>
  <c r="P764" i="1"/>
  <c r="P770" i="1"/>
  <c r="P776" i="1"/>
  <c r="P782" i="1"/>
  <c r="P788" i="1"/>
  <c r="P794" i="1"/>
  <c r="P800" i="1"/>
  <c r="P806" i="1"/>
  <c r="P812" i="1"/>
  <c r="P818" i="1"/>
  <c r="P824" i="1"/>
  <c r="P830" i="1"/>
  <c r="P836" i="1"/>
  <c r="P842" i="1"/>
  <c r="P848" i="1"/>
  <c r="P854" i="1"/>
  <c r="P860" i="1"/>
  <c r="P866" i="1"/>
  <c r="P872" i="1"/>
  <c r="P878" i="1"/>
  <c r="P884" i="1"/>
  <c r="P890" i="1"/>
  <c r="P896" i="1"/>
  <c r="P902" i="1"/>
  <c r="P908" i="1"/>
  <c r="P914" i="1"/>
  <c r="P920" i="1"/>
  <c r="P926" i="1"/>
  <c r="P932" i="1"/>
  <c r="P938" i="1"/>
  <c r="P944" i="1"/>
  <c r="P950" i="1"/>
  <c r="P956" i="1"/>
  <c r="P962" i="1"/>
  <c r="P968" i="1"/>
  <c r="P974" i="1"/>
  <c r="P980" i="1"/>
  <c r="P986" i="1"/>
  <c r="P992" i="1"/>
  <c r="P998" i="1"/>
  <c r="P1004" i="1"/>
  <c r="P1010" i="1"/>
  <c r="P1016" i="1"/>
  <c r="P1022" i="1"/>
  <c r="P1028" i="1"/>
  <c r="P1034" i="1"/>
  <c r="P1040" i="1"/>
  <c r="P1046" i="1"/>
  <c r="P1052" i="1"/>
  <c r="P1058" i="1"/>
  <c r="P1064" i="1"/>
  <c r="P1070" i="1"/>
  <c r="P1076" i="1"/>
  <c r="P1082" i="1"/>
  <c r="P1088" i="1"/>
  <c r="P1094" i="1"/>
  <c r="P1100" i="1"/>
  <c r="P1106" i="1"/>
  <c r="P1112" i="1"/>
  <c r="P1118" i="1"/>
  <c r="P1124" i="1"/>
  <c r="P1130" i="1"/>
  <c r="P1136" i="1"/>
  <c r="P1142" i="1"/>
  <c r="P1148" i="1"/>
  <c r="P1154" i="1"/>
  <c r="P1160" i="1"/>
  <c r="P1166" i="1"/>
  <c r="P1172" i="1"/>
  <c r="P1178" i="1"/>
  <c r="P1184" i="1"/>
  <c r="P1190" i="1"/>
  <c r="P1196" i="1"/>
  <c r="P1202" i="1"/>
  <c r="P1208" i="1"/>
  <c r="P1214" i="1"/>
  <c r="P1220" i="1"/>
  <c r="P1226" i="1"/>
  <c r="P1232" i="1"/>
  <c r="S1632" i="1"/>
  <c r="R1881" i="1"/>
  <c r="S1945" i="1"/>
  <c r="O197" i="1"/>
  <c r="P251" i="1"/>
  <c r="P304" i="1"/>
  <c r="P349" i="1"/>
  <c r="P365" i="1"/>
  <c r="P376" i="1"/>
  <c r="P387" i="1"/>
  <c r="O397" i="1"/>
  <c r="O407" i="1"/>
  <c r="O418" i="1"/>
  <c r="P427" i="1"/>
  <c r="P437" i="1"/>
  <c r="P448" i="1"/>
  <c r="P459" i="1"/>
  <c r="O469" i="1"/>
  <c r="O479" i="1"/>
  <c r="O490" i="1"/>
  <c r="P499" i="1"/>
  <c r="P509" i="1"/>
  <c r="O520" i="1"/>
  <c r="O529" i="1"/>
  <c r="O538" i="1"/>
  <c r="O547" i="1"/>
  <c r="O556" i="1"/>
  <c r="O565" i="1"/>
  <c r="O574" i="1"/>
  <c r="O583" i="1"/>
  <c r="O592" i="1"/>
  <c r="O601" i="1"/>
  <c r="O609" i="1"/>
  <c r="P616" i="1"/>
  <c r="O625" i="1"/>
  <c r="P632" i="1"/>
  <c r="O639" i="1"/>
  <c r="O645" i="1"/>
  <c r="O651" i="1"/>
  <c r="O657" i="1"/>
  <c r="O663" i="1"/>
  <c r="O669" i="1"/>
  <c r="O675" i="1"/>
  <c r="O681" i="1"/>
  <c r="O687" i="1"/>
  <c r="O693" i="1"/>
  <c r="O699" i="1"/>
  <c r="O705" i="1"/>
  <c r="O711" i="1"/>
  <c r="O717" i="1"/>
  <c r="O723" i="1"/>
  <c r="O729" i="1"/>
  <c r="O735" i="1"/>
  <c r="O741" i="1"/>
  <c r="O747" i="1"/>
  <c r="O753" i="1"/>
  <c r="O759" i="1"/>
  <c r="O765" i="1"/>
  <c r="O771" i="1"/>
  <c r="O777" i="1"/>
  <c r="O783" i="1"/>
  <c r="O789" i="1"/>
  <c r="O795" i="1"/>
  <c r="O801" i="1"/>
  <c r="O807" i="1"/>
  <c r="O813" i="1"/>
  <c r="O819" i="1"/>
  <c r="O825" i="1"/>
  <c r="O831" i="1"/>
  <c r="O837" i="1"/>
  <c r="O843" i="1"/>
  <c r="O849" i="1"/>
  <c r="O855" i="1"/>
  <c r="O861" i="1"/>
  <c r="O867" i="1"/>
  <c r="O873" i="1"/>
  <c r="R1683" i="1"/>
  <c r="R1895" i="1"/>
  <c r="R1956" i="1"/>
  <c r="O205" i="1"/>
  <c r="O259" i="1"/>
  <c r="P311" i="1"/>
  <c r="O355" i="1"/>
  <c r="O367" i="1"/>
  <c r="O377" i="1"/>
  <c r="O388" i="1"/>
  <c r="P397" i="1"/>
  <c r="P407" i="1"/>
  <c r="P418" i="1"/>
  <c r="P429" i="1"/>
  <c r="O439" i="1"/>
  <c r="O449" i="1"/>
  <c r="O460" i="1"/>
  <c r="P469" i="1"/>
  <c r="P479" i="1"/>
  <c r="P490" i="1"/>
  <c r="P501" i="1"/>
  <c r="O511" i="1"/>
  <c r="P520" i="1"/>
  <c r="P529" i="1"/>
  <c r="P538" i="1"/>
  <c r="P547" i="1"/>
  <c r="P556" i="1"/>
  <c r="P565" i="1"/>
  <c r="P574" i="1"/>
  <c r="P583" i="1"/>
  <c r="P592" i="1"/>
  <c r="P601" i="1"/>
  <c r="P609" i="1"/>
  <c r="O617" i="1"/>
  <c r="P625" i="1"/>
  <c r="O633" i="1"/>
  <c r="P639" i="1"/>
  <c r="P645" i="1"/>
  <c r="P651" i="1"/>
  <c r="P657" i="1"/>
  <c r="P663" i="1"/>
  <c r="P669" i="1"/>
  <c r="P675" i="1"/>
  <c r="P681" i="1"/>
  <c r="P687" i="1"/>
  <c r="P693" i="1"/>
  <c r="P699" i="1"/>
  <c r="P705" i="1"/>
  <c r="P711" i="1"/>
  <c r="P717" i="1"/>
  <c r="P723" i="1"/>
  <c r="P729" i="1"/>
  <c r="P735" i="1"/>
  <c r="P741" i="1"/>
  <c r="P747" i="1"/>
  <c r="P753" i="1"/>
  <c r="P759" i="1"/>
  <c r="P765" i="1"/>
  <c r="P771" i="1"/>
  <c r="P777" i="1"/>
  <c r="P783" i="1"/>
  <c r="P789" i="1"/>
  <c r="P795" i="1"/>
  <c r="P801" i="1"/>
  <c r="P807" i="1"/>
  <c r="P813" i="1"/>
  <c r="P819" i="1"/>
  <c r="P825" i="1"/>
  <c r="P831" i="1"/>
  <c r="P837" i="1"/>
  <c r="P843" i="1"/>
  <c r="P849" i="1"/>
  <c r="P855" i="1"/>
  <c r="P861" i="1"/>
  <c r="P867" i="1"/>
  <c r="P873" i="1"/>
  <c r="S1691" i="1"/>
  <c r="S1895" i="1"/>
  <c r="S1956" i="1"/>
  <c r="P205" i="1"/>
  <c r="P259" i="1"/>
  <c r="O312" i="1"/>
  <c r="P355" i="1"/>
  <c r="P367" i="1"/>
  <c r="P377" i="1"/>
  <c r="P388" i="1"/>
  <c r="P399" i="1"/>
  <c r="O409" i="1"/>
  <c r="O419" i="1"/>
  <c r="O430" i="1"/>
  <c r="P439" i="1"/>
  <c r="P449" i="1"/>
  <c r="P460" i="1"/>
  <c r="P471" i="1"/>
  <c r="O481" i="1"/>
  <c r="O491" i="1"/>
  <c r="O502" i="1"/>
  <c r="P511" i="1"/>
  <c r="O521" i="1"/>
  <c r="P530" i="1"/>
  <c r="O539" i="1"/>
  <c r="P548" i="1"/>
  <c r="O557" i="1"/>
  <c r="P566" i="1"/>
  <c r="O575" i="1"/>
  <c r="P584" i="1"/>
  <c r="O593" i="1"/>
  <c r="P602" i="1"/>
  <c r="O610" i="1"/>
  <c r="P617" i="1"/>
  <c r="P626" i="1"/>
  <c r="P633" i="1"/>
  <c r="O640" i="1"/>
  <c r="O646" i="1"/>
  <c r="O652" i="1"/>
  <c r="O658" i="1"/>
  <c r="O664" i="1"/>
  <c r="O670" i="1"/>
  <c r="O676" i="1"/>
  <c r="O682" i="1"/>
  <c r="O688" i="1"/>
  <c r="O694" i="1"/>
  <c r="O700" i="1"/>
  <c r="O706" i="1"/>
  <c r="O712" i="1"/>
  <c r="O718" i="1"/>
  <c r="O724" i="1"/>
  <c r="O730" i="1"/>
  <c r="O736" i="1"/>
  <c r="O742" i="1"/>
  <c r="O748" i="1"/>
  <c r="O754" i="1"/>
  <c r="O760" i="1"/>
  <c r="O766" i="1"/>
  <c r="O772" i="1"/>
  <c r="O778" i="1"/>
  <c r="O784" i="1"/>
  <c r="O790" i="1"/>
  <c r="O796" i="1"/>
  <c r="O802" i="1"/>
  <c r="O808" i="1"/>
  <c r="O814" i="1"/>
  <c r="O820" i="1"/>
  <c r="O826" i="1"/>
  <c r="O832" i="1"/>
  <c r="O838" i="1"/>
  <c r="O844" i="1"/>
  <c r="O850" i="1"/>
  <c r="O856" i="1"/>
  <c r="S1737" i="1"/>
  <c r="S1903" i="1"/>
  <c r="R1967" i="1"/>
  <c r="O215" i="1"/>
  <c r="O269" i="1"/>
  <c r="O319" i="1"/>
  <c r="P357" i="1"/>
  <c r="P369" i="1"/>
  <c r="O379" i="1"/>
  <c r="O389" i="1"/>
  <c r="O400" i="1"/>
  <c r="P409" i="1"/>
  <c r="P419" i="1"/>
  <c r="P430" i="1"/>
  <c r="P441" i="1"/>
  <c r="O451" i="1"/>
  <c r="O461" i="1"/>
  <c r="O472" i="1"/>
  <c r="P481" i="1"/>
  <c r="P491" i="1"/>
  <c r="P502" i="1"/>
  <c r="P513" i="1"/>
  <c r="P521" i="1"/>
  <c r="P531" i="1"/>
  <c r="P539" i="1"/>
  <c r="P549" i="1"/>
  <c r="P557" i="1"/>
  <c r="P567" i="1"/>
  <c r="P575" i="1"/>
  <c r="P585" i="1"/>
  <c r="P593" i="1"/>
  <c r="O603" i="1"/>
  <c r="P610" i="1"/>
  <c r="O619" i="1"/>
  <c r="O627" i="1"/>
  <c r="O634" i="1"/>
  <c r="P640" i="1"/>
  <c r="P646" i="1"/>
  <c r="P652" i="1"/>
  <c r="P658" i="1"/>
  <c r="P664" i="1"/>
  <c r="P670" i="1"/>
  <c r="P676" i="1"/>
  <c r="P682" i="1"/>
  <c r="P688" i="1"/>
  <c r="P694" i="1"/>
  <c r="P700" i="1"/>
  <c r="P706" i="1"/>
  <c r="P712" i="1"/>
  <c r="P718" i="1"/>
  <c r="P724" i="1"/>
  <c r="P730" i="1"/>
  <c r="P736" i="1"/>
  <c r="P742" i="1"/>
  <c r="P748" i="1"/>
  <c r="P754" i="1"/>
  <c r="P760" i="1"/>
  <c r="P766" i="1"/>
  <c r="P772" i="1"/>
  <c r="P778" i="1"/>
  <c r="P784" i="1"/>
  <c r="P790" i="1"/>
  <c r="P796" i="1"/>
  <c r="P802" i="1"/>
  <c r="P808" i="1"/>
  <c r="P814" i="1"/>
  <c r="P820" i="1"/>
  <c r="P826" i="1"/>
  <c r="P832" i="1"/>
  <c r="P838" i="1"/>
  <c r="P844" i="1"/>
  <c r="P850" i="1"/>
  <c r="P856" i="1"/>
  <c r="P862" i="1"/>
  <c r="P868" i="1"/>
  <c r="P874" i="1"/>
  <c r="P880" i="1"/>
  <c r="P886" i="1"/>
  <c r="P892" i="1"/>
  <c r="P898" i="1"/>
  <c r="P904" i="1"/>
  <c r="P910" i="1"/>
  <c r="P916" i="1"/>
  <c r="P922" i="1"/>
  <c r="P928" i="1"/>
  <c r="S1745" i="1"/>
  <c r="S1906" i="1"/>
  <c r="S1967" i="1"/>
  <c r="P215" i="1"/>
  <c r="P269" i="1"/>
  <c r="P319" i="1"/>
  <c r="O358" i="1"/>
  <c r="O370" i="1"/>
  <c r="P379" i="1"/>
  <c r="P389" i="1"/>
  <c r="P400" i="1"/>
  <c r="P411" i="1"/>
  <c r="O421" i="1"/>
  <c r="O431" i="1"/>
  <c r="O442" i="1"/>
  <c r="P451" i="1"/>
  <c r="P461" i="1"/>
  <c r="P472" i="1"/>
  <c r="P483" i="1"/>
  <c r="O493" i="1"/>
  <c r="O503" i="1"/>
  <c r="O514" i="1"/>
  <c r="O523" i="1"/>
  <c r="O532" i="1"/>
  <c r="O541" i="1"/>
  <c r="O550" i="1"/>
  <c r="O559" i="1"/>
  <c r="O568" i="1"/>
  <c r="O577" i="1"/>
  <c r="O586" i="1"/>
  <c r="O595" i="1"/>
  <c r="P603" i="1"/>
  <c r="O611" i="1"/>
  <c r="P619" i="1"/>
  <c r="P627" i="1"/>
  <c r="P634" i="1"/>
  <c r="O641" i="1"/>
  <c r="O647" i="1"/>
  <c r="O653" i="1"/>
  <c r="O659" i="1"/>
  <c r="O665" i="1"/>
  <c r="O671" i="1"/>
  <c r="O677" i="1"/>
  <c r="O683" i="1"/>
  <c r="O689" i="1"/>
  <c r="O695" i="1"/>
  <c r="O701" i="1"/>
  <c r="O707" i="1"/>
  <c r="O713" i="1"/>
  <c r="O719" i="1"/>
  <c r="O725" i="1"/>
  <c r="O731" i="1"/>
  <c r="O737" i="1"/>
  <c r="O743" i="1"/>
  <c r="O749" i="1"/>
  <c r="O755" i="1"/>
  <c r="O761" i="1"/>
  <c r="O767" i="1"/>
  <c r="O773" i="1"/>
  <c r="O779" i="1"/>
  <c r="O785" i="1"/>
  <c r="O791" i="1"/>
  <c r="O797" i="1"/>
  <c r="O803" i="1"/>
  <c r="O809" i="1"/>
  <c r="O815" i="1"/>
  <c r="O821" i="1"/>
  <c r="O827" i="1"/>
  <c r="O833" i="1"/>
  <c r="O839" i="1"/>
  <c r="O845" i="1"/>
  <c r="O851" i="1"/>
  <c r="O857" i="1"/>
  <c r="S1786" i="1"/>
  <c r="S1914" i="1"/>
  <c r="S1975" i="1"/>
  <c r="O223" i="1"/>
  <c r="O277" i="1"/>
  <c r="P327" i="1"/>
  <c r="P358" i="1"/>
  <c r="P370" i="1"/>
  <c r="P381" i="1"/>
  <c r="O391" i="1"/>
  <c r="O401" i="1"/>
  <c r="O412" i="1"/>
  <c r="P421" i="1"/>
  <c r="P431" i="1"/>
  <c r="P442" i="1"/>
  <c r="P453" i="1"/>
  <c r="O463" i="1"/>
  <c r="O473" i="1"/>
  <c r="O484" i="1"/>
  <c r="P493" i="1"/>
  <c r="P503" i="1"/>
  <c r="P514" i="1"/>
  <c r="P523" i="1"/>
  <c r="P532" i="1"/>
  <c r="P541" i="1"/>
  <c r="P550" i="1"/>
  <c r="P559" i="1"/>
  <c r="P568" i="1"/>
  <c r="P577" i="1"/>
  <c r="P586" i="1"/>
  <c r="P595" i="1"/>
  <c r="O604" i="1"/>
  <c r="P611" i="1"/>
  <c r="P620" i="1"/>
  <c r="O628" i="1"/>
  <c r="O635" i="1"/>
  <c r="P641" i="1"/>
  <c r="P647" i="1"/>
  <c r="P653" i="1"/>
  <c r="P659" i="1"/>
  <c r="P665" i="1"/>
  <c r="P671" i="1"/>
  <c r="P677" i="1"/>
  <c r="P683" i="1"/>
  <c r="P689" i="1"/>
  <c r="P695" i="1"/>
  <c r="P701" i="1"/>
  <c r="P707" i="1"/>
  <c r="P713" i="1"/>
  <c r="P719" i="1"/>
  <c r="P725" i="1"/>
  <c r="P731" i="1"/>
  <c r="P737" i="1"/>
  <c r="P743" i="1"/>
  <c r="P749" i="1"/>
  <c r="P755" i="1"/>
  <c r="P761" i="1"/>
  <c r="P767" i="1"/>
  <c r="P773" i="1"/>
  <c r="P779" i="1"/>
  <c r="P785" i="1"/>
  <c r="P791" i="1"/>
  <c r="P797" i="1"/>
  <c r="P803" i="1"/>
  <c r="P809" i="1"/>
  <c r="P815" i="1"/>
  <c r="P821" i="1"/>
  <c r="P827" i="1"/>
  <c r="P833" i="1"/>
  <c r="P839" i="1"/>
  <c r="P845" i="1"/>
  <c r="P851" i="1"/>
  <c r="P857" i="1"/>
  <c r="P863" i="1"/>
  <c r="P869" i="1"/>
  <c r="P875" i="1"/>
  <c r="P881" i="1"/>
  <c r="P887" i="1"/>
  <c r="P893" i="1"/>
  <c r="P899" i="1"/>
  <c r="P905" i="1"/>
  <c r="P911" i="1"/>
  <c r="P917" i="1"/>
  <c r="P923" i="1"/>
  <c r="P929" i="1"/>
  <c r="P935" i="1"/>
  <c r="P941" i="1"/>
  <c r="P947" i="1"/>
  <c r="P953" i="1"/>
  <c r="P959" i="1"/>
  <c r="P965" i="1"/>
  <c r="P971" i="1"/>
  <c r="P977" i="1"/>
  <c r="P983" i="1"/>
  <c r="P989" i="1"/>
  <c r="P995" i="1"/>
  <c r="P1001" i="1"/>
  <c r="P1007" i="1"/>
  <c r="P1013" i="1"/>
  <c r="P1019" i="1"/>
  <c r="P1025" i="1"/>
  <c r="P1031" i="1"/>
  <c r="P1037" i="1"/>
  <c r="P1043" i="1"/>
  <c r="P1049" i="1"/>
  <c r="P1055" i="1"/>
  <c r="P1061" i="1"/>
  <c r="P1067" i="1"/>
  <c r="P1073" i="1"/>
  <c r="P1079" i="1"/>
  <c r="P1085" i="1"/>
  <c r="P1091" i="1"/>
  <c r="P1097" i="1"/>
  <c r="P1103" i="1"/>
  <c r="P1109" i="1"/>
  <c r="P1115" i="1"/>
  <c r="P1121" i="1"/>
  <c r="P1127" i="1"/>
  <c r="P1133" i="1"/>
  <c r="P1139" i="1"/>
  <c r="P1145" i="1"/>
  <c r="P1151" i="1"/>
  <c r="P1157" i="1"/>
  <c r="P1163" i="1"/>
  <c r="P1169" i="1"/>
  <c r="P1175" i="1"/>
  <c r="P1181" i="1"/>
  <c r="P1187" i="1"/>
  <c r="P1193" i="1"/>
  <c r="P1199" i="1"/>
  <c r="P1205" i="1"/>
  <c r="P1211" i="1"/>
  <c r="P1217" i="1"/>
  <c r="P1223" i="1"/>
  <c r="P1229" i="1"/>
  <c r="S1826" i="1"/>
  <c r="R1926" i="1"/>
  <c r="R1987" i="1"/>
  <c r="P233" i="1"/>
  <c r="P287" i="1"/>
  <c r="O336" i="1"/>
  <c r="P363" i="1"/>
  <c r="O373" i="1"/>
  <c r="O383" i="1"/>
  <c r="O394" i="1"/>
  <c r="P403" i="1"/>
  <c r="P413" i="1"/>
  <c r="P424" i="1"/>
  <c r="P435" i="1"/>
  <c r="O445" i="1"/>
  <c r="O455" i="1"/>
  <c r="O466" i="1"/>
  <c r="P475" i="1"/>
  <c r="P485" i="1"/>
  <c r="P496" i="1"/>
  <c r="P507" i="1"/>
  <c r="O517" i="1"/>
  <c r="O526" i="1"/>
  <c r="O535" i="1"/>
  <c r="O544" i="1"/>
  <c r="O553" i="1"/>
  <c r="O562" i="1"/>
  <c r="O571" i="1"/>
  <c r="O580" i="1"/>
  <c r="O589" i="1"/>
  <c r="O598" i="1"/>
  <c r="P605" i="1"/>
  <c r="P614" i="1"/>
  <c r="O622" i="1"/>
  <c r="P629" i="1"/>
  <c r="O637" i="1"/>
  <c r="O643" i="1"/>
  <c r="O649" i="1"/>
  <c r="O655" i="1"/>
  <c r="O661" i="1"/>
  <c r="O667" i="1"/>
  <c r="O673" i="1"/>
  <c r="O679" i="1"/>
  <c r="O685" i="1"/>
  <c r="O691" i="1"/>
  <c r="O697" i="1"/>
  <c r="O703" i="1"/>
  <c r="O709" i="1"/>
  <c r="O715" i="1"/>
  <c r="O721" i="1"/>
  <c r="O727" i="1"/>
  <c r="O733" i="1"/>
  <c r="O739" i="1"/>
  <c r="O745" i="1"/>
  <c r="O751" i="1"/>
  <c r="O757" i="1"/>
  <c r="O763" i="1"/>
  <c r="O769" i="1"/>
  <c r="O775" i="1"/>
  <c r="O781" i="1"/>
  <c r="O787" i="1"/>
  <c r="O793" i="1"/>
  <c r="O799" i="1"/>
  <c r="O805" i="1"/>
  <c r="O811" i="1"/>
  <c r="O817" i="1"/>
  <c r="O823" i="1"/>
  <c r="O829" i="1"/>
  <c r="O835" i="1"/>
  <c r="O841" i="1"/>
  <c r="O847" i="1"/>
  <c r="O853" i="1"/>
  <c r="O859" i="1"/>
  <c r="O865" i="1"/>
  <c r="O871" i="1"/>
  <c r="O877" i="1"/>
  <c r="O883" i="1"/>
  <c r="O889" i="1"/>
  <c r="O895" i="1"/>
  <c r="O901" i="1"/>
  <c r="O907" i="1"/>
  <c r="O913" i="1"/>
  <c r="O919" i="1"/>
  <c r="O925" i="1"/>
  <c r="O931" i="1"/>
  <c r="O937" i="1"/>
  <c r="O943" i="1"/>
  <c r="O949" i="1"/>
  <c r="O955" i="1"/>
  <c r="O961" i="1"/>
  <c r="O967" i="1"/>
  <c r="O973" i="1"/>
  <c r="O979" i="1"/>
  <c r="O985" i="1"/>
  <c r="O991" i="1"/>
  <c r="O997" i="1"/>
  <c r="O1003" i="1"/>
  <c r="O1009" i="1"/>
  <c r="O1015" i="1"/>
  <c r="O1021" i="1"/>
  <c r="O1027" i="1"/>
  <c r="O1033" i="1"/>
  <c r="O1039" i="1"/>
  <c r="O1045" i="1"/>
  <c r="O1051" i="1"/>
  <c r="O1057" i="1"/>
  <c r="O1063" i="1"/>
  <c r="O1069" i="1"/>
  <c r="O1075" i="1"/>
  <c r="O1081" i="1"/>
  <c r="O1087" i="1"/>
  <c r="O1093" i="1"/>
  <c r="O1099" i="1"/>
  <c r="O1105" i="1"/>
  <c r="O1111" i="1"/>
  <c r="O1117" i="1"/>
  <c r="O1123" i="1"/>
  <c r="O1129" i="1"/>
  <c r="O1135" i="1"/>
  <c r="O1141" i="1"/>
  <c r="O1147" i="1"/>
  <c r="O1153" i="1"/>
  <c r="O1159" i="1"/>
  <c r="O1165" i="1"/>
  <c r="O1171" i="1"/>
  <c r="O1177" i="1"/>
  <c r="O1183" i="1"/>
  <c r="O1189" i="1"/>
  <c r="O1195" i="1"/>
  <c r="O1201" i="1"/>
  <c r="O1207" i="1"/>
  <c r="O1213" i="1"/>
  <c r="O1219" i="1"/>
  <c r="O1225" i="1"/>
  <c r="O1231" i="1"/>
  <c r="R1794" i="1"/>
  <c r="O361" i="1"/>
  <c r="P423" i="1"/>
  <c r="P484" i="1"/>
  <c r="P542" i="1"/>
  <c r="P596" i="1"/>
  <c r="O642" i="1"/>
  <c r="O678" i="1"/>
  <c r="O714" i="1"/>
  <c r="O750" i="1"/>
  <c r="O786" i="1"/>
  <c r="P816" i="1"/>
  <c r="P840" i="1"/>
  <c r="O863" i="1"/>
  <c r="P876" i="1"/>
  <c r="O887" i="1"/>
  <c r="P897" i="1"/>
  <c r="O908" i="1"/>
  <c r="O918" i="1"/>
  <c r="O928" i="1"/>
  <c r="O938" i="1"/>
  <c r="P946" i="1"/>
  <c r="O956" i="1"/>
  <c r="P964" i="1"/>
  <c r="O974" i="1"/>
  <c r="P982" i="1"/>
  <c r="O992" i="1"/>
  <c r="P1000" i="1"/>
  <c r="O1010" i="1"/>
  <c r="P1018" i="1"/>
  <c r="O1028" i="1"/>
  <c r="P1036" i="1"/>
  <c r="O1046" i="1"/>
  <c r="P1054" i="1"/>
  <c r="O1064" i="1"/>
  <c r="P1072" i="1"/>
  <c r="O1082" i="1"/>
  <c r="O1090" i="1"/>
  <c r="O1098" i="1"/>
  <c r="O1106" i="1"/>
  <c r="O1114" i="1"/>
  <c r="O1122" i="1"/>
  <c r="O1130" i="1"/>
  <c r="O1138" i="1"/>
  <c r="O1146" i="1"/>
  <c r="O1154" i="1"/>
  <c r="O1162" i="1"/>
  <c r="O1170" i="1"/>
  <c r="O1178" i="1"/>
  <c r="O1186" i="1"/>
  <c r="O1194" i="1"/>
  <c r="O1202" i="1"/>
  <c r="O1210" i="1"/>
  <c r="O1218" i="1"/>
  <c r="O1226" i="1"/>
  <c r="O1234" i="1"/>
  <c r="O1240" i="1"/>
  <c r="O1246" i="1"/>
  <c r="O1252" i="1"/>
  <c r="O1258" i="1"/>
  <c r="O1264" i="1"/>
  <c r="O1270" i="1"/>
  <c r="O1276" i="1"/>
  <c r="O1282" i="1"/>
  <c r="O1288" i="1"/>
  <c r="O1294" i="1"/>
  <c r="O1300" i="1"/>
  <c r="O1306" i="1"/>
  <c r="O1312" i="1"/>
  <c r="O1318" i="1"/>
  <c r="O1324" i="1"/>
  <c r="O1330" i="1"/>
  <c r="O1336" i="1"/>
  <c r="O1342" i="1"/>
  <c r="O1348" i="1"/>
  <c r="O1354" i="1"/>
  <c r="O1360" i="1"/>
  <c r="O1366" i="1"/>
  <c r="O1372" i="1"/>
  <c r="O1378" i="1"/>
  <c r="O1384" i="1"/>
  <c r="O1390" i="1"/>
  <c r="O1396" i="1"/>
  <c r="O1402" i="1"/>
  <c r="O1408" i="1"/>
  <c r="O1414" i="1"/>
  <c r="O1420" i="1"/>
  <c r="O1426" i="1"/>
  <c r="O1432" i="1"/>
  <c r="O1438" i="1"/>
  <c r="O1444" i="1"/>
  <c r="O1450" i="1"/>
  <c r="O1456" i="1"/>
  <c r="O1462" i="1"/>
  <c r="O1468" i="1"/>
  <c r="O1474" i="1"/>
  <c r="O1480" i="1"/>
  <c r="O1486" i="1"/>
  <c r="O1492" i="1"/>
  <c r="O1498" i="1"/>
  <c r="O1504" i="1"/>
  <c r="O1510" i="1"/>
  <c r="O1516" i="1"/>
  <c r="O1522" i="1"/>
  <c r="O1528" i="1"/>
  <c r="O1534" i="1"/>
  <c r="O1540" i="1"/>
  <c r="O1546" i="1"/>
  <c r="O1552" i="1"/>
  <c r="O1558" i="1"/>
  <c r="O1564" i="1"/>
  <c r="O1570" i="1"/>
  <c r="O1576" i="1"/>
  <c r="O1582" i="1"/>
  <c r="O1588" i="1"/>
  <c r="O1594" i="1"/>
  <c r="O1600" i="1"/>
  <c r="O1606" i="1"/>
  <c r="R1824" i="1"/>
  <c r="P361" i="1"/>
  <c r="O424" i="1"/>
  <c r="O485" i="1"/>
  <c r="P543" i="1"/>
  <c r="P597" i="1"/>
  <c r="P642" i="1"/>
  <c r="P678" i="1"/>
  <c r="P714" i="1"/>
  <c r="P750" i="1"/>
  <c r="P786" i="1"/>
  <c r="O818" i="1"/>
  <c r="O842" i="1"/>
  <c r="O864" i="1"/>
  <c r="O878" i="1"/>
  <c r="O888" i="1"/>
  <c r="O898" i="1"/>
  <c r="O909" i="1"/>
  <c r="P918" i="1"/>
  <c r="O929" i="1"/>
  <c r="O939" i="1"/>
  <c r="O947" i="1"/>
  <c r="O957" i="1"/>
  <c r="O965" i="1"/>
  <c r="O975" i="1"/>
  <c r="O983" i="1"/>
  <c r="O993" i="1"/>
  <c r="O1001" i="1"/>
  <c r="O1011" i="1"/>
  <c r="O1019" i="1"/>
  <c r="O1029" i="1"/>
  <c r="O1037" i="1"/>
  <c r="O1047" i="1"/>
  <c r="O1055" i="1"/>
  <c r="O1065" i="1"/>
  <c r="O1073" i="1"/>
  <c r="O1083" i="1"/>
  <c r="P1090" i="1"/>
  <c r="P1098" i="1"/>
  <c r="O1107" i="1"/>
  <c r="P1114" i="1"/>
  <c r="P1122" i="1"/>
  <c r="O1131" i="1"/>
  <c r="P1138" i="1"/>
  <c r="P1146" i="1"/>
  <c r="O1155" i="1"/>
  <c r="P1162" i="1"/>
  <c r="P1170" i="1"/>
  <c r="O1179" i="1"/>
  <c r="P1186" i="1"/>
  <c r="P1194" i="1"/>
  <c r="O1203" i="1"/>
  <c r="P1210" i="1"/>
  <c r="P1218" i="1"/>
  <c r="O1227" i="1"/>
  <c r="P1234" i="1"/>
  <c r="P1240" i="1"/>
  <c r="P1246" i="1"/>
  <c r="P1252" i="1"/>
  <c r="P1258" i="1"/>
  <c r="P1264" i="1"/>
  <c r="P1270" i="1"/>
  <c r="P1276" i="1"/>
  <c r="P1282" i="1"/>
  <c r="P1288" i="1"/>
  <c r="P1294" i="1"/>
  <c r="P1300" i="1"/>
  <c r="P1306" i="1"/>
  <c r="P1312" i="1"/>
  <c r="P1318" i="1"/>
  <c r="P1324" i="1"/>
  <c r="P1330" i="1"/>
  <c r="P1336" i="1"/>
  <c r="P1342" i="1"/>
  <c r="P1348" i="1"/>
  <c r="P1354" i="1"/>
  <c r="P1360" i="1"/>
  <c r="P1366" i="1"/>
  <c r="P1372" i="1"/>
  <c r="P1378" i="1"/>
  <c r="P1384" i="1"/>
  <c r="P1390" i="1"/>
  <c r="P1396" i="1"/>
  <c r="P1402" i="1"/>
  <c r="P1408" i="1"/>
  <c r="P1414" i="1"/>
  <c r="P1420" i="1"/>
  <c r="P1426" i="1"/>
  <c r="P1432" i="1"/>
  <c r="P1438" i="1"/>
  <c r="P1444" i="1"/>
  <c r="P1450" i="1"/>
  <c r="P1456" i="1"/>
  <c r="P1462" i="1"/>
  <c r="P1468" i="1"/>
  <c r="P1474" i="1"/>
  <c r="P1480" i="1"/>
  <c r="P1486" i="1"/>
  <c r="P1492" i="1"/>
  <c r="P1498" i="1"/>
  <c r="P1504" i="1"/>
  <c r="P1510" i="1"/>
  <c r="P1516" i="1"/>
  <c r="P1522" i="1"/>
  <c r="P1528" i="1"/>
  <c r="P1534" i="1"/>
  <c r="P1540" i="1"/>
  <c r="P1546" i="1"/>
  <c r="P1552" i="1"/>
  <c r="P1558" i="1"/>
  <c r="P1564" i="1"/>
  <c r="P1570" i="1"/>
  <c r="P1576" i="1"/>
  <c r="P1582" i="1"/>
  <c r="P1588" i="1"/>
  <c r="P1594" i="1"/>
  <c r="P1600" i="1"/>
  <c r="P1606" i="1"/>
  <c r="P1612" i="1"/>
  <c r="P1618" i="1"/>
  <c r="P1624" i="1"/>
  <c r="P1630" i="1"/>
  <c r="P1636" i="1"/>
  <c r="P1642" i="1"/>
  <c r="P1648" i="1"/>
  <c r="P1654" i="1"/>
  <c r="P1660" i="1"/>
  <c r="P1666" i="1"/>
  <c r="P1672" i="1"/>
  <c r="P1678" i="1"/>
  <c r="P1684" i="1"/>
  <c r="P1690" i="1"/>
  <c r="P1696" i="1"/>
  <c r="R1915" i="1"/>
  <c r="O371" i="1"/>
  <c r="O433" i="1"/>
  <c r="P495" i="1"/>
  <c r="O551" i="1"/>
  <c r="P604" i="1"/>
  <c r="O648" i="1"/>
  <c r="O684" i="1"/>
  <c r="O720" i="1"/>
  <c r="O756" i="1"/>
  <c r="O792" i="1"/>
  <c r="O822" i="1"/>
  <c r="O846" i="1"/>
  <c r="P864" i="1"/>
  <c r="O879" i="1"/>
  <c r="P888" i="1"/>
  <c r="O899" i="1"/>
  <c r="P909" i="1"/>
  <c r="O920" i="1"/>
  <c r="O930" i="1"/>
  <c r="P939" i="1"/>
  <c r="O948" i="1"/>
  <c r="P957" i="1"/>
  <c r="O966" i="1"/>
  <c r="P975" i="1"/>
  <c r="O984" i="1"/>
  <c r="P993" i="1"/>
  <c r="O1002" i="1"/>
  <c r="P1011" i="1"/>
  <c r="O1020" i="1"/>
  <c r="P1029" i="1"/>
  <c r="O1038" i="1"/>
  <c r="P1047" i="1"/>
  <c r="O1056" i="1"/>
  <c r="P1065" i="1"/>
  <c r="O1074" i="1"/>
  <c r="P1083" i="1"/>
  <c r="O1091" i="1"/>
  <c r="P1099" i="1"/>
  <c r="P1107" i="1"/>
  <c r="O1115" i="1"/>
  <c r="P1123" i="1"/>
  <c r="P1131" i="1"/>
  <c r="O1139" i="1"/>
  <c r="P1147" i="1"/>
  <c r="P1155" i="1"/>
  <c r="O1163" i="1"/>
  <c r="P1171" i="1"/>
  <c r="P1179" i="1"/>
  <c r="O1187" i="1"/>
  <c r="P1195" i="1"/>
  <c r="P1203" i="1"/>
  <c r="O1211" i="1"/>
  <c r="P1219" i="1"/>
  <c r="P1227" i="1"/>
  <c r="O1235" i="1"/>
  <c r="O1241" i="1"/>
  <c r="O1247" i="1"/>
  <c r="O1253" i="1"/>
  <c r="O1259" i="1"/>
  <c r="O1265" i="1"/>
  <c r="O1271" i="1"/>
  <c r="O1277" i="1"/>
  <c r="O1283" i="1"/>
  <c r="O1289" i="1"/>
  <c r="O1295" i="1"/>
  <c r="O1301" i="1"/>
  <c r="O1307" i="1"/>
  <c r="O1313" i="1"/>
  <c r="O1319" i="1"/>
  <c r="O1325" i="1"/>
  <c r="O1331" i="1"/>
  <c r="O1337" i="1"/>
  <c r="O1343" i="1"/>
  <c r="O1349" i="1"/>
  <c r="O1355" i="1"/>
  <c r="O1361" i="1"/>
  <c r="O1367" i="1"/>
  <c r="O1373" i="1"/>
  <c r="O1379" i="1"/>
  <c r="O1385" i="1"/>
  <c r="O1391" i="1"/>
  <c r="O1397" i="1"/>
  <c r="O1403" i="1"/>
  <c r="O1409" i="1"/>
  <c r="O1415" i="1"/>
  <c r="O1421" i="1"/>
  <c r="O1427" i="1"/>
  <c r="O1433" i="1"/>
  <c r="O1439" i="1"/>
  <c r="O1445" i="1"/>
  <c r="O1451" i="1"/>
  <c r="O1457" i="1"/>
  <c r="O1463" i="1"/>
  <c r="O1469" i="1"/>
  <c r="O1475" i="1"/>
  <c r="O1481" i="1"/>
  <c r="O1487" i="1"/>
  <c r="O1493" i="1"/>
  <c r="O1499" i="1"/>
  <c r="O1505" i="1"/>
  <c r="O1511" i="1"/>
  <c r="O1517" i="1"/>
  <c r="O1523" i="1"/>
  <c r="O1529" i="1"/>
  <c r="O1535" i="1"/>
  <c r="O1541" i="1"/>
  <c r="O1547" i="1"/>
  <c r="O1553" i="1"/>
  <c r="O1559" i="1"/>
  <c r="O1565" i="1"/>
  <c r="O1571" i="1"/>
  <c r="O1577" i="1"/>
  <c r="O1583" i="1"/>
  <c r="O1589" i="1"/>
  <c r="O1595" i="1"/>
  <c r="O1601" i="1"/>
  <c r="O1607" i="1"/>
  <c r="O1613" i="1"/>
  <c r="O1619" i="1"/>
  <c r="O1625" i="1"/>
  <c r="O1631" i="1"/>
  <c r="O1637" i="1"/>
  <c r="O1643" i="1"/>
  <c r="O1649" i="1"/>
  <c r="O1655" i="1"/>
  <c r="O1661" i="1"/>
  <c r="O1667" i="1"/>
  <c r="O1673" i="1"/>
  <c r="O1679" i="1"/>
  <c r="O1685" i="1"/>
  <c r="O1691" i="1"/>
  <c r="O1697" i="1"/>
  <c r="S1925" i="1"/>
  <c r="P371" i="1"/>
  <c r="P433" i="1"/>
  <c r="O496" i="1"/>
  <c r="P551" i="1"/>
  <c r="O605" i="1"/>
  <c r="P648" i="1"/>
  <c r="P684" i="1"/>
  <c r="P720" i="1"/>
  <c r="P756" i="1"/>
  <c r="P792" i="1"/>
  <c r="P822" i="1"/>
  <c r="P846" i="1"/>
  <c r="O866" i="1"/>
  <c r="P879" i="1"/>
  <c r="O890" i="1"/>
  <c r="O900" i="1"/>
  <c r="O910" i="1"/>
  <c r="O921" i="1"/>
  <c r="P930" i="1"/>
  <c r="O940" i="1"/>
  <c r="P948" i="1"/>
  <c r="O958" i="1"/>
  <c r="P966" i="1"/>
  <c r="O976" i="1"/>
  <c r="P984" i="1"/>
  <c r="O994" i="1"/>
  <c r="P1002" i="1"/>
  <c r="O1012" i="1"/>
  <c r="P1020" i="1"/>
  <c r="O1030" i="1"/>
  <c r="P1038" i="1"/>
  <c r="O1048" i="1"/>
  <c r="P1056" i="1"/>
  <c r="O1066" i="1"/>
  <c r="P1074" i="1"/>
  <c r="O1084" i="1"/>
  <c r="O1092" i="1"/>
  <c r="O1100" i="1"/>
  <c r="O1108" i="1"/>
  <c r="O1116" i="1"/>
  <c r="O1124" i="1"/>
  <c r="O1132" i="1"/>
  <c r="O1140" i="1"/>
  <c r="O1148" i="1"/>
  <c r="O1156" i="1"/>
  <c r="O1164" i="1"/>
  <c r="O1172" i="1"/>
  <c r="O1180" i="1"/>
  <c r="O1188" i="1"/>
  <c r="O1196" i="1"/>
  <c r="O1204" i="1"/>
  <c r="O1212" i="1"/>
  <c r="O1220" i="1"/>
  <c r="O1228" i="1"/>
  <c r="P1235" i="1"/>
  <c r="P1241" i="1"/>
  <c r="P1247" i="1"/>
  <c r="P1253" i="1"/>
  <c r="P1259" i="1"/>
  <c r="P1265" i="1"/>
  <c r="P1271" i="1"/>
  <c r="P1277" i="1"/>
  <c r="P1283" i="1"/>
  <c r="P1289" i="1"/>
  <c r="P1295" i="1"/>
  <c r="P1301" i="1"/>
  <c r="P1307" i="1"/>
  <c r="P1313" i="1"/>
  <c r="P1319" i="1"/>
  <c r="P1325" i="1"/>
  <c r="P1331" i="1"/>
  <c r="P1337" i="1"/>
  <c r="P1343" i="1"/>
  <c r="P1349" i="1"/>
  <c r="P1355" i="1"/>
  <c r="P1361" i="1"/>
  <c r="P1367" i="1"/>
  <c r="P1373" i="1"/>
  <c r="P1379" i="1"/>
  <c r="S1978" i="1"/>
  <c r="O382" i="1"/>
  <c r="O443" i="1"/>
  <c r="O505" i="1"/>
  <c r="P560" i="1"/>
  <c r="O613" i="1"/>
  <c r="O654" i="1"/>
  <c r="O690" i="1"/>
  <c r="O726" i="1"/>
  <c r="O762" i="1"/>
  <c r="O798" i="1"/>
  <c r="O824" i="1"/>
  <c r="O848" i="1"/>
  <c r="O868" i="1"/>
  <c r="O880" i="1"/>
  <c r="O891" i="1"/>
  <c r="P900" i="1"/>
  <c r="O911" i="1"/>
  <c r="P921" i="1"/>
  <c r="O932" i="1"/>
  <c r="P940" i="1"/>
  <c r="O950" i="1"/>
  <c r="P958" i="1"/>
  <c r="O968" i="1"/>
  <c r="P976" i="1"/>
  <c r="O986" i="1"/>
  <c r="P994" i="1"/>
  <c r="O1004" i="1"/>
  <c r="P1012" i="1"/>
  <c r="O1022" i="1"/>
  <c r="P1030" i="1"/>
  <c r="O1040" i="1"/>
  <c r="P1048" i="1"/>
  <c r="O1058" i="1"/>
  <c r="P1066" i="1"/>
  <c r="O1076" i="1"/>
  <c r="P1084" i="1"/>
  <c r="P1092" i="1"/>
  <c r="O1101" i="1"/>
  <c r="P1108" i="1"/>
  <c r="P1116" i="1"/>
  <c r="O1125" i="1"/>
  <c r="P1132" i="1"/>
  <c r="P1140" i="1"/>
  <c r="O1149" i="1"/>
  <c r="P1156" i="1"/>
  <c r="P1164" i="1"/>
  <c r="O1173" i="1"/>
  <c r="P1180" i="1"/>
  <c r="P1188" i="1"/>
  <c r="O1197" i="1"/>
  <c r="P1204" i="1"/>
  <c r="P1212" i="1"/>
  <c r="O1221" i="1"/>
  <c r="P1228" i="1"/>
  <c r="O1236" i="1"/>
  <c r="O1242" i="1"/>
  <c r="O1248" i="1"/>
  <c r="O1254" i="1"/>
  <c r="O1260" i="1"/>
  <c r="O1266" i="1"/>
  <c r="O1272" i="1"/>
  <c r="O1278" i="1"/>
  <c r="O1284" i="1"/>
  <c r="O1290" i="1"/>
  <c r="O1296" i="1"/>
  <c r="O1302" i="1"/>
  <c r="O1308" i="1"/>
  <c r="O1314" i="1"/>
  <c r="O1320" i="1"/>
  <c r="O1326" i="1"/>
  <c r="O1332" i="1"/>
  <c r="O1338" i="1"/>
  <c r="O1344" i="1"/>
  <c r="O1350" i="1"/>
  <c r="O1356" i="1"/>
  <c r="O1362" i="1"/>
  <c r="O1368" i="1"/>
  <c r="O1374" i="1"/>
  <c r="O1380" i="1"/>
  <c r="O1386" i="1"/>
  <c r="O1392" i="1"/>
  <c r="O1398" i="1"/>
  <c r="O1404" i="1"/>
  <c r="O1410" i="1"/>
  <c r="S1986" i="1"/>
  <c r="P382" i="1"/>
  <c r="P443" i="1"/>
  <c r="P505" i="1"/>
  <c r="P561" i="1"/>
  <c r="P613" i="1"/>
  <c r="P654" i="1"/>
  <c r="P690" i="1"/>
  <c r="P726" i="1"/>
  <c r="P762" i="1"/>
  <c r="P798" i="1"/>
  <c r="O828" i="1"/>
  <c r="O852" i="1"/>
  <c r="O869" i="1"/>
  <c r="O881" i="1"/>
  <c r="P891" i="1"/>
  <c r="O902" i="1"/>
  <c r="O912" i="1"/>
  <c r="O922" i="1"/>
  <c r="O933" i="1"/>
  <c r="O941" i="1"/>
  <c r="O951" i="1"/>
  <c r="O959" i="1"/>
  <c r="O969" i="1"/>
  <c r="O977" i="1"/>
  <c r="O987" i="1"/>
  <c r="O995" i="1"/>
  <c r="O1005" i="1"/>
  <c r="O1013" i="1"/>
  <c r="O1023" i="1"/>
  <c r="O1031" i="1"/>
  <c r="O1041" i="1"/>
  <c r="O1049" i="1"/>
  <c r="O1059" i="1"/>
  <c r="O1067" i="1"/>
  <c r="O1077" i="1"/>
  <c r="O1085" i="1"/>
  <c r="P1093" i="1"/>
  <c r="P1101" i="1"/>
  <c r="O1109" i="1"/>
  <c r="P1117" i="1"/>
  <c r="P1125" i="1"/>
  <c r="O1133" i="1"/>
  <c r="P1141" i="1"/>
  <c r="P1149" i="1"/>
  <c r="O1157" i="1"/>
  <c r="P1165" i="1"/>
  <c r="P1173" i="1"/>
  <c r="O1181" i="1"/>
  <c r="P1189" i="1"/>
  <c r="P1197" i="1"/>
  <c r="O1205" i="1"/>
  <c r="P1213" i="1"/>
  <c r="P1221" i="1"/>
  <c r="O1229" i="1"/>
  <c r="P1236" i="1"/>
  <c r="P1242" i="1"/>
  <c r="P1248" i="1"/>
  <c r="P1254" i="1"/>
  <c r="P1260" i="1"/>
  <c r="P1266" i="1"/>
  <c r="P1272" i="1"/>
  <c r="P1278" i="1"/>
  <c r="P1284" i="1"/>
  <c r="P1290" i="1"/>
  <c r="P1296" i="1"/>
  <c r="P223" i="1"/>
  <c r="P391" i="1"/>
  <c r="O454" i="1"/>
  <c r="O515" i="1"/>
  <c r="O569" i="1"/>
  <c r="O621" i="1"/>
  <c r="O660" i="1"/>
  <c r="O696" i="1"/>
  <c r="O732" i="1"/>
  <c r="O768" i="1"/>
  <c r="O804" i="1"/>
  <c r="P828" i="1"/>
  <c r="P852" i="1"/>
  <c r="O870" i="1"/>
  <c r="O882" i="1"/>
  <c r="O892" i="1"/>
  <c r="O903" i="1"/>
  <c r="P912" i="1"/>
  <c r="O923" i="1"/>
  <c r="P933" i="1"/>
  <c r="O942" i="1"/>
  <c r="P951" i="1"/>
  <c r="O960" i="1"/>
  <c r="P969" i="1"/>
  <c r="O978" i="1"/>
  <c r="P987" i="1"/>
  <c r="O996" i="1"/>
  <c r="P1005" i="1"/>
  <c r="O1014" i="1"/>
  <c r="P1023" i="1"/>
  <c r="O1032" i="1"/>
  <c r="P1041" i="1"/>
  <c r="O1050" i="1"/>
  <c r="P1059" i="1"/>
  <c r="O1068" i="1"/>
  <c r="P1077" i="1"/>
  <c r="O1086" i="1"/>
  <c r="O1094" i="1"/>
  <c r="O1102" i="1"/>
  <c r="O1110" i="1"/>
  <c r="O1118" i="1"/>
  <c r="O1126" i="1"/>
  <c r="O1134" i="1"/>
  <c r="O1142" i="1"/>
  <c r="O1150" i="1"/>
  <c r="O1158" i="1"/>
  <c r="O1166" i="1"/>
  <c r="O1174" i="1"/>
  <c r="O1182" i="1"/>
  <c r="O1190" i="1"/>
  <c r="O1198" i="1"/>
  <c r="O1206" i="1"/>
  <c r="O1214" i="1"/>
  <c r="O1222" i="1"/>
  <c r="O1230" i="1"/>
  <c r="O1237" i="1"/>
  <c r="O1243" i="1"/>
  <c r="O1249" i="1"/>
  <c r="O1255" i="1"/>
  <c r="O1261" i="1"/>
  <c r="O1267" i="1"/>
  <c r="O1273" i="1"/>
  <c r="O1279" i="1"/>
  <c r="O1285" i="1"/>
  <c r="O1291" i="1"/>
  <c r="O1297" i="1"/>
  <c r="O1303" i="1"/>
  <c r="O1309" i="1"/>
  <c r="O1315" i="1"/>
  <c r="O1321" i="1"/>
  <c r="O1327" i="1"/>
  <c r="O1333" i="1"/>
  <c r="O1339" i="1"/>
  <c r="O1345" i="1"/>
  <c r="O1351" i="1"/>
  <c r="O1357" i="1"/>
  <c r="O1363" i="1"/>
  <c r="O1369" i="1"/>
  <c r="O1375" i="1"/>
  <c r="O1381" i="1"/>
  <c r="O1387" i="1"/>
  <c r="O1393" i="1"/>
  <c r="O233" i="1"/>
  <c r="P393" i="1"/>
  <c r="P454" i="1"/>
  <c r="P515" i="1"/>
  <c r="P569" i="1"/>
  <c r="P621" i="1"/>
  <c r="P660" i="1"/>
  <c r="P696" i="1"/>
  <c r="P732" i="1"/>
  <c r="P768" i="1"/>
  <c r="P804" i="1"/>
  <c r="O830" i="1"/>
  <c r="O854" i="1"/>
  <c r="P870" i="1"/>
  <c r="P882" i="1"/>
  <c r="O893" i="1"/>
  <c r="P903" i="1"/>
  <c r="O914" i="1"/>
  <c r="O924" i="1"/>
  <c r="O934" i="1"/>
  <c r="P942" i="1"/>
  <c r="O952" i="1"/>
  <c r="P960" i="1"/>
  <c r="O970" i="1"/>
  <c r="P978" i="1"/>
  <c r="O988" i="1"/>
  <c r="P996" i="1"/>
  <c r="O1006" i="1"/>
  <c r="P1014" i="1"/>
  <c r="O1024" i="1"/>
  <c r="P1032" i="1"/>
  <c r="O1042" i="1"/>
  <c r="P1050" i="1"/>
  <c r="O1060" i="1"/>
  <c r="P1068" i="1"/>
  <c r="O1078" i="1"/>
  <c r="P1086" i="1"/>
  <c r="O1095" i="1"/>
  <c r="P1102" i="1"/>
  <c r="P1110" i="1"/>
  <c r="O1119" i="1"/>
  <c r="P1126" i="1"/>
  <c r="P1134" i="1"/>
  <c r="O1143" i="1"/>
  <c r="P1150" i="1"/>
  <c r="P1158" i="1"/>
  <c r="O1167" i="1"/>
  <c r="P1174" i="1"/>
  <c r="P1182" i="1"/>
  <c r="O1191" i="1"/>
  <c r="P1198" i="1"/>
  <c r="P1206" i="1"/>
  <c r="O1215" i="1"/>
  <c r="P1222" i="1"/>
  <c r="P1230" i="1"/>
  <c r="P1237" i="1"/>
  <c r="P1243" i="1"/>
  <c r="P1249" i="1"/>
  <c r="P1255" i="1"/>
  <c r="P1261" i="1"/>
  <c r="P1267" i="1"/>
  <c r="P1273" i="1"/>
  <c r="P1279" i="1"/>
  <c r="P1285" i="1"/>
  <c r="P1291" i="1"/>
  <c r="P1297" i="1"/>
  <c r="P1303" i="1"/>
  <c r="P1309" i="1"/>
  <c r="P1315" i="1"/>
  <c r="P1321" i="1"/>
  <c r="P1327" i="1"/>
  <c r="P1333" i="1"/>
  <c r="P1339" i="1"/>
  <c r="P1345" i="1"/>
  <c r="P1351" i="1"/>
  <c r="P1357" i="1"/>
  <c r="P277" i="1"/>
  <c r="P401" i="1"/>
  <c r="P463" i="1"/>
  <c r="P524" i="1"/>
  <c r="P578" i="1"/>
  <c r="P628" i="1"/>
  <c r="O666" i="1"/>
  <c r="O702" i="1"/>
  <c r="O738" i="1"/>
  <c r="O774" i="1"/>
  <c r="O810" i="1"/>
  <c r="O834" i="1"/>
  <c r="O858" i="1"/>
  <c r="O872" i="1"/>
  <c r="O884" i="1"/>
  <c r="O894" i="1"/>
  <c r="P335" i="1"/>
  <c r="O413" i="1"/>
  <c r="O475" i="1"/>
  <c r="P533" i="1"/>
  <c r="P587" i="1"/>
  <c r="O636" i="1"/>
  <c r="P672" i="1"/>
  <c r="P708" i="1"/>
  <c r="P744" i="1"/>
  <c r="P780" i="1"/>
  <c r="O816" i="1"/>
  <c r="O840" i="1"/>
  <c r="O862" i="1"/>
  <c r="O876" i="1"/>
  <c r="O886" i="1"/>
  <c r="O897" i="1"/>
  <c r="P906" i="1"/>
  <c r="O917" i="1"/>
  <c r="P927" i="1"/>
  <c r="P936" i="1"/>
  <c r="O946" i="1"/>
  <c r="P954" i="1"/>
  <c r="O964" i="1"/>
  <c r="P972" i="1"/>
  <c r="O982" i="1"/>
  <c r="P990" i="1"/>
  <c r="O1000" i="1"/>
  <c r="P1008" i="1"/>
  <c r="O1018" i="1"/>
  <c r="P1026" i="1"/>
  <c r="O1036" i="1"/>
  <c r="P1044" i="1"/>
  <c r="O1054" i="1"/>
  <c r="P1062" i="1"/>
  <c r="O1072" i="1"/>
  <c r="P1080" i="1"/>
  <c r="P1089" i="1"/>
  <c r="O1097" i="1"/>
  <c r="P1105" i="1"/>
  <c r="P1113" i="1"/>
  <c r="O1121" i="1"/>
  <c r="P1129" i="1"/>
  <c r="P1137" i="1"/>
  <c r="O1145" i="1"/>
  <c r="P1153" i="1"/>
  <c r="P1161" i="1"/>
  <c r="O1169" i="1"/>
  <c r="P1177" i="1"/>
  <c r="P1185" i="1"/>
  <c r="O1193" i="1"/>
  <c r="P1201" i="1"/>
  <c r="P1209" i="1"/>
  <c r="O1217" i="1"/>
  <c r="P1225" i="1"/>
  <c r="P1233" i="1"/>
  <c r="P1239" i="1"/>
  <c r="P1245" i="1"/>
  <c r="P1251" i="1"/>
  <c r="P1257" i="1"/>
  <c r="P1263" i="1"/>
  <c r="P1269" i="1"/>
  <c r="P1275" i="1"/>
  <c r="P1281" i="1"/>
  <c r="P1287" i="1"/>
  <c r="P1293" i="1"/>
  <c r="P1299" i="1"/>
  <c r="P1305" i="1"/>
  <c r="P1311" i="1"/>
  <c r="P1317" i="1"/>
  <c r="P1323" i="1"/>
  <c r="P1329" i="1"/>
  <c r="P1335" i="1"/>
  <c r="P1341" i="1"/>
  <c r="P1347" i="1"/>
  <c r="P1353" i="1"/>
  <c r="P1359" i="1"/>
  <c r="P1365" i="1"/>
  <c r="P1371" i="1"/>
  <c r="P1377" i="1"/>
  <c r="P1383" i="1"/>
  <c r="P1389" i="1"/>
  <c r="P1395" i="1"/>
  <c r="P1401" i="1"/>
  <c r="P1407" i="1"/>
  <c r="P1413" i="1"/>
  <c r="P1419" i="1"/>
  <c r="P1425" i="1"/>
  <c r="P1431" i="1"/>
  <c r="P1437" i="1"/>
  <c r="P1443" i="1"/>
  <c r="P1449" i="1"/>
  <c r="P1455" i="1"/>
  <c r="P1461" i="1"/>
  <c r="P1467" i="1"/>
  <c r="P1473" i="1"/>
  <c r="P1479" i="1"/>
  <c r="P1485" i="1"/>
  <c r="P1491" i="1"/>
  <c r="P1497" i="1"/>
  <c r="P1503" i="1"/>
  <c r="P1509" i="1"/>
  <c r="P1515" i="1"/>
  <c r="P1521" i="1"/>
  <c r="P1527" i="1"/>
  <c r="P1533" i="1"/>
  <c r="P1539" i="1"/>
  <c r="P1545" i="1"/>
  <c r="P1551" i="1"/>
  <c r="P1557" i="1"/>
  <c r="P1563" i="1"/>
  <c r="P1569" i="1"/>
  <c r="P1575" i="1"/>
  <c r="P1581" i="1"/>
  <c r="P1587" i="1"/>
  <c r="P1593" i="1"/>
  <c r="P1599" i="1"/>
  <c r="P1605" i="1"/>
  <c r="P1611" i="1"/>
  <c r="P1617" i="1"/>
  <c r="P1623" i="1"/>
  <c r="P1629" i="1"/>
  <c r="P1635" i="1"/>
  <c r="P1641" i="1"/>
  <c r="P1647" i="1"/>
  <c r="P1653" i="1"/>
  <c r="P1659" i="1"/>
  <c r="P1665" i="1"/>
  <c r="P1671" i="1"/>
  <c r="P1677" i="1"/>
  <c r="P1683" i="1"/>
  <c r="P1689" i="1"/>
  <c r="P1695" i="1"/>
  <c r="O287" i="1"/>
  <c r="P666" i="1"/>
  <c r="P858" i="1"/>
  <c r="P915" i="1"/>
  <c r="O953" i="1"/>
  <c r="O989" i="1"/>
  <c r="O1025" i="1"/>
  <c r="O1061" i="1"/>
  <c r="O1096" i="1"/>
  <c r="O1128" i="1"/>
  <c r="O1160" i="1"/>
  <c r="O1192" i="1"/>
  <c r="O1224" i="1"/>
  <c r="P1250" i="1"/>
  <c r="P1274" i="1"/>
  <c r="P1298" i="1"/>
  <c r="P1316" i="1"/>
  <c r="P1334" i="1"/>
  <c r="P1352" i="1"/>
  <c r="P1369" i="1"/>
  <c r="P1382" i="1"/>
  <c r="P1394" i="1"/>
  <c r="P1405" i="1"/>
  <c r="O1416" i="1"/>
  <c r="O1424" i="1"/>
  <c r="O1434" i="1"/>
  <c r="O1442" i="1"/>
  <c r="O1452" i="1"/>
  <c r="O1460" i="1"/>
  <c r="O1470" i="1"/>
  <c r="O1478" i="1"/>
  <c r="O1488" i="1"/>
  <c r="O1496" i="1"/>
  <c r="O1506" i="1"/>
  <c r="O1514" i="1"/>
  <c r="O1524" i="1"/>
  <c r="O1532" i="1"/>
  <c r="O1542" i="1"/>
  <c r="O1550" i="1"/>
  <c r="O1560" i="1"/>
  <c r="O1568" i="1"/>
  <c r="O1578" i="1"/>
  <c r="O1586" i="1"/>
  <c r="O1596" i="1"/>
  <c r="P328" i="1"/>
  <c r="O672" i="1"/>
  <c r="O860" i="1"/>
  <c r="O916" i="1"/>
  <c r="O954" i="1"/>
  <c r="O990" i="1"/>
  <c r="O1026" i="1"/>
  <c r="O1062" i="1"/>
  <c r="P1096" i="1"/>
  <c r="P1128" i="1"/>
  <c r="O1161" i="1"/>
  <c r="P1192" i="1"/>
  <c r="P1224" i="1"/>
  <c r="O1251" i="1"/>
  <c r="O1275" i="1"/>
  <c r="O1299" i="1"/>
  <c r="O1317" i="1"/>
  <c r="O1335" i="1"/>
  <c r="O1353" i="1"/>
  <c r="O1370" i="1"/>
  <c r="O1383" i="1"/>
  <c r="O1395" i="1"/>
  <c r="O1406" i="1"/>
  <c r="P1416" i="1"/>
  <c r="P1424" i="1"/>
  <c r="P1434" i="1"/>
  <c r="P1442" i="1"/>
  <c r="P1452" i="1"/>
  <c r="P1460" i="1"/>
  <c r="P1470" i="1"/>
  <c r="P1478" i="1"/>
  <c r="P1488" i="1"/>
  <c r="P1496" i="1"/>
  <c r="P1506" i="1"/>
  <c r="P1514" i="1"/>
  <c r="P1524" i="1"/>
  <c r="P1532" i="1"/>
  <c r="P1542" i="1"/>
  <c r="P1550" i="1"/>
  <c r="P1560" i="1"/>
  <c r="P1568" i="1"/>
  <c r="P1578" i="1"/>
  <c r="P1586" i="1"/>
  <c r="P1596" i="1"/>
  <c r="P1604" i="1"/>
  <c r="O1614" i="1"/>
  <c r="P1621" i="1"/>
  <c r="O1629" i="1"/>
  <c r="O1638" i="1"/>
  <c r="P1645" i="1"/>
  <c r="O1653" i="1"/>
  <c r="O1662" i="1"/>
  <c r="P1669" i="1"/>
  <c r="O1677" i="1"/>
  <c r="O1686" i="1"/>
  <c r="P1693" i="1"/>
  <c r="O1701" i="1"/>
  <c r="O1707" i="1"/>
  <c r="O1713" i="1"/>
  <c r="O1719" i="1"/>
  <c r="O1725" i="1"/>
  <c r="O1731" i="1"/>
  <c r="O1737" i="1"/>
  <c r="O1743" i="1"/>
  <c r="O1749" i="1"/>
  <c r="O1755" i="1"/>
  <c r="O1761" i="1"/>
  <c r="O1767" i="1"/>
  <c r="O1773" i="1"/>
  <c r="O1779" i="1"/>
  <c r="O1785" i="1"/>
  <c r="O1791" i="1"/>
  <c r="O1797" i="1"/>
  <c r="O1803" i="1"/>
  <c r="O1809" i="1"/>
  <c r="O1815" i="1"/>
  <c r="O1821" i="1"/>
  <c r="O1827" i="1"/>
  <c r="O1833" i="1"/>
  <c r="O1839" i="1"/>
  <c r="O1845" i="1"/>
  <c r="O1851" i="1"/>
  <c r="O1857" i="1"/>
  <c r="O1863" i="1"/>
  <c r="O1869" i="1"/>
  <c r="O1875" i="1"/>
  <c r="O1881" i="1"/>
  <c r="O1887" i="1"/>
  <c r="O1893" i="1"/>
  <c r="O1899" i="1"/>
  <c r="O1905" i="1"/>
  <c r="O1911" i="1"/>
  <c r="O1917" i="1"/>
  <c r="O1923" i="1"/>
  <c r="O1929" i="1"/>
  <c r="O1935" i="1"/>
  <c r="O1941" i="1"/>
  <c r="O1947" i="1"/>
  <c r="O1953" i="1"/>
  <c r="O1959" i="1"/>
  <c r="O1965" i="1"/>
  <c r="O1971" i="1"/>
  <c r="O1977" i="1"/>
  <c r="O1983" i="1"/>
  <c r="O1989" i="1"/>
  <c r="O1995" i="1"/>
  <c r="L193" i="1"/>
  <c r="L195" i="1"/>
  <c r="L201" i="1"/>
  <c r="L207" i="1"/>
  <c r="L213" i="1"/>
  <c r="L219" i="1"/>
  <c r="L225" i="1"/>
  <c r="L231" i="1"/>
  <c r="L237" i="1"/>
  <c r="L243" i="1"/>
  <c r="L249" i="1"/>
  <c r="L255" i="1"/>
  <c r="L261" i="1"/>
  <c r="O403" i="1"/>
  <c r="P702" i="1"/>
  <c r="O874" i="1"/>
  <c r="P924" i="1"/>
  <c r="O962" i="1"/>
  <c r="O998" i="1"/>
  <c r="O1034" i="1"/>
  <c r="O1070" i="1"/>
  <c r="O1103" i="1"/>
  <c r="P1135" i="1"/>
  <c r="P1167" i="1"/>
  <c r="O1199" i="1"/>
  <c r="P1231" i="1"/>
  <c r="O1256" i="1"/>
  <c r="O1280" i="1"/>
  <c r="P1302" i="1"/>
  <c r="P1320" i="1"/>
  <c r="P1338" i="1"/>
  <c r="P1356" i="1"/>
  <c r="P1370" i="1"/>
  <c r="P1385" i="1"/>
  <c r="P1397" i="1"/>
  <c r="P1406" i="1"/>
  <c r="O1417" i="1"/>
  <c r="O1425" i="1"/>
  <c r="O1435" i="1"/>
  <c r="O1443" i="1"/>
  <c r="O1453" i="1"/>
  <c r="O1461" i="1"/>
  <c r="O1471" i="1"/>
  <c r="O1479" i="1"/>
  <c r="O1489" i="1"/>
  <c r="O1497" i="1"/>
  <c r="O1507" i="1"/>
  <c r="O1515" i="1"/>
  <c r="O1525" i="1"/>
  <c r="O1533" i="1"/>
  <c r="O1543" i="1"/>
  <c r="O1551" i="1"/>
  <c r="O1561" i="1"/>
  <c r="O1569" i="1"/>
  <c r="O1579" i="1"/>
  <c r="O1587" i="1"/>
  <c r="O1597" i="1"/>
  <c r="O1605" i="1"/>
  <c r="P1614" i="1"/>
  <c r="O1622" i="1"/>
  <c r="O1630" i="1"/>
  <c r="P1638" i="1"/>
  <c r="O1646" i="1"/>
  <c r="O1654" i="1"/>
  <c r="P1662" i="1"/>
  <c r="O1670" i="1"/>
  <c r="O1678" i="1"/>
  <c r="P1686" i="1"/>
  <c r="O1694" i="1"/>
  <c r="P1701" i="1"/>
  <c r="P1707" i="1"/>
  <c r="P1713" i="1"/>
  <c r="P1719" i="1"/>
  <c r="P1725" i="1"/>
  <c r="P1731" i="1"/>
  <c r="P1737" i="1"/>
  <c r="P1743" i="1"/>
  <c r="P1749" i="1"/>
  <c r="P1755" i="1"/>
  <c r="P1761" i="1"/>
  <c r="P1767" i="1"/>
  <c r="P1773" i="1"/>
  <c r="P1779" i="1"/>
  <c r="P1785" i="1"/>
  <c r="P1791" i="1"/>
  <c r="P1797" i="1"/>
  <c r="P1803" i="1"/>
  <c r="P1809" i="1"/>
  <c r="P1815" i="1"/>
  <c r="P1821" i="1"/>
  <c r="P1827" i="1"/>
  <c r="P1833" i="1"/>
  <c r="P1839" i="1"/>
  <c r="P1845" i="1"/>
  <c r="P1851" i="1"/>
  <c r="P1857" i="1"/>
  <c r="P1863" i="1"/>
  <c r="P1869" i="1"/>
  <c r="P1875" i="1"/>
  <c r="P1881" i="1"/>
  <c r="P1887" i="1"/>
  <c r="P1893" i="1"/>
  <c r="P1899" i="1"/>
  <c r="P1905" i="1"/>
  <c r="P1911" i="1"/>
  <c r="P1917" i="1"/>
  <c r="P1923" i="1"/>
  <c r="P1929" i="1"/>
  <c r="P1935" i="1"/>
  <c r="P1941" i="1"/>
  <c r="P1947" i="1"/>
  <c r="P1953" i="1"/>
  <c r="P1959" i="1"/>
  <c r="P1965" i="1"/>
  <c r="P1971" i="1"/>
  <c r="P1977" i="1"/>
  <c r="P1983" i="1"/>
  <c r="P1989" i="1"/>
  <c r="P1995" i="1"/>
  <c r="P412" i="1"/>
  <c r="O708" i="1"/>
  <c r="O875" i="1"/>
  <c r="O926" i="1"/>
  <c r="O963" i="1"/>
  <c r="O999" i="1"/>
  <c r="O1035" i="1"/>
  <c r="O1071" i="1"/>
  <c r="O1104" i="1"/>
  <c r="O1136" i="1"/>
  <c r="O1168" i="1"/>
  <c r="O1200" i="1"/>
  <c r="O1232" i="1"/>
  <c r="P1256" i="1"/>
  <c r="P1280" i="1"/>
  <c r="O1304" i="1"/>
  <c r="O1322" i="1"/>
  <c r="O1340" i="1"/>
  <c r="O1358" i="1"/>
  <c r="O1371" i="1"/>
  <c r="P1386" i="1"/>
  <c r="P1398" i="1"/>
  <c r="O1407" i="1"/>
  <c r="P1417" i="1"/>
  <c r="P1427" i="1"/>
  <c r="P1435" i="1"/>
  <c r="P1445" i="1"/>
  <c r="P1453" i="1"/>
  <c r="P1463" i="1"/>
  <c r="P1471" i="1"/>
  <c r="P1481" i="1"/>
  <c r="P465" i="1"/>
  <c r="P738" i="1"/>
  <c r="O885" i="1"/>
  <c r="O927" i="1"/>
  <c r="P963" i="1"/>
  <c r="P999" i="1"/>
  <c r="P1035" i="1"/>
  <c r="P1071" i="1"/>
  <c r="P1104" i="1"/>
  <c r="O1137" i="1"/>
  <c r="P1168" i="1"/>
  <c r="P1200" i="1"/>
  <c r="O1233" i="1"/>
  <c r="O1257" i="1"/>
  <c r="O1281" i="1"/>
  <c r="P1304" i="1"/>
  <c r="P1322" i="1"/>
  <c r="P1340" i="1"/>
  <c r="P1358" i="1"/>
  <c r="P1374" i="1"/>
  <c r="P1387" i="1"/>
  <c r="O1399" i="1"/>
  <c r="P1409" i="1"/>
  <c r="O1418" i="1"/>
  <c r="O1428" i="1"/>
  <c r="O1436" i="1"/>
  <c r="O1446" i="1"/>
  <c r="O1454" i="1"/>
  <c r="O1464" i="1"/>
  <c r="O1472" i="1"/>
  <c r="O1482" i="1"/>
  <c r="O1490" i="1"/>
  <c r="O1500" i="1"/>
  <c r="O1508" i="1"/>
  <c r="O1518" i="1"/>
  <c r="O1526" i="1"/>
  <c r="O1536" i="1"/>
  <c r="O1544" i="1"/>
  <c r="O1554" i="1"/>
  <c r="O1562" i="1"/>
  <c r="O1572" i="1"/>
  <c r="O1580" i="1"/>
  <c r="O1590" i="1"/>
  <c r="O1598" i="1"/>
  <c r="P473" i="1"/>
  <c r="O744" i="1"/>
  <c r="P885" i="1"/>
  <c r="P934" i="1"/>
  <c r="P970" i="1"/>
  <c r="P1006" i="1"/>
  <c r="P1042" i="1"/>
  <c r="P1078" i="1"/>
  <c r="P1111" i="1"/>
  <c r="P1143" i="1"/>
  <c r="O1175" i="1"/>
  <c r="P1207" i="1"/>
  <c r="O1238" i="1"/>
  <c r="O1262" i="1"/>
  <c r="O1286" i="1"/>
  <c r="O1305" i="1"/>
  <c r="O1323" i="1"/>
  <c r="O1341" i="1"/>
  <c r="O1359" i="1"/>
  <c r="P1375" i="1"/>
  <c r="O1388" i="1"/>
  <c r="P1399" i="1"/>
  <c r="P1410" i="1"/>
  <c r="P1418" i="1"/>
  <c r="P1428" i="1"/>
  <c r="P1436" i="1"/>
  <c r="P1446" i="1"/>
  <c r="P1454" i="1"/>
  <c r="P1464" i="1"/>
  <c r="P1472" i="1"/>
  <c r="P1482" i="1"/>
  <c r="P1490" i="1"/>
  <c r="P1500" i="1"/>
  <c r="P1508" i="1"/>
  <c r="P1518" i="1"/>
  <c r="P1526" i="1"/>
  <c r="P1536" i="1"/>
  <c r="P1544" i="1"/>
  <c r="P1554" i="1"/>
  <c r="P1562" i="1"/>
  <c r="P1572" i="1"/>
  <c r="P1580" i="1"/>
  <c r="P1590" i="1"/>
  <c r="P1598" i="1"/>
  <c r="P525" i="1"/>
  <c r="P774" i="1"/>
  <c r="P894" i="1"/>
  <c r="O935" i="1"/>
  <c r="O971" i="1"/>
  <c r="O1007" i="1"/>
  <c r="O1043" i="1"/>
  <c r="O1079" i="1"/>
  <c r="O1112" i="1"/>
  <c r="O1144" i="1"/>
  <c r="O1176" i="1"/>
  <c r="O1208" i="1"/>
  <c r="P1238" i="1"/>
  <c r="P1262" i="1"/>
  <c r="P1286" i="1"/>
  <c r="P1308" i="1"/>
  <c r="P1326" i="1"/>
  <c r="P1344" i="1"/>
  <c r="P1362" i="1"/>
  <c r="O1376" i="1"/>
  <c r="P1388" i="1"/>
  <c r="O1400" i="1"/>
  <c r="O1411" i="1"/>
  <c r="O1419" i="1"/>
  <c r="O1429" i="1"/>
  <c r="O1437" i="1"/>
  <c r="O1447" i="1"/>
  <c r="O1455" i="1"/>
  <c r="O1465" i="1"/>
  <c r="O1473" i="1"/>
  <c r="O1483" i="1"/>
  <c r="O1491" i="1"/>
  <c r="O1501" i="1"/>
  <c r="O1509" i="1"/>
  <c r="O1519" i="1"/>
  <c r="O1527" i="1"/>
  <c r="O1537" i="1"/>
  <c r="O1545" i="1"/>
  <c r="O1555" i="1"/>
  <c r="O1563" i="1"/>
  <c r="O1573" i="1"/>
  <c r="O1581" i="1"/>
  <c r="O1591" i="1"/>
  <c r="O1599" i="1"/>
  <c r="O1609" i="1"/>
  <c r="P1616" i="1"/>
  <c r="P1625" i="1"/>
  <c r="O1633" i="1"/>
  <c r="P1640" i="1"/>
  <c r="O533" i="1"/>
  <c r="O780" i="1"/>
  <c r="O896" i="1"/>
  <c r="O936" i="1"/>
  <c r="O972" i="1"/>
  <c r="O1008" i="1"/>
  <c r="O1044" i="1"/>
  <c r="O1080" i="1"/>
  <c r="O1113" i="1"/>
  <c r="P1144" i="1"/>
  <c r="P1176" i="1"/>
  <c r="O1209" i="1"/>
  <c r="O1239" i="1"/>
  <c r="O1263" i="1"/>
  <c r="O1287" i="1"/>
  <c r="O1310" i="1"/>
  <c r="O1328" i="1"/>
  <c r="O1346" i="1"/>
  <c r="P1363" i="1"/>
  <c r="P1376" i="1"/>
  <c r="O1389" i="1"/>
  <c r="P1400" i="1"/>
  <c r="P1411" i="1"/>
  <c r="P1421" i="1"/>
  <c r="P1429" i="1"/>
  <c r="P1439" i="1"/>
  <c r="P1447" i="1"/>
  <c r="P1457" i="1"/>
  <c r="P1465" i="1"/>
  <c r="P1475" i="1"/>
  <c r="P1483" i="1"/>
  <c r="P1493" i="1"/>
  <c r="P1501" i="1"/>
  <c r="P1511" i="1"/>
  <c r="P1519" i="1"/>
  <c r="P1529" i="1"/>
  <c r="P1537" i="1"/>
  <c r="P1547" i="1"/>
  <c r="P1555" i="1"/>
  <c r="P1565" i="1"/>
  <c r="P1573" i="1"/>
  <c r="P1583" i="1"/>
  <c r="P1591" i="1"/>
  <c r="P1601" i="1"/>
  <c r="P1609" i="1"/>
  <c r="O1617" i="1"/>
  <c r="O1626" i="1"/>
  <c r="P1633" i="1"/>
  <c r="O1641" i="1"/>
  <c r="O1650" i="1"/>
  <c r="P1657" i="1"/>
  <c r="O1665" i="1"/>
  <c r="O1674" i="1"/>
  <c r="P1681" i="1"/>
  <c r="O1689" i="1"/>
  <c r="O1698" i="1"/>
  <c r="O1704" i="1"/>
  <c r="O1710" i="1"/>
  <c r="O1716" i="1"/>
  <c r="P579" i="1"/>
  <c r="P810" i="1"/>
  <c r="O904" i="1"/>
  <c r="O944" i="1"/>
  <c r="O980" i="1"/>
  <c r="O1016" i="1"/>
  <c r="O1052" i="1"/>
  <c r="P1087" i="1"/>
  <c r="P1119" i="1"/>
  <c r="O1151" i="1"/>
  <c r="P1183" i="1"/>
  <c r="P1215" i="1"/>
  <c r="O1244" i="1"/>
  <c r="O1268" i="1"/>
  <c r="O1292" i="1"/>
  <c r="P1310" i="1"/>
  <c r="P1328" i="1"/>
  <c r="P1346" i="1"/>
  <c r="O1364" i="1"/>
  <c r="O1377" i="1"/>
  <c r="P1391" i="1"/>
  <c r="O1401" i="1"/>
  <c r="O1412" i="1"/>
  <c r="O1422" i="1"/>
  <c r="O1430" i="1"/>
  <c r="O1440" i="1"/>
  <c r="O1448" i="1"/>
  <c r="O1458" i="1"/>
  <c r="O1466" i="1"/>
  <c r="O1476" i="1"/>
  <c r="O1484" i="1"/>
  <c r="O1494" i="1"/>
  <c r="O1502" i="1"/>
  <c r="O1512" i="1"/>
  <c r="O1520" i="1"/>
  <c r="O1530" i="1"/>
  <c r="O1538" i="1"/>
  <c r="O1548" i="1"/>
  <c r="O1556" i="1"/>
  <c r="O1566" i="1"/>
  <c r="O1574" i="1"/>
  <c r="O1584" i="1"/>
  <c r="O1592" i="1"/>
  <c r="O1602" i="1"/>
  <c r="O587" i="1"/>
  <c r="O812" i="1"/>
  <c r="O905" i="1"/>
  <c r="O945" i="1"/>
  <c r="O981" i="1"/>
  <c r="O1017" i="1"/>
  <c r="O1053" i="1"/>
  <c r="O1088" i="1"/>
  <c r="O1120" i="1"/>
  <c r="O1152" i="1"/>
  <c r="O1184" i="1"/>
  <c r="O1216" i="1"/>
  <c r="P1244" i="1"/>
  <c r="P1268" i="1"/>
  <c r="P1292" i="1"/>
  <c r="O1311" i="1"/>
  <c r="O1329" i="1"/>
  <c r="O1347" i="1"/>
  <c r="P1364" i="1"/>
  <c r="P1380" i="1"/>
  <c r="P1392" i="1"/>
  <c r="P1403" i="1"/>
  <c r="P1412" i="1"/>
  <c r="P1422" i="1"/>
  <c r="P1430" i="1"/>
  <c r="P1440" i="1"/>
  <c r="P1448" i="1"/>
  <c r="P1458" i="1"/>
  <c r="P1466" i="1"/>
  <c r="P1476" i="1"/>
  <c r="P1484" i="1"/>
  <c r="P1494" i="1"/>
  <c r="P1502" i="1"/>
  <c r="P1512" i="1"/>
  <c r="P1520" i="1"/>
  <c r="P1530" i="1"/>
  <c r="P1538" i="1"/>
  <c r="P1548" i="1"/>
  <c r="P1556" i="1"/>
  <c r="P1566" i="1"/>
  <c r="P1574" i="1"/>
  <c r="P1584" i="1"/>
  <c r="P1592" i="1"/>
  <c r="P1602" i="1"/>
  <c r="P1610" i="1"/>
  <c r="P1619" i="1"/>
  <c r="O1627" i="1"/>
  <c r="P1634" i="1"/>
  <c r="P1643" i="1"/>
  <c r="O1651" i="1"/>
  <c r="P1658" i="1"/>
  <c r="P1667" i="1"/>
  <c r="O1675" i="1"/>
  <c r="P1682" i="1"/>
  <c r="P1691" i="1"/>
  <c r="O1699" i="1"/>
  <c r="O1705" i="1"/>
  <c r="O1711" i="1"/>
  <c r="O1717" i="1"/>
  <c r="O1723" i="1"/>
  <c r="O1729" i="1"/>
  <c r="O1735" i="1"/>
  <c r="O1741" i="1"/>
  <c r="O1747" i="1"/>
  <c r="O1753" i="1"/>
  <c r="O1759" i="1"/>
  <c r="O1765" i="1"/>
  <c r="O1771" i="1"/>
  <c r="O1777" i="1"/>
  <c r="O1783" i="1"/>
  <c r="O1789" i="1"/>
  <c r="O1795" i="1"/>
  <c r="O1801" i="1"/>
  <c r="O1807" i="1"/>
  <c r="O1813" i="1"/>
  <c r="O1819" i="1"/>
  <c r="O1825" i="1"/>
  <c r="O1831" i="1"/>
  <c r="O1837" i="1"/>
  <c r="O1843" i="1"/>
  <c r="O1849" i="1"/>
  <c r="O1855" i="1"/>
  <c r="O1861" i="1"/>
  <c r="O1867" i="1"/>
  <c r="O1873" i="1"/>
  <c r="P635" i="1"/>
  <c r="O836" i="1"/>
  <c r="O915" i="1"/>
  <c r="P952" i="1"/>
  <c r="P988" i="1"/>
  <c r="P1024" i="1"/>
  <c r="P1060" i="1"/>
  <c r="P1095" i="1"/>
  <c r="O1127" i="1"/>
  <c r="P1159" i="1"/>
  <c r="P1191" i="1"/>
  <c r="O1223" i="1"/>
  <c r="O1250" i="1"/>
  <c r="O1274" i="1"/>
  <c r="O1298" i="1"/>
  <c r="O1316" i="1"/>
  <c r="O1334" i="1"/>
  <c r="O1352" i="1"/>
  <c r="P1368" i="1"/>
  <c r="O1382" i="1"/>
  <c r="O1394" i="1"/>
  <c r="O1405" i="1"/>
  <c r="P1415" i="1"/>
  <c r="P1423" i="1"/>
  <c r="P1433" i="1"/>
  <c r="P1441" i="1"/>
  <c r="P1451" i="1"/>
  <c r="P1459" i="1"/>
  <c r="P1469" i="1"/>
  <c r="P1477" i="1"/>
  <c r="P1487" i="1"/>
  <c r="P1495" i="1"/>
  <c r="P1505" i="1"/>
  <c r="P1513" i="1"/>
  <c r="P1523" i="1"/>
  <c r="P1531" i="1"/>
  <c r="P1541" i="1"/>
  <c r="P1549" i="1"/>
  <c r="P1559" i="1"/>
  <c r="P1567" i="1"/>
  <c r="P1577" i="1"/>
  <c r="P1585" i="1"/>
  <c r="P1595" i="1"/>
  <c r="P1603" i="1"/>
  <c r="O1612" i="1"/>
  <c r="P1620" i="1"/>
  <c r="O1628" i="1"/>
  <c r="O1636" i="1"/>
  <c r="P1644" i="1"/>
  <c r="O1652" i="1"/>
  <c r="O1660" i="1"/>
  <c r="P1668" i="1"/>
  <c r="O1676" i="1"/>
  <c r="O1684" i="1"/>
  <c r="P1692" i="1"/>
  <c r="O1700" i="1"/>
  <c r="O1706" i="1"/>
  <c r="O1712" i="1"/>
  <c r="O1718" i="1"/>
  <c r="O1724" i="1"/>
  <c r="O1730" i="1"/>
  <c r="O1736" i="1"/>
  <c r="O1742" i="1"/>
  <c r="O1748" i="1"/>
  <c r="O1754" i="1"/>
  <c r="O1760" i="1"/>
  <c r="O1766" i="1"/>
  <c r="O1772" i="1"/>
  <c r="O1778" i="1"/>
  <c r="O1784" i="1"/>
  <c r="O1790" i="1"/>
  <c r="O1796" i="1"/>
  <c r="O1802" i="1"/>
  <c r="O1808" i="1"/>
  <c r="O1814" i="1"/>
  <c r="O1820" i="1"/>
  <c r="O1826" i="1"/>
  <c r="O1832" i="1"/>
  <c r="O1838" i="1"/>
  <c r="O1844" i="1"/>
  <c r="O1850" i="1"/>
  <c r="O1856" i="1"/>
  <c r="O1862" i="1"/>
  <c r="O1868" i="1"/>
  <c r="O1874" i="1"/>
  <c r="O1880" i="1"/>
  <c r="O1886" i="1"/>
  <c r="O1892" i="1"/>
  <c r="O1898" i="1"/>
  <c r="O1904" i="1"/>
  <c r="O1910" i="1"/>
  <c r="O1916" i="1"/>
  <c r="O1922" i="1"/>
  <c r="O1928" i="1"/>
  <c r="O1934" i="1"/>
  <c r="O1940" i="1"/>
  <c r="O1946" i="1"/>
  <c r="O1952" i="1"/>
  <c r="O1958" i="1"/>
  <c r="O1964" i="1"/>
  <c r="O1970" i="1"/>
  <c r="O1976" i="1"/>
  <c r="O1982" i="1"/>
  <c r="O1988" i="1"/>
  <c r="O1994" i="1"/>
  <c r="O2000" i="1"/>
  <c r="L200" i="1"/>
  <c r="L206" i="1"/>
  <c r="L212" i="1"/>
  <c r="L218" i="1"/>
  <c r="L224" i="1"/>
  <c r="L230" i="1"/>
  <c r="L236" i="1"/>
  <c r="O629" i="1"/>
  <c r="O1245" i="1"/>
  <c r="O1431" i="1"/>
  <c r="O1513" i="1"/>
  <c r="O1567" i="1"/>
  <c r="P1608" i="1"/>
  <c r="O1624" i="1"/>
  <c r="O1640" i="1"/>
  <c r="O1656" i="1"/>
  <c r="O1669" i="1"/>
  <c r="O1682" i="1"/>
  <c r="O1696" i="1"/>
  <c r="O1708" i="1"/>
  <c r="P1717" i="1"/>
  <c r="O1727" i="1"/>
  <c r="P1735" i="1"/>
  <c r="O1745" i="1"/>
  <c r="P1753" i="1"/>
  <c r="O1763" i="1"/>
  <c r="P1771" i="1"/>
  <c r="O1781" i="1"/>
  <c r="P1789" i="1"/>
  <c r="O1799" i="1"/>
  <c r="P1807" i="1"/>
  <c r="O1817" i="1"/>
  <c r="P1825" i="1"/>
  <c r="O1835" i="1"/>
  <c r="P1843" i="1"/>
  <c r="O1853" i="1"/>
  <c r="P1861" i="1"/>
  <c r="O1871" i="1"/>
  <c r="O1879" i="1"/>
  <c r="O1888" i="1"/>
  <c r="P1895" i="1"/>
  <c r="O1903" i="1"/>
  <c r="O1912" i="1"/>
  <c r="P1919" i="1"/>
  <c r="O1927" i="1"/>
  <c r="O1936" i="1"/>
  <c r="P1943" i="1"/>
  <c r="O1951" i="1"/>
  <c r="O1960" i="1"/>
  <c r="P1967" i="1"/>
  <c r="O1975" i="1"/>
  <c r="O1984" i="1"/>
  <c r="P1991" i="1"/>
  <c r="O1999" i="1"/>
  <c r="L202" i="1"/>
  <c r="L209" i="1"/>
  <c r="L216" i="1"/>
  <c r="L223" i="1"/>
  <c r="M230" i="1"/>
  <c r="L238" i="1"/>
  <c r="M244" i="1"/>
  <c r="L251" i="1"/>
  <c r="M257" i="1"/>
  <c r="L264" i="1"/>
  <c r="L270" i="1"/>
  <c r="L276" i="1"/>
  <c r="L282" i="1"/>
  <c r="L288" i="1"/>
  <c r="L294" i="1"/>
  <c r="L300" i="1"/>
  <c r="L306" i="1"/>
  <c r="L312" i="1"/>
  <c r="L318" i="1"/>
  <c r="L324" i="1"/>
  <c r="L330" i="1"/>
  <c r="L336" i="1"/>
  <c r="L342" i="1"/>
  <c r="L348" i="1"/>
  <c r="L354" i="1"/>
  <c r="L360" i="1"/>
  <c r="L366" i="1"/>
  <c r="L372" i="1"/>
  <c r="L378" i="1"/>
  <c r="L384" i="1"/>
  <c r="L390" i="1"/>
  <c r="L396" i="1"/>
  <c r="L402" i="1"/>
  <c r="L408" i="1"/>
  <c r="L414" i="1"/>
  <c r="L420" i="1"/>
  <c r="L426" i="1"/>
  <c r="L432" i="1"/>
  <c r="L438" i="1"/>
  <c r="L444" i="1"/>
  <c r="L450" i="1"/>
  <c r="L456" i="1"/>
  <c r="L462" i="1"/>
  <c r="L468" i="1"/>
  <c r="L474" i="1"/>
  <c r="L480" i="1"/>
  <c r="L486" i="1"/>
  <c r="L492" i="1"/>
  <c r="L498" i="1"/>
  <c r="L504" i="1"/>
  <c r="L510" i="1"/>
  <c r="L516" i="1"/>
  <c r="L522" i="1"/>
  <c r="L528" i="1"/>
  <c r="L534" i="1"/>
  <c r="L540" i="1"/>
  <c r="L546" i="1"/>
  <c r="L552" i="1"/>
  <c r="L558" i="1"/>
  <c r="L564" i="1"/>
  <c r="L570" i="1"/>
  <c r="L576" i="1"/>
  <c r="L582" i="1"/>
  <c r="L588" i="1"/>
  <c r="L594" i="1"/>
  <c r="L600" i="1"/>
  <c r="L606" i="1"/>
  <c r="L612" i="1"/>
  <c r="L618" i="1"/>
  <c r="L624" i="1"/>
  <c r="L630" i="1"/>
  <c r="L636" i="1"/>
  <c r="L642" i="1"/>
  <c r="L648" i="1"/>
  <c r="L654" i="1"/>
  <c r="L660" i="1"/>
  <c r="L666" i="1"/>
  <c r="L672" i="1"/>
  <c r="L678" i="1"/>
  <c r="L684" i="1"/>
  <c r="L690" i="1"/>
  <c r="L696" i="1"/>
  <c r="L702" i="1"/>
  <c r="L708" i="1"/>
  <c r="L714" i="1"/>
  <c r="L720" i="1"/>
  <c r="L726" i="1"/>
  <c r="L732" i="1"/>
  <c r="L738" i="1"/>
  <c r="L744" i="1"/>
  <c r="L750" i="1"/>
  <c r="L756" i="1"/>
  <c r="L762" i="1"/>
  <c r="L768" i="1"/>
  <c r="L774" i="1"/>
  <c r="L780" i="1"/>
  <c r="L786" i="1"/>
  <c r="L792" i="1"/>
  <c r="L798" i="1"/>
  <c r="L804" i="1"/>
  <c r="L810" i="1"/>
  <c r="L816" i="1"/>
  <c r="L822" i="1"/>
  <c r="L828" i="1"/>
  <c r="L834" i="1"/>
  <c r="L840" i="1"/>
  <c r="L846" i="1"/>
  <c r="L852" i="1"/>
  <c r="L858" i="1"/>
  <c r="L864" i="1"/>
  <c r="L870" i="1"/>
  <c r="L876" i="1"/>
  <c r="L882" i="1"/>
  <c r="L888" i="1"/>
  <c r="L894" i="1"/>
  <c r="L900" i="1"/>
  <c r="L906" i="1"/>
  <c r="L912" i="1"/>
  <c r="L918" i="1"/>
  <c r="L924" i="1"/>
  <c r="L930" i="1"/>
  <c r="L936" i="1"/>
  <c r="P834" i="1"/>
  <c r="O1269" i="1"/>
  <c r="O1441" i="1"/>
  <c r="P1517" i="1"/>
  <c r="P1571" i="1"/>
  <c r="O1610" i="1"/>
  <c r="P1626" i="1"/>
  <c r="O1642" i="1"/>
  <c r="P1656" i="1"/>
  <c r="P1670" i="1"/>
  <c r="O1683" i="1"/>
  <c r="P1697" i="1"/>
  <c r="P1708" i="1"/>
  <c r="P1718" i="1"/>
  <c r="P1727" i="1"/>
  <c r="P1736" i="1"/>
  <c r="P1745" i="1"/>
  <c r="P1754" i="1"/>
  <c r="P1763" i="1"/>
  <c r="P1772" i="1"/>
  <c r="P1781" i="1"/>
  <c r="P1790" i="1"/>
  <c r="P1799" i="1"/>
  <c r="P1808" i="1"/>
  <c r="P1817" i="1"/>
  <c r="P1826" i="1"/>
  <c r="P1835" i="1"/>
  <c r="P1844" i="1"/>
  <c r="P1853" i="1"/>
  <c r="P1862" i="1"/>
  <c r="P1871" i="1"/>
  <c r="P1879" i="1"/>
  <c r="P1888" i="1"/>
  <c r="O1896" i="1"/>
  <c r="P1903" i="1"/>
  <c r="P1912" i="1"/>
  <c r="O1920" i="1"/>
  <c r="P1927" i="1"/>
  <c r="P1936" i="1"/>
  <c r="O1944" i="1"/>
  <c r="P1951" i="1"/>
  <c r="P1960" i="1"/>
  <c r="O1968" i="1"/>
  <c r="P1975" i="1"/>
  <c r="P1984" i="1"/>
  <c r="O1992" i="1"/>
  <c r="P1999" i="1"/>
  <c r="M195" i="1"/>
  <c r="M202" i="1"/>
  <c r="M209" i="1"/>
  <c r="M216" i="1"/>
  <c r="M223" i="1"/>
  <c r="M231" i="1"/>
  <c r="M238" i="1"/>
  <c r="L245" i="1"/>
  <c r="M251" i="1"/>
  <c r="L258" i="1"/>
  <c r="M264" i="1"/>
  <c r="M270" i="1"/>
  <c r="M276" i="1"/>
  <c r="M282" i="1"/>
  <c r="M288" i="1"/>
  <c r="M294" i="1"/>
  <c r="M300" i="1"/>
  <c r="M306" i="1"/>
  <c r="M312" i="1"/>
  <c r="M318" i="1"/>
  <c r="M324" i="1"/>
  <c r="M330" i="1"/>
  <c r="M336" i="1"/>
  <c r="M342" i="1"/>
  <c r="M348" i="1"/>
  <c r="M354" i="1"/>
  <c r="M360" i="1"/>
  <c r="M366" i="1"/>
  <c r="M372" i="1"/>
  <c r="M378" i="1"/>
  <c r="M384" i="1"/>
  <c r="M390" i="1"/>
  <c r="M396" i="1"/>
  <c r="M402" i="1"/>
  <c r="M408" i="1"/>
  <c r="M414" i="1"/>
  <c r="M420" i="1"/>
  <c r="M426" i="1"/>
  <c r="M432" i="1"/>
  <c r="M438" i="1"/>
  <c r="M444" i="1"/>
  <c r="M450" i="1"/>
  <c r="M456" i="1"/>
  <c r="M462" i="1"/>
  <c r="M468" i="1"/>
  <c r="M474" i="1"/>
  <c r="M480" i="1"/>
  <c r="M486" i="1"/>
  <c r="M492" i="1"/>
  <c r="M498" i="1"/>
  <c r="M504" i="1"/>
  <c r="M510" i="1"/>
  <c r="M516" i="1"/>
  <c r="M522" i="1"/>
  <c r="M528" i="1"/>
  <c r="M534" i="1"/>
  <c r="M540" i="1"/>
  <c r="M546" i="1"/>
  <c r="M552" i="1"/>
  <c r="M558" i="1"/>
  <c r="M564" i="1"/>
  <c r="O906" i="1"/>
  <c r="O1293" i="1"/>
  <c r="O1449" i="1"/>
  <c r="O1521" i="1"/>
  <c r="O1575" i="1"/>
  <c r="O1611" i="1"/>
  <c r="P1627" i="1"/>
  <c r="O1644" i="1"/>
  <c r="O1657" i="1"/>
  <c r="O1671" i="1"/>
  <c r="P1685" i="1"/>
  <c r="P1698" i="1"/>
  <c r="O1709" i="1"/>
  <c r="O1720" i="1"/>
  <c r="O1728" i="1"/>
  <c r="O1738" i="1"/>
  <c r="O1746" i="1"/>
  <c r="O1756" i="1"/>
  <c r="O1764" i="1"/>
  <c r="O1774" i="1"/>
  <c r="O1782" i="1"/>
  <c r="O1792" i="1"/>
  <c r="O1800" i="1"/>
  <c r="O1810" i="1"/>
  <c r="O1818" i="1"/>
  <c r="O1828" i="1"/>
  <c r="O1836" i="1"/>
  <c r="O1846" i="1"/>
  <c r="O1854" i="1"/>
  <c r="O1864" i="1"/>
  <c r="O1872" i="1"/>
  <c r="P1880" i="1"/>
  <c r="O1889" i="1"/>
  <c r="P1896" i="1"/>
  <c r="P1904" i="1"/>
  <c r="O1913" i="1"/>
  <c r="P1920" i="1"/>
  <c r="P1928" i="1"/>
  <c r="O1937" i="1"/>
  <c r="P1944" i="1"/>
  <c r="P1952" i="1"/>
  <c r="O1961" i="1"/>
  <c r="P1968" i="1"/>
  <c r="P1976" i="1"/>
  <c r="O1985" i="1"/>
  <c r="P1992" i="1"/>
  <c r="P2000" i="1"/>
  <c r="L196" i="1"/>
  <c r="L203" i="1"/>
  <c r="L210" i="1"/>
  <c r="L217" i="1"/>
  <c r="M224" i="1"/>
  <c r="L232" i="1"/>
  <c r="L239" i="1"/>
  <c r="M245" i="1"/>
  <c r="L252" i="1"/>
  <c r="M258" i="1"/>
  <c r="L265" i="1"/>
  <c r="L271" i="1"/>
  <c r="L277" i="1"/>
  <c r="L283" i="1"/>
  <c r="L289" i="1"/>
  <c r="L295" i="1"/>
  <c r="L301" i="1"/>
  <c r="L307" i="1"/>
  <c r="L313" i="1"/>
  <c r="L319" i="1"/>
  <c r="L325" i="1"/>
  <c r="L331" i="1"/>
  <c r="L337" i="1"/>
  <c r="L343" i="1"/>
  <c r="L349" i="1"/>
  <c r="L355" i="1"/>
  <c r="L361" i="1"/>
  <c r="L367" i="1"/>
  <c r="L373" i="1"/>
  <c r="L379" i="1"/>
  <c r="L385" i="1"/>
  <c r="L391" i="1"/>
  <c r="L397" i="1"/>
  <c r="L403" i="1"/>
  <c r="L409" i="1"/>
  <c r="L415" i="1"/>
  <c r="L421" i="1"/>
  <c r="L427" i="1"/>
  <c r="L433" i="1"/>
  <c r="L439" i="1"/>
  <c r="L445" i="1"/>
  <c r="L451" i="1"/>
  <c r="L457" i="1"/>
  <c r="L463" i="1"/>
  <c r="L469" i="1"/>
  <c r="L475" i="1"/>
  <c r="L481" i="1"/>
  <c r="L487" i="1"/>
  <c r="L493" i="1"/>
  <c r="L499" i="1"/>
  <c r="L505" i="1"/>
  <c r="L511" i="1"/>
  <c r="L517" i="1"/>
  <c r="L523" i="1"/>
  <c r="L529" i="1"/>
  <c r="L535" i="1"/>
  <c r="L541" i="1"/>
  <c r="L547" i="1"/>
  <c r="L553" i="1"/>
  <c r="L559" i="1"/>
  <c r="L565" i="1"/>
  <c r="L571" i="1"/>
  <c r="L577" i="1"/>
  <c r="L583" i="1"/>
  <c r="L589" i="1"/>
  <c r="L595" i="1"/>
  <c r="L601" i="1"/>
  <c r="L607" i="1"/>
  <c r="L613" i="1"/>
  <c r="L619" i="1"/>
  <c r="L625" i="1"/>
  <c r="L631" i="1"/>
  <c r="L637" i="1"/>
  <c r="L643" i="1"/>
  <c r="L649" i="1"/>
  <c r="L655" i="1"/>
  <c r="L661" i="1"/>
  <c r="L667" i="1"/>
  <c r="L673" i="1"/>
  <c r="L679" i="1"/>
  <c r="L685" i="1"/>
  <c r="L691" i="1"/>
  <c r="L697" i="1"/>
  <c r="L703" i="1"/>
  <c r="L709" i="1"/>
  <c r="L715" i="1"/>
  <c r="L721" i="1"/>
  <c r="L727" i="1"/>
  <c r="L733" i="1"/>
  <c r="L739" i="1"/>
  <c r="L745" i="1"/>
  <c r="L751" i="1"/>
  <c r="L757" i="1"/>
  <c r="L763" i="1"/>
  <c r="L769" i="1"/>
  <c r="L775" i="1"/>
  <c r="L781" i="1"/>
  <c r="L787" i="1"/>
  <c r="L793" i="1"/>
  <c r="L799" i="1"/>
  <c r="L805" i="1"/>
  <c r="L811" i="1"/>
  <c r="L817" i="1"/>
  <c r="L823" i="1"/>
  <c r="L829" i="1"/>
  <c r="L835" i="1"/>
  <c r="L841" i="1"/>
  <c r="L847" i="1"/>
  <c r="L853" i="1"/>
  <c r="L859" i="1"/>
  <c r="L865" i="1"/>
  <c r="L871" i="1"/>
  <c r="L877" i="1"/>
  <c r="L883" i="1"/>
  <c r="P945" i="1"/>
  <c r="P1314" i="1"/>
  <c r="O1459" i="1"/>
  <c r="P1525" i="1"/>
  <c r="P1579" i="1"/>
  <c r="P1613" i="1"/>
  <c r="P1628" i="1"/>
  <c r="O1645" i="1"/>
  <c r="O1658" i="1"/>
  <c r="O1672" i="1"/>
  <c r="O1687" i="1"/>
  <c r="P1699" i="1"/>
  <c r="P1709" i="1"/>
  <c r="P1720" i="1"/>
  <c r="P1728" i="1"/>
  <c r="P1738" i="1"/>
  <c r="P1746" i="1"/>
  <c r="P1756" i="1"/>
  <c r="P1764" i="1"/>
  <c r="P1774" i="1"/>
  <c r="P1782" i="1"/>
  <c r="P1792" i="1"/>
  <c r="P1800" i="1"/>
  <c r="P1810" i="1"/>
  <c r="P1818" i="1"/>
  <c r="P1828" i="1"/>
  <c r="P1836" i="1"/>
  <c r="P1846" i="1"/>
  <c r="P1854" i="1"/>
  <c r="P1864" i="1"/>
  <c r="P1872" i="1"/>
  <c r="O1882" i="1"/>
  <c r="P1889" i="1"/>
  <c r="O1897" i="1"/>
  <c r="O1906" i="1"/>
  <c r="P1913" i="1"/>
  <c r="O1921" i="1"/>
  <c r="O1930" i="1"/>
  <c r="P1937" i="1"/>
  <c r="O1945" i="1"/>
  <c r="O1954" i="1"/>
  <c r="P1961" i="1"/>
  <c r="O1969" i="1"/>
  <c r="O1978" i="1"/>
  <c r="P1985" i="1"/>
  <c r="O1993" i="1"/>
  <c r="M193" i="1"/>
  <c r="M196" i="1"/>
  <c r="M203" i="1"/>
  <c r="M210" i="1"/>
  <c r="M217" i="1"/>
  <c r="M225" i="1"/>
  <c r="M232" i="1"/>
  <c r="M239" i="1"/>
  <c r="L246" i="1"/>
  <c r="M252" i="1"/>
  <c r="L259" i="1"/>
  <c r="M265" i="1"/>
  <c r="M271" i="1"/>
  <c r="M277" i="1"/>
  <c r="M283" i="1"/>
  <c r="M289" i="1"/>
  <c r="M295" i="1"/>
  <c r="M301" i="1"/>
  <c r="M307" i="1"/>
  <c r="M313" i="1"/>
  <c r="M319" i="1"/>
  <c r="M325" i="1"/>
  <c r="M331" i="1"/>
  <c r="M337" i="1"/>
  <c r="M343" i="1"/>
  <c r="M349" i="1"/>
  <c r="M355" i="1"/>
  <c r="M361" i="1"/>
  <c r="M367" i="1"/>
  <c r="M373" i="1"/>
  <c r="M379" i="1"/>
  <c r="M385" i="1"/>
  <c r="M391" i="1"/>
  <c r="M397" i="1"/>
  <c r="M403" i="1"/>
  <c r="M409" i="1"/>
  <c r="P981" i="1"/>
  <c r="P1332" i="1"/>
  <c r="O1467" i="1"/>
  <c r="O1531" i="1"/>
  <c r="O1585" i="1"/>
  <c r="O1615" i="1"/>
  <c r="P1631" i="1"/>
  <c r="P1646" i="1"/>
  <c r="O1659" i="1"/>
  <c r="P1673" i="1"/>
  <c r="P1687" i="1"/>
  <c r="P1700" i="1"/>
  <c r="P1710" i="1"/>
  <c r="O1721" i="1"/>
  <c r="P1729" i="1"/>
  <c r="O1739" i="1"/>
  <c r="P1747" i="1"/>
  <c r="O1757" i="1"/>
  <c r="P1765" i="1"/>
  <c r="O1775" i="1"/>
  <c r="P1783" i="1"/>
  <c r="O1793" i="1"/>
  <c r="P1801" i="1"/>
  <c r="O1811" i="1"/>
  <c r="P1819" i="1"/>
  <c r="O1829" i="1"/>
  <c r="P1837" i="1"/>
  <c r="O1847" i="1"/>
  <c r="P1855" i="1"/>
  <c r="O1865" i="1"/>
  <c r="P1873" i="1"/>
  <c r="P1882" i="1"/>
  <c r="O1890" i="1"/>
  <c r="P1897" i="1"/>
  <c r="P1906" i="1"/>
  <c r="O1914" i="1"/>
  <c r="P1921" i="1"/>
  <c r="P1930" i="1"/>
  <c r="O1938" i="1"/>
  <c r="P1945" i="1"/>
  <c r="P1954" i="1"/>
  <c r="O1962" i="1"/>
  <c r="P1969" i="1"/>
  <c r="P1978" i="1"/>
  <c r="O1986" i="1"/>
  <c r="P1993" i="1"/>
  <c r="L194" i="1"/>
  <c r="L197" i="1"/>
  <c r="L204" i="1"/>
  <c r="L211" i="1"/>
  <c r="M218" i="1"/>
  <c r="L226" i="1"/>
  <c r="L233" i="1"/>
  <c r="L240" i="1"/>
  <c r="M246" i="1"/>
  <c r="L253" i="1"/>
  <c r="M259" i="1"/>
  <c r="L266" i="1"/>
  <c r="L272" i="1"/>
  <c r="L278" i="1"/>
  <c r="L284" i="1"/>
  <c r="L290" i="1"/>
  <c r="L296" i="1"/>
  <c r="L302" i="1"/>
  <c r="L308" i="1"/>
  <c r="L314" i="1"/>
  <c r="L320" i="1"/>
  <c r="L326" i="1"/>
  <c r="L332" i="1"/>
  <c r="L338" i="1"/>
  <c r="L344" i="1"/>
  <c r="L350" i="1"/>
  <c r="L356" i="1"/>
  <c r="L362" i="1"/>
  <c r="L368" i="1"/>
  <c r="L374" i="1"/>
  <c r="L380" i="1"/>
  <c r="L386" i="1"/>
  <c r="L392" i="1"/>
  <c r="L398" i="1"/>
  <c r="P1017" i="1"/>
  <c r="P1350" i="1"/>
  <c r="O1477" i="1"/>
  <c r="P1535" i="1"/>
  <c r="P1589" i="1"/>
  <c r="P1615" i="1"/>
  <c r="O1632" i="1"/>
  <c r="O1647" i="1"/>
  <c r="P1661" i="1"/>
  <c r="P1674" i="1"/>
  <c r="O1688" i="1"/>
  <c r="O1702" i="1"/>
  <c r="P1711" i="1"/>
  <c r="P1721" i="1"/>
  <c r="P1730" i="1"/>
  <c r="P1739" i="1"/>
  <c r="P1748" i="1"/>
  <c r="P1757" i="1"/>
  <c r="P1766" i="1"/>
  <c r="P1775" i="1"/>
  <c r="P1784" i="1"/>
  <c r="P1793" i="1"/>
  <c r="P1802" i="1"/>
  <c r="P1811" i="1"/>
  <c r="P1820" i="1"/>
  <c r="P1829" i="1"/>
  <c r="P1838" i="1"/>
  <c r="P1847" i="1"/>
  <c r="P1856" i="1"/>
  <c r="P1865" i="1"/>
  <c r="P1874" i="1"/>
  <c r="O1883" i="1"/>
  <c r="P1890" i="1"/>
  <c r="P1898" i="1"/>
  <c r="O1907" i="1"/>
  <c r="P1914" i="1"/>
  <c r="P1922" i="1"/>
  <c r="O1931" i="1"/>
  <c r="P1938" i="1"/>
  <c r="P1946" i="1"/>
  <c r="O1955" i="1"/>
  <c r="P1962" i="1"/>
  <c r="P1970" i="1"/>
  <c r="O1979" i="1"/>
  <c r="P1986" i="1"/>
  <c r="P1994" i="1"/>
  <c r="M194" i="1"/>
  <c r="M197" i="1"/>
  <c r="M204" i="1"/>
  <c r="M211" i="1"/>
  <c r="M219" i="1"/>
  <c r="M226" i="1"/>
  <c r="M233" i="1"/>
  <c r="M240" i="1"/>
  <c r="L247" i="1"/>
  <c r="M253" i="1"/>
  <c r="L260" i="1"/>
  <c r="M266" i="1"/>
  <c r="M272" i="1"/>
  <c r="M278" i="1"/>
  <c r="M284" i="1"/>
  <c r="M290" i="1"/>
  <c r="M296" i="1"/>
  <c r="M302" i="1"/>
  <c r="M308" i="1"/>
  <c r="M314" i="1"/>
  <c r="M320" i="1"/>
  <c r="M326" i="1"/>
  <c r="M332" i="1"/>
  <c r="M338" i="1"/>
  <c r="M344" i="1"/>
  <c r="M350" i="1"/>
  <c r="M356" i="1"/>
  <c r="M362" i="1"/>
  <c r="M368" i="1"/>
  <c r="M374" i="1"/>
  <c r="P1053" i="1"/>
  <c r="O1365" i="1"/>
  <c r="O1485" i="1"/>
  <c r="O1539" i="1"/>
  <c r="O1593" i="1"/>
  <c r="O1616" i="1"/>
  <c r="P1632" i="1"/>
  <c r="O1648" i="1"/>
  <c r="O1663" i="1"/>
  <c r="P1675" i="1"/>
  <c r="P1688" i="1"/>
  <c r="P1702" i="1"/>
  <c r="P1712" i="1"/>
  <c r="O1722" i="1"/>
  <c r="O1732" i="1"/>
  <c r="O1740" i="1"/>
  <c r="O1750" i="1"/>
  <c r="O1758" i="1"/>
  <c r="O1768" i="1"/>
  <c r="O1776" i="1"/>
  <c r="O1786" i="1"/>
  <c r="O1794" i="1"/>
  <c r="O1804" i="1"/>
  <c r="O1812" i="1"/>
  <c r="O1822" i="1"/>
  <c r="O1830" i="1"/>
  <c r="O1840" i="1"/>
  <c r="O1848" i="1"/>
  <c r="O1858" i="1"/>
  <c r="O1866" i="1"/>
  <c r="O1876" i="1"/>
  <c r="P1883" i="1"/>
  <c r="O1891" i="1"/>
  <c r="O1900" i="1"/>
  <c r="P1907" i="1"/>
  <c r="O1915" i="1"/>
  <c r="O1924" i="1"/>
  <c r="P1931" i="1"/>
  <c r="O1939" i="1"/>
  <c r="O1948" i="1"/>
  <c r="P1955" i="1"/>
  <c r="O1963" i="1"/>
  <c r="O1972" i="1"/>
  <c r="P1979" i="1"/>
  <c r="O1987" i="1"/>
  <c r="O1996" i="1"/>
  <c r="L198" i="1"/>
  <c r="L205" i="1"/>
  <c r="M212" i="1"/>
  <c r="L220" i="1"/>
  <c r="L227" i="1"/>
  <c r="L234" i="1"/>
  <c r="L241" i="1"/>
  <c r="M247" i="1"/>
  <c r="L254" i="1"/>
  <c r="M260" i="1"/>
  <c r="L267" i="1"/>
  <c r="L273" i="1"/>
  <c r="L279" i="1"/>
  <c r="L285" i="1"/>
  <c r="L291" i="1"/>
  <c r="L297" i="1"/>
  <c r="L303" i="1"/>
  <c r="L309" i="1"/>
  <c r="L315" i="1"/>
  <c r="L321" i="1"/>
  <c r="L327" i="1"/>
  <c r="L333" i="1"/>
  <c r="L339" i="1"/>
  <c r="L345" i="1"/>
  <c r="L351" i="1"/>
  <c r="L357" i="1"/>
  <c r="L363" i="1"/>
  <c r="L369" i="1"/>
  <c r="L375" i="1"/>
  <c r="O1089" i="1"/>
  <c r="P1381" i="1"/>
  <c r="P1489" i="1"/>
  <c r="P1543" i="1"/>
  <c r="P1597" i="1"/>
  <c r="O1618" i="1"/>
  <c r="O1634" i="1"/>
  <c r="P1649" i="1"/>
  <c r="P1663" i="1"/>
  <c r="P1676" i="1"/>
  <c r="O1690" i="1"/>
  <c r="O1703" i="1"/>
  <c r="O1714" i="1"/>
  <c r="P1722" i="1"/>
  <c r="P1732" i="1"/>
  <c r="P1740" i="1"/>
  <c r="P1750" i="1"/>
  <c r="P1758" i="1"/>
  <c r="P1768" i="1"/>
  <c r="P1776" i="1"/>
  <c r="P1786" i="1"/>
  <c r="P1794" i="1"/>
  <c r="P1804" i="1"/>
  <c r="P1812" i="1"/>
  <c r="P1822" i="1"/>
  <c r="P1830" i="1"/>
  <c r="P1840" i="1"/>
  <c r="P1848" i="1"/>
  <c r="P1858" i="1"/>
  <c r="P1866" i="1"/>
  <c r="P1876" i="1"/>
  <c r="O1884" i="1"/>
  <c r="P1891" i="1"/>
  <c r="P1900" i="1"/>
  <c r="O1908" i="1"/>
  <c r="P1915" i="1"/>
  <c r="P1924" i="1"/>
  <c r="O1932" i="1"/>
  <c r="P1939" i="1"/>
  <c r="P1948" i="1"/>
  <c r="O1956" i="1"/>
  <c r="P1963" i="1"/>
  <c r="P1972" i="1"/>
  <c r="O1980" i="1"/>
  <c r="P1987" i="1"/>
  <c r="P1996" i="1"/>
  <c r="M198" i="1"/>
  <c r="M205" i="1"/>
  <c r="M213" i="1"/>
  <c r="M220" i="1"/>
  <c r="M227" i="1"/>
  <c r="M234" i="1"/>
  <c r="M241" i="1"/>
  <c r="L248" i="1"/>
  <c r="M254" i="1"/>
  <c r="M261" i="1"/>
  <c r="M267" i="1"/>
  <c r="M273" i="1"/>
  <c r="M279" i="1"/>
  <c r="M285" i="1"/>
  <c r="M291" i="1"/>
  <c r="M297" i="1"/>
  <c r="M303" i="1"/>
  <c r="M309" i="1"/>
  <c r="M315" i="1"/>
  <c r="M321" i="1"/>
  <c r="M327" i="1"/>
  <c r="M333" i="1"/>
  <c r="M339" i="1"/>
  <c r="M345" i="1"/>
  <c r="M351" i="1"/>
  <c r="M357" i="1"/>
  <c r="M363" i="1"/>
  <c r="M369" i="1"/>
  <c r="M375" i="1"/>
  <c r="P1120" i="1"/>
  <c r="P1393" i="1"/>
  <c r="O1495" i="1"/>
  <c r="O1549" i="1"/>
  <c r="O1603" i="1"/>
  <c r="O1620" i="1"/>
  <c r="O1635" i="1"/>
  <c r="P1650" i="1"/>
  <c r="O1664" i="1"/>
  <c r="P1679" i="1"/>
  <c r="O1692" i="1"/>
  <c r="P1703" i="1"/>
  <c r="P1714" i="1"/>
  <c r="P1723" i="1"/>
  <c r="O1733" i="1"/>
  <c r="P1741" i="1"/>
  <c r="O1751" i="1"/>
  <c r="P1759" i="1"/>
  <c r="O1769" i="1"/>
  <c r="P1777" i="1"/>
  <c r="O1787" i="1"/>
  <c r="P1795" i="1"/>
  <c r="O1805" i="1"/>
  <c r="P1813" i="1"/>
  <c r="O1823" i="1"/>
  <c r="P1831" i="1"/>
  <c r="O1841" i="1"/>
  <c r="P1849" i="1"/>
  <c r="O1859" i="1"/>
  <c r="P1867" i="1"/>
  <c r="O1877" i="1"/>
  <c r="P1884" i="1"/>
  <c r="P1892" i="1"/>
  <c r="O1901" i="1"/>
  <c r="P1908" i="1"/>
  <c r="P1916" i="1"/>
  <c r="O1925" i="1"/>
  <c r="P1932" i="1"/>
  <c r="P1940" i="1"/>
  <c r="O1949" i="1"/>
  <c r="P1956" i="1"/>
  <c r="P1964" i="1"/>
  <c r="O1973" i="1"/>
  <c r="P1980" i="1"/>
  <c r="P1988" i="1"/>
  <c r="O1997" i="1"/>
  <c r="L199" i="1"/>
  <c r="M206" i="1"/>
  <c r="L214" i="1"/>
  <c r="L221" i="1"/>
  <c r="L228" i="1"/>
  <c r="L235" i="1"/>
  <c r="L242" i="1"/>
  <c r="M248" i="1"/>
  <c r="M255" i="1"/>
  <c r="L262" i="1"/>
  <c r="L268" i="1"/>
  <c r="L274" i="1"/>
  <c r="L280" i="1"/>
  <c r="L286" i="1"/>
  <c r="L292" i="1"/>
  <c r="L298" i="1"/>
  <c r="L304" i="1"/>
  <c r="L310" i="1"/>
  <c r="L316" i="1"/>
  <c r="L322" i="1"/>
  <c r="L328" i="1"/>
  <c r="L334" i="1"/>
  <c r="L340" i="1"/>
  <c r="L346" i="1"/>
  <c r="L352" i="1"/>
  <c r="L358" i="1"/>
  <c r="L364" i="1"/>
  <c r="L370" i="1"/>
  <c r="L376" i="1"/>
  <c r="L382" i="1"/>
  <c r="L388" i="1"/>
  <c r="L394" i="1"/>
  <c r="L400" i="1"/>
  <c r="P1152" i="1"/>
  <c r="P1404" i="1"/>
  <c r="P1499" i="1"/>
  <c r="P1553" i="1"/>
  <c r="O1604" i="1"/>
  <c r="O1621" i="1"/>
  <c r="P1637" i="1"/>
  <c r="P1651" i="1"/>
  <c r="P1664" i="1"/>
  <c r="O1680" i="1"/>
  <c r="O1693" i="1"/>
  <c r="P1704" i="1"/>
  <c r="O1715" i="1"/>
  <c r="P1724" i="1"/>
  <c r="P1733" i="1"/>
  <c r="P1742" i="1"/>
  <c r="P1751" i="1"/>
  <c r="P1760" i="1"/>
  <c r="P1769" i="1"/>
  <c r="P1778" i="1"/>
  <c r="P1787" i="1"/>
  <c r="P1796" i="1"/>
  <c r="P1805" i="1"/>
  <c r="P1814" i="1"/>
  <c r="P1823" i="1"/>
  <c r="P1832" i="1"/>
  <c r="P1841" i="1"/>
  <c r="P1850" i="1"/>
  <c r="P1859" i="1"/>
  <c r="P1868" i="1"/>
  <c r="P1877" i="1"/>
  <c r="O1885" i="1"/>
  <c r="O1894" i="1"/>
  <c r="P1901" i="1"/>
  <c r="O1909" i="1"/>
  <c r="O1918" i="1"/>
  <c r="P1925" i="1"/>
  <c r="O1933" i="1"/>
  <c r="O1942" i="1"/>
  <c r="P1949" i="1"/>
  <c r="O1957" i="1"/>
  <c r="O1966" i="1"/>
  <c r="P1973" i="1"/>
  <c r="O1981" i="1"/>
  <c r="O1990" i="1"/>
  <c r="P1997" i="1"/>
  <c r="M199" i="1"/>
  <c r="M207" i="1"/>
  <c r="M214" i="1"/>
  <c r="M221" i="1"/>
  <c r="M228" i="1"/>
  <c r="M235" i="1"/>
  <c r="M242" i="1"/>
  <c r="M249" i="1"/>
  <c r="L256" i="1"/>
  <c r="M262" i="1"/>
  <c r="M268" i="1"/>
  <c r="M274" i="1"/>
  <c r="M280" i="1"/>
  <c r="M286" i="1"/>
  <c r="M292" i="1"/>
  <c r="M298" i="1"/>
  <c r="M304" i="1"/>
  <c r="M310" i="1"/>
  <c r="M316" i="1"/>
  <c r="M322" i="1"/>
  <c r="M328" i="1"/>
  <c r="M334" i="1"/>
  <c r="M340" i="1"/>
  <c r="M346" i="1"/>
  <c r="M352" i="1"/>
  <c r="M358" i="1"/>
  <c r="M364" i="1"/>
  <c r="M370" i="1"/>
  <c r="M376" i="1"/>
  <c r="M382" i="1"/>
  <c r="M388" i="1"/>
  <c r="M394" i="1"/>
  <c r="M400" i="1"/>
  <c r="M406" i="1"/>
  <c r="M412" i="1"/>
  <c r="M418" i="1"/>
  <c r="M424" i="1"/>
  <c r="M430" i="1"/>
  <c r="M436" i="1"/>
  <c r="M442" i="1"/>
  <c r="M448" i="1"/>
  <c r="M454" i="1"/>
  <c r="M460" i="1"/>
  <c r="M466" i="1"/>
  <c r="M472" i="1"/>
  <c r="M478" i="1"/>
  <c r="M484" i="1"/>
  <c r="M490" i="1"/>
  <c r="M496" i="1"/>
  <c r="M502" i="1"/>
  <c r="M508" i="1"/>
  <c r="M514" i="1"/>
  <c r="M520" i="1"/>
  <c r="M526" i="1"/>
  <c r="M532" i="1"/>
  <c r="M538" i="1"/>
  <c r="M544" i="1"/>
  <c r="M550" i="1"/>
  <c r="M556" i="1"/>
  <c r="M562" i="1"/>
  <c r="M568" i="1"/>
  <c r="M574" i="1"/>
  <c r="M580" i="1"/>
  <c r="M586" i="1"/>
  <c r="M592" i="1"/>
  <c r="P1216" i="1"/>
  <c r="O1423" i="1"/>
  <c r="P1507" i="1"/>
  <c r="P1561" i="1"/>
  <c r="O1608" i="1"/>
  <c r="O1623" i="1"/>
  <c r="P1639" i="1"/>
  <c r="P1655" i="1"/>
  <c r="O1668" i="1"/>
  <c r="O1681" i="1"/>
  <c r="O1695" i="1"/>
  <c r="P1706" i="1"/>
  <c r="P1716" i="1"/>
  <c r="P1726" i="1"/>
  <c r="P1734" i="1"/>
  <c r="P1744" i="1"/>
  <c r="P1752" i="1"/>
  <c r="P1762" i="1"/>
  <c r="P1770" i="1"/>
  <c r="P1780" i="1"/>
  <c r="P1788" i="1"/>
  <c r="P1798" i="1"/>
  <c r="P1806" i="1"/>
  <c r="P1816" i="1"/>
  <c r="P1824" i="1"/>
  <c r="P1834" i="1"/>
  <c r="P1842" i="1"/>
  <c r="P1852" i="1"/>
  <c r="P1860" i="1"/>
  <c r="P1870" i="1"/>
  <c r="P1878" i="1"/>
  <c r="P1886" i="1"/>
  <c r="O1895" i="1"/>
  <c r="P1902" i="1"/>
  <c r="P1910" i="1"/>
  <c r="O1919" i="1"/>
  <c r="P1926" i="1"/>
  <c r="P1934" i="1"/>
  <c r="O1943" i="1"/>
  <c r="P1950" i="1"/>
  <c r="P1958" i="1"/>
  <c r="O1967" i="1"/>
  <c r="P1974" i="1"/>
  <c r="P1982" i="1"/>
  <c r="O1991" i="1"/>
  <c r="P1998" i="1"/>
  <c r="M201" i="1"/>
  <c r="M208" i="1"/>
  <c r="M215" i="1"/>
  <c r="M222" i="1"/>
  <c r="M229" i="1"/>
  <c r="M237" i="1"/>
  <c r="L244" i="1"/>
  <c r="M250" i="1"/>
  <c r="L257" i="1"/>
  <c r="M263" i="1"/>
  <c r="M269" i="1"/>
  <c r="M275" i="1"/>
  <c r="M281" i="1"/>
  <c r="M287" i="1"/>
  <c r="M293" i="1"/>
  <c r="M299" i="1"/>
  <c r="M305" i="1"/>
  <c r="M311" i="1"/>
  <c r="M317" i="1"/>
  <c r="M323" i="1"/>
  <c r="M329" i="1"/>
  <c r="M335" i="1"/>
  <c r="M341" i="1"/>
  <c r="M347" i="1"/>
  <c r="M353" i="1"/>
  <c r="M359" i="1"/>
  <c r="M365" i="1"/>
  <c r="M371" i="1"/>
  <c r="M377" i="1"/>
  <c r="M383" i="1"/>
  <c r="M389" i="1"/>
  <c r="M395" i="1"/>
  <c r="M401" i="1"/>
  <c r="M407" i="1"/>
  <c r="M413" i="1"/>
  <c r="M419" i="1"/>
  <c r="M425" i="1"/>
  <c r="M431" i="1"/>
  <c r="M437" i="1"/>
  <c r="M443" i="1"/>
  <c r="M449" i="1"/>
  <c r="M455" i="1"/>
  <c r="M461" i="1"/>
  <c r="M467" i="1"/>
  <c r="M473" i="1"/>
  <c r="M479" i="1"/>
  <c r="M485" i="1"/>
  <c r="M491" i="1"/>
  <c r="M497" i="1"/>
  <c r="M503" i="1"/>
  <c r="M509" i="1"/>
  <c r="M515" i="1"/>
  <c r="M521" i="1"/>
  <c r="M527" i="1"/>
  <c r="M533" i="1"/>
  <c r="M539" i="1"/>
  <c r="M545" i="1"/>
  <c r="M551" i="1"/>
  <c r="M557" i="1"/>
  <c r="M563" i="1"/>
  <c r="M569" i="1"/>
  <c r="M575" i="1"/>
  <c r="M581" i="1"/>
  <c r="M587" i="1"/>
  <c r="M593" i="1"/>
  <c r="M599" i="1"/>
  <c r="M605" i="1"/>
  <c r="M611" i="1"/>
  <c r="M617" i="1"/>
  <c r="M623" i="1"/>
  <c r="M629" i="1"/>
  <c r="M635" i="1"/>
  <c r="M641" i="1"/>
  <c r="M647" i="1"/>
  <c r="M653" i="1"/>
  <c r="M659" i="1"/>
  <c r="M665" i="1"/>
  <c r="M671" i="1"/>
  <c r="M677" i="1"/>
  <c r="M683" i="1"/>
  <c r="M689" i="1"/>
  <c r="M695" i="1"/>
  <c r="M701" i="1"/>
  <c r="M707" i="1"/>
  <c r="M713" i="1"/>
  <c r="M719" i="1"/>
  <c r="M725" i="1"/>
  <c r="M731" i="1"/>
  <c r="M737" i="1"/>
  <c r="M743" i="1"/>
  <c r="M749" i="1"/>
  <c r="M755" i="1"/>
  <c r="M761" i="1"/>
  <c r="M767" i="1"/>
  <c r="M773" i="1"/>
  <c r="M779" i="1"/>
  <c r="M785" i="1"/>
  <c r="M791" i="1"/>
  <c r="M797" i="1"/>
  <c r="M803" i="1"/>
  <c r="M809" i="1"/>
  <c r="M815" i="1"/>
  <c r="O1185" i="1"/>
  <c r="P1715" i="1"/>
  <c r="O1824" i="1"/>
  <c r="O1926" i="1"/>
  <c r="L208" i="1"/>
  <c r="L287" i="1"/>
  <c r="L359" i="1"/>
  <c r="M392" i="1"/>
  <c r="L406" i="1"/>
  <c r="M417" i="1"/>
  <c r="M428" i="1"/>
  <c r="M439" i="1"/>
  <c r="L448" i="1"/>
  <c r="L459" i="1"/>
  <c r="L470" i="1"/>
  <c r="L479" i="1"/>
  <c r="M489" i="1"/>
  <c r="M500" i="1"/>
  <c r="M511" i="1"/>
  <c r="L520" i="1"/>
  <c r="L531" i="1"/>
  <c r="L542" i="1"/>
  <c r="L551" i="1"/>
  <c r="M561" i="1"/>
  <c r="L572" i="1"/>
  <c r="L580" i="1"/>
  <c r="L590" i="1"/>
  <c r="L598" i="1"/>
  <c r="M606" i="1"/>
  <c r="M614" i="1"/>
  <c r="L622" i="1"/>
  <c r="M630" i="1"/>
  <c r="M638" i="1"/>
  <c r="L646" i="1"/>
  <c r="M654" i="1"/>
  <c r="M662" i="1"/>
  <c r="L670" i="1"/>
  <c r="M678" i="1"/>
  <c r="M686" i="1"/>
  <c r="L694" i="1"/>
  <c r="M702" i="1"/>
  <c r="M710" i="1"/>
  <c r="L718" i="1"/>
  <c r="M726" i="1"/>
  <c r="M734" i="1"/>
  <c r="L742" i="1"/>
  <c r="M750" i="1"/>
  <c r="M758" i="1"/>
  <c r="L766" i="1"/>
  <c r="M774" i="1"/>
  <c r="M782" i="1"/>
  <c r="L790" i="1"/>
  <c r="M798" i="1"/>
  <c r="M806" i="1"/>
  <c r="L814" i="1"/>
  <c r="M821" i="1"/>
  <c r="M829" i="1"/>
  <c r="M836" i="1"/>
  <c r="M843" i="1"/>
  <c r="M850" i="1"/>
  <c r="M857" i="1"/>
  <c r="M865" i="1"/>
  <c r="M872" i="1"/>
  <c r="M879" i="1"/>
  <c r="M886" i="1"/>
  <c r="L893" i="1"/>
  <c r="M899" i="1"/>
  <c r="M906" i="1"/>
  <c r="L913" i="1"/>
  <c r="M919" i="1"/>
  <c r="L926" i="1"/>
  <c r="M932" i="1"/>
  <c r="L939" i="1"/>
  <c r="L945" i="1"/>
  <c r="L951" i="1"/>
  <c r="L957" i="1"/>
  <c r="L963" i="1"/>
  <c r="L969" i="1"/>
  <c r="L975" i="1"/>
  <c r="L981" i="1"/>
  <c r="L987" i="1"/>
  <c r="L993" i="1"/>
  <c r="L999" i="1"/>
  <c r="L1005" i="1"/>
  <c r="L1011" i="1"/>
  <c r="L1017" i="1"/>
  <c r="L1023" i="1"/>
  <c r="L1029" i="1"/>
  <c r="L1035" i="1"/>
  <c r="L1041" i="1"/>
  <c r="L1047" i="1"/>
  <c r="L1053" i="1"/>
  <c r="L1059" i="1"/>
  <c r="L1065" i="1"/>
  <c r="L1071" i="1"/>
  <c r="L1077" i="1"/>
  <c r="L1083" i="1"/>
  <c r="L1089" i="1"/>
  <c r="L1095" i="1"/>
  <c r="L1101" i="1"/>
  <c r="L1107" i="1"/>
  <c r="L1113" i="1"/>
  <c r="L1119" i="1"/>
  <c r="L1125" i="1"/>
  <c r="L1131" i="1"/>
  <c r="L1137" i="1"/>
  <c r="O1413" i="1"/>
  <c r="O1726" i="1"/>
  <c r="O1834" i="1"/>
  <c r="P1933" i="1"/>
  <c r="L215" i="1"/>
  <c r="L293" i="1"/>
  <c r="L365" i="1"/>
  <c r="L393" i="1"/>
  <c r="L407" i="1"/>
  <c r="L418" i="1"/>
  <c r="L429" i="1"/>
  <c r="L440" i="1"/>
  <c r="L449" i="1"/>
  <c r="M459" i="1"/>
  <c r="M470" i="1"/>
  <c r="M481" i="1"/>
  <c r="L490" i="1"/>
  <c r="L501" i="1"/>
  <c r="L512" i="1"/>
  <c r="L521" i="1"/>
  <c r="M531" i="1"/>
  <c r="M542" i="1"/>
  <c r="M553" i="1"/>
  <c r="L562" i="1"/>
  <c r="M572" i="1"/>
  <c r="L581" i="1"/>
  <c r="M590" i="1"/>
  <c r="M598" i="1"/>
  <c r="M607" i="1"/>
  <c r="L615" i="1"/>
  <c r="M622" i="1"/>
  <c r="M631" i="1"/>
  <c r="L639" i="1"/>
  <c r="M646" i="1"/>
  <c r="M655" i="1"/>
  <c r="L663" i="1"/>
  <c r="M670" i="1"/>
  <c r="M679" i="1"/>
  <c r="L687" i="1"/>
  <c r="M694" i="1"/>
  <c r="M703" i="1"/>
  <c r="L711" i="1"/>
  <c r="M718" i="1"/>
  <c r="M727" i="1"/>
  <c r="L735" i="1"/>
  <c r="M742" i="1"/>
  <c r="M751" i="1"/>
  <c r="L759" i="1"/>
  <c r="M766" i="1"/>
  <c r="M775" i="1"/>
  <c r="L783" i="1"/>
  <c r="M790" i="1"/>
  <c r="M799" i="1"/>
  <c r="L807" i="1"/>
  <c r="M814" i="1"/>
  <c r="M822" i="1"/>
  <c r="L830" i="1"/>
  <c r="L837" i="1"/>
  <c r="L844" i="1"/>
  <c r="L851" i="1"/>
  <c r="M858" i="1"/>
  <c r="L866" i="1"/>
  <c r="L873" i="1"/>
  <c r="L880" i="1"/>
  <c r="L887" i="1"/>
  <c r="M893" i="1"/>
  <c r="M900" i="1"/>
  <c r="L907" i="1"/>
  <c r="M913" i="1"/>
  <c r="L920" i="1"/>
  <c r="O1503" i="1"/>
  <c r="O1734" i="1"/>
  <c r="O1842" i="1"/>
  <c r="P1942" i="1"/>
  <c r="L222" i="1"/>
  <c r="L299" i="1"/>
  <c r="L371" i="1"/>
  <c r="M393" i="1"/>
  <c r="L410" i="1"/>
  <c r="L419" i="1"/>
  <c r="M429" i="1"/>
  <c r="M440" i="1"/>
  <c r="M451" i="1"/>
  <c r="L460" i="1"/>
  <c r="L471" i="1"/>
  <c r="L482" i="1"/>
  <c r="L491" i="1"/>
  <c r="M501" i="1"/>
  <c r="M512" i="1"/>
  <c r="M523" i="1"/>
  <c r="L532" i="1"/>
  <c r="L543" i="1"/>
  <c r="L554" i="1"/>
  <c r="L563" i="1"/>
  <c r="L573" i="1"/>
  <c r="M582" i="1"/>
  <c r="L591" i="1"/>
  <c r="L599" i="1"/>
  <c r="L608" i="1"/>
  <c r="M615" i="1"/>
  <c r="L623" i="1"/>
  <c r="L632" i="1"/>
  <c r="M639" i="1"/>
  <c r="L647" i="1"/>
  <c r="L656" i="1"/>
  <c r="M663" i="1"/>
  <c r="L671" i="1"/>
  <c r="L680" i="1"/>
  <c r="M687" i="1"/>
  <c r="L695" i="1"/>
  <c r="L704" i="1"/>
  <c r="M711" i="1"/>
  <c r="L719" i="1"/>
  <c r="L728" i="1"/>
  <c r="M735" i="1"/>
  <c r="L743" i="1"/>
  <c r="L752" i="1"/>
  <c r="M759" i="1"/>
  <c r="L767" i="1"/>
  <c r="L776" i="1"/>
  <c r="M783" i="1"/>
  <c r="L791" i="1"/>
  <c r="L800" i="1"/>
  <c r="M807" i="1"/>
  <c r="L815" i="1"/>
  <c r="M823" i="1"/>
  <c r="M830" i="1"/>
  <c r="M837" i="1"/>
  <c r="M844" i="1"/>
  <c r="M851" i="1"/>
  <c r="M859" i="1"/>
  <c r="M866" i="1"/>
  <c r="M873" i="1"/>
  <c r="M880" i="1"/>
  <c r="M887" i="1"/>
  <c r="M894" i="1"/>
  <c r="L901" i="1"/>
  <c r="M907" i="1"/>
  <c r="L914" i="1"/>
  <c r="M920" i="1"/>
  <c r="L927" i="1"/>
  <c r="M933" i="1"/>
  <c r="L940" i="1"/>
  <c r="L946" i="1"/>
  <c r="L952" i="1"/>
  <c r="L958" i="1"/>
  <c r="L964" i="1"/>
  <c r="L970" i="1"/>
  <c r="L976" i="1"/>
  <c r="L982" i="1"/>
  <c r="L988" i="1"/>
  <c r="L994" i="1"/>
  <c r="L1000" i="1"/>
  <c r="L1006" i="1"/>
  <c r="L1012" i="1"/>
  <c r="L1018" i="1"/>
  <c r="L1024" i="1"/>
  <c r="L1030" i="1"/>
  <c r="L1036" i="1"/>
  <c r="L1042" i="1"/>
  <c r="L1048" i="1"/>
  <c r="L1054" i="1"/>
  <c r="L1060" i="1"/>
  <c r="L1066" i="1"/>
  <c r="L1072" i="1"/>
  <c r="L1078" i="1"/>
  <c r="L1084" i="1"/>
  <c r="L1090" i="1"/>
  <c r="L1096" i="1"/>
  <c r="L1102" i="1"/>
  <c r="L1108" i="1"/>
  <c r="L1114" i="1"/>
  <c r="L1120" i="1"/>
  <c r="L1126" i="1"/>
  <c r="L1132" i="1"/>
  <c r="L1138" i="1"/>
  <c r="L1144" i="1"/>
  <c r="L1150" i="1"/>
  <c r="L1156" i="1"/>
  <c r="L1162" i="1"/>
  <c r="L1168" i="1"/>
  <c r="L1174" i="1"/>
  <c r="L1180" i="1"/>
  <c r="L1186" i="1"/>
  <c r="L1192" i="1"/>
  <c r="L1198" i="1"/>
  <c r="L1204" i="1"/>
  <c r="L1210" i="1"/>
  <c r="L1216" i="1"/>
  <c r="L1222" i="1"/>
  <c r="L1228" i="1"/>
  <c r="L1234" i="1"/>
  <c r="L1240" i="1"/>
  <c r="L1246" i="1"/>
  <c r="L1252" i="1"/>
  <c r="L1258" i="1"/>
  <c r="L1264" i="1"/>
  <c r="L1270" i="1"/>
  <c r="L1276" i="1"/>
  <c r="L1282" i="1"/>
  <c r="L1288" i="1"/>
  <c r="L1294" i="1"/>
  <c r="L1300" i="1"/>
  <c r="L1306" i="1"/>
  <c r="L1312" i="1"/>
  <c r="L1318" i="1"/>
  <c r="L1324" i="1"/>
  <c r="L1330" i="1"/>
  <c r="L1336" i="1"/>
  <c r="L1342" i="1"/>
  <c r="L1348" i="1"/>
  <c r="L1354" i="1"/>
  <c r="L1360" i="1"/>
  <c r="L1366" i="1"/>
  <c r="O1557" i="1"/>
  <c r="O1744" i="1"/>
  <c r="O1852" i="1"/>
  <c r="O1950" i="1"/>
  <c r="L229" i="1"/>
  <c r="L305" i="1"/>
  <c r="L377" i="1"/>
  <c r="L395" i="1"/>
  <c r="M410" i="1"/>
  <c r="M421" i="1"/>
  <c r="L430" i="1"/>
  <c r="L441" i="1"/>
  <c r="L452" i="1"/>
  <c r="L461" i="1"/>
  <c r="M471" i="1"/>
  <c r="M482" i="1"/>
  <c r="M493" i="1"/>
  <c r="L502" i="1"/>
  <c r="L513" i="1"/>
  <c r="L524" i="1"/>
  <c r="L533" i="1"/>
  <c r="M543" i="1"/>
  <c r="M554" i="1"/>
  <c r="M565" i="1"/>
  <c r="M573" i="1"/>
  <c r="M583" i="1"/>
  <c r="M591" i="1"/>
  <c r="M600" i="1"/>
  <c r="M608" i="1"/>
  <c r="L616" i="1"/>
  <c r="M624" i="1"/>
  <c r="M632" i="1"/>
  <c r="L640" i="1"/>
  <c r="M648" i="1"/>
  <c r="M656" i="1"/>
  <c r="L664" i="1"/>
  <c r="M672" i="1"/>
  <c r="M680" i="1"/>
  <c r="L688" i="1"/>
  <c r="M696" i="1"/>
  <c r="M704" i="1"/>
  <c r="L712" i="1"/>
  <c r="M720" i="1"/>
  <c r="M728" i="1"/>
  <c r="L736" i="1"/>
  <c r="M744" i="1"/>
  <c r="M752" i="1"/>
  <c r="L760" i="1"/>
  <c r="M768" i="1"/>
  <c r="M776" i="1"/>
  <c r="L784" i="1"/>
  <c r="M792" i="1"/>
  <c r="M800" i="1"/>
  <c r="L808" i="1"/>
  <c r="M816" i="1"/>
  <c r="L824" i="1"/>
  <c r="L831" i="1"/>
  <c r="L838" i="1"/>
  <c r="L845" i="1"/>
  <c r="M852" i="1"/>
  <c r="L860" i="1"/>
  <c r="L867" i="1"/>
  <c r="L874" i="1"/>
  <c r="L881" i="1"/>
  <c r="M888" i="1"/>
  <c r="L895" i="1"/>
  <c r="M901" i="1"/>
  <c r="L908" i="1"/>
  <c r="M914" i="1"/>
  <c r="L921" i="1"/>
  <c r="M927" i="1"/>
  <c r="L934" i="1"/>
  <c r="M940" i="1"/>
  <c r="M946" i="1"/>
  <c r="M952" i="1"/>
  <c r="M958" i="1"/>
  <c r="M964" i="1"/>
  <c r="M970" i="1"/>
  <c r="M976" i="1"/>
  <c r="M982" i="1"/>
  <c r="M988" i="1"/>
  <c r="M994" i="1"/>
  <c r="M1000" i="1"/>
  <c r="M1006" i="1"/>
  <c r="M1012" i="1"/>
  <c r="P1607" i="1"/>
  <c r="O1752" i="1"/>
  <c r="O1860" i="1"/>
  <c r="P1957" i="1"/>
  <c r="M236" i="1"/>
  <c r="L311" i="1"/>
  <c r="M380" i="1"/>
  <c r="M398" i="1"/>
  <c r="L411" i="1"/>
  <c r="L422" i="1"/>
  <c r="L431" i="1"/>
  <c r="M441" i="1"/>
  <c r="M452" i="1"/>
  <c r="M463" i="1"/>
  <c r="L472" i="1"/>
  <c r="L483" i="1"/>
  <c r="L494" i="1"/>
  <c r="L503" i="1"/>
  <c r="M513" i="1"/>
  <c r="M524" i="1"/>
  <c r="M535" i="1"/>
  <c r="L544" i="1"/>
  <c r="L555" i="1"/>
  <c r="L566" i="1"/>
  <c r="L574" i="1"/>
  <c r="L584" i="1"/>
  <c r="L592" i="1"/>
  <c r="M601" i="1"/>
  <c r="L609" i="1"/>
  <c r="M616" i="1"/>
  <c r="M625" i="1"/>
  <c r="L633" i="1"/>
  <c r="M640" i="1"/>
  <c r="M649" i="1"/>
  <c r="L657" i="1"/>
  <c r="M664" i="1"/>
  <c r="M673" i="1"/>
  <c r="L681" i="1"/>
  <c r="M688" i="1"/>
  <c r="M697" i="1"/>
  <c r="L705" i="1"/>
  <c r="M712" i="1"/>
  <c r="M721" i="1"/>
  <c r="L729" i="1"/>
  <c r="M736" i="1"/>
  <c r="M745" i="1"/>
  <c r="L753" i="1"/>
  <c r="M760" i="1"/>
  <c r="M769" i="1"/>
  <c r="L777" i="1"/>
  <c r="M784" i="1"/>
  <c r="M793" i="1"/>
  <c r="L801" i="1"/>
  <c r="M808" i="1"/>
  <c r="M817" i="1"/>
  <c r="M824" i="1"/>
  <c r="M831" i="1"/>
  <c r="M838" i="1"/>
  <c r="M845" i="1"/>
  <c r="M853" i="1"/>
  <c r="M860" i="1"/>
  <c r="M867" i="1"/>
  <c r="M874" i="1"/>
  <c r="M881" i="1"/>
  <c r="L889" i="1"/>
  <c r="M895" i="1"/>
  <c r="L902" i="1"/>
  <c r="M908" i="1"/>
  <c r="L915" i="1"/>
  <c r="M921" i="1"/>
  <c r="L928" i="1"/>
  <c r="M934" i="1"/>
  <c r="L941" i="1"/>
  <c r="L947" i="1"/>
  <c r="L953" i="1"/>
  <c r="L959" i="1"/>
  <c r="L965" i="1"/>
  <c r="L971" i="1"/>
  <c r="L977" i="1"/>
  <c r="L983" i="1"/>
  <c r="L989" i="1"/>
  <c r="P1622" i="1"/>
  <c r="O1762" i="1"/>
  <c r="O1870" i="1"/>
  <c r="P1966" i="1"/>
  <c r="M243" i="1"/>
  <c r="L317" i="1"/>
  <c r="L381" i="1"/>
  <c r="L399" i="1"/>
  <c r="M411" i="1"/>
  <c r="M422" i="1"/>
  <c r="M433" i="1"/>
  <c r="L442" i="1"/>
  <c r="L453" i="1"/>
  <c r="L464" i="1"/>
  <c r="L473" i="1"/>
  <c r="M483" i="1"/>
  <c r="M494" i="1"/>
  <c r="M505" i="1"/>
  <c r="L514" i="1"/>
  <c r="L525" i="1"/>
  <c r="L536" i="1"/>
  <c r="L545" i="1"/>
  <c r="M555" i="1"/>
  <c r="M566" i="1"/>
  <c r="L575" i="1"/>
  <c r="M584" i="1"/>
  <c r="L593" i="1"/>
  <c r="L602" i="1"/>
  <c r="M609" i="1"/>
  <c r="L617" i="1"/>
  <c r="L626" i="1"/>
  <c r="M633" i="1"/>
  <c r="L641" i="1"/>
  <c r="L650" i="1"/>
  <c r="M657" i="1"/>
  <c r="L665" i="1"/>
  <c r="L674" i="1"/>
  <c r="M681" i="1"/>
  <c r="L689" i="1"/>
  <c r="L698" i="1"/>
  <c r="M705" i="1"/>
  <c r="L713" i="1"/>
  <c r="L722" i="1"/>
  <c r="M729" i="1"/>
  <c r="L737" i="1"/>
  <c r="L746" i="1"/>
  <c r="M753" i="1"/>
  <c r="L761" i="1"/>
  <c r="L770" i="1"/>
  <c r="M777" i="1"/>
  <c r="L785" i="1"/>
  <c r="L794" i="1"/>
  <c r="M801" i="1"/>
  <c r="L809" i="1"/>
  <c r="L818" i="1"/>
  <c r="L825" i="1"/>
  <c r="L832" i="1"/>
  <c r="L839" i="1"/>
  <c r="M846" i="1"/>
  <c r="L854" i="1"/>
  <c r="L861" i="1"/>
  <c r="L868" i="1"/>
  <c r="L875" i="1"/>
  <c r="M882" i="1"/>
  <c r="M889" i="1"/>
  <c r="L896" i="1"/>
  <c r="M902" i="1"/>
  <c r="L909" i="1"/>
  <c r="M915" i="1"/>
  <c r="L922" i="1"/>
  <c r="M928" i="1"/>
  <c r="L935" i="1"/>
  <c r="M941" i="1"/>
  <c r="M947" i="1"/>
  <c r="M953" i="1"/>
  <c r="M959" i="1"/>
  <c r="M965" i="1"/>
  <c r="M971" i="1"/>
  <c r="M977" i="1"/>
  <c r="M983" i="1"/>
  <c r="O1639" i="1"/>
  <c r="O1770" i="1"/>
  <c r="O1878" i="1"/>
  <c r="O1974" i="1"/>
  <c r="L250" i="1"/>
  <c r="L323" i="1"/>
  <c r="M381" i="1"/>
  <c r="M399" i="1"/>
  <c r="L412" i="1"/>
  <c r="L423" i="1"/>
  <c r="L434" i="1"/>
  <c r="L443" i="1"/>
  <c r="M453" i="1"/>
  <c r="M464" i="1"/>
  <c r="M475" i="1"/>
  <c r="L484" i="1"/>
  <c r="L495" i="1"/>
  <c r="L506" i="1"/>
  <c r="L515" i="1"/>
  <c r="M525" i="1"/>
  <c r="M536" i="1"/>
  <c r="M547" i="1"/>
  <c r="L556" i="1"/>
  <c r="L567" i="1"/>
  <c r="M576" i="1"/>
  <c r="L585" i="1"/>
  <c r="M594" i="1"/>
  <c r="M602" i="1"/>
  <c r="L610" i="1"/>
  <c r="M618" i="1"/>
  <c r="M626" i="1"/>
  <c r="L634" i="1"/>
  <c r="M642" i="1"/>
  <c r="M650" i="1"/>
  <c r="L658" i="1"/>
  <c r="M666" i="1"/>
  <c r="M674" i="1"/>
  <c r="L682" i="1"/>
  <c r="M690" i="1"/>
  <c r="M698" i="1"/>
  <c r="L706" i="1"/>
  <c r="M714" i="1"/>
  <c r="M722" i="1"/>
  <c r="L730" i="1"/>
  <c r="M738" i="1"/>
  <c r="M746" i="1"/>
  <c r="L754" i="1"/>
  <c r="M762" i="1"/>
  <c r="M770" i="1"/>
  <c r="L778" i="1"/>
  <c r="M786" i="1"/>
  <c r="M794" i="1"/>
  <c r="L802" i="1"/>
  <c r="M810" i="1"/>
  <c r="M818" i="1"/>
  <c r="M825" i="1"/>
  <c r="M832" i="1"/>
  <c r="M839" i="1"/>
  <c r="M847" i="1"/>
  <c r="M854" i="1"/>
  <c r="M861" i="1"/>
  <c r="M868" i="1"/>
  <c r="M875" i="1"/>
  <c r="M883" i="1"/>
  <c r="L890" i="1"/>
  <c r="M896" i="1"/>
  <c r="L903" i="1"/>
  <c r="M909" i="1"/>
  <c r="L916" i="1"/>
  <c r="M922" i="1"/>
  <c r="L929" i="1"/>
  <c r="M935" i="1"/>
  <c r="L942" i="1"/>
  <c r="L948" i="1"/>
  <c r="L954" i="1"/>
  <c r="L960" i="1"/>
  <c r="L966" i="1"/>
  <c r="L972" i="1"/>
  <c r="L978" i="1"/>
  <c r="L984" i="1"/>
  <c r="P1652" i="1"/>
  <c r="O1780" i="1"/>
  <c r="P1885" i="1"/>
  <c r="P1981" i="1"/>
  <c r="M256" i="1"/>
  <c r="L329" i="1"/>
  <c r="L383" i="1"/>
  <c r="L401" i="1"/>
  <c r="L413" i="1"/>
  <c r="M423" i="1"/>
  <c r="M434" i="1"/>
  <c r="M445" i="1"/>
  <c r="L454" i="1"/>
  <c r="L465" i="1"/>
  <c r="L476" i="1"/>
  <c r="L485" i="1"/>
  <c r="M495" i="1"/>
  <c r="M506" i="1"/>
  <c r="M517" i="1"/>
  <c r="L526" i="1"/>
  <c r="L537" i="1"/>
  <c r="L548" i="1"/>
  <c r="L557" i="1"/>
  <c r="M567" i="1"/>
  <c r="M577" i="1"/>
  <c r="M585" i="1"/>
  <c r="M595" i="1"/>
  <c r="L603" i="1"/>
  <c r="M610" i="1"/>
  <c r="M619" i="1"/>
  <c r="L627" i="1"/>
  <c r="M634" i="1"/>
  <c r="M643" i="1"/>
  <c r="L651" i="1"/>
  <c r="M658" i="1"/>
  <c r="M667" i="1"/>
  <c r="L675" i="1"/>
  <c r="M682" i="1"/>
  <c r="M691" i="1"/>
  <c r="L699" i="1"/>
  <c r="M706" i="1"/>
  <c r="M715" i="1"/>
  <c r="L723" i="1"/>
  <c r="M730" i="1"/>
  <c r="M739" i="1"/>
  <c r="L747" i="1"/>
  <c r="M754" i="1"/>
  <c r="M763" i="1"/>
  <c r="L771" i="1"/>
  <c r="M778" i="1"/>
  <c r="M787" i="1"/>
  <c r="L795" i="1"/>
  <c r="M802" i="1"/>
  <c r="M811" i="1"/>
  <c r="L819" i="1"/>
  <c r="L826" i="1"/>
  <c r="L833" i="1"/>
  <c r="M840" i="1"/>
  <c r="L848" i="1"/>
  <c r="L855" i="1"/>
  <c r="L862" i="1"/>
  <c r="L869" i="1"/>
  <c r="M876" i="1"/>
  <c r="L884" i="1"/>
  <c r="M890" i="1"/>
  <c r="L897" i="1"/>
  <c r="M903" i="1"/>
  <c r="L910" i="1"/>
  <c r="M916" i="1"/>
  <c r="L923" i="1"/>
  <c r="M929" i="1"/>
  <c r="M936" i="1"/>
  <c r="M942" i="1"/>
  <c r="M948" i="1"/>
  <c r="O1666" i="1"/>
  <c r="O1788" i="1"/>
  <c r="P1894" i="1"/>
  <c r="P1990" i="1"/>
  <c r="L263" i="1"/>
  <c r="L335" i="1"/>
  <c r="M386" i="1"/>
  <c r="L404" i="1"/>
  <c r="M415" i="1"/>
  <c r="L424" i="1"/>
  <c r="L435" i="1"/>
  <c r="L446" i="1"/>
  <c r="L455" i="1"/>
  <c r="M465" i="1"/>
  <c r="M476" i="1"/>
  <c r="M487" i="1"/>
  <c r="L496" i="1"/>
  <c r="L507" i="1"/>
  <c r="L518" i="1"/>
  <c r="L527" i="1"/>
  <c r="M537" i="1"/>
  <c r="M548" i="1"/>
  <c r="M559" i="1"/>
  <c r="L568" i="1"/>
  <c r="L578" i="1"/>
  <c r="L586" i="1"/>
  <c r="L596" i="1"/>
  <c r="M603" i="1"/>
  <c r="L611" i="1"/>
  <c r="L620" i="1"/>
  <c r="M627" i="1"/>
  <c r="L635" i="1"/>
  <c r="L644" i="1"/>
  <c r="M651" i="1"/>
  <c r="L659" i="1"/>
  <c r="L668" i="1"/>
  <c r="M675" i="1"/>
  <c r="L683" i="1"/>
  <c r="L692" i="1"/>
  <c r="M699" i="1"/>
  <c r="L707" i="1"/>
  <c r="L716" i="1"/>
  <c r="M723" i="1"/>
  <c r="L731" i="1"/>
  <c r="L740" i="1"/>
  <c r="M747" i="1"/>
  <c r="L755" i="1"/>
  <c r="L764" i="1"/>
  <c r="M771" i="1"/>
  <c r="L779" i="1"/>
  <c r="L788" i="1"/>
  <c r="M795" i="1"/>
  <c r="L803" i="1"/>
  <c r="L812" i="1"/>
  <c r="M819" i="1"/>
  <c r="M826" i="1"/>
  <c r="M833" i="1"/>
  <c r="M841" i="1"/>
  <c r="M848" i="1"/>
  <c r="M855" i="1"/>
  <c r="M862" i="1"/>
  <c r="M869" i="1"/>
  <c r="M877" i="1"/>
  <c r="M884" i="1"/>
  <c r="L891" i="1"/>
  <c r="M897" i="1"/>
  <c r="L904" i="1"/>
  <c r="M910" i="1"/>
  <c r="L917" i="1"/>
  <c r="M923" i="1"/>
  <c r="M930" i="1"/>
  <c r="L937" i="1"/>
  <c r="L943" i="1"/>
  <c r="L949" i="1"/>
  <c r="L955" i="1"/>
  <c r="L961" i="1"/>
  <c r="L967" i="1"/>
  <c r="L973" i="1"/>
  <c r="L979" i="1"/>
  <c r="L985" i="1"/>
  <c r="L991" i="1"/>
  <c r="L997" i="1"/>
  <c r="L1003" i="1"/>
  <c r="L1009" i="1"/>
  <c r="L1015" i="1"/>
  <c r="L1021" i="1"/>
  <c r="L1027" i="1"/>
  <c r="L1033" i="1"/>
  <c r="L1039" i="1"/>
  <c r="L1045" i="1"/>
  <c r="L1051" i="1"/>
  <c r="L1057" i="1"/>
  <c r="L1063" i="1"/>
  <c r="L1069" i="1"/>
  <c r="L1075" i="1"/>
  <c r="L1081" i="1"/>
  <c r="L1087" i="1"/>
  <c r="L1093" i="1"/>
  <c r="L1099" i="1"/>
  <c r="L1105" i="1"/>
  <c r="L1111" i="1"/>
  <c r="L1117" i="1"/>
  <c r="P1680" i="1"/>
  <c r="O1798" i="1"/>
  <c r="O1902" i="1"/>
  <c r="O1998" i="1"/>
  <c r="L269" i="1"/>
  <c r="L341" i="1"/>
  <c r="L387" i="1"/>
  <c r="M404" i="1"/>
  <c r="L416" i="1"/>
  <c r="L425" i="1"/>
  <c r="M435" i="1"/>
  <c r="M446" i="1"/>
  <c r="M457" i="1"/>
  <c r="L466" i="1"/>
  <c r="L477" i="1"/>
  <c r="L488" i="1"/>
  <c r="L497" i="1"/>
  <c r="M507" i="1"/>
  <c r="M518" i="1"/>
  <c r="M529" i="1"/>
  <c r="L538" i="1"/>
  <c r="L549" i="1"/>
  <c r="L560" i="1"/>
  <c r="L569" i="1"/>
  <c r="M578" i="1"/>
  <c r="L587" i="1"/>
  <c r="M596" i="1"/>
  <c r="L604" i="1"/>
  <c r="M612" i="1"/>
  <c r="M620" i="1"/>
  <c r="L628" i="1"/>
  <c r="M636" i="1"/>
  <c r="M644" i="1"/>
  <c r="L652" i="1"/>
  <c r="M660" i="1"/>
  <c r="M668" i="1"/>
  <c r="L676" i="1"/>
  <c r="M684" i="1"/>
  <c r="M692" i="1"/>
  <c r="L700" i="1"/>
  <c r="M708" i="1"/>
  <c r="M716" i="1"/>
  <c r="L724" i="1"/>
  <c r="M732" i="1"/>
  <c r="M740" i="1"/>
  <c r="L748" i="1"/>
  <c r="M756" i="1"/>
  <c r="M764" i="1"/>
  <c r="L772" i="1"/>
  <c r="M780" i="1"/>
  <c r="M788" i="1"/>
  <c r="L796" i="1"/>
  <c r="M804" i="1"/>
  <c r="M812" i="1"/>
  <c r="L820" i="1"/>
  <c r="L827" i="1"/>
  <c r="M834" i="1"/>
  <c r="L842" i="1"/>
  <c r="L849" i="1"/>
  <c r="L856" i="1"/>
  <c r="L863" i="1"/>
  <c r="M870" i="1"/>
  <c r="L878" i="1"/>
  <c r="L885" i="1"/>
  <c r="M891" i="1"/>
  <c r="L898" i="1"/>
  <c r="M904" i="1"/>
  <c r="L911" i="1"/>
  <c r="M917" i="1"/>
  <c r="M924" i="1"/>
  <c r="L931" i="1"/>
  <c r="M937" i="1"/>
  <c r="M943" i="1"/>
  <c r="M949" i="1"/>
  <c r="M955" i="1"/>
  <c r="M961" i="1"/>
  <c r="M967" i="1"/>
  <c r="M973" i="1"/>
  <c r="M979" i="1"/>
  <c r="M985" i="1"/>
  <c r="M991" i="1"/>
  <c r="M997" i="1"/>
  <c r="M1003" i="1"/>
  <c r="M1009" i="1"/>
  <c r="M1015" i="1"/>
  <c r="M1021" i="1"/>
  <c r="M1027" i="1"/>
  <c r="M1033" i="1"/>
  <c r="M1039" i="1"/>
  <c r="M1045" i="1"/>
  <c r="M1051" i="1"/>
  <c r="M1057" i="1"/>
  <c r="M1063" i="1"/>
  <c r="M1069" i="1"/>
  <c r="M1075" i="1"/>
  <c r="M1081" i="1"/>
  <c r="M1087" i="1"/>
  <c r="M1093" i="1"/>
  <c r="M1099" i="1"/>
  <c r="M1105" i="1"/>
  <c r="M1111" i="1"/>
  <c r="M1117" i="1"/>
  <c r="M1123" i="1"/>
  <c r="M1129" i="1"/>
  <c r="M1135" i="1"/>
  <c r="M1141" i="1"/>
  <c r="M1147" i="1"/>
  <c r="M1153" i="1"/>
  <c r="P1705" i="1"/>
  <c r="O1816" i="1"/>
  <c r="P1918" i="1"/>
  <c r="M200" i="1"/>
  <c r="L281" i="1"/>
  <c r="L353" i="1"/>
  <c r="L389" i="1"/>
  <c r="M405" i="1"/>
  <c r="L417" i="1"/>
  <c r="L428" i="1"/>
  <c r="L437" i="1"/>
  <c r="M447" i="1"/>
  <c r="M458" i="1"/>
  <c r="M469" i="1"/>
  <c r="L478" i="1"/>
  <c r="L489" i="1"/>
  <c r="L500" i="1"/>
  <c r="L509" i="1"/>
  <c r="M519" i="1"/>
  <c r="M530" i="1"/>
  <c r="M541" i="1"/>
  <c r="L550" i="1"/>
  <c r="L561" i="1"/>
  <c r="M571" i="1"/>
  <c r="M579" i="1"/>
  <c r="M589" i="1"/>
  <c r="M597" i="1"/>
  <c r="L605" i="1"/>
  <c r="L614" i="1"/>
  <c r="M621" i="1"/>
  <c r="L629" i="1"/>
  <c r="L638" i="1"/>
  <c r="M645" i="1"/>
  <c r="L653" i="1"/>
  <c r="L662" i="1"/>
  <c r="M669" i="1"/>
  <c r="L677" i="1"/>
  <c r="L686" i="1"/>
  <c r="M693" i="1"/>
  <c r="L701" i="1"/>
  <c r="L710" i="1"/>
  <c r="M717" i="1"/>
  <c r="L725" i="1"/>
  <c r="L734" i="1"/>
  <c r="M741" i="1"/>
  <c r="L749" i="1"/>
  <c r="L758" i="1"/>
  <c r="M765" i="1"/>
  <c r="L773" i="1"/>
  <c r="L782" i="1"/>
  <c r="M789" i="1"/>
  <c r="L797" i="1"/>
  <c r="L806" i="1"/>
  <c r="M813" i="1"/>
  <c r="L821" i="1"/>
  <c r="M828" i="1"/>
  <c r="L836" i="1"/>
  <c r="L843" i="1"/>
  <c r="L850" i="1"/>
  <c r="L857" i="1"/>
  <c r="M864" i="1"/>
  <c r="L872" i="1"/>
  <c r="L879" i="1"/>
  <c r="L886" i="1"/>
  <c r="M892" i="1"/>
  <c r="L899" i="1"/>
  <c r="M905" i="1"/>
  <c r="M912" i="1"/>
  <c r="L919" i="1"/>
  <c r="M925" i="1"/>
  <c r="L932" i="1"/>
  <c r="M938" i="1"/>
  <c r="M944" i="1"/>
  <c r="M950" i="1"/>
  <c r="M956" i="1"/>
  <c r="M962" i="1"/>
  <c r="M968" i="1"/>
  <c r="M974" i="1"/>
  <c r="M980" i="1"/>
  <c r="M986" i="1"/>
  <c r="M992" i="1"/>
  <c r="M998" i="1"/>
  <c r="M1004" i="1"/>
  <c r="M1010" i="1"/>
  <c r="M1016" i="1"/>
  <c r="M1022" i="1"/>
  <c r="M1028" i="1"/>
  <c r="M1034" i="1"/>
  <c r="M1040" i="1"/>
  <c r="M1046" i="1"/>
  <c r="M1052" i="1"/>
  <c r="M1058" i="1"/>
  <c r="M1064" i="1"/>
  <c r="M1070" i="1"/>
  <c r="M1076" i="1"/>
  <c r="M1082" i="1"/>
  <c r="M1088" i="1"/>
  <c r="M1094" i="1"/>
  <c r="M1100" i="1"/>
  <c r="M1106" i="1"/>
  <c r="M1112" i="1"/>
  <c r="M1118" i="1"/>
  <c r="M1124" i="1"/>
  <c r="M1130" i="1"/>
  <c r="M1136" i="1"/>
  <c r="M1142" i="1"/>
  <c r="M1148" i="1"/>
  <c r="M1154" i="1"/>
  <c r="M1160" i="1"/>
  <c r="M1166" i="1"/>
  <c r="M1172" i="1"/>
  <c r="M1178" i="1"/>
  <c r="M1184" i="1"/>
  <c r="M1190" i="1"/>
  <c r="M1196" i="1"/>
  <c r="M1202" i="1"/>
  <c r="M1208" i="1"/>
  <c r="M1214" i="1"/>
  <c r="M1220" i="1"/>
  <c r="M1226" i="1"/>
  <c r="M1232" i="1"/>
  <c r="M1238" i="1"/>
  <c r="M1244" i="1"/>
  <c r="M1250" i="1"/>
  <c r="M1256" i="1"/>
  <c r="M1262" i="1"/>
  <c r="M1268" i="1"/>
  <c r="M1274" i="1"/>
  <c r="M1280" i="1"/>
  <c r="M1286" i="1"/>
  <c r="M1292" i="1"/>
  <c r="M1298" i="1"/>
  <c r="M1304" i="1"/>
  <c r="M1310" i="1"/>
  <c r="M1316" i="1"/>
  <c r="M1322" i="1"/>
  <c r="M1328" i="1"/>
  <c r="M1334" i="1"/>
  <c r="M1340" i="1"/>
  <c r="M1346" i="1"/>
  <c r="M1352" i="1"/>
  <c r="M1358" i="1"/>
  <c r="M1364" i="1"/>
  <c r="P1694" i="1"/>
  <c r="L458" i="1"/>
  <c r="L579" i="1"/>
  <c r="M676" i="1"/>
  <c r="M772" i="1"/>
  <c r="M863" i="1"/>
  <c r="L933" i="1"/>
  <c r="M963" i="1"/>
  <c r="M987" i="1"/>
  <c r="L1001" i="1"/>
  <c r="L1013" i="1"/>
  <c r="M1023" i="1"/>
  <c r="M1032" i="1"/>
  <c r="M1043" i="1"/>
  <c r="M1054" i="1"/>
  <c r="L1064" i="1"/>
  <c r="L1074" i="1"/>
  <c r="L1085" i="1"/>
  <c r="M1095" i="1"/>
  <c r="M1104" i="1"/>
  <c r="M1115" i="1"/>
  <c r="M1125" i="1"/>
  <c r="L1134" i="1"/>
  <c r="L1143" i="1"/>
  <c r="L1151" i="1"/>
  <c r="M1158" i="1"/>
  <c r="M1165" i="1"/>
  <c r="L1173" i="1"/>
  <c r="M1180" i="1"/>
  <c r="M1187" i="1"/>
  <c r="M1194" i="1"/>
  <c r="M1201" i="1"/>
  <c r="L1209" i="1"/>
  <c r="M1216" i="1"/>
  <c r="M1223" i="1"/>
  <c r="M1230" i="1"/>
  <c r="M1237" i="1"/>
  <c r="L1245" i="1"/>
  <c r="M1252" i="1"/>
  <c r="M1259" i="1"/>
  <c r="M1266" i="1"/>
  <c r="M1273" i="1"/>
  <c r="L1281" i="1"/>
  <c r="M1288" i="1"/>
  <c r="M1295" i="1"/>
  <c r="M1302" i="1"/>
  <c r="M1309" i="1"/>
  <c r="L1317" i="1"/>
  <c r="M1324" i="1"/>
  <c r="M1331" i="1"/>
  <c r="M1338" i="1"/>
  <c r="M1345" i="1"/>
  <c r="L1353" i="1"/>
  <c r="M1360" i="1"/>
  <c r="M1367" i="1"/>
  <c r="M1373" i="1"/>
  <c r="M1379" i="1"/>
  <c r="M1385" i="1"/>
  <c r="M1391" i="1"/>
  <c r="M1397" i="1"/>
  <c r="M1403" i="1"/>
  <c r="M1409" i="1"/>
  <c r="M1415" i="1"/>
  <c r="M1421" i="1"/>
  <c r="M1427" i="1"/>
  <c r="M1433" i="1"/>
  <c r="M1439" i="1"/>
  <c r="M1445" i="1"/>
  <c r="M1451" i="1"/>
  <c r="M1457" i="1"/>
  <c r="M1463" i="1"/>
  <c r="M1469" i="1"/>
  <c r="M1475" i="1"/>
  <c r="M1481" i="1"/>
  <c r="M1487" i="1"/>
  <c r="M1493" i="1"/>
  <c r="M1499" i="1"/>
  <c r="M1505" i="1"/>
  <c r="M1511" i="1"/>
  <c r="M1517" i="1"/>
  <c r="M1523" i="1"/>
  <c r="M1529" i="1"/>
  <c r="M1535" i="1"/>
  <c r="M1541" i="1"/>
  <c r="M1547" i="1"/>
  <c r="M1553" i="1"/>
  <c r="M1559" i="1"/>
  <c r="M1565" i="1"/>
  <c r="M1571" i="1"/>
  <c r="M1577" i="1"/>
  <c r="M1583" i="1"/>
  <c r="M1589" i="1"/>
  <c r="M1595" i="1"/>
  <c r="M1601" i="1"/>
  <c r="M1607" i="1"/>
  <c r="M1613" i="1"/>
  <c r="M1619" i="1"/>
  <c r="M1625" i="1"/>
  <c r="M1631" i="1"/>
  <c r="M1637" i="1"/>
  <c r="M1643" i="1"/>
  <c r="M1649" i="1"/>
  <c r="M1655" i="1"/>
  <c r="M1661" i="1"/>
  <c r="M1667" i="1"/>
  <c r="M1673" i="1"/>
  <c r="M1679" i="1"/>
  <c r="M1685" i="1"/>
  <c r="M1691" i="1"/>
  <c r="M1697" i="1"/>
  <c r="M1703" i="1"/>
  <c r="M1709" i="1"/>
  <c r="M1715" i="1"/>
  <c r="M1721" i="1"/>
  <c r="M1727" i="1"/>
  <c r="M1733" i="1"/>
  <c r="M1739" i="1"/>
  <c r="M1745" i="1"/>
  <c r="M1751" i="1"/>
  <c r="M1757" i="1"/>
  <c r="M1763" i="1"/>
  <c r="M1769" i="1"/>
  <c r="M1775" i="1"/>
  <c r="M1781" i="1"/>
  <c r="M1787" i="1"/>
  <c r="M1793" i="1"/>
  <c r="M1799" i="1"/>
  <c r="M1805" i="1"/>
  <c r="M1811" i="1"/>
  <c r="M1817" i="1"/>
  <c r="M1823" i="1"/>
  <c r="M1829" i="1"/>
  <c r="O1806" i="1"/>
  <c r="L467" i="1"/>
  <c r="M588" i="1"/>
  <c r="M685" i="1"/>
  <c r="M781" i="1"/>
  <c r="M871" i="1"/>
  <c r="L938" i="1"/>
  <c r="M966" i="1"/>
  <c r="M989" i="1"/>
  <c r="M1001" i="1"/>
  <c r="M1013" i="1"/>
  <c r="M1024" i="1"/>
  <c r="L1034" i="1"/>
  <c r="L1044" i="1"/>
  <c r="L1055" i="1"/>
  <c r="M1065" i="1"/>
  <c r="M1074" i="1"/>
  <c r="M1085" i="1"/>
  <c r="M1096" i="1"/>
  <c r="L1106" i="1"/>
  <c r="L1116" i="1"/>
  <c r="M1126" i="1"/>
  <c r="M1134" i="1"/>
  <c r="M1143" i="1"/>
  <c r="M1151" i="1"/>
  <c r="L1159" i="1"/>
  <c r="L1166" i="1"/>
  <c r="M1173" i="1"/>
  <c r="L1181" i="1"/>
  <c r="L1188" i="1"/>
  <c r="L1195" i="1"/>
  <c r="L1202" i="1"/>
  <c r="M1209" i="1"/>
  <c r="L1217" i="1"/>
  <c r="L1224" i="1"/>
  <c r="L1231" i="1"/>
  <c r="L1238" i="1"/>
  <c r="M1245" i="1"/>
  <c r="L1253" i="1"/>
  <c r="L1260" i="1"/>
  <c r="L1267" i="1"/>
  <c r="L1274" i="1"/>
  <c r="M1281" i="1"/>
  <c r="L1289" i="1"/>
  <c r="L1296" i="1"/>
  <c r="L1303" i="1"/>
  <c r="L1310" i="1"/>
  <c r="M1317" i="1"/>
  <c r="L1325" i="1"/>
  <c r="L1332" i="1"/>
  <c r="L1339" i="1"/>
  <c r="L1346" i="1"/>
  <c r="M1353" i="1"/>
  <c r="L1361" i="1"/>
  <c r="L1368" i="1"/>
  <c r="L1374" i="1"/>
  <c r="L1380" i="1"/>
  <c r="L1386" i="1"/>
  <c r="L1392" i="1"/>
  <c r="L1398" i="1"/>
  <c r="L1404" i="1"/>
  <c r="L1410" i="1"/>
  <c r="L1416" i="1"/>
  <c r="L1422" i="1"/>
  <c r="L1428" i="1"/>
  <c r="L1434" i="1"/>
  <c r="L1440" i="1"/>
  <c r="L1446" i="1"/>
  <c r="L1452" i="1"/>
  <c r="L1458" i="1"/>
  <c r="L1464" i="1"/>
  <c r="L1470" i="1"/>
  <c r="L1476" i="1"/>
  <c r="L1482" i="1"/>
  <c r="L1488" i="1"/>
  <c r="L1494" i="1"/>
  <c r="L1500" i="1"/>
  <c r="L1506" i="1"/>
  <c r="L1512" i="1"/>
  <c r="L1518" i="1"/>
  <c r="L1524" i="1"/>
  <c r="L1530" i="1"/>
  <c r="L1536" i="1"/>
  <c r="L1542" i="1"/>
  <c r="L1548" i="1"/>
  <c r="L1554" i="1"/>
  <c r="L1560" i="1"/>
  <c r="L1566" i="1"/>
  <c r="L1572" i="1"/>
  <c r="L1578" i="1"/>
  <c r="L1584" i="1"/>
  <c r="P1909" i="1"/>
  <c r="M477" i="1"/>
  <c r="L597" i="1"/>
  <c r="L693" i="1"/>
  <c r="L789" i="1"/>
  <c r="M878" i="1"/>
  <c r="M939" i="1"/>
  <c r="L968" i="1"/>
  <c r="L990" i="1"/>
  <c r="L1002" i="1"/>
  <c r="L1014" i="1"/>
  <c r="L1025" i="1"/>
  <c r="M1035" i="1"/>
  <c r="M1044" i="1"/>
  <c r="M1055" i="1"/>
  <c r="M1066" i="1"/>
  <c r="L1076" i="1"/>
  <c r="L1086" i="1"/>
  <c r="L1097" i="1"/>
  <c r="M1107" i="1"/>
  <c r="M1116" i="1"/>
  <c r="L1127" i="1"/>
  <c r="L1135" i="1"/>
  <c r="M1144" i="1"/>
  <c r="L1152" i="1"/>
  <c r="M1159" i="1"/>
  <c r="L1167" i="1"/>
  <c r="M1174" i="1"/>
  <c r="M1181" i="1"/>
  <c r="M1188" i="1"/>
  <c r="M1195" i="1"/>
  <c r="L1203" i="1"/>
  <c r="M1210" i="1"/>
  <c r="M1217" i="1"/>
  <c r="M1224" i="1"/>
  <c r="M1231" i="1"/>
  <c r="L1239" i="1"/>
  <c r="M1246" i="1"/>
  <c r="M1253" i="1"/>
  <c r="M1260" i="1"/>
  <c r="M1267" i="1"/>
  <c r="L1275" i="1"/>
  <c r="M1282" i="1"/>
  <c r="M1289" i="1"/>
  <c r="M1296" i="1"/>
  <c r="M1303" i="1"/>
  <c r="L1311" i="1"/>
  <c r="M1318" i="1"/>
  <c r="M1325" i="1"/>
  <c r="M1332" i="1"/>
  <c r="M1339" i="1"/>
  <c r="L1347" i="1"/>
  <c r="M1354" i="1"/>
  <c r="M1361" i="1"/>
  <c r="M1368" i="1"/>
  <c r="M1374" i="1"/>
  <c r="M1380" i="1"/>
  <c r="M1386" i="1"/>
  <c r="M1392" i="1"/>
  <c r="M1398" i="1"/>
  <c r="M1404" i="1"/>
  <c r="M1410" i="1"/>
  <c r="M1416" i="1"/>
  <c r="M1422" i="1"/>
  <c r="M1428" i="1"/>
  <c r="M1434" i="1"/>
  <c r="M1440" i="1"/>
  <c r="M1446" i="1"/>
  <c r="M1452" i="1"/>
  <c r="M1458" i="1"/>
  <c r="M1464" i="1"/>
  <c r="M1470" i="1"/>
  <c r="M1476" i="1"/>
  <c r="M1482" i="1"/>
  <c r="M1488" i="1"/>
  <c r="M1494" i="1"/>
  <c r="M1500" i="1"/>
  <c r="M1506" i="1"/>
  <c r="M1512" i="1"/>
  <c r="M1518" i="1"/>
  <c r="M1524" i="1"/>
  <c r="M1530" i="1"/>
  <c r="M1536" i="1"/>
  <c r="M1542" i="1"/>
  <c r="M1548" i="1"/>
  <c r="M1554" i="1"/>
  <c r="M1560" i="1"/>
  <c r="M1566" i="1"/>
  <c r="M1572" i="1"/>
  <c r="M1578" i="1"/>
  <c r="M1584" i="1"/>
  <c r="M1590" i="1"/>
  <c r="M1596" i="1"/>
  <c r="M1602" i="1"/>
  <c r="M1608" i="1"/>
  <c r="M1614" i="1"/>
  <c r="M1620" i="1"/>
  <c r="M1626" i="1"/>
  <c r="M1632" i="1"/>
  <c r="M1638" i="1"/>
  <c r="M1644" i="1"/>
  <c r="M1650" i="1"/>
  <c r="M1656" i="1"/>
  <c r="M1662" i="1"/>
  <c r="M1668" i="1"/>
  <c r="M1674" i="1"/>
  <c r="M1680" i="1"/>
  <c r="M1686" i="1"/>
  <c r="M1692" i="1"/>
  <c r="M1698" i="1"/>
  <c r="M1704" i="1"/>
  <c r="M1710" i="1"/>
  <c r="M1716" i="1"/>
  <c r="M1722" i="1"/>
  <c r="M1728" i="1"/>
  <c r="M1734" i="1"/>
  <c r="M1740" i="1"/>
  <c r="M1746" i="1"/>
  <c r="M1752" i="1"/>
  <c r="M1758" i="1"/>
  <c r="M1764" i="1"/>
  <c r="M1770" i="1"/>
  <c r="M1776" i="1"/>
  <c r="M1782" i="1"/>
  <c r="M1788" i="1"/>
  <c r="M1794" i="1"/>
  <c r="M1800" i="1"/>
  <c r="M1806" i="1"/>
  <c r="M1812" i="1"/>
  <c r="M1818" i="1"/>
  <c r="M1824" i="1"/>
  <c r="M1830" i="1"/>
  <c r="M1836" i="1"/>
  <c r="M1842" i="1"/>
  <c r="M1848" i="1"/>
  <c r="M1854" i="1"/>
  <c r="M1860" i="1"/>
  <c r="M1866" i="1"/>
  <c r="M1872" i="1"/>
  <c r="M1878" i="1"/>
  <c r="M1884" i="1"/>
  <c r="M1890" i="1"/>
  <c r="M1896" i="1"/>
  <c r="M1902" i="1"/>
  <c r="M1908" i="1"/>
  <c r="M1914" i="1"/>
  <c r="M1920" i="1"/>
  <c r="M1926" i="1"/>
  <c r="M1932" i="1"/>
  <c r="M1938" i="1"/>
  <c r="M1944" i="1"/>
  <c r="M1950" i="1"/>
  <c r="M1956" i="1"/>
  <c r="M1962" i="1"/>
  <c r="M1968" i="1"/>
  <c r="M1974" i="1"/>
  <c r="M1980" i="1"/>
  <c r="M1986" i="1"/>
  <c r="M1992" i="1"/>
  <c r="M1998" i="1"/>
  <c r="M488" i="1"/>
  <c r="M604" i="1"/>
  <c r="M700" i="1"/>
  <c r="M796" i="1"/>
  <c r="M885" i="1"/>
  <c r="L944" i="1"/>
  <c r="M969" i="1"/>
  <c r="M990" i="1"/>
  <c r="M1002" i="1"/>
  <c r="M1014" i="1"/>
  <c r="M1025" i="1"/>
  <c r="M1036" i="1"/>
  <c r="L1046" i="1"/>
  <c r="L1056" i="1"/>
  <c r="L1067" i="1"/>
  <c r="M1077" i="1"/>
  <c r="M1086" i="1"/>
  <c r="M1097" i="1"/>
  <c r="M1108" i="1"/>
  <c r="L1118" i="1"/>
  <c r="M1127" i="1"/>
  <c r="L1136" i="1"/>
  <c r="L1145" i="1"/>
  <c r="M1152" i="1"/>
  <c r="L1160" i="1"/>
  <c r="M1167" i="1"/>
  <c r="L1175" i="1"/>
  <c r="L1182" i="1"/>
  <c r="L1189" i="1"/>
  <c r="L1196" i="1"/>
  <c r="M1203" i="1"/>
  <c r="L1211" i="1"/>
  <c r="L1218" i="1"/>
  <c r="L1225" i="1"/>
  <c r="L1232" i="1"/>
  <c r="M1239" i="1"/>
  <c r="L1247" i="1"/>
  <c r="L1254" i="1"/>
  <c r="L1261" i="1"/>
  <c r="L1268" i="1"/>
  <c r="M1275" i="1"/>
  <c r="L1283" i="1"/>
  <c r="L1290" i="1"/>
  <c r="L1297" i="1"/>
  <c r="L1304" i="1"/>
  <c r="M1311" i="1"/>
  <c r="L1319" i="1"/>
  <c r="L1326" i="1"/>
  <c r="L1333" i="1"/>
  <c r="L1340" i="1"/>
  <c r="M1347" i="1"/>
  <c r="L1355" i="1"/>
  <c r="L1362" i="1"/>
  <c r="L1369" i="1"/>
  <c r="L1375" i="1"/>
  <c r="L1381" i="1"/>
  <c r="L1387" i="1"/>
  <c r="L1393" i="1"/>
  <c r="L1399" i="1"/>
  <c r="L1405" i="1"/>
  <c r="L1411" i="1"/>
  <c r="L1417" i="1"/>
  <c r="L1423" i="1"/>
  <c r="L1429" i="1"/>
  <c r="L1435" i="1"/>
  <c r="L1441" i="1"/>
  <c r="L1447" i="1"/>
  <c r="L1453" i="1"/>
  <c r="L1459" i="1"/>
  <c r="L1465" i="1"/>
  <c r="L1471" i="1"/>
  <c r="L1477" i="1"/>
  <c r="L1483" i="1"/>
  <c r="L1489" i="1"/>
  <c r="L1495" i="1"/>
  <c r="L1501" i="1"/>
  <c r="L1507" i="1"/>
  <c r="L1513" i="1"/>
  <c r="L1519" i="1"/>
  <c r="L1525" i="1"/>
  <c r="L1531" i="1"/>
  <c r="L1537" i="1"/>
  <c r="L1543" i="1"/>
  <c r="L1549" i="1"/>
  <c r="L1555" i="1"/>
  <c r="L1561" i="1"/>
  <c r="L1567" i="1"/>
  <c r="L1573" i="1"/>
  <c r="L1579" i="1"/>
  <c r="L1585" i="1"/>
  <c r="L1591" i="1"/>
  <c r="L1597" i="1"/>
  <c r="L1603" i="1"/>
  <c r="L1609" i="1"/>
  <c r="L275" i="1"/>
  <c r="M499" i="1"/>
  <c r="M613" i="1"/>
  <c r="M709" i="1"/>
  <c r="M805" i="1"/>
  <c r="L892" i="1"/>
  <c r="M945" i="1"/>
  <c r="M972" i="1"/>
  <c r="L992" i="1"/>
  <c r="L1004" i="1"/>
  <c r="L1016" i="1"/>
  <c r="L1026" i="1"/>
  <c r="L1037" i="1"/>
  <c r="M1047" i="1"/>
  <c r="M1056" i="1"/>
  <c r="M1067" i="1"/>
  <c r="M1078" i="1"/>
  <c r="L1088" i="1"/>
  <c r="L1098" i="1"/>
  <c r="L1109" i="1"/>
  <c r="M1119" i="1"/>
  <c r="L1128" i="1"/>
  <c r="M1137" i="1"/>
  <c r="M1145" i="1"/>
  <c r="L1153" i="1"/>
  <c r="L1161" i="1"/>
  <c r="M1168" i="1"/>
  <c r="M1175" i="1"/>
  <c r="M1182" i="1"/>
  <c r="M1189" i="1"/>
  <c r="L1197" i="1"/>
  <c r="M1204" i="1"/>
  <c r="M1211" i="1"/>
  <c r="M1218" i="1"/>
  <c r="M1225" i="1"/>
  <c r="L1233" i="1"/>
  <c r="M1240" i="1"/>
  <c r="M1247" i="1"/>
  <c r="M1254" i="1"/>
  <c r="M1261" i="1"/>
  <c r="L1269" i="1"/>
  <c r="M1276" i="1"/>
  <c r="M1283" i="1"/>
  <c r="M1290" i="1"/>
  <c r="M1297" i="1"/>
  <c r="L1305" i="1"/>
  <c r="M1312" i="1"/>
  <c r="M1319" i="1"/>
  <c r="M1326" i="1"/>
  <c r="M1333" i="1"/>
  <c r="L1341" i="1"/>
  <c r="M1348" i="1"/>
  <c r="M1355" i="1"/>
  <c r="M1362" i="1"/>
  <c r="M1369" i="1"/>
  <c r="M1375" i="1"/>
  <c r="M1381" i="1"/>
  <c r="M1387" i="1"/>
  <c r="M1393" i="1"/>
  <c r="M1399" i="1"/>
  <c r="M1405" i="1"/>
  <c r="M1411" i="1"/>
  <c r="M1417" i="1"/>
  <c r="M1423" i="1"/>
  <c r="M1429" i="1"/>
  <c r="M1435" i="1"/>
  <c r="M1441" i="1"/>
  <c r="M1447" i="1"/>
  <c r="M1453" i="1"/>
  <c r="M1459" i="1"/>
  <c r="M1465" i="1"/>
  <c r="M1471" i="1"/>
  <c r="M1477" i="1"/>
  <c r="M1483" i="1"/>
  <c r="M1489" i="1"/>
  <c r="M1495" i="1"/>
  <c r="M1501" i="1"/>
  <c r="M1507" i="1"/>
  <c r="M1513" i="1"/>
  <c r="M1519" i="1"/>
  <c r="M1525" i="1"/>
  <c r="M1531" i="1"/>
  <c r="M1537" i="1"/>
  <c r="M1543" i="1"/>
  <c r="M1549" i="1"/>
  <c r="M1555" i="1"/>
  <c r="M1561" i="1"/>
  <c r="M1567" i="1"/>
  <c r="M1573" i="1"/>
  <c r="M1579" i="1"/>
  <c r="M1585" i="1"/>
  <c r="M1591" i="1"/>
  <c r="M1597" i="1"/>
  <c r="L347" i="1"/>
  <c r="L508" i="1"/>
  <c r="L621" i="1"/>
  <c r="L717" i="1"/>
  <c r="L813" i="1"/>
  <c r="M898" i="1"/>
  <c r="L950" i="1"/>
  <c r="L974" i="1"/>
  <c r="M993" i="1"/>
  <c r="M1005" i="1"/>
  <c r="M1017" i="1"/>
  <c r="M1026" i="1"/>
  <c r="M1037" i="1"/>
  <c r="M1048" i="1"/>
  <c r="L1058" i="1"/>
  <c r="L1068" i="1"/>
  <c r="L1079" i="1"/>
  <c r="M1089" i="1"/>
  <c r="M1098" i="1"/>
  <c r="M1109" i="1"/>
  <c r="M1120" i="1"/>
  <c r="M1128" i="1"/>
  <c r="M1138" i="1"/>
  <c r="L1146" i="1"/>
  <c r="L1154" i="1"/>
  <c r="M1161" i="1"/>
  <c r="L1169" i="1"/>
  <c r="L1176" i="1"/>
  <c r="L1183" i="1"/>
  <c r="L1190" i="1"/>
  <c r="M1197" i="1"/>
  <c r="L1205" i="1"/>
  <c r="L1212" i="1"/>
  <c r="L1219" i="1"/>
  <c r="L1226" i="1"/>
  <c r="M1233" i="1"/>
  <c r="L1241" i="1"/>
  <c r="L1248" i="1"/>
  <c r="L1255" i="1"/>
  <c r="L1262" i="1"/>
  <c r="M1269" i="1"/>
  <c r="L1277" i="1"/>
  <c r="L1284" i="1"/>
  <c r="L1291" i="1"/>
  <c r="L1298" i="1"/>
  <c r="M1305" i="1"/>
  <c r="L1313" i="1"/>
  <c r="L1320" i="1"/>
  <c r="L1327" i="1"/>
  <c r="L1334" i="1"/>
  <c r="M1341" i="1"/>
  <c r="L1349" i="1"/>
  <c r="L1356" i="1"/>
  <c r="L1363" i="1"/>
  <c r="L1370" i="1"/>
  <c r="L1376" i="1"/>
  <c r="L1382" i="1"/>
  <c r="L1388" i="1"/>
  <c r="L1394" i="1"/>
  <c r="L1400" i="1"/>
  <c r="L1406" i="1"/>
  <c r="L1412" i="1"/>
  <c r="L1418" i="1"/>
  <c r="L1424" i="1"/>
  <c r="L1430" i="1"/>
  <c r="L1436" i="1"/>
  <c r="L1442" i="1"/>
  <c r="L1448" i="1"/>
  <c r="L1454" i="1"/>
  <c r="L1460" i="1"/>
  <c r="L1466" i="1"/>
  <c r="L1472" i="1"/>
  <c r="L1478" i="1"/>
  <c r="L1484" i="1"/>
  <c r="L1490" i="1"/>
  <c r="L1496" i="1"/>
  <c r="L1502" i="1"/>
  <c r="L1508" i="1"/>
  <c r="L1514" i="1"/>
  <c r="L1520" i="1"/>
  <c r="L1526" i="1"/>
  <c r="L1532" i="1"/>
  <c r="L1538" i="1"/>
  <c r="L1544" i="1"/>
  <c r="L1550" i="1"/>
  <c r="M387" i="1"/>
  <c r="L519" i="1"/>
  <c r="M628" i="1"/>
  <c r="M724" i="1"/>
  <c r="M820" i="1"/>
  <c r="L905" i="1"/>
  <c r="M951" i="1"/>
  <c r="M975" i="1"/>
  <c r="L995" i="1"/>
  <c r="L1007" i="1"/>
  <c r="M1018" i="1"/>
  <c r="L1028" i="1"/>
  <c r="L1038" i="1"/>
  <c r="L1049" i="1"/>
  <c r="M1059" i="1"/>
  <c r="M1068" i="1"/>
  <c r="M1079" i="1"/>
  <c r="M1090" i="1"/>
  <c r="L1100" i="1"/>
  <c r="L1110" i="1"/>
  <c r="L1121" i="1"/>
  <c r="L1129" i="1"/>
  <c r="L1139" i="1"/>
  <c r="M1146" i="1"/>
  <c r="L1155" i="1"/>
  <c r="M1162" i="1"/>
  <c r="M1169" i="1"/>
  <c r="M1176" i="1"/>
  <c r="M1183" i="1"/>
  <c r="L1191" i="1"/>
  <c r="M1198" i="1"/>
  <c r="M1205" i="1"/>
  <c r="M1212" i="1"/>
  <c r="M1219" i="1"/>
  <c r="L1227" i="1"/>
  <c r="M1234" i="1"/>
  <c r="M1241" i="1"/>
  <c r="M1248" i="1"/>
  <c r="M1255" i="1"/>
  <c r="L1263" i="1"/>
  <c r="M1270" i="1"/>
  <c r="M1277" i="1"/>
  <c r="M1284" i="1"/>
  <c r="M1291" i="1"/>
  <c r="L1299" i="1"/>
  <c r="M1306" i="1"/>
  <c r="M1313" i="1"/>
  <c r="M1320" i="1"/>
  <c r="M1327" i="1"/>
  <c r="L1335" i="1"/>
  <c r="M1342" i="1"/>
  <c r="M1349" i="1"/>
  <c r="M1356" i="1"/>
  <c r="M1363" i="1"/>
  <c r="M1370" i="1"/>
  <c r="M1376" i="1"/>
  <c r="M1382" i="1"/>
  <c r="M1388" i="1"/>
  <c r="M1394" i="1"/>
  <c r="M1400" i="1"/>
  <c r="M1406" i="1"/>
  <c r="M1412" i="1"/>
  <c r="M1418" i="1"/>
  <c r="M1424" i="1"/>
  <c r="M1430" i="1"/>
  <c r="M1436" i="1"/>
  <c r="M1442" i="1"/>
  <c r="M1448" i="1"/>
  <c r="M1454" i="1"/>
  <c r="M1460" i="1"/>
  <c r="M1466" i="1"/>
  <c r="M1472" i="1"/>
  <c r="M1478" i="1"/>
  <c r="M1484" i="1"/>
  <c r="M1490" i="1"/>
  <c r="M1496" i="1"/>
  <c r="M1502" i="1"/>
  <c r="M1508" i="1"/>
  <c r="M1514" i="1"/>
  <c r="M1520" i="1"/>
  <c r="M1526" i="1"/>
  <c r="M1532" i="1"/>
  <c r="M1538" i="1"/>
  <c r="M1544" i="1"/>
  <c r="M1550" i="1"/>
  <c r="M1556" i="1"/>
  <c r="M1562" i="1"/>
  <c r="M1568" i="1"/>
  <c r="M1574" i="1"/>
  <c r="L405" i="1"/>
  <c r="L530" i="1"/>
  <c r="M637" i="1"/>
  <c r="M733" i="1"/>
  <c r="M827" i="1"/>
  <c r="M911" i="1"/>
  <c r="M954" i="1"/>
  <c r="M978" i="1"/>
  <c r="M995" i="1"/>
  <c r="M1007" i="1"/>
  <c r="L1019" i="1"/>
  <c r="M1029" i="1"/>
  <c r="M1038" i="1"/>
  <c r="M1049" i="1"/>
  <c r="M1060" i="1"/>
  <c r="L1070" i="1"/>
  <c r="L1080" i="1"/>
  <c r="L1091" i="1"/>
  <c r="M1101" i="1"/>
  <c r="M1110" i="1"/>
  <c r="M1121" i="1"/>
  <c r="L1130" i="1"/>
  <c r="M1139" i="1"/>
  <c r="L1147" i="1"/>
  <c r="M1155" i="1"/>
  <c r="L1163" i="1"/>
  <c r="L1170" i="1"/>
  <c r="L1177" i="1"/>
  <c r="L1184" i="1"/>
  <c r="M1191" i="1"/>
  <c r="L1199" i="1"/>
  <c r="L1206" i="1"/>
  <c r="L1213" i="1"/>
  <c r="L1220" i="1"/>
  <c r="M1227" i="1"/>
  <c r="L1235" i="1"/>
  <c r="L1242" i="1"/>
  <c r="L1249" i="1"/>
  <c r="L1256" i="1"/>
  <c r="M1263" i="1"/>
  <c r="L1271" i="1"/>
  <c r="L1278" i="1"/>
  <c r="L1285" i="1"/>
  <c r="L1292" i="1"/>
  <c r="M1299" i="1"/>
  <c r="L1307" i="1"/>
  <c r="L1314" i="1"/>
  <c r="L1321" i="1"/>
  <c r="L1328" i="1"/>
  <c r="M1335" i="1"/>
  <c r="L1343" i="1"/>
  <c r="L1350" i="1"/>
  <c r="L1357" i="1"/>
  <c r="L1364" i="1"/>
  <c r="L1371" i="1"/>
  <c r="L1377" i="1"/>
  <c r="L1383" i="1"/>
  <c r="L1389" i="1"/>
  <c r="L1395" i="1"/>
  <c r="L1401" i="1"/>
  <c r="L1407" i="1"/>
  <c r="L1413" i="1"/>
  <c r="L1419" i="1"/>
  <c r="L1425" i="1"/>
  <c r="L1431" i="1"/>
  <c r="L1437" i="1"/>
  <c r="L1443" i="1"/>
  <c r="L1449" i="1"/>
  <c r="L1455" i="1"/>
  <c r="L1461" i="1"/>
  <c r="L1467" i="1"/>
  <c r="L1473" i="1"/>
  <c r="L1479" i="1"/>
  <c r="L1485" i="1"/>
  <c r="L1491" i="1"/>
  <c r="L1497" i="1"/>
  <c r="L1503" i="1"/>
  <c r="L1509" i="1"/>
  <c r="L1515" i="1"/>
  <c r="L1521" i="1"/>
  <c r="L1527" i="1"/>
  <c r="L1533" i="1"/>
  <c r="L1539" i="1"/>
  <c r="L1545" i="1"/>
  <c r="L1551" i="1"/>
  <c r="L1557" i="1"/>
  <c r="L1563" i="1"/>
  <c r="L1569" i="1"/>
  <c r="L1575" i="1"/>
  <c r="L1581" i="1"/>
  <c r="L1587" i="1"/>
  <c r="L1593" i="1"/>
  <c r="L1599" i="1"/>
  <c r="L1605" i="1"/>
  <c r="L1611" i="1"/>
  <c r="L1617" i="1"/>
  <c r="L1623" i="1"/>
  <c r="L1629" i="1"/>
  <c r="L1635" i="1"/>
  <c r="L1641" i="1"/>
  <c r="L1647" i="1"/>
  <c r="L1653" i="1"/>
  <c r="L1659" i="1"/>
  <c r="L1665" i="1"/>
  <c r="L1671" i="1"/>
  <c r="L1677" i="1"/>
  <c r="L1683" i="1"/>
  <c r="L1689" i="1"/>
  <c r="L1695" i="1"/>
  <c r="L1701" i="1"/>
  <c r="L1707" i="1"/>
  <c r="L1713" i="1"/>
  <c r="L1719" i="1"/>
  <c r="L1725" i="1"/>
  <c r="L1731" i="1"/>
  <c r="L1737" i="1"/>
  <c r="L1743" i="1"/>
  <c r="L1749" i="1"/>
  <c r="L1755" i="1"/>
  <c r="L1761" i="1"/>
  <c r="L1767" i="1"/>
  <c r="L1773" i="1"/>
  <c r="L1779" i="1"/>
  <c r="L1785" i="1"/>
  <c r="L1791" i="1"/>
  <c r="L1797" i="1"/>
  <c r="L1803" i="1"/>
  <c r="L1809" i="1"/>
  <c r="L1815" i="1"/>
  <c r="L1821" i="1"/>
  <c r="L1827" i="1"/>
  <c r="L1833" i="1"/>
  <c r="L1839" i="1"/>
  <c r="L1845" i="1"/>
  <c r="L1851" i="1"/>
  <c r="L1857" i="1"/>
  <c r="L1863" i="1"/>
  <c r="L1869" i="1"/>
  <c r="M416" i="1"/>
  <c r="L539" i="1"/>
  <c r="L645" i="1"/>
  <c r="L741" i="1"/>
  <c r="M835" i="1"/>
  <c r="M918" i="1"/>
  <c r="L956" i="1"/>
  <c r="L980" i="1"/>
  <c r="L996" i="1"/>
  <c r="L1008" i="1"/>
  <c r="M1019" i="1"/>
  <c r="M1030" i="1"/>
  <c r="L1040" i="1"/>
  <c r="L1050" i="1"/>
  <c r="L1061" i="1"/>
  <c r="M1071" i="1"/>
  <c r="M1080" i="1"/>
  <c r="M1091" i="1"/>
  <c r="M1102" i="1"/>
  <c r="L1112" i="1"/>
  <c r="L1122" i="1"/>
  <c r="M1131" i="1"/>
  <c r="L1140" i="1"/>
  <c r="L1148" i="1"/>
  <c r="M1156" i="1"/>
  <c r="M1163" i="1"/>
  <c r="M1170" i="1"/>
  <c r="M1177" i="1"/>
  <c r="L1185" i="1"/>
  <c r="M1192" i="1"/>
  <c r="M1199" i="1"/>
  <c r="M1206" i="1"/>
  <c r="M1213" i="1"/>
  <c r="L1221" i="1"/>
  <c r="M1228" i="1"/>
  <c r="M1235" i="1"/>
  <c r="M1242" i="1"/>
  <c r="M1249" i="1"/>
  <c r="L1257" i="1"/>
  <c r="M1264" i="1"/>
  <c r="M1271" i="1"/>
  <c r="M1278" i="1"/>
  <c r="M1285" i="1"/>
  <c r="L1293" i="1"/>
  <c r="M1300" i="1"/>
  <c r="M1307" i="1"/>
  <c r="M1314" i="1"/>
  <c r="M1321" i="1"/>
  <c r="L1329" i="1"/>
  <c r="M1336" i="1"/>
  <c r="M1343" i="1"/>
  <c r="M1350" i="1"/>
  <c r="M1357" i="1"/>
  <c r="L1365" i="1"/>
  <c r="M1371" i="1"/>
  <c r="M1377" i="1"/>
  <c r="M1383" i="1"/>
  <c r="M1389" i="1"/>
  <c r="M1395" i="1"/>
  <c r="M1401" i="1"/>
  <c r="M1407" i="1"/>
  <c r="M1413" i="1"/>
  <c r="M1419" i="1"/>
  <c r="M1425" i="1"/>
  <c r="M1431" i="1"/>
  <c r="M1437" i="1"/>
  <c r="M1443" i="1"/>
  <c r="M1449" i="1"/>
  <c r="M1455" i="1"/>
  <c r="M1461" i="1"/>
  <c r="M1467" i="1"/>
  <c r="M1473" i="1"/>
  <c r="M1479" i="1"/>
  <c r="M1485" i="1"/>
  <c r="M1491" i="1"/>
  <c r="M1497" i="1"/>
  <c r="M1503" i="1"/>
  <c r="M1509" i="1"/>
  <c r="M1515" i="1"/>
  <c r="M1521" i="1"/>
  <c r="M1527" i="1"/>
  <c r="M1533" i="1"/>
  <c r="M1539" i="1"/>
  <c r="M1545" i="1"/>
  <c r="M1551" i="1"/>
  <c r="M1557" i="1"/>
  <c r="M1563" i="1"/>
  <c r="M1569" i="1"/>
  <c r="M1575" i="1"/>
  <c r="M427" i="1"/>
  <c r="M549" i="1"/>
  <c r="M652" i="1"/>
  <c r="M748" i="1"/>
  <c r="M842" i="1"/>
  <c r="L925" i="1"/>
  <c r="M957" i="1"/>
  <c r="M981" i="1"/>
  <c r="M996" i="1"/>
  <c r="M1008" i="1"/>
  <c r="L1020" i="1"/>
  <c r="L1031" i="1"/>
  <c r="M1041" i="1"/>
  <c r="M1050" i="1"/>
  <c r="M1061" i="1"/>
  <c r="M1072" i="1"/>
  <c r="L1082" i="1"/>
  <c r="L1092" i="1"/>
  <c r="L1103" i="1"/>
  <c r="M1113" i="1"/>
  <c r="M1122" i="1"/>
  <c r="M1132" i="1"/>
  <c r="M1140" i="1"/>
  <c r="L1149" i="1"/>
  <c r="L1157" i="1"/>
  <c r="L1164" i="1"/>
  <c r="L1171" i="1"/>
  <c r="L1178" i="1"/>
  <c r="M1185" i="1"/>
  <c r="L1193" i="1"/>
  <c r="L1200" i="1"/>
  <c r="L1207" i="1"/>
  <c r="L1214" i="1"/>
  <c r="M1221" i="1"/>
  <c r="L1229" i="1"/>
  <c r="L1236" i="1"/>
  <c r="L1243" i="1"/>
  <c r="L1250" i="1"/>
  <c r="M1257" i="1"/>
  <c r="L1265" i="1"/>
  <c r="L1272" i="1"/>
  <c r="L1279" i="1"/>
  <c r="L1286" i="1"/>
  <c r="M1293" i="1"/>
  <c r="L1301" i="1"/>
  <c r="L1308" i="1"/>
  <c r="L1315" i="1"/>
  <c r="L1322" i="1"/>
  <c r="M1329" i="1"/>
  <c r="L1337" i="1"/>
  <c r="L1344" i="1"/>
  <c r="L1351" i="1"/>
  <c r="L1358" i="1"/>
  <c r="M1365" i="1"/>
  <c r="L1372" i="1"/>
  <c r="L1378" i="1"/>
  <c r="L1384" i="1"/>
  <c r="L1390" i="1"/>
  <c r="L1396" i="1"/>
  <c r="L1402" i="1"/>
  <c r="L1408" i="1"/>
  <c r="L1414" i="1"/>
  <c r="L1420" i="1"/>
  <c r="L1426" i="1"/>
  <c r="L1432" i="1"/>
  <c r="L1438" i="1"/>
  <c r="L1444" i="1"/>
  <c r="L1450" i="1"/>
  <c r="L1456" i="1"/>
  <c r="L1462" i="1"/>
  <c r="L1468" i="1"/>
  <c r="L1474" i="1"/>
  <c r="L1480" i="1"/>
  <c r="L1486" i="1"/>
  <c r="L1492" i="1"/>
  <c r="L1498" i="1"/>
  <c r="L1504" i="1"/>
  <c r="L1510" i="1"/>
  <c r="L1516" i="1"/>
  <c r="L1522" i="1"/>
  <c r="L1528" i="1"/>
  <c r="L1534" i="1"/>
  <c r="L1540" i="1"/>
  <c r="L1546" i="1"/>
  <c r="L1552" i="1"/>
  <c r="L1558" i="1"/>
  <c r="L1564" i="1"/>
  <c r="L1570" i="1"/>
  <c r="L1576" i="1"/>
  <c r="L1582" i="1"/>
  <c r="L1588" i="1"/>
  <c r="L1594" i="1"/>
  <c r="L1600" i="1"/>
  <c r="L1606" i="1"/>
  <c r="L1612" i="1"/>
  <c r="L1618" i="1"/>
  <c r="L1624" i="1"/>
  <c r="L1630" i="1"/>
  <c r="L1636" i="1"/>
  <c r="L1642" i="1"/>
  <c r="L1648" i="1"/>
  <c r="L1654" i="1"/>
  <c r="L1660" i="1"/>
  <c r="L1666" i="1"/>
  <c r="L1672" i="1"/>
  <c r="L1678" i="1"/>
  <c r="L1684" i="1"/>
  <c r="L1690" i="1"/>
  <c r="L1696" i="1"/>
  <c r="L1702" i="1"/>
  <c r="L1708" i="1"/>
  <c r="L1714" i="1"/>
  <c r="L1720" i="1"/>
  <c r="L1726" i="1"/>
  <c r="L1732" i="1"/>
  <c r="L1738" i="1"/>
  <c r="L1744" i="1"/>
  <c r="L1750" i="1"/>
  <c r="L1756" i="1"/>
  <c r="L1762" i="1"/>
  <c r="L1768" i="1"/>
  <c r="L1774" i="1"/>
  <c r="L1780" i="1"/>
  <c r="L1786" i="1"/>
  <c r="L1792" i="1"/>
  <c r="L1798" i="1"/>
  <c r="L1804" i="1"/>
  <c r="L1810" i="1"/>
  <c r="L1816" i="1"/>
  <c r="L1822" i="1"/>
  <c r="L1828" i="1"/>
  <c r="L1834" i="1"/>
  <c r="L1840" i="1"/>
  <c r="L1846" i="1"/>
  <c r="L1852" i="1"/>
  <c r="L1858" i="1"/>
  <c r="L1864" i="1"/>
  <c r="L1870" i="1"/>
  <c r="L1876" i="1"/>
  <c r="L1882" i="1"/>
  <c r="L1888" i="1"/>
  <c r="L1894" i="1"/>
  <c r="L1900" i="1"/>
  <c r="L1906" i="1"/>
  <c r="L1912" i="1"/>
  <c r="L447" i="1"/>
  <c r="M570" i="1"/>
  <c r="L669" i="1"/>
  <c r="L765" i="1"/>
  <c r="M856" i="1"/>
  <c r="M931" i="1"/>
  <c r="L962" i="1"/>
  <c r="L986" i="1"/>
  <c r="M999" i="1"/>
  <c r="M1011" i="1"/>
  <c r="L1022" i="1"/>
  <c r="L1032" i="1"/>
  <c r="L1043" i="1"/>
  <c r="M1053" i="1"/>
  <c r="M1062" i="1"/>
  <c r="M1073" i="1"/>
  <c r="M1084" i="1"/>
  <c r="L1094" i="1"/>
  <c r="L1104" i="1"/>
  <c r="L1115" i="1"/>
  <c r="L1124" i="1"/>
  <c r="M1133" i="1"/>
  <c r="L1142" i="1"/>
  <c r="M1150" i="1"/>
  <c r="L1158" i="1"/>
  <c r="L1165" i="1"/>
  <c r="L1172" i="1"/>
  <c r="M1179" i="1"/>
  <c r="L1187" i="1"/>
  <c r="L1194" i="1"/>
  <c r="L1201" i="1"/>
  <c r="L1208" i="1"/>
  <c r="M1215" i="1"/>
  <c r="L1223" i="1"/>
  <c r="L1230" i="1"/>
  <c r="L1237" i="1"/>
  <c r="L1244" i="1"/>
  <c r="M1251" i="1"/>
  <c r="L1259" i="1"/>
  <c r="L1266" i="1"/>
  <c r="L1273" i="1"/>
  <c r="L1280" i="1"/>
  <c r="M1287" i="1"/>
  <c r="L1295" i="1"/>
  <c r="L1302" i="1"/>
  <c r="L1309" i="1"/>
  <c r="L1316" i="1"/>
  <c r="M1323" i="1"/>
  <c r="L1331" i="1"/>
  <c r="L1338" i="1"/>
  <c r="L1345" i="1"/>
  <c r="L1352" i="1"/>
  <c r="M1359" i="1"/>
  <c r="L1367" i="1"/>
  <c r="L1373" i="1"/>
  <c r="L1379" i="1"/>
  <c r="L1385" i="1"/>
  <c r="L1391" i="1"/>
  <c r="L1397" i="1"/>
  <c r="L1403" i="1"/>
  <c r="L1409" i="1"/>
  <c r="L1415" i="1"/>
  <c r="L1421" i="1"/>
  <c r="L1427" i="1"/>
  <c r="L1433" i="1"/>
  <c r="L1439" i="1"/>
  <c r="L1445" i="1"/>
  <c r="L1451" i="1"/>
  <c r="L1457" i="1"/>
  <c r="L1463" i="1"/>
  <c r="L1469" i="1"/>
  <c r="L1475" i="1"/>
  <c r="L1481" i="1"/>
  <c r="L1487" i="1"/>
  <c r="L1493" i="1"/>
  <c r="L1499" i="1"/>
  <c r="L1505" i="1"/>
  <c r="L1511" i="1"/>
  <c r="L1517" i="1"/>
  <c r="L1523" i="1"/>
  <c r="L1529" i="1"/>
  <c r="L1535" i="1"/>
  <c r="L1541" i="1"/>
  <c r="L1547" i="1"/>
  <c r="L1553" i="1"/>
  <c r="L1559" i="1"/>
  <c r="L1565" i="1"/>
  <c r="L1571" i="1"/>
  <c r="L1577" i="1"/>
  <c r="L1583" i="1"/>
  <c r="L1589" i="1"/>
  <c r="L1595" i="1"/>
  <c r="L1601" i="1"/>
  <c r="L1607" i="1"/>
  <c r="L1613" i="1"/>
  <c r="L1619" i="1"/>
  <c r="L1625" i="1"/>
  <c r="L1631" i="1"/>
  <c r="L1637" i="1"/>
  <c r="L1643" i="1"/>
  <c r="L1649" i="1"/>
  <c r="L1655" i="1"/>
  <c r="L1661" i="1"/>
  <c r="L1667" i="1"/>
  <c r="L1673" i="1"/>
  <c r="L1679" i="1"/>
  <c r="L1685" i="1"/>
  <c r="L1691" i="1"/>
  <c r="L1697" i="1"/>
  <c r="L1703" i="1"/>
  <c r="L1709" i="1"/>
  <c r="L1715" i="1"/>
  <c r="L1721" i="1"/>
  <c r="L1727" i="1"/>
  <c r="L1733" i="1"/>
  <c r="L1739" i="1"/>
  <c r="L1745" i="1"/>
  <c r="L1751" i="1"/>
  <c r="L1757" i="1"/>
  <c r="L1763" i="1"/>
  <c r="L1769" i="1"/>
  <c r="L1775" i="1"/>
  <c r="L1781" i="1"/>
  <c r="L1787" i="1"/>
  <c r="L1793" i="1"/>
  <c r="L1799" i="1"/>
  <c r="L1805" i="1"/>
  <c r="L1811" i="1"/>
  <c r="L1817" i="1"/>
  <c r="L1823" i="1"/>
  <c r="L1829" i="1"/>
  <c r="L1835" i="1"/>
  <c r="L1841" i="1"/>
  <c r="L1847" i="1"/>
  <c r="L1853" i="1"/>
  <c r="L1859" i="1"/>
  <c r="L1865" i="1"/>
  <c r="L1871" i="1"/>
  <c r="L1877" i="1"/>
  <c r="L1883" i="1"/>
  <c r="L1889" i="1"/>
  <c r="L1895" i="1"/>
  <c r="L1901" i="1"/>
  <c r="L1907" i="1"/>
  <c r="L1913" i="1"/>
  <c r="L1919" i="1"/>
  <c r="L1925" i="1"/>
  <c r="L1931" i="1"/>
  <c r="L1937" i="1"/>
  <c r="L1943" i="1"/>
  <c r="L1949" i="1"/>
  <c r="L1955" i="1"/>
  <c r="L1961" i="1"/>
  <c r="L1967" i="1"/>
  <c r="L1973" i="1"/>
  <c r="L1979" i="1"/>
  <c r="L1985" i="1"/>
  <c r="L1991" i="1"/>
  <c r="L1997" i="1"/>
  <c r="I203" i="1"/>
  <c r="L436" i="1"/>
  <c r="M1042" i="1"/>
  <c r="M1157" i="1"/>
  <c r="M1243" i="1"/>
  <c r="M1330" i="1"/>
  <c r="M1408" i="1"/>
  <c r="M1480" i="1"/>
  <c r="M1552" i="1"/>
  <c r="M1582" i="1"/>
  <c r="M1598" i="1"/>
  <c r="M1610" i="1"/>
  <c r="M1621" i="1"/>
  <c r="L1632" i="1"/>
  <c r="M1641" i="1"/>
  <c r="L1652" i="1"/>
  <c r="L1663" i="1"/>
  <c r="M1672" i="1"/>
  <c r="M1682" i="1"/>
  <c r="M1693" i="1"/>
  <c r="L1704" i="1"/>
  <c r="M1713" i="1"/>
  <c r="L1724" i="1"/>
  <c r="L1735" i="1"/>
  <c r="M1744" i="1"/>
  <c r="M1754" i="1"/>
  <c r="M1765" i="1"/>
  <c r="L1776" i="1"/>
  <c r="M1785" i="1"/>
  <c r="L1796" i="1"/>
  <c r="L1807" i="1"/>
  <c r="M1816" i="1"/>
  <c r="M1826" i="1"/>
  <c r="L1837" i="1"/>
  <c r="M1845" i="1"/>
  <c r="L1855" i="1"/>
  <c r="M1863" i="1"/>
  <c r="L1873" i="1"/>
  <c r="M1880" i="1"/>
  <c r="M1888" i="1"/>
  <c r="L1897" i="1"/>
  <c r="M1904" i="1"/>
  <c r="M1912" i="1"/>
  <c r="L1920" i="1"/>
  <c r="M1927" i="1"/>
  <c r="M1934" i="1"/>
  <c r="M1941" i="1"/>
  <c r="M1948" i="1"/>
  <c r="L1956" i="1"/>
  <c r="M1963" i="1"/>
  <c r="M1970" i="1"/>
  <c r="M1977" i="1"/>
  <c r="M1984" i="1"/>
  <c r="L1992" i="1"/>
  <c r="M1999" i="1"/>
  <c r="I206" i="1"/>
  <c r="I212" i="1"/>
  <c r="I218" i="1"/>
  <c r="I224" i="1"/>
  <c r="I230" i="1"/>
  <c r="I236" i="1"/>
  <c r="I242" i="1"/>
  <c r="I248" i="1"/>
  <c r="I254" i="1"/>
  <c r="I260" i="1"/>
  <c r="I266" i="1"/>
  <c r="I272" i="1"/>
  <c r="I278" i="1"/>
  <c r="I284" i="1"/>
  <c r="I290" i="1"/>
  <c r="I296" i="1"/>
  <c r="I302" i="1"/>
  <c r="I308" i="1"/>
  <c r="I314" i="1"/>
  <c r="I320" i="1"/>
  <c r="I326" i="1"/>
  <c r="I332" i="1"/>
  <c r="I338" i="1"/>
  <c r="I344" i="1"/>
  <c r="I350" i="1"/>
  <c r="I356" i="1"/>
  <c r="I362" i="1"/>
  <c r="I368" i="1"/>
  <c r="I374" i="1"/>
  <c r="I380" i="1"/>
  <c r="I386" i="1"/>
  <c r="I392" i="1"/>
  <c r="I398" i="1"/>
  <c r="I404" i="1"/>
  <c r="I410" i="1"/>
  <c r="I416" i="1"/>
  <c r="I422" i="1"/>
  <c r="I428" i="1"/>
  <c r="I434" i="1"/>
  <c r="I440" i="1"/>
  <c r="I446" i="1"/>
  <c r="I452" i="1"/>
  <c r="I458" i="1"/>
  <c r="I464" i="1"/>
  <c r="I470" i="1"/>
  <c r="I476" i="1"/>
  <c r="I482" i="1"/>
  <c r="I488" i="1"/>
  <c r="I494" i="1"/>
  <c r="I500" i="1"/>
  <c r="I506" i="1"/>
  <c r="I512" i="1"/>
  <c r="I518" i="1"/>
  <c r="M560" i="1"/>
  <c r="L1052" i="1"/>
  <c r="M1164" i="1"/>
  <c r="L1251" i="1"/>
  <c r="M1337" i="1"/>
  <c r="M1414" i="1"/>
  <c r="M1486" i="1"/>
  <c r="L1556" i="1"/>
  <c r="L1586" i="1"/>
  <c r="M1599" i="1"/>
  <c r="M1611" i="1"/>
  <c r="L1622" i="1"/>
  <c r="L1633" i="1"/>
  <c r="M1642" i="1"/>
  <c r="M1652" i="1"/>
  <c r="M1663" i="1"/>
  <c r="L1674" i="1"/>
  <c r="M1683" i="1"/>
  <c r="L1694" i="1"/>
  <c r="L1705" i="1"/>
  <c r="M1714" i="1"/>
  <c r="M1724" i="1"/>
  <c r="M1735" i="1"/>
  <c r="L1746" i="1"/>
  <c r="M1755" i="1"/>
  <c r="L1766" i="1"/>
  <c r="L1777" i="1"/>
  <c r="M1786" i="1"/>
  <c r="M1796" i="1"/>
  <c r="M1807" i="1"/>
  <c r="L1818" i="1"/>
  <c r="M1827" i="1"/>
  <c r="M1837" i="1"/>
  <c r="M1846" i="1"/>
  <c r="M1855" i="1"/>
  <c r="M1864" i="1"/>
  <c r="M1873" i="1"/>
  <c r="L1881" i="1"/>
  <c r="M1889" i="1"/>
  <c r="M1897" i="1"/>
  <c r="L1905" i="1"/>
  <c r="M1913" i="1"/>
  <c r="L1921" i="1"/>
  <c r="L1928" i="1"/>
  <c r="L1935" i="1"/>
  <c r="L1942" i="1"/>
  <c r="M1949" i="1"/>
  <c r="L1957" i="1"/>
  <c r="L1964" i="1"/>
  <c r="L1971" i="1"/>
  <c r="L1978" i="1"/>
  <c r="M1985" i="1"/>
  <c r="L1993" i="1"/>
  <c r="L2000" i="1"/>
  <c r="J206" i="1"/>
  <c r="J212" i="1"/>
  <c r="J218" i="1"/>
  <c r="J224" i="1"/>
  <c r="J230" i="1"/>
  <c r="J236" i="1"/>
  <c r="J242" i="1"/>
  <c r="J248" i="1"/>
  <c r="J254" i="1"/>
  <c r="J260" i="1"/>
  <c r="J266" i="1"/>
  <c r="J272" i="1"/>
  <c r="J278" i="1"/>
  <c r="J284" i="1"/>
  <c r="J290" i="1"/>
  <c r="J296" i="1"/>
  <c r="J302" i="1"/>
  <c r="J308" i="1"/>
  <c r="J314" i="1"/>
  <c r="J320" i="1"/>
  <c r="J326" i="1"/>
  <c r="J332" i="1"/>
  <c r="J338" i="1"/>
  <c r="J344" i="1"/>
  <c r="J350" i="1"/>
  <c r="J356" i="1"/>
  <c r="J362" i="1"/>
  <c r="J368" i="1"/>
  <c r="J374" i="1"/>
  <c r="J380" i="1"/>
  <c r="J386" i="1"/>
  <c r="J392" i="1"/>
  <c r="J398" i="1"/>
  <c r="J404" i="1"/>
  <c r="J410" i="1"/>
  <c r="J416" i="1"/>
  <c r="J422" i="1"/>
  <c r="J428" i="1"/>
  <c r="J434" i="1"/>
  <c r="J440" i="1"/>
  <c r="J446" i="1"/>
  <c r="J452" i="1"/>
  <c r="J458" i="1"/>
  <c r="J464" i="1"/>
  <c r="J470" i="1"/>
  <c r="J476" i="1"/>
  <c r="J482" i="1"/>
  <c r="J488" i="1"/>
  <c r="J494" i="1"/>
  <c r="J500" i="1"/>
  <c r="J506" i="1"/>
  <c r="J512" i="1"/>
  <c r="J518" i="1"/>
  <c r="J524" i="1"/>
  <c r="J530" i="1"/>
  <c r="J536" i="1"/>
  <c r="J542" i="1"/>
  <c r="J548" i="1"/>
  <c r="J554" i="1"/>
  <c r="J560" i="1"/>
  <c r="J566" i="1"/>
  <c r="J572" i="1"/>
  <c r="J578" i="1"/>
  <c r="J584" i="1"/>
  <c r="J590" i="1"/>
  <c r="J596" i="1"/>
  <c r="J602" i="1"/>
  <c r="J608" i="1"/>
  <c r="J614" i="1"/>
  <c r="J620" i="1"/>
  <c r="J626" i="1"/>
  <c r="J632" i="1"/>
  <c r="J638" i="1"/>
  <c r="J644" i="1"/>
  <c r="J650" i="1"/>
  <c r="J656" i="1"/>
  <c r="J662" i="1"/>
  <c r="J668" i="1"/>
  <c r="J674" i="1"/>
  <c r="J680" i="1"/>
  <c r="J686" i="1"/>
  <c r="J692" i="1"/>
  <c r="J698" i="1"/>
  <c r="J704" i="1"/>
  <c r="J710" i="1"/>
  <c r="J716" i="1"/>
  <c r="J722" i="1"/>
  <c r="J728" i="1"/>
  <c r="J734" i="1"/>
  <c r="J740" i="1"/>
  <c r="J746" i="1"/>
  <c r="J752" i="1"/>
  <c r="J758" i="1"/>
  <c r="J764" i="1"/>
  <c r="J770" i="1"/>
  <c r="J776" i="1"/>
  <c r="J782" i="1"/>
  <c r="J788" i="1"/>
  <c r="J794" i="1"/>
  <c r="J800" i="1"/>
  <c r="J806" i="1"/>
  <c r="J812" i="1"/>
  <c r="J818" i="1"/>
  <c r="J824" i="1"/>
  <c r="J830" i="1"/>
  <c r="J836" i="1"/>
  <c r="J842" i="1"/>
  <c r="J848" i="1"/>
  <c r="J854" i="1"/>
  <c r="J860" i="1"/>
  <c r="J866" i="1"/>
  <c r="J872" i="1"/>
  <c r="J878" i="1"/>
  <c r="J884" i="1"/>
  <c r="J890" i="1"/>
  <c r="J896" i="1"/>
  <c r="M661" i="1"/>
  <c r="L1062" i="1"/>
  <c r="M1171" i="1"/>
  <c r="M1258" i="1"/>
  <c r="M1344" i="1"/>
  <c r="M1420" i="1"/>
  <c r="M1492" i="1"/>
  <c r="M1558" i="1"/>
  <c r="M1586" i="1"/>
  <c r="M1600" i="1"/>
  <c r="M1612" i="1"/>
  <c r="M1622" i="1"/>
  <c r="M1633" i="1"/>
  <c r="L1644" i="1"/>
  <c r="M1653" i="1"/>
  <c r="L1664" i="1"/>
  <c r="L1675" i="1"/>
  <c r="M1684" i="1"/>
  <c r="M1694" i="1"/>
  <c r="M1705" i="1"/>
  <c r="L1716" i="1"/>
  <c r="M1725" i="1"/>
  <c r="L1736" i="1"/>
  <c r="L1747" i="1"/>
  <c r="M1756" i="1"/>
  <c r="M1766" i="1"/>
  <c r="M1777" i="1"/>
  <c r="L1788" i="1"/>
  <c r="M1797" i="1"/>
  <c r="L1808" i="1"/>
  <c r="L1819" i="1"/>
  <c r="M1828" i="1"/>
  <c r="L1838" i="1"/>
  <c r="M1847" i="1"/>
  <c r="L1856" i="1"/>
  <c r="M1865" i="1"/>
  <c r="L1874" i="1"/>
  <c r="M1881" i="1"/>
  <c r="L1890" i="1"/>
  <c r="L1898" i="1"/>
  <c r="M1905" i="1"/>
  <c r="L1914" i="1"/>
  <c r="M1921" i="1"/>
  <c r="M1928" i="1"/>
  <c r="M1935" i="1"/>
  <c r="M1942" i="1"/>
  <c r="L1950" i="1"/>
  <c r="M1957" i="1"/>
  <c r="M1964" i="1"/>
  <c r="M1971" i="1"/>
  <c r="M1978" i="1"/>
  <c r="L1986" i="1"/>
  <c r="M1993" i="1"/>
  <c r="M2000" i="1"/>
  <c r="I207" i="1"/>
  <c r="I213" i="1"/>
  <c r="I219" i="1"/>
  <c r="I225" i="1"/>
  <c r="I231" i="1"/>
  <c r="I237" i="1"/>
  <c r="I243" i="1"/>
  <c r="I249" i="1"/>
  <c r="I255" i="1"/>
  <c r="I261" i="1"/>
  <c r="I267" i="1"/>
  <c r="I273" i="1"/>
  <c r="I279" i="1"/>
  <c r="I285" i="1"/>
  <c r="I291" i="1"/>
  <c r="I297" i="1"/>
  <c r="I303" i="1"/>
  <c r="I309" i="1"/>
  <c r="I315" i="1"/>
  <c r="I321" i="1"/>
  <c r="I327" i="1"/>
  <c r="I333" i="1"/>
  <c r="I339" i="1"/>
  <c r="I345" i="1"/>
  <c r="I351" i="1"/>
  <c r="I357" i="1"/>
  <c r="I363" i="1"/>
  <c r="I369" i="1"/>
  <c r="I375" i="1"/>
  <c r="I381" i="1"/>
  <c r="I387" i="1"/>
  <c r="I393" i="1"/>
  <c r="I399" i="1"/>
  <c r="I405" i="1"/>
  <c r="I411" i="1"/>
  <c r="I417" i="1"/>
  <c r="I423" i="1"/>
  <c r="I429" i="1"/>
  <c r="I435" i="1"/>
  <c r="I441" i="1"/>
  <c r="I447" i="1"/>
  <c r="I453" i="1"/>
  <c r="I459" i="1"/>
  <c r="I465" i="1"/>
  <c r="I471" i="1"/>
  <c r="I477" i="1"/>
  <c r="I483" i="1"/>
  <c r="I489" i="1"/>
  <c r="I495" i="1"/>
  <c r="I501" i="1"/>
  <c r="I507" i="1"/>
  <c r="I513" i="1"/>
  <c r="I519" i="1"/>
  <c r="I525" i="1"/>
  <c r="I531" i="1"/>
  <c r="I537" i="1"/>
  <c r="I543" i="1"/>
  <c r="I549" i="1"/>
  <c r="I555" i="1"/>
  <c r="I561" i="1"/>
  <c r="I567" i="1"/>
  <c r="I573" i="1"/>
  <c r="I579" i="1"/>
  <c r="I585" i="1"/>
  <c r="I591" i="1"/>
  <c r="I597" i="1"/>
  <c r="I603" i="1"/>
  <c r="I609" i="1"/>
  <c r="I615" i="1"/>
  <c r="I621" i="1"/>
  <c r="I627" i="1"/>
  <c r="I633" i="1"/>
  <c r="I639" i="1"/>
  <c r="I645" i="1"/>
  <c r="I651" i="1"/>
  <c r="I657" i="1"/>
  <c r="I663" i="1"/>
  <c r="I669" i="1"/>
  <c r="I675" i="1"/>
  <c r="I681" i="1"/>
  <c r="I687" i="1"/>
  <c r="I693" i="1"/>
  <c r="I699" i="1"/>
  <c r="I705" i="1"/>
  <c r="I711" i="1"/>
  <c r="I717" i="1"/>
  <c r="I723" i="1"/>
  <c r="I729" i="1"/>
  <c r="I735" i="1"/>
  <c r="I741" i="1"/>
  <c r="I747" i="1"/>
  <c r="I753" i="1"/>
  <c r="I759" i="1"/>
  <c r="I765" i="1"/>
  <c r="I771" i="1"/>
  <c r="I777" i="1"/>
  <c r="I783" i="1"/>
  <c r="I789" i="1"/>
  <c r="I795" i="1"/>
  <c r="I801" i="1"/>
  <c r="I807" i="1"/>
  <c r="I813" i="1"/>
  <c r="I819" i="1"/>
  <c r="I825" i="1"/>
  <c r="I831" i="1"/>
  <c r="I837" i="1"/>
  <c r="I843" i="1"/>
  <c r="I849" i="1"/>
  <c r="I855" i="1"/>
  <c r="I861" i="1"/>
  <c r="I867" i="1"/>
  <c r="I873" i="1"/>
  <c r="I879" i="1"/>
  <c r="I885" i="1"/>
  <c r="I891" i="1"/>
  <c r="I897" i="1"/>
  <c r="M757" i="1"/>
  <c r="L1073" i="1"/>
  <c r="L1179" i="1"/>
  <c r="M1265" i="1"/>
  <c r="M1351" i="1"/>
  <c r="M1426" i="1"/>
  <c r="M1498" i="1"/>
  <c r="L1562" i="1"/>
  <c r="M1587" i="1"/>
  <c r="L1602" i="1"/>
  <c r="L1614" i="1"/>
  <c r="M1623" i="1"/>
  <c r="L1634" i="1"/>
  <c r="L1645" i="1"/>
  <c r="M1654" i="1"/>
  <c r="M1664" i="1"/>
  <c r="M1675" i="1"/>
  <c r="L1686" i="1"/>
  <c r="M1695" i="1"/>
  <c r="L1706" i="1"/>
  <c r="L1717" i="1"/>
  <c r="M1726" i="1"/>
  <c r="M1736" i="1"/>
  <c r="M1747" i="1"/>
  <c r="L1758" i="1"/>
  <c r="M1767" i="1"/>
  <c r="L1778" i="1"/>
  <c r="L1789" i="1"/>
  <c r="M1798" i="1"/>
  <c r="M1808" i="1"/>
  <c r="M1819" i="1"/>
  <c r="L1830" i="1"/>
  <c r="M1838" i="1"/>
  <c r="L1848" i="1"/>
  <c r="M1856" i="1"/>
  <c r="L1866" i="1"/>
  <c r="M1874" i="1"/>
  <c r="M1882" i="1"/>
  <c r="L1891" i="1"/>
  <c r="M1898" i="1"/>
  <c r="M1906" i="1"/>
  <c r="L1915" i="1"/>
  <c r="L1922" i="1"/>
  <c r="L1929" i="1"/>
  <c r="L1936" i="1"/>
  <c r="M1943" i="1"/>
  <c r="L1951" i="1"/>
  <c r="L1958" i="1"/>
  <c r="L1965" i="1"/>
  <c r="L1972" i="1"/>
  <c r="M1979" i="1"/>
  <c r="L1987" i="1"/>
  <c r="L1994" i="1"/>
  <c r="I201" i="1"/>
  <c r="J207" i="1"/>
  <c r="J213" i="1"/>
  <c r="J219" i="1"/>
  <c r="J225" i="1"/>
  <c r="J231" i="1"/>
  <c r="J237" i="1"/>
  <c r="J243" i="1"/>
  <c r="J249" i="1"/>
  <c r="J255" i="1"/>
  <c r="J261" i="1"/>
  <c r="J267" i="1"/>
  <c r="J273" i="1"/>
  <c r="J279" i="1"/>
  <c r="J285" i="1"/>
  <c r="J291" i="1"/>
  <c r="J297" i="1"/>
  <c r="J303" i="1"/>
  <c r="J309" i="1"/>
  <c r="J315" i="1"/>
  <c r="J321" i="1"/>
  <c r="J327" i="1"/>
  <c r="J333" i="1"/>
  <c r="J339" i="1"/>
  <c r="J345" i="1"/>
  <c r="J351" i="1"/>
  <c r="J357" i="1"/>
  <c r="J363" i="1"/>
  <c r="J369" i="1"/>
  <c r="J375" i="1"/>
  <c r="J381" i="1"/>
  <c r="J387" i="1"/>
  <c r="J393" i="1"/>
  <c r="J399" i="1"/>
  <c r="J405" i="1"/>
  <c r="J411" i="1"/>
  <c r="J417" i="1"/>
  <c r="J423" i="1"/>
  <c r="J429" i="1"/>
  <c r="J435" i="1"/>
  <c r="J441" i="1"/>
  <c r="J447" i="1"/>
  <c r="J453" i="1"/>
  <c r="J459" i="1"/>
  <c r="J465" i="1"/>
  <c r="J471" i="1"/>
  <c r="J477" i="1"/>
  <c r="J483" i="1"/>
  <c r="J489" i="1"/>
  <c r="J495" i="1"/>
  <c r="J501" i="1"/>
  <c r="J507" i="1"/>
  <c r="J513" i="1"/>
  <c r="J519" i="1"/>
  <c r="J525" i="1"/>
  <c r="J531" i="1"/>
  <c r="M849" i="1"/>
  <c r="M1083" i="1"/>
  <c r="M1186" i="1"/>
  <c r="M1272" i="1"/>
  <c r="L1359" i="1"/>
  <c r="M1432" i="1"/>
  <c r="M1504" i="1"/>
  <c r="M1564" i="1"/>
  <c r="M1588" i="1"/>
  <c r="M1603" i="1"/>
  <c r="L1615" i="1"/>
  <c r="M1624" i="1"/>
  <c r="M1634" i="1"/>
  <c r="M1645" i="1"/>
  <c r="L1656" i="1"/>
  <c r="M1665" i="1"/>
  <c r="L1676" i="1"/>
  <c r="L1687" i="1"/>
  <c r="M1696" i="1"/>
  <c r="M1706" i="1"/>
  <c r="M1717" i="1"/>
  <c r="L1728" i="1"/>
  <c r="M1737" i="1"/>
  <c r="L1748" i="1"/>
  <c r="L1759" i="1"/>
  <c r="M1768" i="1"/>
  <c r="M1778" i="1"/>
  <c r="M1789" i="1"/>
  <c r="L1800" i="1"/>
  <c r="M1809" i="1"/>
  <c r="L1820" i="1"/>
  <c r="L1831" i="1"/>
  <c r="M1839" i="1"/>
  <c r="L1849" i="1"/>
  <c r="M1857" i="1"/>
  <c r="L1867" i="1"/>
  <c r="L1875" i="1"/>
  <c r="M1883" i="1"/>
  <c r="M1891" i="1"/>
  <c r="L1899" i="1"/>
  <c r="M1907" i="1"/>
  <c r="M1915" i="1"/>
  <c r="M1922" i="1"/>
  <c r="M1929" i="1"/>
  <c r="M1936" i="1"/>
  <c r="L1944" i="1"/>
  <c r="M1951" i="1"/>
  <c r="M1958" i="1"/>
  <c r="M1965" i="1"/>
  <c r="M1972" i="1"/>
  <c r="L1980" i="1"/>
  <c r="M1987" i="1"/>
  <c r="M1994" i="1"/>
  <c r="J201" i="1"/>
  <c r="I208" i="1"/>
  <c r="I214" i="1"/>
  <c r="I220" i="1"/>
  <c r="I226" i="1"/>
  <c r="I232" i="1"/>
  <c r="I238" i="1"/>
  <c r="I244" i="1"/>
  <c r="I250" i="1"/>
  <c r="I256" i="1"/>
  <c r="I262" i="1"/>
  <c r="I268" i="1"/>
  <c r="I274" i="1"/>
  <c r="I280" i="1"/>
  <c r="I286" i="1"/>
  <c r="I292" i="1"/>
  <c r="I298" i="1"/>
  <c r="I304" i="1"/>
  <c r="I310" i="1"/>
  <c r="I316" i="1"/>
  <c r="I322" i="1"/>
  <c r="I328" i="1"/>
  <c r="I334" i="1"/>
  <c r="I340" i="1"/>
  <c r="I346" i="1"/>
  <c r="I352" i="1"/>
  <c r="I358" i="1"/>
  <c r="I364" i="1"/>
  <c r="I370" i="1"/>
  <c r="I376" i="1"/>
  <c r="I382" i="1"/>
  <c r="I388" i="1"/>
  <c r="M926" i="1"/>
  <c r="M1092" i="1"/>
  <c r="M1193" i="1"/>
  <c r="M1279" i="1"/>
  <c r="M1366" i="1"/>
  <c r="M1438" i="1"/>
  <c r="M1510" i="1"/>
  <c r="L1568" i="1"/>
  <c r="L1590" i="1"/>
  <c r="L1604" i="1"/>
  <c r="M1615" i="1"/>
  <c r="L1626" i="1"/>
  <c r="M1635" i="1"/>
  <c r="L1646" i="1"/>
  <c r="L1657" i="1"/>
  <c r="M1666" i="1"/>
  <c r="M1676" i="1"/>
  <c r="M1687" i="1"/>
  <c r="L1698" i="1"/>
  <c r="M1707" i="1"/>
  <c r="L1718" i="1"/>
  <c r="L1729" i="1"/>
  <c r="M1738" i="1"/>
  <c r="M1748" i="1"/>
  <c r="M1759" i="1"/>
  <c r="L1770" i="1"/>
  <c r="M1779" i="1"/>
  <c r="L1790" i="1"/>
  <c r="L1801" i="1"/>
  <c r="M1810" i="1"/>
  <c r="M1820" i="1"/>
  <c r="M1831" i="1"/>
  <c r="M1840" i="1"/>
  <c r="M1849" i="1"/>
  <c r="M1858" i="1"/>
  <c r="M1867" i="1"/>
  <c r="M1875" i="1"/>
  <c r="L1884" i="1"/>
  <c r="L1892" i="1"/>
  <c r="M1899" i="1"/>
  <c r="L1908" i="1"/>
  <c r="L1916" i="1"/>
  <c r="L1923" i="1"/>
  <c r="L1930" i="1"/>
  <c r="M1937" i="1"/>
  <c r="L1945" i="1"/>
  <c r="L1952" i="1"/>
  <c r="L1959" i="1"/>
  <c r="L1966" i="1"/>
  <c r="M1973" i="1"/>
  <c r="L1981" i="1"/>
  <c r="L1988" i="1"/>
  <c r="L1995" i="1"/>
  <c r="I202" i="1"/>
  <c r="J208" i="1"/>
  <c r="J214" i="1"/>
  <c r="J220" i="1"/>
  <c r="J226" i="1"/>
  <c r="J232" i="1"/>
  <c r="J238" i="1"/>
  <c r="J244" i="1"/>
  <c r="J250" i="1"/>
  <c r="J256" i="1"/>
  <c r="J262" i="1"/>
  <c r="J268" i="1"/>
  <c r="J274" i="1"/>
  <c r="J280" i="1"/>
  <c r="J286" i="1"/>
  <c r="J292" i="1"/>
  <c r="J298" i="1"/>
  <c r="J304" i="1"/>
  <c r="J310" i="1"/>
  <c r="J316" i="1"/>
  <c r="J322" i="1"/>
  <c r="J328" i="1"/>
  <c r="J334" i="1"/>
  <c r="J340" i="1"/>
  <c r="J346" i="1"/>
  <c r="J352" i="1"/>
  <c r="J358" i="1"/>
  <c r="J364" i="1"/>
  <c r="J370" i="1"/>
  <c r="J376" i="1"/>
  <c r="J382" i="1"/>
  <c r="J388" i="1"/>
  <c r="M960" i="1"/>
  <c r="M1103" i="1"/>
  <c r="M1200" i="1"/>
  <c r="L1287" i="1"/>
  <c r="M1372" i="1"/>
  <c r="M1444" i="1"/>
  <c r="M1516" i="1"/>
  <c r="M1570" i="1"/>
  <c r="L1592" i="1"/>
  <c r="M1604" i="1"/>
  <c r="L1616" i="1"/>
  <c r="L1627" i="1"/>
  <c r="M1636" i="1"/>
  <c r="M1646" i="1"/>
  <c r="M1657" i="1"/>
  <c r="L1668" i="1"/>
  <c r="M1677" i="1"/>
  <c r="L1688" i="1"/>
  <c r="L1699" i="1"/>
  <c r="M1708" i="1"/>
  <c r="M1718" i="1"/>
  <c r="M1729" i="1"/>
  <c r="L1740" i="1"/>
  <c r="M1749" i="1"/>
  <c r="L1760" i="1"/>
  <c r="L1771" i="1"/>
  <c r="M1780" i="1"/>
  <c r="M1790" i="1"/>
  <c r="M1801" i="1"/>
  <c r="L1812" i="1"/>
  <c r="M1821" i="1"/>
  <c r="L1832" i="1"/>
  <c r="M1841" i="1"/>
  <c r="L1850" i="1"/>
  <c r="M1859" i="1"/>
  <c r="L1868" i="1"/>
  <c r="M1876" i="1"/>
  <c r="L1885" i="1"/>
  <c r="M1892" i="1"/>
  <c r="M1900" i="1"/>
  <c r="L1909" i="1"/>
  <c r="M1916" i="1"/>
  <c r="M1923" i="1"/>
  <c r="M1930" i="1"/>
  <c r="L1938" i="1"/>
  <c r="M1945" i="1"/>
  <c r="M1952" i="1"/>
  <c r="M1959" i="1"/>
  <c r="M1966" i="1"/>
  <c r="L1974" i="1"/>
  <c r="M1981" i="1"/>
  <c r="M1988" i="1"/>
  <c r="M1995" i="1"/>
  <c r="J202" i="1"/>
  <c r="I209" i="1"/>
  <c r="I215" i="1"/>
  <c r="I221" i="1"/>
  <c r="I227" i="1"/>
  <c r="I233" i="1"/>
  <c r="I239" i="1"/>
  <c r="I245" i="1"/>
  <c r="I251" i="1"/>
  <c r="I257" i="1"/>
  <c r="I263" i="1"/>
  <c r="I269" i="1"/>
  <c r="I275" i="1"/>
  <c r="I281" i="1"/>
  <c r="I287" i="1"/>
  <c r="I293" i="1"/>
  <c r="I299" i="1"/>
  <c r="I305" i="1"/>
  <c r="I311" i="1"/>
  <c r="I317" i="1"/>
  <c r="I323" i="1"/>
  <c r="I329" i="1"/>
  <c r="I335" i="1"/>
  <c r="I341" i="1"/>
  <c r="I347" i="1"/>
  <c r="I353" i="1"/>
  <c r="I359" i="1"/>
  <c r="I365" i="1"/>
  <c r="I371" i="1"/>
  <c r="I377" i="1"/>
  <c r="I383" i="1"/>
  <c r="I389" i="1"/>
  <c r="I395" i="1"/>
  <c r="I401" i="1"/>
  <c r="M984" i="1"/>
  <c r="M1114" i="1"/>
  <c r="M1207" i="1"/>
  <c r="M1294" i="1"/>
  <c r="M1378" i="1"/>
  <c r="M1450" i="1"/>
  <c r="M1522" i="1"/>
  <c r="L1574" i="1"/>
  <c r="M1592" i="1"/>
  <c r="M1605" i="1"/>
  <c r="M1616" i="1"/>
  <c r="M1627" i="1"/>
  <c r="L1638" i="1"/>
  <c r="M1647" i="1"/>
  <c r="L1658" i="1"/>
  <c r="L1669" i="1"/>
  <c r="M1678" i="1"/>
  <c r="M1688" i="1"/>
  <c r="M1699" i="1"/>
  <c r="L1710" i="1"/>
  <c r="M1719" i="1"/>
  <c r="L1730" i="1"/>
  <c r="L1741" i="1"/>
  <c r="M1750" i="1"/>
  <c r="M1760" i="1"/>
  <c r="M1771" i="1"/>
  <c r="L1782" i="1"/>
  <c r="M1791" i="1"/>
  <c r="L1802" i="1"/>
  <c r="L1813" i="1"/>
  <c r="M1822" i="1"/>
  <c r="M1832" i="1"/>
  <c r="L1842" i="1"/>
  <c r="M1850" i="1"/>
  <c r="L1860" i="1"/>
  <c r="M1868" i="1"/>
  <c r="M1877" i="1"/>
  <c r="M1885" i="1"/>
  <c r="L1893" i="1"/>
  <c r="M1901" i="1"/>
  <c r="M1909" i="1"/>
  <c r="L1917" i="1"/>
  <c r="L1924" i="1"/>
  <c r="M1931" i="1"/>
  <c r="L1939" i="1"/>
  <c r="L1946" i="1"/>
  <c r="L1953" i="1"/>
  <c r="L1960" i="1"/>
  <c r="M1967" i="1"/>
  <c r="L1975" i="1"/>
  <c r="L1982" i="1"/>
  <c r="L1989" i="1"/>
  <c r="L1996" i="1"/>
  <c r="J203" i="1"/>
  <c r="J209" i="1"/>
  <c r="J215" i="1"/>
  <c r="J221" i="1"/>
  <c r="J227" i="1"/>
  <c r="J233" i="1"/>
  <c r="J239" i="1"/>
  <c r="J245" i="1"/>
  <c r="J251" i="1"/>
  <c r="J257" i="1"/>
  <c r="J263" i="1"/>
  <c r="J269" i="1"/>
  <c r="J275" i="1"/>
  <c r="J281" i="1"/>
  <c r="J287" i="1"/>
  <c r="J293" i="1"/>
  <c r="J299" i="1"/>
  <c r="J305" i="1"/>
  <c r="J311" i="1"/>
  <c r="J317" i="1"/>
  <c r="J323" i="1"/>
  <c r="J329" i="1"/>
  <c r="J335" i="1"/>
  <c r="J341" i="1"/>
  <c r="J347" i="1"/>
  <c r="J353" i="1"/>
  <c r="J359" i="1"/>
  <c r="J365" i="1"/>
  <c r="J371" i="1"/>
  <c r="J377" i="1"/>
  <c r="J383" i="1"/>
  <c r="J389" i="1"/>
  <c r="J395" i="1"/>
  <c r="J401" i="1"/>
  <c r="L998" i="1"/>
  <c r="L1123" i="1"/>
  <c r="L1215" i="1"/>
  <c r="M1301" i="1"/>
  <c r="M1384" i="1"/>
  <c r="M1456" i="1"/>
  <c r="M1528" i="1"/>
  <c r="M1576" i="1"/>
  <c r="M1593" i="1"/>
  <c r="M1606" i="1"/>
  <c r="M1617" i="1"/>
  <c r="L1628" i="1"/>
  <c r="L1639" i="1"/>
  <c r="M1648" i="1"/>
  <c r="M1658" i="1"/>
  <c r="M1669" i="1"/>
  <c r="L1680" i="1"/>
  <c r="M1689" i="1"/>
  <c r="L1700" i="1"/>
  <c r="L1711" i="1"/>
  <c r="M1720" i="1"/>
  <c r="M1730" i="1"/>
  <c r="M1741" i="1"/>
  <c r="L1752" i="1"/>
  <c r="M1761" i="1"/>
  <c r="L1772" i="1"/>
  <c r="L1783" i="1"/>
  <c r="M1792" i="1"/>
  <c r="M1802" i="1"/>
  <c r="M1813" i="1"/>
  <c r="L1824" i="1"/>
  <c r="M1833" i="1"/>
  <c r="L1843" i="1"/>
  <c r="M1851" i="1"/>
  <c r="L1861" i="1"/>
  <c r="M1869" i="1"/>
  <c r="L1878" i="1"/>
  <c r="L1886" i="1"/>
  <c r="M1893" i="1"/>
  <c r="L1902" i="1"/>
  <c r="L1910" i="1"/>
  <c r="M1917" i="1"/>
  <c r="M1924" i="1"/>
  <c r="L1932" i="1"/>
  <c r="M1939" i="1"/>
  <c r="M1946" i="1"/>
  <c r="M1953" i="1"/>
  <c r="M1960" i="1"/>
  <c r="L1968" i="1"/>
  <c r="M1975" i="1"/>
  <c r="M1982" i="1"/>
  <c r="M1989" i="1"/>
  <c r="M1996" i="1"/>
  <c r="I204" i="1"/>
  <c r="I210" i="1"/>
  <c r="I216" i="1"/>
  <c r="I222" i="1"/>
  <c r="I228" i="1"/>
  <c r="I234" i="1"/>
  <c r="I240" i="1"/>
  <c r="I246" i="1"/>
  <c r="I252" i="1"/>
  <c r="I258" i="1"/>
  <c r="I264" i="1"/>
  <c r="I270" i="1"/>
  <c r="I276" i="1"/>
  <c r="I282" i="1"/>
  <c r="I288" i="1"/>
  <c r="I294" i="1"/>
  <c r="I300" i="1"/>
  <c r="I306" i="1"/>
  <c r="I312" i="1"/>
  <c r="I318" i="1"/>
  <c r="I324" i="1"/>
  <c r="I330" i="1"/>
  <c r="I336" i="1"/>
  <c r="I342" i="1"/>
  <c r="I348" i="1"/>
  <c r="I354" i="1"/>
  <c r="I360" i="1"/>
  <c r="I366" i="1"/>
  <c r="I372" i="1"/>
  <c r="I378" i="1"/>
  <c r="I384" i="1"/>
  <c r="I390" i="1"/>
  <c r="L1010" i="1"/>
  <c r="L1133" i="1"/>
  <c r="M1222" i="1"/>
  <c r="M1308" i="1"/>
  <c r="M1390" i="1"/>
  <c r="M1462" i="1"/>
  <c r="M1534" i="1"/>
  <c r="L1580" i="1"/>
  <c r="M1594" i="1"/>
  <c r="L1608" i="1"/>
  <c r="M1618" i="1"/>
  <c r="M1628" i="1"/>
  <c r="M1639" i="1"/>
  <c r="L1650" i="1"/>
  <c r="M1659" i="1"/>
  <c r="L1670" i="1"/>
  <c r="L1681" i="1"/>
  <c r="M1690" i="1"/>
  <c r="M1700" i="1"/>
  <c r="M1711" i="1"/>
  <c r="L1722" i="1"/>
  <c r="M1731" i="1"/>
  <c r="L1742" i="1"/>
  <c r="L1753" i="1"/>
  <c r="M1762" i="1"/>
  <c r="M1772" i="1"/>
  <c r="M1783" i="1"/>
  <c r="L1794" i="1"/>
  <c r="M1803" i="1"/>
  <c r="L1814" i="1"/>
  <c r="L1825" i="1"/>
  <c r="M1834" i="1"/>
  <c r="M1843" i="1"/>
  <c r="M1852" i="1"/>
  <c r="M1861" i="1"/>
  <c r="M1870" i="1"/>
  <c r="L1879" i="1"/>
  <c r="M1886" i="1"/>
  <c r="M1894" i="1"/>
  <c r="L1903" i="1"/>
  <c r="M1910" i="1"/>
  <c r="L1918" i="1"/>
  <c r="M1925" i="1"/>
  <c r="L1933" i="1"/>
  <c r="L1940" i="1"/>
  <c r="L1947" i="1"/>
  <c r="L1954" i="1"/>
  <c r="M1961" i="1"/>
  <c r="L1969" i="1"/>
  <c r="L1976" i="1"/>
  <c r="L1983" i="1"/>
  <c r="L1990" i="1"/>
  <c r="M1997" i="1"/>
  <c r="J204" i="1"/>
  <c r="J210" i="1"/>
  <c r="J216" i="1"/>
  <c r="J222" i="1"/>
  <c r="J228" i="1"/>
  <c r="J234" i="1"/>
  <c r="J240" i="1"/>
  <c r="J246" i="1"/>
  <c r="J252" i="1"/>
  <c r="J258" i="1"/>
  <c r="J264" i="1"/>
  <c r="J270" i="1"/>
  <c r="J276" i="1"/>
  <c r="J282" i="1"/>
  <c r="J288" i="1"/>
  <c r="J294" i="1"/>
  <c r="J300" i="1"/>
  <c r="J306" i="1"/>
  <c r="J312" i="1"/>
  <c r="J318" i="1"/>
  <c r="J324" i="1"/>
  <c r="J330" i="1"/>
  <c r="J336" i="1"/>
  <c r="J342" i="1"/>
  <c r="J348" i="1"/>
  <c r="J354" i="1"/>
  <c r="J360" i="1"/>
  <c r="J366" i="1"/>
  <c r="J372" i="1"/>
  <c r="J378" i="1"/>
  <c r="J384" i="1"/>
  <c r="J390" i="1"/>
  <c r="J396" i="1"/>
  <c r="J402" i="1"/>
  <c r="J408" i="1"/>
  <c r="J414" i="1"/>
  <c r="J420" i="1"/>
  <c r="J426" i="1"/>
  <c r="J432" i="1"/>
  <c r="J438" i="1"/>
  <c r="J444" i="1"/>
  <c r="J450" i="1"/>
  <c r="J456" i="1"/>
  <c r="J462" i="1"/>
  <c r="J468" i="1"/>
  <c r="J474" i="1"/>
  <c r="J480" i="1"/>
  <c r="J486" i="1"/>
  <c r="J492" i="1"/>
  <c r="J498" i="1"/>
  <c r="J504" i="1"/>
  <c r="J510" i="1"/>
  <c r="J516" i="1"/>
  <c r="J522" i="1"/>
  <c r="J528" i="1"/>
  <c r="J534" i="1"/>
  <c r="J540" i="1"/>
  <c r="J546" i="1"/>
  <c r="J552" i="1"/>
  <c r="J558" i="1"/>
  <c r="M1020" i="1"/>
  <c r="M1540" i="1"/>
  <c r="L1640" i="1"/>
  <c r="M1701" i="1"/>
  <c r="L1764" i="1"/>
  <c r="M1825" i="1"/>
  <c r="M1879" i="1"/>
  <c r="L1926" i="1"/>
  <c r="M1969" i="1"/>
  <c r="I211" i="1"/>
  <c r="I247" i="1"/>
  <c r="I283" i="1"/>
  <c r="I319" i="1"/>
  <c r="I355" i="1"/>
  <c r="I391" i="1"/>
  <c r="I406" i="1"/>
  <c r="I415" i="1"/>
  <c r="J425" i="1"/>
  <c r="J436" i="1"/>
  <c r="J445" i="1"/>
  <c r="I456" i="1"/>
  <c r="I467" i="1"/>
  <c r="I478" i="1"/>
  <c r="I487" i="1"/>
  <c r="J497" i="1"/>
  <c r="J508" i="1"/>
  <c r="J517" i="1"/>
  <c r="J527" i="1"/>
  <c r="I536" i="1"/>
  <c r="J544" i="1"/>
  <c r="I552" i="1"/>
  <c r="I560" i="1"/>
  <c r="I568" i="1"/>
  <c r="I575" i="1"/>
  <c r="I582" i="1"/>
  <c r="I589" i="1"/>
  <c r="I596" i="1"/>
  <c r="I604" i="1"/>
  <c r="I611" i="1"/>
  <c r="I618" i="1"/>
  <c r="I625" i="1"/>
  <c r="I632" i="1"/>
  <c r="I640" i="1"/>
  <c r="I647" i="1"/>
  <c r="I654" i="1"/>
  <c r="I661" i="1"/>
  <c r="I668" i="1"/>
  <c r="I676" i="1"/>
  <c r="I683" i="1"/>
  <c r="I690" i="1"/>
  <c r="I697" i="1"/>
  <c r="I704" i="1"/>
  <c r="I712" i="1"/>
  <c r="I719" i="1"/>
  <c r="I726" i="1"/>
  <c r="I733" i="1"/>
  <c r="I740" i="1"/>
  <c r="I748" i="1"/>
  <c r="I755" i="1"/>
  <c r="I762" i="1"/>
  <c r="I769" i="1"/>
  <c r="I776" i="1"/>
  <c r="I784" i="1"/>
  <c r="I791" i="1"/>
  <c r="I798" i="1"/>
  <c r="I805" i="1"/>
  <c r="I812" i="1"/>
  <c r="I820" i="1"/>
  <c r="I827" i="1"/>
  <c r="I834" i="1"/>
  <c r="I841" i="1"/>
  <c r="I848" i="1"/>
  <c r="I856" i="1"/>
  <c r="I863" i="1"/>
  <c r="I870" i="1"/>
  <c r="I877" i="1"/>
  <c r="I884" i="1"/>
  <c r="I892" i="1"/>
  <c r="I899" i="1"/>
  <c r="I905" i="1"/>
  <c r="I911" i="1"/>
  <c r="I917" i="1"/>
  <c r="I923" i="1"/>
  <c r="I929" i="1"/>
  <c r="I935" i="1"/>
  <c r="I941" i="1"/>
  <c r="I947" i="1"/>
  <c r="I953" i="1"/>
  <c r="I959" i="1"/>
  <c r="I965" i="1"/>
  <c r="I971" i="1"/>
  <c r="I977" i="1"/>
  <c r="I983" i="1"/>
  <c r="I989" i="1"/>
  <c r="I995" i="1"/>
  <c r="I1001" i="1"/>
  <c r="I1007" i="1"/>
  <c r="I1013" i="1"/>
  <c r="I1019" i="1"/>
  <c r="I1025" i="1"/>
  <c r="I1031" i="1"/>
  <c r="I1037" i="1"/>
  <c r="I1043" i="1"/>
  <c r="I1049" i="1"/>
  <c r="I1055" i="1"/>
  <c r="M1031" i="1"/>
  <c r="M1546" i="1"/>
  <c r="M1640" i="1"/>
  <c r="M1702" i="1"/>
  <c r="L1765" i="1"/>
  <c r="L1826" i="1"/>
  <c r="L1880" i="1"/>
  <c r="L1927" i="1"/>
  <c r="L1970" i="1"/>
  <c r="J211" i="1"/>
  <c r="J247" i="1"/>
  <c r="J283" i="1"/>
  <c r="J319" i="1"/>
  <c r="J355" i="1"/>
  <c r="J391" i="1"/>
  <c r="J406" i="1"/>
  <c r="J415" i="1"/>
  <c r="I426" i="1"/>
  <c r="I437" i="1"/>
  <c r="I448" i="1"/>
  <c r="I457" i="1"/>
  <c r="J467" i="1"/>
  <c r="J478" i="1"/>
  <c r="J487" i="1"/>
  <c r="I498" i="1"/>
  <c r="I509" i="1"/>
  <c r="I520" i="1"/>
  <c r="I528" i="1"/>
  <c r="J537" i="1"/>
  <c r="I545" i="1"/>
  <c r="I553" i="1"/>
  <c r="J561" i="1"/>
  <c r="J568" i="1"/>
  <c r="J575" i="1"/>
  <c r="J582" i="1"/>
  <c r="J589" i="1"/>
  <c r="J597" i="1"/>
  <c r="J604" i="1"/>
  <c r="J611" i="1"/>
  <c r="J618" i="1"/>
  <c r="J625" i="1"/>
  <c r="J633" i="1"/>
  <c r="J640" i="1"/>
  <c r="J647" i="1"/>
  <c r="J654" i="1"/>
  <c r="J661" i="1"/>
  <c r="J669" i="1"/>
  <c r="J676" i="1"/>
  <c r="J683" i="1"/>
  <c r="J690" i="1"/>
  <c r="J697" i="1"/>
  <c r="J705" i="1"/>
  <c r="J712" i="1"/>
  <c r="J719" i="1"/>
  <c r="J726" i="1"/>
  <c r="J733" i="1"/>
  <c r="J741" i="1"/>
  <c r="J748" i="1"/>
  <c r="J755" i="1"/>
  <c r="J762" i="1"/>
  <c r="J769" i="1"/>
  <c r="J777" i="1"/>
  <c r="J784" i="1"/>
  <c r="J791" i="1"/>
  <c r="J798" i="1"/>
  <c r="J805" i="1"/>
  <c r="J813" i="1"/>
  <c r="J820" i="1"/>
  <c r="J827" i="1"/>
  <c r="J834" i="1"/>
  <c r="J841" i="1"/>
  <c r="J849" i="1"/>
  <c r="J856" i="1"/>
  <c r="J863" i="1"/>
  <c r="J870" i="1"/>
  <c r="J877" i="1"/>
  <c r="J885" i="1"/>
  <c r="J892" i="1"/>
  <c r="J899" i="1"/>
  <c r="J905" i="1"/>
  <c r="J911" i="1"/>
  <c r="J917" i="1"/>
  <c r="J923" i="1"/>
  <c r="J929" i="1"/>
  <c r="J935" i="1"/>
  <c r="J941" i="1"/>
  <c r="J947" i="1"/>
  <c r="J953" i="1"/>
  <c r="J959" i="1"/>
  <c r="J965" i="1"/>
  <c r="J971" i="1"/>
  <c r="J977" i="1"/>
  <c r="J983" i="1"/>
  <c r="J989" i="1"/>
  <c r="J995" i="1"/>
  <c r="J1001" i="1"/>
  <c r="J1007" i="1"/>
  <c r="J1013" i="1"/>
  <c r="J1019" i="1"/>
  <c r="J1025" i="1"/>
  <c r="J1031" i="1"/>
  <c r="L1141" i="1"/>
  <c r="M1580" i="1"/>
  <c r="L1651" i="1"/>
  <c r="L1712" i="1"/>
  <c r="M1773" i="1"/>
  <c r="M1835" i="1"/>
  <c r="L1887" i="1"/>
  <c r="M1933" i="1"/>
  <c r="M1976" i="1"/>
  <c r="I217" i="1"/>
  <c r="I253" i="1"/>
  <c r="I289" i="1"/>
  <c r="I325" i="1"/>
  <c r="I361" i="1"/>
  <c r="I394" i="1"/>
  <c r="I407" i="1"/>
  <c r="I418" i="1"/>
  <c r="I427" i="1"/>
  <c r="J437" i="1"/>
  <c r="J448" i="1"/>
  <c r="J457" i="1"/>
  <c r="I468" i="1"/>
  <c r="I479" i="1"/>
  <c r="I490" i="1"/>
  <c r="I499" i="1"/>
  <c r="J509" i="1"/>
  <c r="J520" i="1"/>
  <c r="I529" i="1"/>
  <c r="I538" i="1"/>
  <c r="J545" i="1"/>
  <c r="J553" i="1"/>
  <c r="I562" i="1"/>
  <c r="I569" i="1"/>
  <c r="I576" i="1"/>
  <c r="I583" i="1"/>
  <c r="I590" i="1"/>
  <c r="I598" i="1"/>
  <c r="I605" i="1"/>
  <c r="I612" i="1"/>
  <c r="I619" i="1"/>
  <c r="I626" i="1"/>
  <c r="I634" i="1"/>
  <c r="I641" i="1"/>
  <c r="I648" i="1"/>
  <c r="I655" i="1"/>
  <c r="I662" i="1"/>
  <c r="I670" i="1"/>
  <c r="I677" i="1"/>
  <c r="I684" i="1"/>
  <c r="I691" i="1"/>
  <c r="I698" i="1"/>
  <c r="I706" i="1"/>
  <c r="I713" i="1"/>
  <c r="I720" i="1"/>
  <c r="I727" i="1"/>
  <c r="I734" i="1"/>
  <c r="I742" i="1"/>
  <c r="I749" i="1"/>
  <c r="I756" i="1"/>
  <c r="I763" i="1"/>
  <c r="I770" i="1"/>
  <c r="I778" i="1"/>
  <c r="I785" i="1"/>
  <c r="I792" i="1"/>
  <c r="I799" i="1"/>
  <c r="I806" i="1"/>
  <c r="I814" i="1"/>
  <c r="I821" i="1"/>
  <c r="I828" i="1"/>
  <c r="I835" i="1"/>
  <c r="I842" i="1"/>
  <c r="I850" i="1"/>
  <c r="I857" i="1"/>
  <c r="I864" i="1"/>
  <c r="I871" i="1"/>
  <c r="I878" i="1"/>
  <c r="I886" i="1"/>
  <c r="I893" i="1"/>
  <c r="I900" i="1"/>
  <c r="I906" i="1"/>
  <c r="I912" i="1"/>
  <c r="I918" i="1"/>
  <c r="I924" i="1"/>
  <c r="I930" i="1"/>
  <c r="I936" i="1"/>
  <c r="I942" i="1"/>
  <c r="I948" i="1"/>
  <c r="I954" i="1"/>
  <c r="I960" i="1"/>
  <c r="I966" i="1"/>
  <c r="I972" i="1"/>
  <c r="I978" i="1"/>
  <c r="I984" i="1"/>
  <c r="I990" i="1"/>
  <c r="I996" i="1"/>
  <c r="I1002" i="1"/>
  <c r="I1008" i="1"/>
  <c r="I1014" i="1"/>
  <c r="I1020" i="1"/>
  <c r="I1026" i="1"/>
  <c r="I1032" i="1"/>
  <c r="I1038" i="1"/>
  <c r="I1044" i="1"/>
  <c r="I1050" i="1"/>
  <c r="I1056" i="1"/>
  <c r="I1062" i="1"/>
  <c r="I1068" i="1"/>
  <c r="I1074" i="1"/>
  <c r="I1080" i="1"/>
  <c r="I1086" i="1"/>
  <c r="I1092" i="1"/>
  <c r="I1098" i="1"/>
  <c r="I1104" i="1"/>
  <c r="I1110" i="1"/>
  <c r="I1116" i="1"/>
  <c r="I1122" i="1"/>
  <c r="I1128" i="1"/>
  <c r="I1134" i="1"/>
  <c r="I1140" i="1"/>
  <c r="I1146" i="1"/>
  <c r="I1152" i="1"/>
  <c r="I1158" i="1"/>
  <c r="I1164" i="1"/>
  <c r="I1170" i="1"/>
  <c r="I1176" i="1"/>
  <c r="I1182" i="1"/>
  <c r="I1188" i="1"/>
  <c r="I1194" i="1"/>
  <c r="I1200" i="1"/>
  <c r="I1206" i="1"/>
  <c r="I1212" i="1"/>
  <c r="I1218" i="1"/>
  <c r="I1224" i="1"/>
  <c r="I1230" i="1"/>
  <c r="I1236" i="1"/>
  <c r="I1242" i="1"/>
  <c r="I1248" i="1"/>
  <c r="I1254" i="1"/>
  <c r="I1260" i="1"/>
  <c r="I1266" i="1"/>
  <c r="I1272" i="1"/>
  <c r="I1278" i="1"/>
  <c r="I1284" i="1"/>
  <c r="I1290" i="1"/>
  <c r="I1296" i="1"/>
  <c r="I1302" i="1"/>
  <c r="I1308" i="1"/>
  <c r="I1314" i="1"/>
  <c r="I1320" i="1"/>
  <c r="I1326" i="1"/>
  <c r="I1332" i="1"/>
  <c r="I1338" i="1"/>
  <c r="I1344" i="1"/>
  <c r="I1350" i="1"/>
  <c r="I1356" i="1"/>
  <c r="I1362" i="1"/>
  <c r="I1368" i="1"/>
  <c r="I1374" i="1"/>
  <c r="I1380" i="1"/>
  <c r="I1386" i="1"/>
  <c r="I1392" i="1"/>
  <c r="I1398" i="1"/>
  <c r="I1404" i="1"/>
  <c r="I1410" i="1"/>
  <c r="I1416" i="1"/>
  <c r="I1422" i="1"/>
  <c r="I1428" i="1"/>
  <c r="I1434" i="1"/>
  <c r="I1440" i="1"/>
  <c r="I1446" i="1"/>
  <c r="I1452" i="1"/>
  <c r="I1458" i="1"/>
  <c r="I1464" i="1"/>
  <c r="I1470" i="1"/>
  <c r="M1149" i="1"/>
  <c r="M1581" i="1"/>
  <c r="M1651" i="1"/>
  <c r="M1712" i="1"/>
  <c r="M1774" i="1"/>
  <c r="L1836" i="1"/>
  <c r="M1887" i="1"/>
  <c r="L1934" i="1"/>
  <c r="L1977" i="1"/>
  <c r="J217" i="1"/>
  <c r="J253" i="1"/>
  <c r="J289" i="1"/>
  <c r="J325" i="1"/>
  <c r="J361" i="1"/>
  <c r="J394" i="1"/>
  <c r="J407" i="1"/>
  <c r="J418" i="1"/>
  <c r="J427" i="1"/>
  <c r="I438" i="1"/>
  <c r="I449" i="1"/>
  <c r="I460" i="1"/>
  <c r="I469" i="1"/>
  <c r="J479" i="1"/>
  <c r="J490" i="1"/>
  <c r="J499" i="1"/>
  <c r="I510" i="1"/>
  <c r="I521" i="1"/>
  <c r="J529" i="1"/>
  <c r="J538" i="1"/>
  <c r="I546" i="1"/>
  <c r="I554" i="1"/>
  <c r="J562" i="1"/>
  <c r="J569" i="1"/>
  <c r="J576" i="1"/>
  <c r="J583" i="1"/>
  <c r="J591" i="1"/>
  <c r="J598" i="1"/>
  <c r="J605" i="1"/>
  <c r="J612" i="1"/>
  <c r="J619" i="1"/>
  <c r="J627" i="1"/>
  <c r="J634" i="1"/>
  <c r="J641" i="1"/>
  <c r="J648" i="1"/>
  <c r="J655" i="1"/>
  <c r="J663" i="1"/>
  <c r="J670" i="1"/>
  <c r="J677" i="1"/>
  <c r="J684" i="1"/>
  <c r="J691" i="1"/>
  <c r="J699" i="1"/>
  <c r="J706" i="1"/>
  <c r="J713" i="1"/>
  <c r="J720" i="1"/>
  <c r="J727" i="1"/>
  <c r="J735" i="1"/>
  <c r="J742" i="1"/>
  <c r="J749" i="1"/>
  <c r="J756" i="1"/>
  <c r="J763" i="1"/>
  <c r="J771" i="1"/>
  <c r="J778" i="1"/>
  <c r="J785" i="1"/>
  <c r="J792" i="1"/>
  <c r="J799" i="1"/>
  <c r="J807" i="1"/>
  <c r="J814" i="1"/>
  <c r="J821" i="1"/>
  <c r="J828" i="1"/>
  <c r="J835" i="1"/>
  <c r="J843" i="1"/>
  <c r="J850" i="1"/>
  <c r="J857" i="1"/>
  <c r="J864" i="1"/>
  <c r="J871" i="1"/>
  <c r="J879" i="1"/>
  <c r="J886" i="1"/>
  <c r="J893" i="1"/>
  <c r="J900" i="1"/>
  <c r="J906" i="1"/>
  <c r="J912" i="1"/>
  <c r="J918" i="1"/>
  <c r="J924" i="1"/>
  <c r="M1229" i="1"/>
  <c r="L1596" i="1"/>
  <c r="M1660" i="1"/>
  <c r="L1723" i="1"/>
  <c r="L1784" i="1"/>
  <c r="L1844" i="1"/>
  <c r="M1895" i="1"/>
  <c r="M1940" i="1"/>
  <c r="M1983" i="1"/>
  <c r="I223" i="1"/>
  <c r="I259" i="1"/>
  <c r="I295" i="1"/>
  <c r="I331" i="1"/>
  <c r="I367" i="1"/>
  <c r="I396" i="1"/>
  <c r="I408" i="1"/>
  <c r="I419" i="1"/>
  <c r="I430" i="1"/>
  <c r="I439" i="1"/>
  <c r="J449" i="1"/>
  <c r="J460" i="1"/>
  <c r="J469" i="1"/>
  <c r="I480" i="1"/>
  <c r="I491" i="1"/>
  <c r="I502" i="1"/>
  <c r="I511" i="1"/>
  <c r="J521" i="1"/>
  <c r="I530" i="1"/>
  <c r="I539" i="1"/>
  <c r="I547" i="1"/>
  <c r="J555" i="1"/>
  <c r="I563" i="1"/>
  <c r="I570" i="1"/>
  <c r="I577" i="1"/>
  <c r="I584" i="1"/>
  <c r="I592" i="1"/>
  <c r="I599" i="1"/>
  <c r="I606" i="1"/>
  <c r="I613" i="1"/>
  <c r="I620" i="1"/>
  <c r="I628" i="1"/>
  <c r="I635" i="1"/>
  <c r="I642" i="1"/>
  <c r="I649" i="1"/>
  <c r="I656" i="1"/>
  <c r="I664" i="1"/>
  <c r="I671" i="1"/>
  <c r="I678" i="1"/>
  <c r="I685" i="1"/>
  <c r="I692" i="1"/>
  <c r="I700" i="1"/>
  <c r="I707" i="1"/>
  <c r="I714" i="1"/>
  <c r="I721" i="1"/>
  <c r="I728" i="1"/>
  <c r="I736" i="1"/>
  <c r="I743" i="1"/>
  <c r="I750" i="1"/>
  <c r="I757" i="1"/>
  <c r="I764" i="1"/>
  <c r="I772" i="1"/>
  <c r="I779" i="1"/>
  <c r="I786" i="1"/>
  <c r="I793" i="1"/>
  <c r="I800" i="1"/>
  <c r="I808" i="1"/>
  <c r="I815" i="1"/>
  <c r="I822" i="1"/>
  <c r="I829" i="1"/>
  <c r="I836" i="1"/>
  <c r="I844" i="1"/>
  <c r="I851" i="1"/>
  <c r="I858" i="1"/>
  <c r="I865" i="1"/>
  <c r="I872" i="1"/>
  <c r="I880" i="1"/>
  <c r="I887" i="1"/>
  <c r="I894" i="1"/>
  <c r="I901" i="1"/>
  <c r="I907" i="1"/>
  <c r="M1236" i="1"/>
  <c r="L1598" i="1"/>
  <c r="L1662" i="1"/>
  <c r="M1723" i="1"/>
  <c r="M1784" i="1"/>
  <c r="M1844" i="1"/>
  <c r="L1896" i="1"/>
  <c r="L1941" i="1"/>
  <c r="L1984" i="1"/>
  <c r="J223" i="1"/>
  <c r="J259" i="1"/>
  <c r="J295" i="1"/>
  <c r="J331" i="1"/>
  <c r="J367" i="1"/>
  <c r="I397" i="1"/>
  <c r="I409" i="1"/>
  <c r="J419" i="1"/>
  <c r="J430" i="1"/>
  <c r="J439" i="1"/>
  <c r="I450" i="1"/>
  <c r="I461" i="1"/>
  <c r="I472" i="1"/>
  <c r="I481" i="1"/>
  <c r="J491" i="1"/>
  <c r="J502" i="1"/>
  <c r="J511" i="1"/>
  <c r="I522" i="1"/>
  <c r="I532" i="1"/>
  <c r="J539" i="1"/>
  <c r="J547" i="1"/>
  <c r="I556" i="1"/>
  <c r="J563" i="1"/>
  <c r="J570" i="1"/>
  <c r="J577" i="1"/>
  <c r="J585" i="1"/>
  <c r="J592" i="1"/>
  <c r="J599" i="1"/>
  <c r="J606" i="1"/>
  <c r="J613" i="1"/>
  <c r="J621" i="1"/>
  <c r="J628" i="1"/>
  <c r="J635" i="1"/>
  <c r="J642" i="1"/>
  <c r="J649" i="1"/>
  <c r="J657" i="1"/>
  <c r="J664" i="1"/>
  <c r="J671" i="1"/>
  <c r="J678" i="1"/>
  <c r="J685" i="1"/>
  <c r="J693" i="1"/>
  <c r="J700" i="1"/>
  <c r="J707" i="1"/>
  <c r="J714" i="1"/>
  <c r="J721" i="1"/>
  <c r="J729" i="1"/>
  <c r="J736" i="1"/>
  <c r="J743" i="1"/>
  <c r="J750" i="1"/>
  <c r="J757" i="1"/>
  <c r="J765" i="1"/>
  <c r="J772" i="1"/>
  <c r="J779" i="1"/>
  <c r="J786" i="1"/>
  <c r="J793" i="1"/>
  <c r="J801" i="1"/>
  <c r="J808" i="1"/>
  <c r="J815" i="1"/>
  <c r="J822" i="1"/>
  <c r="J829" i="1"/>
  <c r="J837" i="1"/>
  <c r="J844" i="1"/>
  <c r="J851" i="1"/>
  <c r="J858" i="1"/>
  <c r="J865" i="1"/>
  <c r="J873" i="1"/>
  <c r="J880" i="1"/>
  <c r="M1315" i="1"/>
  <c r="M1609" i="1"/>
  <c r="M1670" i="1"/>
  <c r="M1732" i="1"/>
  <c r="L1795" i="1"/>
  <c r="M1853" i="1"/>
  <c r="M1903" i="1"/>
  <c r="M1947" i="1"/>
  <c r="M1990" i="1"/>
  <c r="I229" i="1"/>
  <c r="I265" i="1"/>
  <c r="I301" i="1"/>
  <c r="I337" i="1"/>
  <c r="I373" i="1"/>
  <c r="J397" i="1"/>
  <c r="J409" i="1"/>
  <c r="I420" i="1"/>
  <c r="I431" i="1"/>
  <c r="I442" i="1"/>
  <c r="I451" i="1"/>
  <c r="J461" i="1"/>
  <c r="J472" i="1"/>
  <c r="J481" i="1"/>
  <c r="I492" i="1"/>
  <c r="I503" i="1"/>
  <c r="I514" i="1"/>
  <c r="I523" i="1"/>
  <c r="J532" i="1"/>
  <c r="I540" i="1"/>
  <c r="I548" i="1"/>
  <c r="J556" i="1"/>
  <c r="I564" i="1"/>
  <c r="I571" i="1"/>
  <c r="I578" i="1"/>
  <c r="I586" i="1"/>
  <c r="I593" i="1"/>
  <c r="I600" i="1"/>
  <c r="I607" i="1"/>
  <c r="I614" i="1"/>
  <c r="I622" i="1"/>
  <c r="I629" i="1"/>
  <c r="I636" i="1"/>
  <c r="I643" i="1"/>
  <c r="I650" i="1"/>
  <c r="I658" i="1"/>
  <c r="I665" i="1"/>
  <c r="I672" i="1"/>
  <c r="I679" i="1"/>
  <c r="I686" i="1"/>
  <c r="I694" i="1"/>
  <c r="I701" i="1"/>
  <c r="I708" i="1"/>
  <c r="I715" i="1"/>
  <c r="I722" i="1"/>
  <c r="I730" i="1"/>
  <c r="I737" i="1"/>
  <c r="I744" i="1"/>
  <c r="I751" i="1"/>
  <c r="I758" i="1"/>
  <c r="I766" i="1"/>
  <c r="I773" i="1"/>
  <c r="I780" i="1"/>
  <c r="I787" i="1"/>
  <c r="I794" i="1"/>
  <c r="I802" i="1"/>
  <c r="I809" i="1"/>
  <c r="I816" i="1"/>
  <c r="I823" i="1"/>
  <c r="I830" i="1"/>
  <c r="I838" i="1"/>
  <c r="I845" i="1"/>
  <c r="I852" i="1"/>
  <c r="I859" i="1"/>
  <c r="I866" i="1"/>
  <c r="I874" i="1"/>
  <c r="I881" i="1"/>
  <c r="I888" i="1"/>
  <c r="L1323" i="1"/>
  <c r="L1610" i="1"/>
  <c r="M1671" i="1"/>
  <c r="L1734" i="1"/>
  <c r="M1795" i="1"/>
  <c r="L1854" i="1"/>
  <c r="L1904" i="1"/>
  <c r="L1948" i="1"/>
  <c r="M1991" i="1"/>
  <c r="J229" i="1"/>
  <c r="J265" i="1"/>
  <c r="J301" i="1"/>
  <c r="J337" i="1"/>
  <c r="J373" i="1"/>
  <c r="I400" i="1"/>
  <c r="I412" i="1"/>
  <c r="I421" i="1"/>
  <c r="J431" i="1"/>
  <c r="J442" i="1"/>
  <c r="J451" i="1"/>
  <c r="I462" i="1"/>
  <c r="I473" i="1"/>
  <c r="I484" i="1"/>
  <c r="I493" i="1"/>
  <c r="J503" i="1"/>
  <c r="J514" i="1"/>
  <c r="J523" i="1"/>
  <c r="I533" i="1"/>
  <c r="I541" i="1"/>
  <c r="J549" i="1"/>
  <c r="I557" i="1"/>
  <c r="J564" i="1"/>
  <c r="J571" i="1"/>
  <c r="J579" i="1"/>
  <c r="J586" i="1"/>
  <c r="J593" i="1"/>
  <c r="J600" i="1"/>
  <c r="J607" i="1"/>
  <c r="J615" i="1"/>
  <c r="J622" i="1"/>
  <c r="J629" i="1"/>
  <c r="J636" i="1"/>
  <c r="J643" i="1"/>
  <c r="J651" i="1"/>
  <c r="J658" i="1"/>
  <c r="J665" i="1"/>
  <c r="J672" i="1"/>
  <c r="J679" i="1"/>
  <c r="J687" i="1"/>
  <c r="J694" i="1"/>
  <c r="J701" i="1"/>
  <c r="J708" i="1"/>
  <c r="J715" i="1"/>
  <c r="J723" i="1"/>
  <c r="J730" i="1"/>
  <c r="J737" i="1"/>
  <c r="J744" i="1"/>
  <c r="J751" i="1"/>
  <c r="J759" i="1"/>
  <c r="J766" i="1"/>
  <c r="J773" i="1"/>
  <c r="J780" i="1"/>
  <c r="J787" i="1"/>
  <c r="J795" i="1"/>
  <c r="J802" i="1"/>
  <c r="J809" i="1"/>
  <c r="J816" i="1"/>
  <c r="J823" i="1"/>
  <c r="J831" i="1"/>
  <c r="J838" i="1"/>
  <c r="J845" i="1"/>
  <c r="J852" i="1"/>
  <c r="J859" i="1"/>
  <c r="J867" i="1"/>
  <c r="J874" i="1"/>
  <c r="J881" i="1"/>
  <c r="J888" i="1"/>
  <c r="J895" i="1"/>
  <c r="J902" i="1"/>
  <c r="J908" i="1"/>
  <c r="J914" i="1"/>
  <c r="J920" i="1"/>
  <c r="J926" i="1"/>
  <c r="J932" i="1"/>
  <c r="M1396" i="1"/>
  <c r="L1620" i="1"/>
  <c r="M1681" i="1"/>
  <c r="M1742" i="1"/>
  <c r="M1804" i="1"/>
  <c r="L1862" i="1"/>
  <c r="L1911" i="1"/>
  <c r="M1954" i="1"/>
  <c r="L1998" i="1"/>
  <c r="I235" i="1"/>
  <c r="I271" i="1"/>
  <c r="I307" i="1"/>
  <c r="I343" i="1"/>
  <c r="I379" i="1"/>
  <c r="J400" i="1"/>
  <c r="J412" i="1"/>
  <c r="J421" i="1"/>
  <c r="I432" i="1"/>
  <c r="I443" i="1"/>
  <c r="I454" i="1"/>
  <c r="I463" i="1"/>
  <c r="J473" i="1"/>
  <c r="J484" i="1"/>
  <c r="J493" i="1"/>
  <c r="I504" i="1"/>
  <c r="I515" i="1"/>
  <c r="I524" i="1"/>
  <c r="J533" i="1"/>
  <c r="J541" i="1"/>
  <c r="I550" i="1"/>
  <c r="J557" i="1"/>
  <c r="I565" i="1"/>
  <c r="I572" i="1"/>
  <c r="I580" i="1"/>
  <c r="I587" i="1"/>
  <c r="I594" i="1"/>
  <c r="I601" i="1"/>
  <c r="I608" i="1"/>
  <c r="I616" i="1"/>
  <c r="I623" i="1"/>
  <c r="I630" i="1"/>
  <c r="I637" i="1"/>
  <c r="I644" i="1"/>
  <c r="I652" i="1"/>
  <c r="I659" i="1"/>
  <c r="M1468" i="1"/>
  <c r="M1629" i="1"/>
  <c r="L1692" i="1"/>
  <c r="M1753" i="1"/>
  <c r="M1814" i="1"/>
  <c r="M1871" i="1"/>
  <c r="M1918" i="1"/>
  <c r="L1962" i="1"/>
  <c r="I205" i="1"/>
  <c r="I241" i="1"/>
  <c r="I277" i="1"/>
  <c r="I313" i="1"/>
  <c r="I349" i="1"/>
  <c r="I385" i="1"/>
  <c r="I403" i="1"/>
  <c r="J413" i="1"/>
  <c r="J424" i="1"/>
  <c r="J433" i="1"/>
  <c r="I444" i="1"/>
  <c r="I455" i="1"/>
  <c r="I466" i="1"/>
  <c r="I475" i="1"/>
  <c r="J485" i="1"/>
  <c r="J496" i="1"/>
  <c r="J505" i="1"/>
  <c r="I516" i="1"/>
  <c r="J526" i="1"/>
  <c r="I535" i="1"/>
  <c r="J543" i="1"/>
  <c r="I551" i="1"/>
  <c r="I559" i="1"/>
  <c r="I566" i="1"/>
  <c r="I574" i="1"/>
  <c r="I581" i="1"/>
  <c r="I588" i="1"/>
  <c r="I595" i="1"/>
  <c r="I602" i="1"/>
  <c r="I610" i="1"/>
  <c r="I617" i="1"/>
  <c r="I624" i="1"/>
  <c r="I631" i="1"/>
  <c r="I638" i="1"/>
  <c r="I646" i="1"/>
  <c r="I653" i="1"/>
  <c r="I660" i="1"/>
  <c r="I667" i="1"/>
  <c r="I674" i="1"/>
  <c r="I682" i="1"/>
  <c r="I689" i="1"/>
  <c r="I696" i="1"/>
  <c r="I703" i="1"/>
  <c r="I710" i="1"/>
  <c r="I718" i="1"/>
  <c r="I725" i="1"/>
  <c r="I732" i="1"/>
  <c r="I739" i="1"/>
  <c r="I746" i="1"/>
  <c r="I754" i="1"/>
  <c r="I761" i="1"/>
  <c r="I768" i="1"/>
  <c r="I775" i="1"/>
  <c r="I782" i="1"/>
  <c r="I790" i="1"/>
  <c r="I797" i="1"/>
  <c r="I804" i="1"/>
  <c r="I811" i="1"/>
  <c r="I818" i="1"/>
  <c r="I826" i="1"/>
  <c r="I833" i="1"/>
  <c r="I840" i="1"/>
  <c r="I847" i="1"/>
  <c r="I854" i="1"/>
  <c r="I862" i="1"/>
  <c r="I869" i="1"/>
  <c r="I876" i="1"/>
  <c r="I883" i="1"/>
  <c r="I890" i="1"/>
  <c r="I898" i="1"/>
  <c r="I904" i="1"/>
  <c r="I910" i="1"/>
  <c r="I916" i="1"/>
  <c r="I922" i="1"/>
  <c r="I928" i="1"/>
  <c r="I934" i="1"/>
  <c r="I940" i="1"/>
  <c r="I946" i="1"/>
  <c r="I952" i="1"/>
  <c r="I958" i="1"/>
  <c r="I964" i="1"/>
  <c r="I970" i="1"/>
  <c r="I976" i="1"/>
  <c r="I982" i="1"/>
  <c r="I988" i="1"/>
  <c r="I994" i="1"/>
  <c r="I1000" i="1"/>
  <c r="I1006" i="1"/>
  <c r="I1012" i="1"/>
  <c r="I1018" i="1"/>
  <c r="I1024" i="1"/>
  <c r="I1030" i="1"/>
  <c r="I1036" i="1"/>
  <c r="I1042" i="1"/>
  <c r="I1048" i="1"/>
  <c r="I1054" i="1"/>
  <c r="I1060" i="1"/>
  <c r="I1066" i="1"/>
  <c r="I1072" i="1"/>
  <c r="I1078" i="1"/>
  <c r="I1084" i="1"/>
  <c r="I1090" i="1"/>
  <c r="I1096" i="1"/>
  <c r="I1102" i="1"/>
  <c r="I1108" i="1"/>
  <c r="I1114" i="1"/>
  <c r="I1120" i="1"/>
  <c r="I1126" i="1"/>
  <c r="I1132" i="1"/>
  <c r="I1138" i="1"/>
  <c r="I1144" i="1"/>
  <c r="I1150" i="1"/>
  <c r="I1156" i="1"/>
  <c r="I1162" i="1"/>
  <c r="I1168" i="1"/>
  <c r="I1174" i="1"/>
  <c r="I1180" i="1"/>
  <c r="I1186" i="1"/>
  <c r="I1192" i="1"/>
  <c r="I1198" i="1"/>
  <c r="I1204" i="1"/>
  <c r="I1210" i="1"/>
  <c r="I1216" i="1"/>
  <c r="I1222" i="1"/>
  <c r="I1228" i="1"/>
  <c r="I1234" i="1"/>
  <c r="I1240" i="1"/>
  <c r="I1246" i="1"/>
  <c r="I1252" i="1"/>
  <c r="I1258" i="1"/>
  <c r="I1264" i="1"/>
  <c r="I1270" i="1"/>
  <c r="I1276" i="1"/>
  <c r="I1282" i="1"/>
  <c r="I1288" i="1"/>
  <c r="I1294" i="1"/>
  <c r="I1300" i="1"/>
  <c r="I1306" i="1"/>
  <c r="I1312" i="1"/>
  <c r="I1318" i="1"/>
  <c r="I1324" i="1"/>
  <c r="I1330" i="1"/>
  <c r="I1336" i="1"/>
  <c r="I1342" i="1"/>
  <c r="I1348" i="1"/>
  <c r="I1354" i="1"/>
  <c r="I1360" i="1"/>
  <c r="I1366" i="1"/>
  <c r="I1372" i="1"/>
  <c r="I1378" i="1"/>
  <c r="I1384" i="1"/>
  <c r="I1390" i="1"/>
  <c r="I1396" i="1"/>
  <c r="I1402" i="1"/>
  <c r="I1408" i="1"/>
  <c r="I1414" i="1"/>
  <c r="I1420" i="1"/>
  <c r="I1426" i="1"/>
  <c r="I1432" i="1"/>
  <c r="I1438" i="1"/>
  <c r="I1444" i="1"/>
  <c r="I1450" i="1"/>
  <c r="M1474" i="1"/>
  <c r="M1630" i="1"/>
  <c r="L1693" i="1"/>
  <c r="L1754" i="1"/>
  <c r="M1815" i="1"/>
  <c r="L1872" i="1"/>
  <c r="M1919" i="1"/>
  <c r="L1963" i="1"/>
  <c r="J205" i="1"/>
  <c r="J241" i="1"/>
  <c r="J277" i="1"/>
  <c r="J313" i="1"/>
  <c r="J349" i="1"/>
  <c r="J385" i="1"/>
  <c r="J403" i="1"/>
  <c r="I414" i="1"/>
  <c r="I425" i="1"/>
  <c r="I436" i="1"/>
  <c r="I445" i="1"/>
  <c r="J455" i="1"/>
  <c r="J466" i="1"/>
  <c r="J475" i="1"/>
  <c r="I486" i="1"/>
  <c r="I497" i="1"/>
  <c r="I508" i="1"/>
  <c r="I517" i="1"/>
  <c r="I527" i="1"/>
  <c r="J535" i="1"/>
  <c r="I544" i="1"/>
  <c r="J551" i="1"/>
  <c r="J559" i="1"/>
  <c r="J567" i="1"/>
  <c r="J574" i="1"/>
  <c r="J581" i="1"/>
  <c r="J588" i="1"/>
  <c r="J595" i="1"/>
  <c r="J603" i="1"/>
  <c r="J610" i="1"/>
  <c r="J617" i="1"/>
  <c r="J624" i="1"/>
  <c r="J631" i="1"/>
  <c r="J639" i="1"/>
  <c r="J646" i="1"/>
  <c r="J653" i="1"/>
  <c r="J660" i="1"/>
  <c r="J667" i="1"/>
  <c r="J675" i="1"/>
  <c r="J682" i="1"/>
  <c r="J689" i="1"/>
  <c r="J696" i="1"/>
  <c r="J703" i="1"/>
  <c r="J711" i="1"/>
  <c r="J718" i="1"/>
  <c r="J725" i="1"/>
  <c r="J732" i="1"/>
  <c r="J739" i="1"/>
  <c r="J747" i="1"/>
  <c r="J754" i="1"/>
  <c r="J761" i="1"/>
  <c r="J768" i="1"/>
  <c r="J775" i="1"/>
  <c r="J783" i="1"/>
  <c r="J790" i="1"/>
  <c r="J797" i="1"/>
  <c r="J804" i="1"/>
  <c r="J811" i="1"/>
  <c r="J819" i="1"/>
  <c r="J826" i="1"/>
  <c r="J833" i="1"/>
  <c r="J840" i="1"/>
  <c r="J847" i="1"/>
  <c r="J855" i="1"/>
  <c r="J862" i="1"/>
  <c r="J869" i="1"/>
  <c r="J876" i="1"/>
  <c r="J883" i="1"/>
  <c r="J891" i="1"/>
  <c r="J898" i="1"/>
  <c r="J904" i="1"/>
  <c r="J910" i="1"/>
  <c r="J916" i="1"/>
  <c r="J922" i="1"/>
  <c r="J928" i="1"/>
  <c r="J934" i="1"/>
  <c r="J940" i="1"/>
  <c r="J946" i="1"/>
  <c r="J952" i="1"/>
  <c r="J958" i="1"/>
  <c r="J964" i="1"/>
  <c r="J970" i="1"/>
  <c r="J976" i="1"/>
  <c r="J982" i="1"/>
  <c r="J988" i="1"/>
  <c r="J994" i="1"/>
  <c r="J1000" i="1"/>
  <c r="J1006" i="1"/>
  <c r="J1012" i="1"/>
  <c r="J1018" i="1"/>
  <c r="J1024" i="1"/>
  <c r="J1030" i="1"/>
  <c r="J1036" i="1"/>
  <c r="J1042" i="1"/>
  <c r="J1048" i="1"/>
  <c r="J1054" i="1"/>
  <c r="J1060" i="1"/>
  <c r="J1066" i="1"/>
  <c r="J1072" i="1"/>
  <c r="J1078" i="1"/>
  <c r="J1084" i="1"/>
  <c r="J1090" i="1"/>
  <c r="J1096" i="1"/>
  <c r="J1102" i="1"/>
  <c r="J1108" i="1"/>
  <c r="J1114" i="1"/>
  <c r="J1120" i="1"/>
  <c r="J1126" i="1"/>
  <c r="J1132" i="1"/>
  <c r="J1138" i="1"/>
  <c r="J1144" i="1"/>
  <c r="J1150" i="1"/>
  <c r="J1156" i="1"/>
  <c r="J1162" i="1"/>
  <c r="J1168" i="1"/>
  <c r="J1174" i="1"/>
  <c r="J1180" i="1"/>
  <c r="J1186" i="1"/>
  <c r="J1192" i="1"/>
  <c r="J1198" i="1"/>
  <c r="J1204" i="1"/>
  <c r="J1210" i="1"/>
  <c r="J1216" i="1"/>
  <c r="J1222" i="1"/>
  <c r="J1228" i="1"/>
  <c r="J1234" i="1"/>
  <c r="J1240" i="1"/>
  <c r="J1246" i="1"/>
  <c r="J1252" i="1"/>
  <c r="J1258" i="1"/>
  <c r="J1264" i="1"/>
  <c r="J1270" i="1"/>
  <c r="J1276" i="1"/>
  <c r="J1282" i="1"/>
  <c r="J1288" i="1"/>
  <c r="J1294" i="1"/>
  <c r="J1300" i="1"/>
  <c r="J1306" i="1"/>
  <c r="J1312" i="1"/>
  <c r="J1318" i="1"/>
  <c r="J1324" i="1"/>
  <c r="J1330" i="1"/>
  <c r="J1336" i="1"/>
  <c r="J1342" i="1"/>
  <c r="J1348" i="1"/>
  <c r="J1354" i="1"/>
  <c r="J1360" i="1"/>
  <c r="J1366" i="1"/>
  <c r="J1372" i="1"/>
  <c r="J1378" i="1"/>
  <c r="J1384" i="1"/>
  <c r="J1390" i="1"/>
  <c r="J1396" i="1"/>
  <c r="J1402" i="1"/>
  <c r="J1408" i="1"/>
  <c r="J1414" i="1"/>
  <c r="J1420" i="1"/>
  <c r="J1426" i="1"/>
  <c r="J1432" i="1"/>
  <c r="J1438" i="1"/>
  <c r="J1444" i="1"/>
  <c r="J1450" i="1"/>
  <c r="M1402" i="1"/>
  <c r="J343" i="1"/>
  <c r="I505" i="1"/>
  <c r="J601" i="1"/>
  <c r="J673" i="1"/>
  <c r="J717" i="1"/>
  <c r="J760" i="1"/>
  <c r="J803" i="1"/>
  <c r="J846" i="1"/>
  <c r="I889" i="1"/>
  <c r="I909" i="1"/>
  <c r="I925" i="1"/>
  <c r="I937" i="1"/>
  <c r="J945" i="1"/>
  <c r="J956" i="1"/>
  <c r="J967" i="1"/>
  <c r="J978" i="1"/>
  <c r="I987" i="1"/>
  <c r="I998" i="1"/>
  <c r="I1009" i="1"/>
  <c r="J1017" i="1"/>
  <c r="J1028" i="1"/>
  <c r="I1039" i="1"/>
  <c r="I1047" i="1"/>
  <c r="I1057" i="1"/>
  <c r="J1064" i="1"/>
  <c r="I1073" i="1"/>
  <c r="I1081" i="1"/>
  <c r="J1088" i="1"/>
  <c r="I1097" i="1"/>
  <c r="I1105" i="1"/>
  <c r="J1112" i="1"/>
  <c r="I1121" i="1"/>
  <c r="I1129" i="1"/>
  <c r="J1136" i="1"/>
  <c r="I1145" i="1"/>
  <c r="I1153" i="1"/>
  <c r="J1160" i="1"/>
  <c r="I1169" i="1"/>
  <c r="I1177" i="1"/>
  <c r="J1184" i="1"/>
  <c r="I1193" i="1"/>
  <c r="I1201" i="1"/>
  <c r="J1208" i="1"/>
  <c r="I1217" i="1"/>
  <c r="I1225" i="1"/>
  <c r="J1232" i="1"/>
  <c r="I1241" i="1"/>
  <c r="I1249" i="1"/>
  <c r="J1256" i="1"/>
  <c r="I1265" i="1"/>
  <c r="I1273" i="1"/>
  <c r="J1280" i="1"/>
  <c r="I1289" i="1"/>
  <c r="I1297" i="1"/>
  <c r="J1304" i="1"/>
  <c r="I1313" i="1"/>
  <c r="I1321" i="1"/>
  <c r="J1328" i="1"/>
  <c r="I1337" i="1"/>
  <c r="I1345" i="1"/>
  <c r="J1352" i="1"/>
  <c r="I1361" i="1"/>
  <c r="I1369" i="1"/>
  <c r="J1376" i="1"/>
  <c r="I1385" i="1"/>
  <c r="I1393" i="1"/>
  <c r="J1400" i="1"/>
  <c r="I1409" i="1"/>
  <c r="I1417" i="1"/>
  <c r="J1424" i="1"/>
  <c r="I1433" i="1"/>
  <c r="I1441" i="1"/>
  <c r="J1448" i="1"/>
  <c r="I1456" i="1"/>
  <c r="J1462" i="1"/>
  <c r="I1469" i="1"/>
  <c r="J1475" i="1"/>
  <c r="J1481" i="1"/>
  <c r="J1487" i="1"/>
  <c r="J1493" i="1"/>
  <c r="J1499" i="1"/>
  <c r="J1505" i="1"/>
  <c r="J1511" i="1"/>
  <c r="J1517" i="1"/>
  <c r="J1523" i="1"/>
  <c r="J1529" i="1"/>
  <c r="J1535" i="1"/>
  <c r="J1541" i="1"/>
  <c r="J1547" i="1"/>
  <c r="J1553" i="1"/>
  <c r="J1559" i="1"/>
  <c r="J1565" i="1"/>
  <c r="J1571" i="1"/>
  <c r="J1577" i="1"/>
  <c r="J1583" i="1"/>
  <c r="J1589" i="1"/>
  <c r="J1595" i="1"/>
  <c r="J1601" i="1"/>
  <c r="J1607" i="1"/>
  <c r="J1613" i="1"/>
  <c r="J1619" i="1"/>
  <c r="J1625" i="1"/>
  <c r="J1631" i="1"/>
  <c r="J1637" i="1"/>
  <c r="J1643" i="1"/>
  <c r="J1649" i="1"/>
  <c r="J1655" i="1"/>
  <c r="J1661" i="1"/>
  <c r="J1667" i="1"/>
  <c r="J1673" i="1"/>
  <c r="J1679" i="1"/>
  <c r="J1685" i="1"/>
  <c r="J1691" i="1"/>
  <c r="J1697" i="1"/>
  <c r="J1703" i="1"/>
  <c r="J1709" i="1"/>
  <c r="J1715" i="1"/>
  <c r="J1721" i="1"/>
  <c r="J1727" i="1"/>
  <c r="J1733" i="1"/>
  <c r="J1739" i="1"/>
  <c r="J1745" i="1"/>
  <c r="J1751" i="1"/>
  <c r="J1757" i="1"/>
  <c r="J1763" i="1"/>
  <c r="J1769" i="1"/>
  <c r="J1775" i="1"/>
  <c r="J1781" i="1"/>
  <c r="J1787" i="1"/>
  <c r="J1793" i="1"/>
  <c r="J1799" i="1"/>
  <c r="J1805" i="1"/>
  <c r="J1811" i="1"/>
  <c r="J1817" i="1"/>
  <c r="J1823" i="1"/>
  <c r="J1829" i="1"/>
  <c r="J1835" i="1"/>
  <c r="J1841" i="1"/>
  <c r="J1847" i="1"/>
  <c r="J1853" i="1"/>
  <c r="J1859" i="1"/>
  <c r="J1865" i="1"/>
  <c r="J1871" i="1"/>
  <c r="J1877" i="1"/>
  <c r="J1883" i="1"/>
  <c r="J1889" i="1"/>
  <c r="J1895" i="1"/>
  <c r="J1901" i="1"/>
  <c r="L1621" i="1"/>
  <c r="J379" i="1"/>
  <c r="J515" i="1"/>
  <c r="J609" i="1"/>
  <c r="I680" i="1"/>
  <c r="I724" i="1"/>
  <c r="I767" i="1"/>
  <c r="I810" i="1"/>
  <c r="I853" i="1"/>
  <c r="J889" i="1"/>
  <c r="J909" i="1"/>
  <c r="J925" i="1"/>
  <c r="J937" i="1"/>
  <c r="J948" i="1"/>
  <c r="I957" i="1"/>
  <c r="I968" i="1"/>
  <c r="I979" i="1"/>
  <c r="J987" i="1"/>
  <c r="J998" i="1"/>
  <c r="J1009" i="1"/>
  <c r="J1020" i="1"/>
  <c r="I1029" i="1"/>
  <c r="J1039" i="1"/>
  <c r="J1047" i="1"/>
  <c r="J1057" i="1"/>
  <c r="I1065" i="1"/>
  <c r="J1073" i="1"/>
  <c r="J1081" i="1"/>
  <c r="I1089" i="1"/>
  <c r="J1097" i="1"/>
  <c r="J1105" i="1"/>
  <c r="I1113" i="1"/>
  <c r="J1121" i="1"/>
  <c r="J1129" i="1"/>
  <c r="I1137" i="1"/>
  <c r="J1145" i="1"/>
  <c r="J1153" i="1"/>
  <c r="I1161" i="1"/>
  <c r="J1169" i="1"/>
  <c r="J1177" i="1"/>
  <c r="I1185" i="1"/>
  <c r="J1193" i="1"/>
  <c r="J1201" i="1"/>
  <c r="I1209" i="1"/>
  <c r="J1217" i="1"/>
  <c r="J1225" i="1"/>
  <c r="I1233" i="1"/>
  <c r="J1241" i="1"/>
  <c r="J1249" i="1"/>
  <c r="I1257" i="1"/>
  <c r="J1265" i="1"/>
  <c r="J1273" i="1"/>
  <c r="I1281" i="1"/>
  <c r="J1289" i="1"/>
  <c r="J1297" i="1"/>
  <c r="I1305" i="1"/>
  <c r="J1313" i="1"/>
  <c r="J1321" i="1"/>
  <c r="I1329" i="1"/>
  <c r="J1337" i="1"/>
  <c r="J1345" i="1"/>
  <c r="I1353" i="1"/>
  <c r="J1361" i="1"/>
  <c r="J1369" i="1"/>
  <c r="I1377" i="1"/>
  <c r="J1385" i="1"/>
  <c r="J1393" i="1"/>
  <c r="I1401" i="1"/>
  <c r="J1409" i="1"/>
  <c r="J1417" i="1"/>
  <c r="I1425" i="1"/>
  <c r="J1433" i="1"/>
  <c r="J1441" i="1"/>
  <c r="I1449" i="1"/>
  <c r="J1456" i="1"/>
  <c r="I1463" i="1"/>
  <c r="J1469" i="1"/>
  <c r="I1476" i="1"/>
  <c r="I1482" i="1"/>
  <c r="I1488" i="1"/>
  <c r="I1494" i="1"/>
  <c r="I1500" i="1"/>
  <c r="I1506" i="1"/>
  <c r="I1512" i="1"/>
  <c r="I1518" i="1"/>
  <c r="I1524" i="1"/>
  <c r="I1530" i="1"/>
  <c r="I1536" i="1"/>
  <c r="I1542" i="1"/>
  <c r="I1548" i="1"/>
  <c r="I1554" i="1"/>
  <c r="I1560" i="1"/>
  <c r="I1566" i="1"/>
  <c r="I1572" i="1"/>
  <c r="I1578" i="1"/>
  <c r="I1584" i="1"/>
  <c r="I1590" i="1"/>
  <c r="I1596" i="1"/>
  <c r="I1602" i="1"/>
  <c r="I1608" i="1"/>
  <c r="I1614" i="1"/>
  <c r="I1620" i="1"/>
  <c r="I1626" i="1"/>
  <c r="I1632" i="1"/>
  <c r="I1638" i="1"/>
  <c r="I1644" i="1"/>
  <c r="I1650" i="1"/>
  <c r="I1656" i="1"/>
  <c r="I1662" i="1"/>
  <c r="I1668" i="1"/>
  <c r="I1674" i="1"/>
  <c r="I1680" i="1"/>
  <c r="I1686" i="1"/>
  <c r="I1692" i="1"/>
  <c r="I1698" i="1"/>
  <c r="I1704" i="1"/>
  <c r="I1710" i="1"/>
  <c r="I1716" i="1"/>
  <c r="I1722" i="1"/>
  <c r="I1728" i="1"/>
  <c r="I1734" i="1"/>
  <c r="I1740" i="1"/>
  <c r="I1746" i="1"/>
  <c r="I1752" i="1"/>
  <c r="I1758" i="1"/>
  <c r="I1764" i="1"/>
  <c r="I1770" i="1"/>
  <c r="I1776" i="1"/>
  <c r="I1782" i="1"/>
  <c r="I1788" i="1"/>
  <c r="I1794" i="1"/>
  <c r="I1800" i="1"/>
  <c r="I1806" i="1"/>
  <c r="I1812" i="1"/>
  <c r="I1818" i="1"/>
  <c r="I1824" i="1"/>
  <c r="I1830" i="1"/>
  <c r="I1836" i="1"/>
  <c r="I1842" i="1"/>
  <c r="I1848" i="1"/>
  <c r="I1854" i="1"/>
  <c r="I1860" i="1"/>
  <c r="I1866" i="1"/>
  <c r="I1872" i="1"/>
  <c r="I1878" i="1"/>
  <c r="I1884" i="1"/>
  <c r="I1890" i="1"/>
  <c r="I1896" i="1"/>
  <c r="I1902" i="1"/>
  <c r="I1908" i="1"/>
  <c r="I1914" i="1"/>
  <c r="I1920" i="1"/>
  <c r="I1926" i="1"/>
  <c r="I1932" i="1"/>
  <c r="I1938" i="1"/>
  <c r="I1944" i="1"/>
  <c r="I1950" i="1"/>
  <c r="I1956" i="1"/>
  <c r="I1962" i="1"/>
  <c r="I1968" i="1"/>
  <c r="I1974" i="1"/>
  <c r="I1980" i="1"/>
  <c r="I1986" i="1"/>
  <c r="I1992" i="1"/>
  <c r="I1998" i="1"/>
  <c r="I198" i="1"/>
  <c r="F199" i="1"/>
  <c r="F205" i="1"/>
  <c r="F211" i="1"/>
  <c r="F217" i="1"/>
  <c r="L1682" i="1"/>
  <c r="I402" i="1"/>
  <c r="I526" i="1"/>
  <c r="J616" i="1"/>
  <c r="J681" i="1"/>
  <c r="J724" i="1"/>
  <c r="J767" i="1"/>
  <c r="J810" i="1"/>
  <c r="J853" i="1"/>
  <c r="J894" i="1"/>
  <c r="I913" i="1"/>
  <c r="I926" i="1"/>
  <c r="I938" i="1"/>
  <c r="I949" i="1"/>
  <c r="J957" i="1"/>
  <c r="J968" i="1"/>
  <c r="J979" i="1"/>
  <c r="J990" i="1"/>
  <c r="I999" i="1"/>
  <c r="I1010" i="1"/>
  <c r="I1021" i="1"/>
  <c r="J1029" i="1"/>
  <c r="I1040" i="1"/>
  <c r="J1049" i="1"/>
  <c r="I1058" i="1"/>
  <c r="J1065" i="1"/>
  <c r="J1074" i="1"/>
  <c r="I1082" i="1"/>
  <c r="J1089" i="1"/>
  <c r="J1098" i="1"/>
  <c r="I1106" i="1"/>
  <c r="J1113" i="1"/>
  <c r="J1122" i="1"/>
  <c r="I1130" i="1"/>
  <c r="J1137" i="1"/>
  <c r="J1146" i="1"/>
  <c r="I1154" i="1"/>
  <c r="J1161" i="1"/>
  <c r="J1170" i="1"/>
  <c r="I1178" i="1"/>
  <c r="J1185" i="1"/>
  <c r="J1194" i="1"/>
  <c r="I1202" i="1"/>
  <c r="J1209" i="1"/>
  <c r="J1218" i="1"/>
  <c r="I1226" i="1"/>
  <c r="J1233" i="1"/>
  <c r="J1242" i="1"/>
  <c r="I1250" i="1"/>
  <c r="J1257" i="1"/>
  <c r="J1266" i="1"/>
  <c r="I1274" i="1"/>
  <c r="J1281" i="1"/>
  <c r="J1290" i="1"/>
  <c r="I1298" i="1"/>
  <c r="J1305" i="1"/>
  <c r="J1314" i="1"/>
  <c r="I1322" i="1"/>
  <c r="J1329" i="1"/>
  <c r="J1338" i="1"/>
  <c r="I1346" i="1"/>
  <c r="J1353" i="1"/>
  <c r="J1362" i="1"/>
  <c r="I1370" i="1"/>
  <c r="J1377" i="1"/>
  <c r="J1386" i="1"/>
  <c r="I1394" i="1"/>
  <c r="J1401" i="1"/>
  <c r="J1410" i="1"/>
  <c r="I1418" i="1"/>
  <c r="J1425" i="1"/>
  <c r="J1434" i="1"/>
  <c r="I1442" i="1"/>
  <c r="J1449" i="1"/>
  <c r="I1457" i="1"/>
  <c r="J1463" i="1"/>
  <c r="J1470" i="1"/>
  <c r="J1476" i="1"/>
  <c r="J1482" i="1"/>
  <c r="J1488" i="1"/>
  <c r="J1494" i="1"/>
  <c r="J1500" i="1"/>
  <c r="J1506" i="1"/>
  <c r="J1512" i="1"/>
  <c r="J1518" i="1"/>
  <c r="J1524" i="1"/>
  <c r="J1530" i="1"/>
  <c r="J1536" i="1"/>
  <c r="J1542" i="1"/>
  <c r="J1548" i="1"/>
  <c r="J1554" i="1"/>
  <c r="J1560" i="1"/>
  <c r="J1566" i="1"/>
  <c r="J1572" i="1"/>
  <c r="J1578" i="1"/>
  <c r="J1584" i="1"/>
  <c r="J1590" i="1"/>
  <c r="J1596" i="1"/>
  <c r="J1602" i="1"/>
  <c r="J1608" i="1"/>
  <c r="J1614" i="1"/>
  <c r="J1620" i="1"/>
  <c r="J1626" i="1"/>
  <c r="J1632" i="1"/>
  <c r="J1638" i="1"/>
  <c r="J1644" i="1"/>
  <c r="J1650" i="1"/>
  <c r="J1656" i="1"/>
  <c r="J1662" i="1"/>
  <c r="J1668" i="1"/>
  <c r="J1674" i="1"/>
  <c r="J1680" i="1"/>
  <c r="J1686" i="1"/>
  <c r="J1692" i="1"/>
  <c r="J1698" i="1"/>
  <c r="J1704" i="1"/>
  <c r="J1710" i="1"/>
  <c r="J1716" i="1"/>
  <c r="J1722" i="1"/>
  <c r="J1728" i="1"/>
  <c r="J1734" i="1"/>
  <c r="J1740" i="1"/>
  <c r="J1746" i="1"/>
  <c r="J1752" i="1"/>
  <c r="J1758" i="1"/>
  <c r="J1764" i="1"/>
  <c r="J1770" i="1"/>
  <c r="J1776" i="1"/>
  <c r="J1782" i="1"/>
  <c r="J1788" i="1"/>
  <c r="J1794" i="1"/>
  <c r="J1800" i="1"/>
  <c r="J1806" i="1"/>
  <c r="J1812" i="1"/>
  <c r="J1818" i="1"/>
  <c r="J1824" i="1"/>
  <c r="J1830" i="1"/>
  <c r="J1836" i="1"/>
  <c r="J1842" i="1"/>
  <c r="J1848" i="1"/>
  <c r="J1854" i="1"/>
  <c r="J1860" i="1"/>
  <c r="J1866" i="1"/>
  <c r="J1872" i="1"/>
  <c r="J1878" i="1"/>
  <c r="J1884" i="1"/>
  <c r="J1890" i="1"/>
  <c r="J1896" i="1"/>
  <c r="J1902" i="1"/>
  <c r="J1908" i="1"/>
  <c r="J1914" i="1"/>
  <c r="J1920" i="1"/>
  <c r="J1926" i="1"/>
  <c r="J1932" i="1"/>
  <c r="J1938" i="1"/>
  <c r="J1944" i="1"/>
  <c r="J1950" i="1"/>
  <c r="J1956" i="1"/>
  <c r="J1962" i="1"/>
  <c r="J1968" i="1"/>
  <c r="J1974" i="1"/>
  <c r="J1980" i="1"/>
  <c r="J1986" i="1"/>
  <c r="J1992" i="1"/>
  <c r="J1998" i="1"/>
  <c r="J198" i="1"/>
  <c r="G199" i="1"/>
  <c r="G205" i="1"/>
  <c r="G211" i="1"/>
  <c r="M1743" i="1"/>
  <c r="I413" i="1"/>
  <c r="I534" i="1"/>
  <c r="J623" i="1"/>
  <c r="I688" i="1"/>
  <c r="I731" i="1"/>
  <c r="I774" i="1"/>
  <c r="I817" i="1"/>
  <c r="I860" i="1"/>
  <c r="I895" i="1"/>
  <c r="J913" i="1"/>
  <c r="I927" i="1"/>
  <c r="J938" i="1"/>
  <c r="J949" i="1"/>
  <c r="J960" i="1"/>
  <c r="I969" i="1"/>
  <c r="I980" i="1"/>
  <c r="I991" i="1"/>
  <c r="J999" i="1"/>
  <c r="J1010" i="1"/>
  <c r="J1021" i="1"/>
  <c r="J1032" i="1"/>
  <c r="J1040" i="1"/>
  <c r="J1050" i="1"/>
  <c r="J1058" i="1"/>
  <c r="I1067" i="1"/>
  <c r="I1075" i="1"/>
  <c r="J1082" i="1"/>
  <c r="I1091" i="1"/>
  <c r="I1099" i="1"/>
  <c r="J1106" i="1"/>
  <c r="I1115" i="1"/>
  <c r="I1123" i="1"/>
  <c r="J1130" i="1"/>
  <c r="I1139" i="1"/>
  <c r="I1147" i="1"/>
  <c r="J1154" i="1"/>
  <c r="I1163" i="1"/>
  <c r="I1171" i="1"/>
  <c r="J1178" i="1"/>
  <c r="I1187" i="1"/>
  <c r="I1195" i="1"/>
  <c r="J1202" i="1"/>
  <c r="I1211" i="1"/>
  <c r="I1219" i="1"/>
  <c r="J1226" i="1"/>
  <c r="I1235" i="1"/>
  <c r="I1243" i="1"/>
  <c r="J1250" i="1"/>
  <c r="I1259" i="1"/>
  <c r="I1267" i="1"/>
  <c r="J1274" i="1"/>
  <c r="I1283" i="1"/>
  <c r="I1291" i="1"/>
  <c r="J1298" i="1"/>
  <c r="I1307" i="1"/>
  <c r="I1315" i="1"/>
  <c r="J1322" i="1"/>
  <c r="I1331" i="1"/>
  <c r="I1339" i="1"/>
  <c r="J1346" i="1"/>
  <c r="I1355" i="1"/>
  <c r="I1363" i="1"/>
  <c r="J1370" i="1"/>
  <c r="I1379" i="1"/>
  <c r="I1387" i="1"/>
  <c r="J1394" i="1"/>
  <c r="I1403" i="1"/>
  <c r="I1411" i="1"/>
  <c r="J1418" i="1"/>
  <c r="I1427" i="1"/>
  <c r="I1435" i="1"/>
  <c r="J1442" i="1"/>
  <c r="I1451" i="1"/>
  <c r="J1457" i="1"/>
  <c r="J1464" i="1"/>
  <c r="I1471" i="1"/>
  <c r="I1477" i="1"/>
  <c r="I1483" i="1"/>
  <c r="I1489" i="1"/>
  <c r="I1495" i="1"/>
  <c r="I1501" i="1"/>
  <c r="I1507" i="1"/>
  <c r="I1513" i="1"/>
  <c r="I1519" i="1"/>
  <c r="I1525" i="1"/>
  <c r="I1531" i="1"/>
  <c r="I1537" i="1"/>
  <c r="I1543" i="1"/>
  <c r="I1549" i="1"/>
  <c r="I1555" i="1"/>
  <c r="I1561" i="1"/>
  <c r="I1567" i="1"/>
  <c r="I1573" i="1"/>
  <c r="I1579" i="1"/>
  <c r="I1585" i="1"/>
  <c r="I1591" i="1"/>
  <c r="I1597" i="1"/>
  <c r="I1603" i="1"/>
  <c r="I1609" i="1"/>
  <c r="I1615" i="1"/>
  <c r="I1621" i="1"/>
  <c r="I1627" i="1"/>
  <c r="I1633" i="1"/>
  <c r="I1639" i="1"/>
  <c r="I1645" i="1"/>
  <c r="I1651" i="1"/>
  <c r="I1657" i="1"/>
  <c r="I1663" i="1"/>
  <c r="I1669" i="1"/>
  <c r="I1675" i="1"/>
  <c r="I1681" i="1"/>
  <c r="I1687" i="1"/>
  <c r="I1693" i="1"/>
  <c r="I1699" i="1"/>
  <c r="I1705" i="1"/>
  <c r="I1711" i="1"/>
  <c r="I1717" i="1"/>
  <c r="I1723" i="1"/>
  <c r="I1729" i="1"/>
  <c r="I1735" i="1"/>
  <c r="I1741" i="1"/>
  <c r="I1747" i="1"/>
  <c r="I1753" i="1"/>
  <c r="I1759" i="1"/>
  <c r="I1765" i="1"/>
  <c r="L1806" i="1"/>
  <c r="I424" i="1"/>
  <c r="I542" i="1"/>
  <c r="J630" i="1"/>
  <c r="J688" i="1"/>
  <c r="J731" i="1"/>
  <c r="J774" i="1"/>
  <c r="J817" i="1"/>
  <c r="J861" i="1"/>
  <c r="I896" i="1"/>
  <c r="I914" i="1"/>
  <c r="J927" i="1"/>
  <c r="I939" i="1"/>
  <c r="I950" i="1"/>
  <c r="I961" i="1"/>
  <c r="J969" i="1"/>
  <c r="J980" i="1"/>
  <c r="J991" i="1"/>
  <c r="J1002" i="1"/>
  <c r="I1011" i="1"/>
  <c r="I1022" i="1"/>
  <c r="I1033" i="1"/>
  <c r="I1041" i="1"/>
  <c r="I1051" i="1"/>
  <c r="I1059" i="1"/>
  <c r="J1067" i="1"/>
  <c r="J1075" i="1"/>
  <c r="I1083" i="1"/>
  <c r="J1091" i="1"/>
  <c r="J1099" i="1"/>
  <c r="I1107" i="1"/>
  <c r="J1115" i="1"/>
  <c r="J1123" i="1"/>
  <c r="I1131" i="1"/>
  <c r="J1139" i="1"/>
  <c r="J1147" i="1"/>
  <c r="I1155" i="1"/>
  <c r="J1163" i="1"/>
  <c r="J1171" i="1"/>
  <c r="I1179" i="1"/>
  <c r="J1187" i="1"/>
  <c r="J1195" i="1"/>
  <c r="I1203" i="1"/>
  <c r="J1211" i="1"/>
  <c r="J1219" i="1"/>
  <c r="I1227" i="1"/>
  <c r="J1235" i="1"/>
  <c r="J1243" i="1"/>
  <c r="I1251" i="1"/>
  <c r="J1259" i="1"/>
  <c r="J1267" i="1"/>
  <c r="I1275" i="1"/>
  <c r="J1283" i="1"/>
  <c r="J1291" i="1"/>
  <c r="I1299" i="1"/>
  <c r="J1307" i="1"/>
  <c r="J1315" i="1"/>
  <c r="I1323" i="1"/>
  <c r="J1331" i="1"/>
  <c r="J1339" i="1"/>
  <c r="I1347" i="1"/>
  <c r="J1355" i="1"/>
  <c r="J1363" i="1"/>
  <c r="I1371" i="1"/>
  <c r="J1379" i="1"/>
  <c r="J1387" i="1"/>
  <c r="I1395" i="1"/>
  <c r="J1403" i="1"/>
  <c r="J1411" i="1"/>
  <c r="I1419" i="1"/>
  <c r="J1427" i="1"/>
  <c r="J1435" i="1"/>
  <c r="I1443" i="1"/>
  <c r="J1451" i="1"/>
  <c r="J1458" i="1"/>
  <c r="I1465" i="1"/>
  <c r="J1471" i="1"/>
  <c r="J1477" i="1"/>
  <c r="J1483" i="1"/>
  <c r="J1489" i="1"/>
  <c r="J1495" i="1"/>
  <c r="J1501" i="1"/>
  <c r="J1507" i="1"/>
  <c r="J1513" i="1"/>
  <c r="J1519" i="1"/>
  <c r="J1525" i="1"/>
  <c r="J1531" i="1"/>
  <c r="J1537" i="1"/>
  <c r="J1543" i="1"/>
  <c r="J1549" i="1"/>
  <c r="J1555" i="1"/>
  <c r="J1561" i="1"/>
  <c r="J1567" i="1"/>
  <c r="J1573" i="1"/>
  <c r="J1579" i="1"/>
  <c r="J1585" i="1"/>
  <c r="J1591" i="1"/>
  <c r="J1597" i="1"/>
  <c r="J1603" i="1"/>
  <c r="J1609" i="1"/>
  <c r="J1615" i="1"/>
  <c r="J1621" i="1"/>
  <c r="J1627" i="1"/>
  <c r="J1633" i="1"/>
  <c r="J1639" i="1"/>
  <c r="J1645" i="1"/>
  <c r="J1651" i="1"/>
  <c r="J1657" i="1"/>
  <c r="J1663" i="1"/>
  <c r="J1669" i="1"/>
  <c r="J1675" i="1"/>
  <c r="J1681" i="1"/>
  <c r="J1687" i="1"/>
  <c r="J1693" i="1"/>
  <c r="J1699" i="1"/>
  <c r="J1705" i="1"/>
  <c r="J1711" i="1"/>
  <c r="J1717" i="1"/>
  <c r="J1723" i="1"/>
  <c r="J1729" i="1"/>
  <c r="J1735" i="1"/>
  <c r="J1741" i="1"/>
  <c r="J1747" i="1"/>
  <c r="J1753" i="1"/>
  <c r="J1759" i="1"/>
  <c r="J1765" i="1"/>
  <c r="J1771" i="1"/>
  <c r="J1777" i="1"/>
  <c r="J1783" i="1"/>
  <c r="J1789" i="1"/>
  <c r="J1795" i="1"/>
  <c r="J1801" i="1"/>
  <c r="J1807" i="1"/>
  <c r="J1813" i="1"/>
  <c r="J1819" i="1"/>
  <c r="J1825" i="1"/>
  <c r="J1831" i="1"/>
  <c r="J1837" i="1"/>
  <c r="J1843" i="1"/>
  <c r="J1849" i="1"/>
  <c r="J1855" i="1"/>
  <c r="J1861" i="1"/>
  <c r="J1867" i="1"/>
  <c r="J1873" i="1"/>
  <c r="J1879" i="1"/>
  <c r="J1885" i="1"/>
  <c r="J1891" i="1"/>
  <c r="J1897" i="1"/>
  <c r="J1903" i="1"/>
  <c r="J1909" i="1"/>
  <c r="J1915" i="1"/>
  <c r="J1921" i="1"/>
  <c r="M1862" i="1"/>
  <c r="I433" i="1"/>
  <c r="J550" i="1"/>
  <c r="J637" i="1"/>
  <c r="I695" i="1"/>
  <c r="I738" i="1"/>
  <c r="I781" i="1"/>
  <c r="I824" i="1"/>
  <c r="I868" i="1"/>
  <c r="J897" i="1"/>
  <c r="I915" i="1"/>
  <c r="J930" i="1"/>
  <c r="J939" i="1"/>
  <c r="J950" i="1"/>
  <c r="J961" i="1"/>
  <c r="J972" i="1"/>
  <c r="I981" i="1"/>
  <c r="I992" i="1"/>
  <c r="I1003" i="1"/>
  <c r="J1011" i="1"/>
  <c r="J1022" i="1"/>
  <c r="J1033" i="1"/>
  <c r="J1041" i="1"/>
  <c r="J1051" i="1"/>
  <c r="J1059" i="1"/>
  <c r="J1068" i="1"/>
  <c r="I1076" i="1"/>
  <c r="J1083" i="1"/>
  <c r="J1092" i="1"/>
  <c r="I1100" i="1"/>
  <c r="J1107" i="1"/>
  <c r="J1116" i="1"/>
  <c r="I1124" i="1"/>
  <c r="J1131" i="1"/>
  <c r="J1140" i="1"/>
  <c r="I1148" i="1"/>
  <c r="J1155" i="1"/>
  <c r="J1164" i="1"/>
  <c r="I1172" i="1"/>
  <c r="J1179" i="1"/>
  <c r="J1188" i="1"/>
  <c r="I1196" i="1"/>
  <c r="J1203" i="1"/>
  <c r="J1212" i="1"/>
  <c r="I1220" i="1"/>
  <c r="J1227" i="1"/>
  <c r="J1236" i="1"/>
  <c r="I1244" i="1"/>
  <c r="J1251" i="1"/>
  <c r="J1260" i="1"/>
  <c r="I1268" i="1"/>
  <c r="J1275" i="1"/>
  <c r="J1284" i="1"/>
  <c r="I1292" i="1"/>
  <c r="J1299" i="1"/>
  <c r="J1308" i="1"/>
  <c r="I1316" i="1"/>
  <c r="J1323" i="1"/>
  <c r="J1332" i="1"/>
  <c r="I1340" i="1"/>
  <c r="J1347" i="1"/>
  <c r="J1356" i="1"/>
  <c r="I1364" i="1"/>
  <c r="J1371" i="1"/>
  <c r="J1380" i="1"/>
  <c r="I1388" i="1"/>
  <c r="J1395" i="1"/>
  <c r="J1404" i="1"/>
  <c r="I1412" i="1"/>
  <c r="J1419" i="1"/>
  <c r="J1428" i="1"/>
  <c r="I1436" i="1"/>
  <c r="J1443" i="1"/>
  <c r="J1452" i="1"/>
  <c r="I1459" i="1"/>
  <c r="J1465" i="1"/>
  <c r="I1472" i="1"/>
  <c r="I1478" i="1"/>
  <c r="I1484" i="1"/>
  <c r="I1490" i="1"/>
  <c r="I1496" i="1"/>
  <c r="I1502" i="1"/>
  <c r="I1508" i="1"/>
  <c r="I1514" i="1"/>
  <c r="I1520" i="1"/>
  <c r="I1526" i="1"/>
  <c r="I1532" i="1"/>
  <c r="I1538" i="1"/>
  <c r="I1544" i="1"/>
  <c r="I1550" i="1"/>
  <c r="I1556" i="1"/>
  <c r="I1562" i="1"/>
  <c r="I1568" i="1"/>
  <c r="I1574" i="1"/>
  <c r="I1580" i="1"/>
  <c r="I1586" i="1"/>
  <c r="I1592" i="1"/>
  <c r="I1598" i="1"/>
  <c r="I1604" i="1"/>
  <c r="I1610" i="1"/>
  <c r="I1616" i="1"/>
  <c r="I1622" i="1"/>
  <c r="I1628" i="1"/>
  <c r="I1634" i="1"/>
  <c r="I1640" i="1"/>
  <c r="I1646" i="1"/>
  <c r="I1652" i="1"/>
  <c r="I1658" i="1"/>
  <c r="I1664" i="1"/>
  <c r="I1670" i="1"/>
  <c r="I1676" i="1"/>
  <c r="I1682" i="1"/>
  <c r="I1688" i="1"/>
  <c r="I1694" i="1"/>
  <c r="I1700" i="1"/>
  <c r="I1706" i="1"/>
  <c r="I1712" i="1"/>
  <c r="I1718" i="1"/>
  <c r="I1724" i="1"/>
  <c r="I1730" i="1"/>
  <c r="I1736" i="1"/>
  <c r="I1742" i="1"/>
  <c r="I1748" i="1"/>
  <c r="I1754" i="1"/>
  <c r="I1760" i="1"/>
  <c r="I1766" i="1"/>
  <c r="I1772" i="1"/>
  <c r="I1778" i="1"/>
  <c r="I1784" i="1"/>
  <c r="I1790" i="1"/>
  <c r="I1796" i="1"/>
  <c r="I1802" i="1"/>
  <c r="I1808" i="1"/>
  <c r="I1814" i="1"/>
  <c r="I1820" i="1"/>
  <c r="I1826" i="1"/>
  <c r="I1832" i="1"/>
  <c r="I1838" i="1"/>
  <c r="I1844" i="1"/>
  <c r="I1850" i="1"/>
  <c r="I1856" i="1"/>
  <c r="I1862" i="1"/>
  <c r="I1868" i="1"/>
  <c r="M1911" i="1"/>
  <c r="J443" i="1"/>
  <c r="I558" i="1"/>
  <c r="J645" i="1"/>
  <c r="J695" i="1"/>
  <c r="J738" i="1"/>
  <c r="J781" i="1"/>
  <c r="J825" i="1"/>
  <c r="J868" i="1"/>
  <c r="J901" i="1"/>
  <c r="J915" i="1"/>
  <c r="I931" i="1"/>
  <c r="J942" i="1"/>
  <c r="I951" i="1"/>
  <c r="I962" i="1"/>
  <c r="I973" i="1"/>
  <c r="J981" i="1"/>
  <c r="J992" i="1"/>
  <c r="J1003" i="1"/>
  <c r="J1014" i="1"/>
  <c r="I1023" i="1"/>
  <c r="I1034" i="1"/>
  <c r="J1043" i="1"/>
  <c r="I1052" i="1"/>
  <c r="I1061" i="1"/>
  <c r="I1069" i="1"/>
  <c r="J1076" i="1"/>
  <c r="I1085" i="1"/>
  <c r="I1093" i="1"/>
  <c r="J1100" i="1"/>
  <c r="I1109" i="1"/>
  <c r="I1117" i="1"/>
  <c r="J1124" i="1"/>
  <c r="I1133" i="1"/>
  <c r="I1141" i="1"/>
  <c r="J1148" i="1"/>
  <c r="I1157" i="1"/>
  <c r="I1165" i="1"/>
  <c r="J1172" i="1"/>
  <c r="I1181" i="1"/>
  <c r="I1189" i="1"/>
  <c r="J1196" i="1"/>
  <c r="I1205" i="1"/>
  <c r="I1213" i="1"/>
  <c r="J1220" i="1"/>
  <c r="I1229" i="1"/>
  <c r="I1237" i="1"/>
  <c r="J1244" i="1"/>
  <c r="I1253" i="1"/>
  <c r="I1261" i="1"/>
  <c r="J1268" i="1"/>
  <c r="I1277" i="1"/>
  <c r="I1285" i="1"/>
  <c r="J1292" i="1"/>
  <c r="I1301" i="1"/>
  <c r="I1309" i="1"/>
  <c r="J1316" i="1"/>
  <c r="I1325" i="1"/>
  <c r="I1333" i="1"/>
  <c r="J1340" i="1"/>
  <c r="I1349" i="1"/>
  <c r="I1357" i="1"/>
  <c r="J1364" i="1"/>
  <c r="I1373" i="1"/>
  <c r="I1381" i="1"/>
  <c r="J1388" i="1"/>
  <c r="I1397" i="1"/>
  <c r="I1405" i="1"/>
  <c r="J1412" i="1"/>
  <c r="I1421" i="1"/>
  <c r="I1429" i="1"/>
  <c r="J1436" i="1"/>
  <c r="I1445" i="1"/>
  <c r="I1453" i="1"/>
  <c r="J1459" i="1"/>
  <c r="I1466" i="1"/>
  <c r="J1472" i="1"/>
  <c r="J1478" i="1"/>
  <c r="J1484" i="1"/>
  <c r="J1490" i="1"/>
  <c r="J1496" i="1"/>
  <c r="J1502" i="1"/>
  <c r="J1508" i="1"/>
  <c r="J1514" i="1"/>
  <c r="J1520" i="1"/>
  <c r="J1526" i="1"/>
  <c r="J1532" i="1"/>
  <c r="J1538" i="1"/>
  <c r="J1544" i="1"/>
  <c r="J1550" i="1"/>
  <c r="J1556" i="1"/>
  <c r="J1562" i="1"/>
  <c r="J1568" i="1"/>
  <c r="J1574" i="1"/>
  <c r="J1580" i="1"/>
  <c r="J1586" i="1"/>
  <c r="J1592" i="1"/>
  <c r="J1598" i="1"/>
  <c r="J1604" i="1"/>
  <c r="J1610" i="1"/>
  <c r="J1616" i="1"/>
  <c r="J1622" i="1"/>
  <c r="J1628" i="1"/>
  <c r="J1634" i="1"/>
  <c r="M1955" i="1"/>
  <c r="J454" i="1"/>
  <c r="J565" i="1"/>
  <c r="J652" i="1"/>
  <c r="I702" i="1"/>
  <c r="I745" i="1"/>
  <c r="I788" i="1"/>
  <c r="I832" i="1"/>
  <c r="I875" i="1"/>
  <c r="I902" i="1"/>
  <c r="I919" i="1"/>
  <c r="J931" i="1"/>
  <c r="I943" i="1"/>
  <c r="J951" i="1"/>
  <c r="J962" i="1"/>
  <c r="J973" i="1"/>
  <c r="J984" i="1"/>
  <c r="I993" i="1"/>
  <c r="I1004" i="1"/>
  <c r="I1015" i="1"/>
  <c r="J1023" i="1"/>
  <c r="J1034" i="1"/>
  <c r="J1044" i="1"/>
  <c r="J1052" i="1"/>
  <c r="J1061" i="1"/>
  <c r="J1069" i="1"/>
  <c r="I1077" i="1"/>
  <c r="J1085" i="1"/>
  <c r="J1093" i="1"/>
  <c r="I1101" i="1"/>
  <c r="J1109" i="1"/>
  <c r="J1117" i="1"/>
  <c r="I1125" i="1"/>
  <c r="J1133" i="1"/>
  <c r="J1141" i="1"/>
  <c r="I1149" i="1"/>
  <c r="J1157" i="1"/>
  <c r="J1165" i="1"/>
  <c r="I1173" i="1"/>
  <c r="J1181" i="1"/>
  <c r="J1189" i="1"/>
  <c r="I1197" i="1"/>
  <c r="J1205" i="1"/>
  <c r="J1213" i="1"/>
  <c r="I1221" i="1"/>
  <c r="J1229" i="1"/>
  <c r="J1237" i="1"/>
  <c r="I1245" i="1"/>
  <c r="J1253" i="1"/>
  <c r="J1261" i="1"/>
  <c r="I1269" i="1"/>
  <c r="J1277" i="1"/>
  <c r="J1285" i="1"/>
  <c r="I1293" i="1"/>
  <c r="J1301" i="1"/>
  <c r="J1309" i="1"/>
  <c r="I1317" i="1"/>
  <c r="J1325" i="1"/>
  <c r="J1333" i="1"/>
  <c r="I1341" i="1"/>
  <c r="J1349" i="1"/>
  <c r="J1357" i="1"/>
  <c r="I1365" i="1"/>
  <c r="J1373" i="1"/>
  <c r="J1381" i="1"/>
  <c r="I1389" i="1"/>
  <c r="J1397" i="1"/>
  <c r="J1405" i="1"/>
  <c r="I1413" i="1"/>
  <c r="J1421" i="1"/>
  <c r="J1429" i="1"/>
  <c r="I1437" i="1"/>
  <c r="J1445" i="1"/>
  <c r="J1453" i="1"/>
  <c r="I1460" i="1"/>
  <c r="J1466" i="1"/>
  <c r="I1473" i="1"/>
  <c r="I1479" i="1"/>
  <c r="I1485" i="1"/>
  <c r="I1491" i="1"/>
  <c r="I1497" i="1"/>
  <c r="I1503" i="1"/>
  <c r="I1509" i="1"/>
  <c r="I1515" i="1"/>
  <c r="I1521" i="1"/>
  <c r="I1527" i="1"/>
  <c r="I1533" i="1"/>
  <c r="I1539" i="1"/>
  <c r="I1545" i="1"/>
  <c r="I1551" i="1"/>
  <c r="I1557" i="1"/>
  <c r="I1563" i="1"/>
  <c r="I1569" i="1"/>
  <c r="I1575" i="1"/>
  <c r="I1581" i="1"/>
  <c r="I1587" i="1"/>
  <c r="I1593" i="1"/>
  <c r="I1599" i="1"/>
  <c r="I1605" i="1"/>
  <c r="I1611" i="1"/>
  <c r="I1617" i="1"/>
  <c r="I1623" i="1"/>
  <c r="I1629" i="1"/>
  <c r="I1635" i="1"/>
  <c r="I1641" i="1"/>
  <c r="I1647" i="1"/>
  <c r="I1653" i="1"/>
  <c r="I1659" i="1"/>
  <c r="I1665" i="1"/>
  <c r="I1671" i="1"/>
  <c r="I1677" i="1"/>
  <c r="I1683" i="1"/>
  <c r="I1689" i="1"/>
  <c r="I1695" i="1"/>
  <c r="I1701" i="1"/>
  <c r="I1707" i="1"/>
  <c r="L1999" i="1"/>
  <c r="J463" i="1"/>
  <c r="J573" i="1"/>
  <c r="J659" i="1"/>
  <c r="J702" i="1"/>
  <c r="J745" i="1"/>
  <c r="J789" i="1"/>
  <c r="J832" i="1"/>
  <c r="J875" i="1"/>
  <c r="I903" i="1"/>
  <c r="J919" i="1"/>
  <c r="I932" i="1"/>
  <c r="J943" i="1"/>
  <c r="J954" i="1"/>
  <c r="I963" i="1"/>
  <c r="I974" i="1"/>
  <c r="I985" i="1"/>
  <c r="J993" i="1"/>
  <c r="J1004" i="1"/>
  <c r="J1015" i="1"/>
  <c r="J1026" i="1"/>
  <c r="I1035" i="1"/>
  <c r="I1045" i="1"/>
  <c r="I1053" i="1"/>
  <c r="J1062" i="1"/>
  <c r="I1070" i="1"/>
  <c r="J1077" i="1"/>
  <c r="J1086" i="1"/>
  <c r="I1094" i="1"/>
  <c r="J1101" i="1"/>
  <c r="J1110" i="1"/>
  <c r="I1118" i="1"/>
  <c r="J1125" i="1"/>
  <c r="J1134" i="1"/>
  <c r="I1142" i="1"/>
  <c r="J1149" i="1"/>
  <c r="J1158" i="1"/>
  <c r="I1166" i="1"/>
  <c r="J1173" i="1"/>
  <c r="J1182" i="1"/>
  <c r="I1190" i="1"/>
  <c r="J1197" i="1"/>
  <c r="J1206" i="1"/>
  <c r="I1214" i="1"/>
  <c r="J1221" i="1"/>
  <c r="J1230" i="1"/>
  <c r="I1238" i="1"/>
  <c r="J1245" i="1"/>
  <c r="J1254" i="1"/>
  <c r="I1262" i="1"/>
  <c r="J1269" i="1"/>
  <c r="J1278" i="1"/>
  <c r="I1286" i="1"/>
  <c r="J1293" i="1"/>
  <c r="J1302" i="1"/>
  <c r="I1310" i="1"/>
  <c r="J1317" i="1"/>
  <c r="J1326" i="1"/>
  <c r="I1334" i="1"/>
  <c r="J1341" i="1"/>
  <c r="J1350" i="1"/>
  <c r="I1358" i="1"/>
  <c r="J1365" i="1"/>
  <c r="J1374" i="1"/>
  <c r="I1382" i="1"/>
  <c r="J1389" i="1"/>
  <c r="J1398" i="1"/>
  <c r="I1406" i="1"/>
  <c r="J1413" i="1"/>
  <c r="J1422" i="1"/>
  <c r="I1430" i="1"/>
  <c r="J1437" i="1"/>
  <c r="J1446" i="1"/>
  <c r="I1454" i="1"/>
  <c r="J1460" i="1"/>
  <c r="I1467" i="1"/>
  <c r="J1473" i="1"/>
  <c r="J1479" i="1"/>
  <c r="J1485" i="1"/>
  <c r="J1491" i="1"/>
  <c r="J1497" i="1"/>
  <c r="J1503" i="1"/>
  <c r="J1509" i="1"/>
  <c r="J1515" i="1"/>
  <c r="J1521" i="1"/>
  <c r="J1527" i="1"/>
  <c r="J1533" i="1"/>
  <c r="J1539" i="1"/>
  <c r="J1545" i="1"/>
  <c r="J1551" i="1"/>
  <c r="J1557" i="1"/>
  <c r="J1563" i="1"/>
  <c r="J1569" i="1"/>
  <c r="J1575" i="1"/>
  <c r="J1581" i="1"/>
  <c r="J1587" i="1"/>
  <c r="J1593" i="1"/>
  <c r="J1599" i="1"/>
  <c r="J1605" i="1"/>
  <c r="J1611" i="1"/>
  <c r="J1617" i="1"/>
  <c r="J1623" i="1"/>
  <c r="J1629" i="1"/>
  <c r="J1635" i="1"/>
  <c r="J1641" i="1"/>
  <c r="J1647" i="1"/>
  <c r="J1653" i="1"/>
  <c r="J1659" i="1"/>
  <c r="J1665" i="1"/>
  <c r="J1671" i="1"/>
  <c r="J1677" i="1"/>
  <c r="J1683" i="1"/>
  <c r="J1689" i="1"/>
  <c r="J1695" i="1"/>
  <c r="J1701" i="1"/>
  <c r="J1707" i="1"/>
  <c r="J1713" i="1"/>
  <c r="J1719" i="1"/>
  <c r="J1725" i="1"/>
  <c r="J1731" i="1"/>
  <c r="J1737" i="1"/>
  <c r="J1743" i="1"/>
  <c r="J1749" i="1"/>
  <c r="J1755" i="1"/>
  <c r="J1761" i="1"/>
  <c r="J1767" i="1"/>
  <c r="J1773" i="1"/>
  <c r="J235" i="1"/>
  <c r="I474" i="1"/>
  <c r="J580" i="1"/>
  <c r="I666" i="1"/>
  <c r="I709" i="1"/>
  <c r="I752" i="1"/>
  <c r="I796" i="1"/>
  <c r="I839" i="1"/>
  <c r="I882" i="1"/>
  <c r="J903" i="1"/>
  <c r="I920" i="1"/>
  <c r="I933" i="1"/>
  <c r="I944" i="1"/>
  <c r="I955" i="1"/>
  <c r="J963" i="1"/>
  <c r="J974" i="1"/>
  <c r="J985" i="1"/>
  <c r="J996" i="1"/>
  <c r="I1005" i="1"/>
  <c r="I1016" i="1"/>
  <c r="I1027" i="1"/>
  <c r="J1035" i="1"/>
  <c r="J1045" i="1"/>
  <c r="J1053" i="1"/>
  <c r="I1063" i="1"/>
  <c r="J1070" i="1"/>
  <c r="I1079" i="1"/>
  <c r="I1087" i="1"/>
  <c r="J1094" i="1"/>
  <c r="I1103" i="1"/>
  <c r="I1111" i="1"/>
  <c r="J1118" i="1"/>
  <c r="I1127" i="1"/>
  <c r="I1135" i="1"/>
  <c r="J1142" i="1"/>
  <c r="I1151" i="1"/>
  <c r="I1159" i="1"/>
  <c r="J1166" i="1"/>
  <c r="I1175" i="1"/>
  <c r="I1183" i="1"/>
  <c r="J1190" i="1"/>
  <c r="I1199" i="1"/>
  <c r="I1207" i="1"/>
  <c r="J1214" i="1"/>
  <c r="I1223" i="1"/>
  <c r="I1231" i="1"/>
  <c r="J1238" i="1"/>
  <c r="I1247" i="1"/>
  <c r="I1255" i="1"/>
  <c r="J1262" i="1"/>
  <c r="I1271" i="1"/>
  <c r="I1279" i="1"/>
  <c r="J1286" i="1"/>
  <c r="I1295" i="1"/>
  <c r="I1303" i="1"/>
  <c r="J1310" i="1"/>
  <c r="I1319" i="1"/>
  <c r="I1327" i="1"/>
  <c r="J1334" i="1"/>
  <c r="I1343" i="1"/>
  <c r="I1351" i="1"/>
  <c r="J1358" i="1"/>
  <c r="I1367" i="1"/>
  <c r="I1375" i="1"/>
  <c r="J1382" i="1"/>
  <c r="I1391" i="1"/>
  <c r="I1399" i="1"/>
  <c r="J1406" i="1"/>
  <c r="I1415" i="1"/>
  <c r="I1423" i="1"/>
  <c r="J1430" i="1"/>
  <c r="I1439" i="1"/>
  <c r="I1447" i="1"/>
  <c r="J1454" i="1"/>
  <c r="I1461" i="1"/>
  <c r="J1467" i="1"/>
  <c r="I1474" i="1"/>
  <c r="I1480" i="1"/>
  <c r="I1486" i="1"/>
  <c r="I1492" i="1"/>
  <c r="I1498" i="1"/>
  <c r="I1504" i="1"/>
  <c r="I1510" i="1"/>
  <c r="I1516" i="1"/>
  <c r="I1522" i="1"/>
  <c r="I1528" i="1"/>
  <c r="I1534" i="1"/>
  <c r="I1540" i="1"/>
  <c r="I1546" i="1"/>
  <c r="I1552" i="1"/>
  <c r="I1558" i="1"/>
  <c r="I1564" i="1"/>
  <c r="I1570" i="1"/>
  <c r="I1576" i="1"/>
  <c r="I1582" i="1"/>
  <c r="I1588" i="1"/>
  <c r="I1594" i="1"/>
  <c r="I1600" i="1"/>
  <c r="I1606" i="1"/>
  <c r="I1612" i="1"/>
  <c r="I1618" i="1"/>
  <c r="I1624" i="1"/>
  <c r="I1630" i="1"/>
  <c r="I1636" i="1"/>
  <c r="I1642" i="1"/>
  <c r="I1648" i="1"/>
  <c r="I1654" i="1"/>
  <c r="I1660" i="1"/>
  <c r="I1666" i="1"/>
  <c r="I1672" i="1"/>
  <c r="I1678" i="1"/>
  <c r="I1684" i="1"/>
  <c r="I1690" i="1"/>
  <c r="I1696" i="1"/>
  <c r="I1702" i="1"/>
  <c r="I1708" i="1"/>
  <c r="I1714" i="1"/>
  <c r="I1720" i="1"/>
  <c r="I1726" i="1"/>
  <c r="I1732" i="1"/>
  <c r="I1738" i="1"/>
  <c r="I1744" i="1"/>
  <c r="I1750" i="1"/>
  <c r="I1756" i="1"/>
  <c r="I1762" i="1"/>
  <c r="J307" i="1"/>
  <c r="I496" i="1"/>
  <c r="J594" i="1"/>
  <c r="I673" i="1"/>
  <c r="I716" i="1"/>
  <c r="I760" i="1"/>
  <c r="I803" i="1"/>
  <c r="I846" i="1"/>
  <c r="J887" i="1"/>
  <c r="I908" i="1"/>
  <c r="J921" i="1"/>
  <c r="J936" i="1"/>
  <c r="I945" i="1"/>
  <c r="I956" i="1"/>
  <c r="I967" i="1"/>
  <c r="J975" i="1"/>
  <c r="J986" i="1"/>
  <c r="J997" i="1"/>
  <c r="J1008" i="1"/>
  <c r="I1017" i="1"/>
  <c r="I1028" i="1"/>
  <c r="J1038" i="1"/>
  <c r="J1046" i="1"/>
  <c r="J1056" i="1"/>
  <c r="I1064" i="1"/>
  <c r="J1071" i="1"/>
  <c r="J1080" i="1"/>
  <c r="I1088" i="1"/>
  <c r="J1095" i="1"/>
  <c r="J1104" i="1"/>
  <c r="I1112" i="1"/>
  <c r="J1119" i="1"/>
  <c r="J1128" i="1"/>
  <c r="I1136" i="1"/>
  <c r="J1143" i="1"/>
  <c r="J1152" i="1"/>
  <c r="I1160" i="1"/>
  <c r="J1167" i="1"/>
  <c r="J1176" i="1"/>
  <c r="I1184" i="1"/>
  <c r="J1191" i="1"/>
  <c r="J1200" i="1"/>
  <c r="I1208" i="1"/>
  <c r="J1215" i="1"/>
  <c r="J1224" i="1"/>
  <c r="I1232" i="1"/>
  <c r="J1239" i="1"/>
  <c r="J1248" i="1"/>
  <c r="I1256" i="1"/>
  <c r="J1263" i="1"/>
  <c r="J1272" i="1"/>
  <c r="I1280" i="1"/>
  <c r="J1287" i="1"/>
  <c r="J1296" i="1"/>
  <c r="I1304" i="1"/>
  <c r="J1311" i="1"/>
  <c r="J1320" i="1"/>
  <c r="I1328" i="1"/>
  <c r="J1335" i="1"/>
  <c r="J1344" i="1"/>
  <c r="I1352" i="1"/>
  <c r="J1359" i="1"/>
  <c r="J1368" i="1"/>
  <c r="I1376" i="1"/>
  <c r="J1383" i="1"/>
  <c r="J1392" i="1"/>
  <c r="I1400" i="1"/>
  <c r="J1407" i="1"/>
  <c r="J1416" i="1"/>
  <c r="I1424" i="1"/>
  <c r="J1431" i="1"/>
  <c r="J1440" i="1"/>
  <c r="I1448" i="1"/>
  <c r="J1455" i="1"/>
  <c r="I1462" i="1"/>
  <c r="J1468" i="1"/>
  <c r="I1475" i="1"/>
  <c r="I1481" i="1"/>
  <c r="I1487" i="1"/>
  <c r="I1493" i="1"/>
  <c r="I1499" i="1"/>
  <c r="I1505" i="1"/>
  <c r="I1511" i="1"/>
  <c r="I1517" i="1"/>
  <c r="I1523" i="1"/>
  <c r="I1529" i="1"/>
  <c r="I1535" i="1"/>
  <c r="I1541" i="1"/>
  <c r="I1547" i="1"/>
  <c r="I1553" i="1"/>
  <c r="I1559" i="1"/>
  <c r="I1565" i="1"/>
  <c r="I1571" i="1"/>
  <c r="I1577" i="1"/>
  <c r="I1583" i="1"/>
  <c r="I1589" i="1"/>
  <c r="I1595" i="1"/>
  <c r="I1601" i="1"/>
  <c r="I1607" i="1"/>
  <c r="I1613" i="1"/>
  <c r="I1619" i="1"/>
  <c r="I1625" i="1"/>
  <c r="I1631" i="1"/>
  <c r="I1637" i="1"/>
  <c r="I1643" i="1"/>
  <c r="I1649" i="1"/>
  <c r="I1655" i="1"/>
  <c r="I1661" i="1"/>
  <c r="I1667" i="1"/>
  <c r="I1673" i="1"/>
  <c r="I1679" i="1"/>
  <c r="I1685" i="1"/>
  <c r="I1691" i="1"/>
  <c r="I1697" i="1"/>
  <c r="I1703" i="1"/>
  <c r="I1709" i="1"/>
  <c r="I1715" i="1"/>
  <c r="I1721" i="1"/>
  <c r="I1727" i="1"/>
  <c r="I1733" i="1"/>
  <c r="I1739" i="1"/>
  <c r="I1745" i="1"/>
  <c r="I1751" i="1"/>
  <c r="I1757" i="1"/>
  <c r="I1763" i="1"/>
  <c r="I1769" i="1"/>
  <c r="I1775" i="1"/>
  <c r="I1781" i="1"/>
  <c r="I1787" i="1"/>
  <c r="I1793" i="1"/>
  <c r="I1799" i="1"/>
  <c r="I1805" i="1"/>
  <c r="I1811" i="1"/>
  <c r="I1817" i="1"/>
  <c r="I1823" i="1"/>
  <c r="I1829" i="1"/>
  <c r="I1835" i="1"/>
  <c r="I1841" i="1"/>
  <c r="I1847" i="1"/>
  <c r="I1853" i="1"/>
  <c r="I1859" i="1"/>
  <c r="I1865" i="1"/>
  <c r="I1871" i="1"/>
  <c r="I1877" i="1"/>
  <c r="I1883" i="1"/>
  <c r="I1889" i="1"/>
  <c r="I1895" i="1"/>
  <c r="I1901" i="1"/>
  <c r="I1907" i="1"/>
  <c r="I1913" i="1"/>
  <c r="I1919" i="1"/>
  <c r="I1925" i="1"/>
  <c r="I1931" i="1"/>
  <c r="I1937" i="1"/>
  <c r="I1943" i="1"/>
  <c r="I1949" i="1"/>
  <c r="I1955" i="1"/>
  <c r="I1961" i="1"/>
  <c r="I1967" i="1"/>
  <c r="I1973" i="1"/>
  <c r="I1979" i="1"/>
  <c r="I1985" i="1"/>
  <c r="I1991" i="1"/>
  <c r="I1997" i="1"/>
  <c r="I197" i="1"/>
  <c r="F198" i="1"/>
  <c r="F204" i="1"/>
  <c r="F210" i="1"/>
  <c r="J271" i="1"/>
  <c r="J944" i="1"/>
  <c r="J1063" i="1"/>
  <c r="J1159" i="1"/>
  <c r="J1255" i="1"/>
  <c r="J1351" i="1"/>
  <c r="J1447" i="1"/>
  <c r="J1522" i="1"/>
  <c r="J1594" i="1"/>
  <c r="J1652" i="1"/>
  <c r="J1688" i="1"/>
  <c r="I1719" i="1"/>
  <c r="I1743" i="1"/>
  <c r="I1767" i="1"/>
  <c r="I1780" i="1"/>
  <c r="I1792" i="1"/>
  <c r="I1804" i="1"/>
  <c r="I1816" i="1"/>
  <c r="I1828" i="1"/>
  <c r="I1840" i="1"/>
  <c r="I1852" i="1"/>
  <c r="I1864" i="1"/>
  <c r="J1875" i="1"/>
  <c r="J1886" i="1"/>
  <c r="I1897" i="1"/>
  <c r="I1906" i="1"/>
  <c r="I1916" i="1"/>
  <c r="I1924" i="1"/>
  <c r="I1933" i="1"/>
  <c r="J1940" i="1"/>
  <c r="I1948" i="1"/>
  <c r="I1957" i="1"/>
  <c r="J1964" i="1"/>
  <c r="I1972" i="1"/>
  <c r="I1981" i="1"/>
  <c r="J1988" i="1"/>
  <c r="I1996" i="1"/>
  <c r="J200" i="1"/>
  <c r="F197" i="1"/>
  <c r="F206" i="1"/>
  <c r="G213" i="1"/>
  <c r="F220" i="1"/>
  <c r="F226" i="1"/>
  <c r="F232" i="1"/>
  <c r="F238" i="1"/>
  <c r="F244" i="1"/>
  <c r="F250" i="1"/>
  <c r="F256" i="1"/>
  <c r="F262" i="1"/>
  <c r="F268" i="1"/>
  <c r="F274" i="1"/>
  <c r="F280" i="1"/>
  <c r="F286" i="1"/>
  <c r="F292" i="1"/>
  <c r="F298" i="1"/>
  <c r="F304" i="1"/>
  <c r="F310" i="1"/>
  <c r="F316" i="1"/>
  <c r="F322" i="1"/>
  <c r="F328" i="1"/>
  <c r="F334" i="1"/>
  <c r="F340" i="1"/>
  <c r="F346" i="1"/>
  <c r="F352" i="1"/>
  <c r="F358" i="1"/>
  <c r="F364" i="1"/>
  <c r="F370" i="1"/>
  <c r="F376" i="1"/>
  <c r="F382" i="1"/>
  <c r="F388" i="1"/>
  <c r="F394" i="1"/>
  <c r="F400" i="1"/>
  <c r="F406" i="1"/>
  <c r="F412" i="1"/>
  <c r="F418" i="1"/>
  <c r="F424" i="1"/>
  <c r="F430" i="1"/>
  <c r="F436" i="1"/>
  <c r="F442" i="1"/>
  <c r="F448" i="1"/>
  <c r="F454" i="1"/>
  <c r="F460" i="1"/>
  <c r="F466" i="1"/>
  <c r="F472" i="1"/>
  <c r="F478" i="1"/>
  <c r="F484" i="1"/>
  <c r="F490" i="1"/>
  <c r="F496" i="1"/>
  <c r="F502" i="1"/>
  <c r="F508" i="1"/>
  <c r="F514" i="1"/>
  <c r="F520" i="1"/>
  <c r="F526" i="1"/>
  <c r="F532" i="1"/>
  <c r="F538" i="1"/>
  <c r="F544" i="1"/>
  <c r="F550" i="1"/>
  <c r="F556" i="1"/>
  <c r="F562" i="1"/>
  <c r="F568" i="1"/>
  <c r="F574" i="1"/>
  <c r="F580" i="1"/>
  <c r="F586" i="1"/>
  <c r="F592" i="1"/>
  <c r="F598" i="1"/>
  <c r="F604" i="1"/>
  <c r="F610" i="1"/>
  <c r="F616" i="1"/>
  <c r="F622" i="1"/>
  <c r="F628" i="1"/>
  <c r="F634" i="1"/>
  <c r="F640" i="1"/>
  <c r="F646" i="1"/>
  <c r="F652" i="1"/>
  <c r="F658" i="1"/>
  <c r="F664" i="1"/>
  <c r="F670" i="1"/>
  <c r="F676" i="1"/>
  <c r="F682" i="1"/>
  <c r="F688" i="1"/>
  <c r="F694" i="1"/>
  <c r="F700" i="1"/>
  <c r="F706" i="1"/>
  <c r="F712" i="1"/>
  <c r="F718" i="1"/>
  <c r="F724" i="1"/>
  <c r="F730" i="1"/>
  <c r="F736" i="1"/>
  <c r="F742" i="1"/>
  <c r="F748" i="1"/>
  <c r="F754" i="1"/>
  <c r="F760" i="1"/>
  <c r="F766" i="1"/>
  <c r="F772" i="1"/>
  <c r="F778" i="1"/>
  <c r="F784" i="1"/>
  <c r="F790" i="1"/>
  <c r="F796" i="1"/>
  <c r="F802" i="1"/>
  <c r="F808" i="1"/>
  <c r="F814" i="1"/>
  <c r="F820" i="1"/>
  <c r="F826" i="1"/>
  <c r="F832" i="1"/>
  <c r="F838" i="1"/>
  <c r="I485" i="1"/>
  <c r="J955" i="1"/>
  <c r="I1071" i="1"/>
  <c r="I1167" i="1"/>
  <c r="I1263" i="1"/>
  <c r="I1359" i="1"/>
  <c r="I1455" i="1"/>
  <c r="J1528" i="1"/>
  <c r="J1600" i="1"/>
  <c r="J1654" i="1"/>
  <c r="J1690" i="1"/>
  <c r="J1720" i="1"/>
  <c r="J1744" i="1"/>
  <c r="I1768" i="1"/>
  <c r="J1780" i="1"/>
  <c r="J1792" i="1"/>
  <c r="J1804" i="1"/>
  <c r="J1816" i="1"/>
  <c r="J1828" i="1"/>
  <c r="J1840" i="1"/>
  <c r="J1852" i="1"/>
  <c r="J1864" i="1"/>
  <c r="I1876" i="1"/>
  <c r="I1887" i="1"/>
  <c r="I1898" i="1"/>
  <c r="J1906" i="1"/>
  <c r="J1916" i="1"/>
  <c r="J1924" i="1"/>
  <c r="J1933" i="1"/>
  <c r="I1941" i="1"/>
  <c r="J1948" i="1"/>
  <c r="J1957" i="1"/>
  <c r="I1965" i="1"/>
  <c r="J1972" i="1"/>
  <c r="J1981" i="1"/>
  <c r="I1989" i="1"/>
  <c r="J1996" i="1"/>
  <c r="F194" i="1"/>
  <c r="G197" i="1"/>
  <c r="G206" i="1"/>
  <c r="F214" i="1"/>
  <c r="G220" i="1"/>
  <c r="G226" i="1"/>
  <c r="G232" i="1"/>
  <c r="G238" i="1"/>
  <c r="G244" i="1"/>
  <c r="G250" i="1"/>
  <c r="G256" i="1"/>
  <c r="G262" i="1"/>
  <c r="G268" i="1"/>
  <c r="G274" i="1"/>
  <c r="G280" i="1"/>
  <c r="G286" i="1"/>
  <c r="G292" i="1"/>
  <c r="G298" i="1"/>
  <c r="G304" i="1"/>
  <c r="G310" i="1"/>
  <c r="G316" i="1"/>
  <c r="G322" i="1"/>
  <c r="G328" i="1"/>
  <c r="G334" i="1"/>
  <c r="G340" i="1"/>
  <c r="G346" i="1"/>
  <c r="G352" i="1"/>
  <c r="G358" i="1"/>
  <c r="G364" i="1"/>
  <c r="G370" i="1"/>
  <c r="G376" i="1"/>
  <c r="G382" i="1"/>
  <c r="G388" i="1"/>
  <c r="G394" i="1"/>
  <c r="G400" i="1"/>
  <c r="G406" i="1"/>
  <c r="G412" i="1"/>
  <c r="G418" i="1"/>
  <c r="G424" i="1"/>
  <c r="G430" i="1"/>
  <c r="G436" i="1"/>
  <c r="G442" i="1"/>
  <c r="G448" i="1"/>
  <c r="G454" i="1"/>
  <c r="G460" i="1"/>
  <c r="G466" i="1"/>
  <c r="G472" i="1"/>
  <c r="G478" i="1"/>
  <c r="G484" i="1"/>
  <c r="G490" i="1"/>
  <c r="G496" i="1"/>
  <c r="G502" i="1"/>
  <c r="G508" i="1"/>
  <c r="G514" i="1"/>
  <c r="G520" i="1"/>
  <c r="G526" i="1"/>
  <c r="G532" i="1"/>
  <c r="G538" i="1"/>
  <c r="G544" i="1"/>
  <c r="G550" i="1"/>
  <c r="G556" i="1"/>
  <c r="G562" i="1"/>
  <c r="G568" i="1"/>
  <c r="G574" i="1"/>
  <c r="G580" i="1"/>
  <c r="G586" i="1"/>
  <c r="G592" i="1"/>
  <c r="G598" i="1"/>
  <c r="G604" i="1"/>
  <c r="G610" i="1"/>
  <c r="G616" i="1"/>
  <c r="G622" i="1"/>
  <c r="G628" i="1"/>
  <c r="G634" i="1"/>
  <c r="G640" i="1"/>
  <c r="G646" i="1"/>
  <c r="G652" i="1"/>
  <c r="G658" i="1"/>
  <c r="G664" i="1"/>
  <c r="G670" i="1"/>
  <c r="G676" i="1"/>
  <c r="G682" i="1"/>
  <c r="G688" i="1"/>
  <c r="G694" i="1"/>
  <c r="G700" i="1"/>
  <c r="G706" i="1"/>
  <c r="G712" i="1"/>
  <c r="G718" i="1"/>
  <c r="G724" i="1"/>
  <c r="G730" i="1"/>
  <c r="G736" i="1"/>
  <c r="G742" i="1"/>
  <c r="G748" i="1"/>
  <c r="G754" i="1"/>
  <c r="G760" i="1"/>
  <c r="G766" i="1"/>
  <c r="G772" i="1"/>
  <c r="G778" i="1"/>
  <c r="G784" i="1"/>
  <c r="G790" i="1"/>
  <c r="G796" i="1"/>
  <c r="G802" i="1"/>
  <c r="G808" i="1"/>
  <c r="G814" i="1"/>
  <c r="G820" i="1"/>
  <c r="G826" i="1"/>
  <c r="G832" i="1"/>
  <c r="G838" i="1"/>
  <c r="G844" i="1"/>
  <c r="G850" i="1"/>
  <c r="G856" i="1"/>
  <c r="G862" i="1"/>
  <c r="G868" i="1"/>
  <c r="G874" i="1"/>
  <c r="G880" i="1"/>
  <c r="G886" i="1"/>
  <c r="G892" i="1"/>
  <c r="G898" i="1"/>
  <c r="G904" i="1"/>
  <c r="G910" i="1"/>
  <c r="G916" i="1"/>
  <c r="G922" i="1"/>
  <c r="G928" i="1"/>
  <c r="G934" i="1"/>
  <c r="G940" i="1"/>
  <c r="G946" i="1"/>
  <c r="G952" i="1"/>
  <c r="G958" i="1"/>
  <c r="G964" i="1"/>
  <c r="G970" i="1"/>
  <c r="G976" i="1"/>
  <c r="G982" i="1"/>
  <c r="G988" i="1"/>
  <c r="G994" i="1"/>
  <c r="G1000" i="1"/>
  <c r="G1006" i="1"/>
  <c r="G1012" i="1"/>
  <c r="G1018" i="1"/>
  <c r="G1024" i="1"/>
  <c r="G1030" i="1"/>
  <c r="G1036" i="1"/>
  <c r="G1042" i="1"/>
  <c r="G1048" i="1"/>
  <c r="G1054" i="1"/>
  <c r="G1060" i="1"/>
  <c r="G1066" i="1"/>
  <c r="J587" i="1"/>
  <c r="J966" i="1"/>
  <c r="J1079" i="1"/>
  <c r="J1175" i="1"/>
  <c r="J1271" i="1"/>
  <c r="J1367" i="1"/>
  <c r="J1461" i="1"/>
  <c r="J1534" i="1"/>
  <c r="J1606" i="1"/>
  <c r="J1658" i="1"/>
  <c r="J1694" i="1"/>
  <c r="J1724" i="1"/>
  <c r="J1748" i="1"/>
  <c r="J1768" i="1"/>
  <c r="I1783" i="1"/>
  <c r="I1795" i="1"/>
  <c r="I1807" i="1"/>
  <c r="I1819" i="1"/>
  <c r="I1831" i="1"/>
  <c r="I1843" i="1"/>
  <c r="I1855" i="1"/>
  <c r="I1867" i="1"/>
  <c r="J1876" i="1"/>
  <c r="J1887" i="1"/>
  <c r="J1898" i="1"/>
  <c r="J1907" i="1"/>
  <c r="I1917" i="1"/>
  <c r="J1925" i="1"/>
  <c r="I1934" i="1"/>
  <c r="J1941" i="1"/>
  <c r="J1949" i="1"/>
  <c r="I1958" i="1"/>
  <c r="J1965" i="1"/>
  <c r="J1973" i="1"/>
  <c r="I1982" i="1"/>
  <c r="J1989" i="1"/>
  <c r="J1997" i="1"/>
  <c r="G194" i="1"/>
  <c r="G198" i="1"/>
  <c r="F207" i="1"/>
  <c r="G214" i="1"/>
  <c r="F221" i="1"/>
  <c r="F227" i="1"/>
  <c r="F233" i="1"/>
  <c r="F239" i="1"/>
  <c r="F245" i="1"/>
  <c r="F251" i="1"/>
  <c r="F257" i="1"/>
  <c r="F263" i="1"/>
  <c r="F269" i="1"/>
  <c r="F275" i="1"/>
  <c r="F281" i="1"/>
  <c r="F287" i="1"/>
  <c r="F293" i="1"/>
  <c r="F299" i="1"/>
  <c r="F305" i="1"/>
  <c r="F311" i="1"/>
  <c r="F317" i="1"/>
  <c r="F323" i="1"/>
  <c r="F329" i="1"/>
  <c r="F335" i="1"/>
  <c r="F341" i="1"/>
  <c r="F347" i="1"/>
  <c r="F353" i="1"/>
  <c r="F359" i="1"/>
  <c r="F365" i="1"/>
  <c r="F371" i="1"/>
  <c r="F377" i="1"/>
  <c r="F383" i="1"/>
  <c r="F389" i="1"/>
  <c r="F395" i="1"/>
  <c r="F401" i="1"/>
  <c r="F407" i="1"/>
  <c r="F413" i="1"/>
  <c r="F419" i="1"/>
  <c r="F425" i="1"/>
  <c r="F431" i="1"/>
  <c r="F437" i="1"/>
  <c r="F443" i="1"/>
  <c r="F449" i="1"/>
  <c r="F455" i="1"/>
  <c r="F461" i="1"/>
  <c r="F467" i="1"/>
  <c r="F473" i="1"/>
  <c r="F479" i="1"/>
  <c r="F485" i="1"/>
  <c r="F491" i="1"/>
  <c r="F497" i="1"/>
  <c r="F503" i="1"/>
  <c r="F509" i="1"/>
  <c r="F515" i="1"/>
  <c r="F521" i="1"/>
  <c r="F527" i="1"/>
  <c r="F533" i="1"/>
  <c r="F539" i="1"/>
  <c r="F545" i="1"/>
  <c r="F551" i="1"/>
  <c r="F557" i="1"/>
  <c r="F563" i="1"/>
  <c r="F569" i="1"/>
  <c r="F575" i="1"/>
  <c r="F581" i="1"/>
  <c r="F587" i="1"/>
  <c r="F593" i="1"/>
  <c r="F599" i="1"/>
  <c r="F605" i="1"/>
  <c r="F611" i="1"/>
  <c r="F617" i="1"/>
  <c r="F623" i="1"/>
  <c r="F629" i="1"/>
  <c r="F635" i="1"/>
  <c r="F641" i="1"/>
  <c r="F647" i="1"/>
  <c r="F653" i="1"/>
  <c r="F659" i="1"/>
  <c r="F665" i="1"/>
  <c r="F671" i="1"/>
  <c r="F677" i="1"/>
  <c r="F683" i="1"/>
  <c r="F689" i="1"/>
  <c r="F695" i="1"/>
  <c r="F701" i="1"/>
  <c r="F707" i="1"/>
  <c r="F713" i="1"/>
  <c r="F719" i="1"/>
  <c r="F725" i="1"/>
  <c r="F731" i="1"/>
  <c r="F737" i="1"/>
  <c r="F743" i="1"/>
  <c r="F749" i="1"/>
  <c r="F755" i="1"/>
  <c r="F761" i="1"/>
  <c r="F767" i="1"/>
  <c r="F773" i="1"/>
  <c r="F779" i="1"/>
  <c r="F785" i="1"/>
  <c r="F791" i="1"/>
  <c r="F797" i="1"/>
  <c r="F803" i="1"/>
  <c r="F809" i="1"/>
  <c r="F815" i="1"/>
  <c r="F821" i="1"/>
  <c r="F827" i="1"/>
  <c r="F833" i="1"/>
  <c r="F839" i="1"/>
  <c r="F845" i="1"/>
  <c r="F851" i="1"/>
  <c r="F857" i="1"/>
  <c r="F863" i="1"/>
  <c r="F869" i="1"/>
  <c r="F875" i="1"/>
  <c r="F881" i="1"/>
  <c r="F887" i="1"/>
  <c r="F893" i="1"/>
  <c r="F899" i="1"/>
  <c r="F905" i="1"/>
  <c r="F911" i="1"/>
  <c r="F917" i="1"/>
  <c r="F923" i="1"/>
  <c r="F929" i="1"/>
  <c r="F935" i="1"/>
  <c r="F941" i="1"/>
  <c r="F947" i="1"/>
  <c r="F953" i="1"/>
  <c r="F959" i="1"/>
  <c r="F965" i="1"/>
  <c r="F971" i="1"/>
  <c r="F977" i="1"/>
  <c r="F983" i="1"/>
  <c r="F989" i="1"/>
  <c r="F995" i="1"/>
  <c r="F1001" i="1"/>
  <c r="F1007" i="1"/>
  <c r="F1013" i="1"/>
  <c r="F1019" i="1"/>
  <c r="F1025" i="1"/>
  <c r="F1031" i="1"/>
  <c r="F1037" i="1"/>
  <c r="F1043" i="1"/>
  <c r="F1049" i="1"/>
  <c r="F1055" i="1"/>
  <c r="F1061" i="1"/>
  <c r="F1067" i="1"/>
  <c r="J666" i="1"/>
  <c r="I975" i="1"/>
  <c r="J1087" i="1"/>
  <c r="J1183" i="1"/>
  <c r="J1279" i="1"/>
  <c r="J1375" i="1"/>
  <c r="I1468" i="1"/>
  <c r="J1540" i="1"/>
  <c r="J1612" i="1"/>
  <c r="J1660" i="1"/>
  <c r="J1696" i="1"/>
  <c r="I1725" i="1"/>
  <c r="I1749" i="1"/>
  <c r="I1771" i="1"/>
  <c r="J1784" i="1"/>
  <c r="J1796" i="1"/>
  <c r="J1808" i="1"/>
  <c r="J1820" i="1"/>
  <c r="J1832" i="1"/>
  <c r="J1844" i="1"/>
  <c r="J1856" i="1"/>
  <c r="J1868" i="1"/>
  <c r="I1879" i="1"/>
  <c r="I1888" i="1"/>
  <c r="I1899" i="1"/>
  <c r="I1909" i="1"/>
  <c r="J1917" i="1"/>
  <c r="I1927" i="1"/>
  <c r="J1934" i="1"/>
  <c r="I1942" i="1"/>
  <c r="I1951" i="1"/>
  <c r="J1958" i="1"/>
  <c r="I1966" i="1"/>
  <c r="I1975" i="1"/>
  <c r="J1982" i="1"/>
  <c r="I1990" i="1"/>
  <c r="I1999" i="1"/>
  <c r="F200" i="1"/>
  <c r="G207" i="1"/>
  <c r="F215" i="1"/>
  <c r="G221" i="1"/>
  <c r="G227" i="1"/>
  <c r="G233" i="1"/>
  <c r="G239" i="1"/>
  <c r="G245" i="1"/>
  <c r="G251" i="1"/>
  <c r="G257" i="1"/>
  <c r="G263" i="1"/>
  <c r="G269" i="1"/>
  <c r="G275" i="1"/>
  <c r="G281" i="1"/>
  <c r="G287" i="1"/>
  <c r="G293" i="1"/>
  <c r="G299" i="1"/>
  <c r="G305" i="1"/>
  <c r="G311" i="1"/>
  <c r="G317" i="1"/>
  <c r="G323" i="1"/>
  <c r="G329" i="1"/>
  <c r="G335" i="1"/>
  <c r="G341" i="1"/>
  <c r="G347" i="1"/>
  <c r="G353" i="1"/>
  <c r="G359" i="1"/>
  <c r="G365" i="1"/>
  <c r="G371" i="1"/>
  <c r="G377" i="1"/>
  <c r="G383" i="1"/>
  <c r="G389" i="1"/>
  <c r="G395" i="1"/>
  <c r="G401" i="1"/>
  <c r="G407" i="1"/>
  <c r="G413" i="1"/>
  <c r="G419" i="1"/>
  <c r="G425" i="1"/>
  <c r="G431" i="1"/>
  <c r="G437" i="1"/>
  <c r="G443" i="1"/>
  <c r="G449" i="1"/>
  <c r="G455" i="1"/>
  <c r="G461" i="1"/>
  <c r="G467" i="1"/>
  <c r="G473" i="1"/>
  <c r="G479" i="1"/>
  <c r="G485" i="1"/>
  <c r="G491" i="1"/>
  <c r="G497" i="1"/>
  <c r="G503" i="1"/>
  <c r="G509" i="1"/>
  <c r="G515" i="1"/>
  <c r="G521" i="1"/>
  <c r="G527" i="1"/>
  <c r="G533" i="1"/>
  <c r="G539" i="1"/>
  <c r="G545" i="1"/>
  <c r="G551" i="1"/>
  <c r="G557" i="1"/>
  <c r="G563" i="1"/>
  <c r="G569" i="1"/>
  <c r="G575" i="1"/>
  <c r="G581" i="1"/>
  <c r="G587" i="1"/>
  <c r="G593" i="1"/>
  <c r="G599" i="1"/>
  <c r="G605" i="1"/>
  <c r="G611" i="1"/>
  <c r="G617" i="1"/>
  <c r="G623" i="1"/>
  <c r="G629" i="1"/>
  <c r="G635" i="1"/>
  <c r="G641" i="1"/>
  <c r="G647" i="1"/>
  <c r="G653" i="1"/>
  <c r="G659" i="1"/>
  <c r="G665" i="1"/>
  <c r="G671" i="1"/>
  <c r="G677" i="1"/>
  <c r="G683" i="1"/>
  <c r="G689" i="1"/>
  <c r="G695" i="1"/>
  <c r="G701" i="1"/>
  <c r="G707" i="1"/>
  <c r="G713" i="1"/>
  <c r="G719" i="1"/>
  <c r="G725" i="1"/>
  <c r="G731" i="1"/>
  <c r="G737" i="1"/>
  <c r="G743" i="1"/>
  <c r="G749" i="1"/>
  <c r="G755" i="1"/>
  <c r="G761" i="1"/>
  <c r="G767" i="1"/>
  <c r="G773" i="1"/>
  <c r="G779" i="1"/>
  <c r="G785" i="1"/>
  <c r="G791" i="1"/>
  <c r="G797" i="1"/>
  <c r="G803" i="1"/>
  <c r="G809" i="1"/>
  <c r="G815" i="1"/>
  <c r="G821" i="1"/>
  <c r="G827" i="1"/>
  <c r="G833" i="1"/>
  <c r="G839" i="1"/>
  <c r="G845" i="1"/>
  <c r="G851" i="1"/>
  <c r="G857" i="1"/>
  <c r="G863" i="1"/>
  <c r="G869" i="1"/>
  <c r="G875" i="1"/>
  <c r="G881" i="1"/>
  <c r="G887" i="1"/>
  <c r="G893" i="1"/>
  <c r="G899" i="1"/>
  <c r="G905" i="1"/>
  <c r="G911" i="1"/>
  <c r="G917" i="1"/>
  <c r="G923" i="1"/>
  <c r="G929" i="1"/>
  <c r="G935" i="1"/>
  <c r="G941" i="1"/>
  <c r="G947" i="1"/>
  <c r="G953" i="1"/>
  <c r="G959" i="1"/>
  <c r="G965" i="1"/>
  <c r="G971" i="1"/>
  <c r="G977" i="1"/>
  <c r="G983" i="1"/>
  <c r="J709" i="1"/>
  <c r="I986" i="1"/>
  <c r="I1095" i="1"/>
  <c r="I1191" i="1"/>
  <c r="I1287" i="1"/>
  <c r="I1383" i="1"/>
  <c r="J1474" i="1"/>
  <c r="J1546" i="1"/>
  <c r="J1618" i="1"/>
  <c r="J1664" i="1"/>
  <c r="J1700" i="1"/>
  <c r="J1726" i="1"/>
  <c r="J1750" i="1"/>
  <c r="J1772" i="1"/>
  <c r="I1785" i="1"/>
  <c r="I1797" i="1"/>
  <c r="I1809" i="1"/>
  <c r="I1821" i="1"/>
  <c r="I1833" i="1"/>
  <c r="I1845" i="1"/>
  <c r="I1857" i="1"/>
  <c r="I1869" i="1"/>
  <c r="I1880" i="1"/>
  <c r="J1888" i="1"/>
  <c r="J1899" i="1"/>
  <c r="I1910" i="1"/>
  <c r="I1918" i="1"/>
  <c r="J1927" i="1"/>
  <c r="I1935" i="1"/>
  <c r="J1942" i="1"/>
  <c r="J1951" i="1"/>
  <c r="I1959" i="1"/>
  <c r="J1966" i="1"/>
  <c r="J1975" i="1"/>
  <c r="I1983" i="1"/>
  <c r="J1990" i="1"/>
  <c r="J1999" i="1"/>
  <c r="I195" i="1"/>
  <c r="G200" i="1"/>
  <c r="F208" i="1"/>
  <c r="G215" i="1"/>
  <c r="F222" i="1"/>
  <c r="F228" i="1"/>
  <c r="F234" i="1"/>
  <c r="F240" i="1"/>
  <c r="F246" i="1"/>
  <c r="F252" i="1"/>
  <c r="F258" i="1"/>
  <c r="F264" i="1"/>
  <c r="F270" i="1"/>
  <c r="F276" i="1"/>
  <c r="F282" i="1"/>
  <c r="F288" i="1"/>
  <c r="F294" i="1"/>
  <c r="F300" i="1"/>
  <c r="F306" i="1"/>
  <c r="F312" i="1"/>
  <c r="F318" i="1"/>
  <c r="F324" i="1"/>
  <c r="F330" i="1"/>
  <c r="F336" i="1"/>
  <c r="F342" i="1"/>
  <c r="F348" i="1"/>
  <c r="F354" i="1"/>
  <c r="F360" i="1"/>
  <c r="F366" i="1"/>
  <c r="F372" i="1"/>
  <c r="F378" i="1"/>
  <c r="F384" i="1"/>
  <c r="F390" i="1"/>
  <c r="F396" i="1"/>
  <c r="F402" i="1"/>
  <c r="F408" i="1"/>
  <c r="F414" i="1"/>
  <c r="F420" i="1"/>
  <c r="F426" i="1"/>
  <c r="F432" i="1"/>
  <c r="F438" i="1"/>
  <c r="F444" i="1"/>
  <c r="F450" i="1"/>
  <c r="F456" i="1"/>
  <c r="F462" i="1"/>
  <c r="F468" i="1"/>
  <c r="F474" i="1"/>
  <c r="F480" i="1"/>
  <c r="F486" i="1"/>
  <c r="F492" i="1"/>
  <c r="F498" i="1"/>
  <c r="F504" i="1"/>
  <c r="F510" i="1"/>
  <c r="F516" i="1"/>
  <c r="F522" i="1"/>
  <c r="F528" i="1"/>
  <c r="F534" i="1"/>
  <c r="F540" i="1"/>
  <c r="F546" i="1"/>
  <c r="F552" i="1"/>
  <c r="F558" i="1"/>
  <c r="F564" i="1"/>
  <c r="F570" i="1"/>
  <c r="F576" i="1"/>
  <c r="F582" i="1"/>
  <c r="F588" i="1"/>
  <c r="F594" i="1"/>
  <c r="F600" i="1"/>
  <c r="F606" i="1"/>
  <c r="F612" i="1"/>
  <c r="F618" i="1"/>
  <c r="F624" i="1"/>
  <c r="F630" i="1"/>
  <c r="F636" i="1"/>
  <c r="F642" i="1"/>
  <c r="F648" i="1"/>
  <c r="F654" i="1"/>
  <c r="F660" i="1"/>
  <c r="F666" i="1"/>
  <c r="F672" i="1"/>
  <c r="F678" i="1"/>
  <c r="F684" i="1"/>
  <c r="F690" i="1"/>
  <c r="F696" i="1"/>
  <c r="F702" i="1"/>
  <c r="F708" i="1"/>
  <c r="F714" i="1"/>
  <c r="F720" i="1"/>
  <c r="F726" i="1"/>
  <c r="F732" i="1"/>
  <c r="F738" i="1"/>
  <c r="F744" i="1"/>
  <c r="F750" i="1"/>
  <c r="F756" i="1"/>
  <c r="F762" i="1"/>
  <c r="F768" i="1"/>
  <c r="F774" i="1"/>
  <c r="F780" i="1"/>
  <c r="F786" i="1"/>
  <c r="F792" i="1"/>
  <c r="F798" i="1"/>
  <c r="F804" i="1"/>
  <c r="F810" i="1"/>
  <c r="F816" i="1"/>
  <c r="F822" i="1"/>
  <c r="F828" i="1"/>
  <c r="F834" i="1"/>
  <c r="F840" i="1"/>
  <c r="F846" i="1"/>
  <c r="F852" i="1"/>
  <c r="J753" i="1"/>
  <c r="I997" i="1"/>
  <c r="J1103" i="1"/>
  <c r="J1199" i="1"/>
  <c r="J1295" i="1"/>
  <c r="J1391" i="1"/>
  <c r="J1480" i="1"/>
  <c r="J1552" i="1"/>
  <c r="J1624" i="1"/>
  <c r="J1666" i="1"/>
  <c r="J1702" i="1"/>
  <c r="J1730" i="1"/>
  <c r="J1754" i="1"/>
  <c r="I1773" i="1"/>
  <c r="J1785" i="1"/>
  <c r="J1797" i="1"/>
  <c r="J1809" i="1"/>
  <c r="J1821" i="1"/>
  <c r="J1833" i="1"/>
  <c r="J1845" i="1"/>
  <c r="J1857" i="1"/>
  <c r="J1869" i="1"/>
  <c r="J1880" i="1"/>
  <c r="I1891" i="1"/>
  <c r="I1900" i="1"/>
  <c r="J1910" i="1"/>
  <c r="J1918" i="1"/>
  <c r="I1928" i="1"/>
  <c r="J1935" i="1"/>
  <c r="J1943" i="1"/>
  <c r="I1952" i="1"/>
  <c r="J1959" i="1"/>
  <c r="J1967" i="1"/>
  <c r="I1976" i="1"/>
  <c r="J1983" i="1"/>
  <c r="J1991" i="1"/>
  <c r="I2000" i="1"/>
  <c r="J195" i="1"/>
  <c r="F201" i="1"/>
  <c r="G208" i="1"/>
  <c r="F216" i="1"/>
  <c r="G222" i="1"/>
  <c r="G228" i="1"/>
  <c r="G234" i="1"/>
  <c r="G240" i="1"/>
  <c r="G246" i="1"/>
  <c r="G252" i="1"/>
  <c r="G258" i="1"/>
  <c r="G264" i="1"/>
  <c r="G270" i="1"/>
  <c r="G276" i="1"/>
  <c r="G282" i="1"/>
  <c r="G288" i="1"/>
  <c r="G294" i="1"/>
  <c r="G300" i="1"/>
  <c r="G306" i="1"/>
  <c r="G312" i="1"/>
  <c r="G318" i="1"/>
  <c r="G324" i="1"/>
  <c r="G330" i="1"/>
  <c r="G336" i="1"/>
  <c r="G342" i="1"/>
  <c r="G348" i="1"/>
  <c r="G354" i="1"/>
  <c r="G360" i="1"/>
  <c r="G366" i="1"/>
  <c r="G372" i="1"/>
  <c r="G378" i="1"/>
  <c r="G384" i="1"/>
  <c r="G390" i="1"/>
  <c r="G396" i="1"/>
  <c r="G402" i="1"/>
  <c r="G408" i="1"/>
  <c r="G414" i="1"/>
  <c r="G420" i="1"/>
  <c r="G426" i="1"/>
  <c r="G432" i="1"/>
  <c r="G438" i="1"/>
  <c r="G444" i="1"/>
  <c r="G450" i="1"/>
  <c r="G456" i="1"/>
  <c r="G462" i="1"/>
  <c r="G468" i="1"/>
  <c r="G474" i="1"/>
  <c r="G480" i="1"/>
  <c r="G486" i="1"/>
  <c r="G492" i="1"/>
  <c r="G498" i="1"/>
  <c r="G504" i="1"/>
  <c r="G510" i="1"/>
  <c r="G516" i="1"/>
  <c r="G522" i="1"/>
  <c r="G528" i="1"/>
  <c r="G534" i="1"/>
  <c r="G540" i="1"/>
  <c r="G546" i="1"/>
  <c r="G552" i="1"/>
  <c r="G558" i="1"/>
  <c r="G564" i="1"/>
  <c r="G570" i="1"/>
  <c r="G576" i="1"/>
  <c r="G582" i="1"/>
  <c r="G588" i="1"/>
  <c r="G594" i="1"/>
  <c r="G600" i="1"/>
  <c r="G606" i="1"/>
  <c r="G612" i="1"/>
  <c r="G618" i="1"/>
  <c r="G624" i="1"/>
  <c r="G630" i="1"/>
  <c r="G636" i="1"/>
  <c r="G642" i="1"/>
  <c r="G648" i="1"/>
  <c r="G654" i="1"/>
  <c r="G660" i="1"/>
  <c r="G666" i="1"/>
  <c r="G672" i="1"/>
  <c r="G678" i="1"/>
  <c r="G684" i="1"/>
  <c r="G690" i="1"/>
  <c r="G696" i="1"/>
  <c r="G702" i="1"/>
  <c r="G708" i="1"/>
  <c r="G714" i="1"/>
  <c r="G720" i="1"/>
  <c r="G726" i="1"/>
  <c r="G732" i="1"/>
  <c r="G738" i="1"/>
  <c r="G744" i="1"/>
  <c r="G750" i="1"/>
  <c r="G756" i="1"/>
  <c r="G762" i="1"/>
  <c r="G768" i="1"/>
  <c r="G774" i="1"/>
  <c r="G780" i="1"/>
  <c r="G786" i="1"/>
  <c r="G792" i="1"/>
  <c r="G798" i="1"/>
  <c r="G804" i="1"/>
  <c r="G810" i="1"/>
  <c r="G816" i="1"/>
  <c r="G822" i="1"/>
  <c r="G828" i="1"/>
  <c r="G834" i="1"/>
  <c r="G840" i="1"/>
  <c r="G846" i="1"/>
  <c r="G852" i="1"/>
  <c r="G858" i="1"/>
  <c r="G864" i="1"/>
  <c r="G870" i="1"/>
  <c r="G876" i="1"/>
  <c r="G882" i="1"/>
  <c r="G888" i="1"/>
  <c r="G894" i="1"/>
  <c r="G900" i="1"/>
  <c r="J796" i="1"/>
  <c r="J1005" i="1"/>
  <c r="J1111" i="1"/>
  <c r="J1207" i="1"/>
  <c r="J1303" i="1"/>
  <c r="J1399" i="1"/>
  <c r="J1486" i="1"/>
  <c r="J1558" i="1"/>
  <c r="J1630" i="1"/>
  <c r="J1670" i="1"/>
  <c r="J1706" i="1"/>
  <c r="I1731" i="1"/>
  <c r="I1755" i="1"/>
  <c r="I1774" i="1"/>
  <c r="I1786" i="1"/>
  <c r="I1798" i="1"/>
  <c r="I1810" i="1"/>
  <c r="I1822" i="1"/>
  <c r="I1834" i="1"/>
  <c r="I1846" i="1"/>
  <c r="I1858" i="1"/>
  <c r="I1870" i="1"/>
  <c r="I1881" i="1"/>
  <c r="I1892" i="1"/>
  <c r="J1900" i="1"/>
  <c r="I1911" i="1"/>
  <c r="J1919" i="1"/>
  <c r="J1928" i="1"/>
  <c r="I1936" i="1"/>
  <c r="I1945" i="1"/>
  <c r="J1952" i="1"/>
  <c r="I1960" i="1"/>
  <c r="I1969" i="1"/>
  <c r="J1976" i="1"/>
  <c r="I1984" i="1"/>
  <c r="I1993" i="1"/>
  <c r="J2000" i="1"/>
  <c r="I196" i="1"/>
  <c r="G201" i="1"/>
  <c r="F209" i="1"/>
  <c r="G216" i="1"/>
  <c r="F223" i="1"/>
  <c r="F229" i="1"/>
  <c r="F235" i="1"/>
  <c r="F241" i="1"/>
  <c r="F247" i="1"/>
  <c r="F253" i="1"/>
  <c r="F259" i="1"/>
  <c r="F265" i="1"/>
  <c r="F271" i="1"/>
  <c r="F277" i="1"/>
  <c r="F283" i="1"/>
  <c r="F289" i="1"/>
  <c r="F295" i="1"/>
  <c r="F301" i="1"/>
  <c r="F307" i="1"/>
  <c r="F313" i="1"/>
  <c r="F319" i="1"/>
  <c r="F325" i="1"/>
  <c r="F331" i="1"/>
  <c r="F337" i="1"/>
  <c r="F343" i="1"/>
  <c r="F349" i="1"/>
  <c r="F355" i="1"/>
  <c r="F361" i="1"/>
  <c r="F367" i="1"/>
  <c r="F373" i="1"/>
  <c r="F379" i="1"/>
  <c r="F385" i="1"/>
  <c r="F391" i="1"/>
  <c r="F397" i="1"/>
  <c r="F403" i="1"/>
  <c r="F409" i="1"/>
  <c r="F415" i="1"/>
  <c r="F421" i="1"/>
  <c r="F427" i="1"/>
  <c r="F433" i="1"/>
  <c r="F439" i="1"/>
  <c r="F445" i="1"/>
  <c r="F451" i="1"/>
  <c r="F457" i="1"/>
  <c r="F463" i="1"/>
  <c r="F469" i="1"/>
  <c r="F475" i="1"/>
  <c r="F481" i="1"/>
  <c r="F487" i="1"/>
  <c r="F493" i="1"/>
  <c r="F499" i="1"/>
  <c r="F505" i="1"/>
  <c r="F511" i="1"/>
  <c r="F517" i="1"/>
  <c r="F523" i="1"/>
  <c r="F529" i="1"/>
  <c r="F535" i="1"/>
  <c r="F541" i="1"/>
  <c r="F547" i="1"/>
  <c r="F553" i="1"/>
  <c r="F559" i="1"/>
  <c r="F565" i="1"/>
  <c r="F571" i="1"/>
  <c r="F577" i="1"/>
  <c r="F583" i="1"/>
  <c r="F589" i="1"/>
  <c r="F595" i="1"/>
  <c r="F601" i="1"/>
  <c r="F607" i="1"/>
  <c r="F613" i="1"/>
  <c r="F619" i="1"/>
  <c r="F625" i="1"/>
  <c r="F631" i="1"/>
  <c r="F637" i="1"/>
  <c r="F643" i="1"/>
  <c r="F649" i="1"/>
  <c r="F655" i="1"/>
  <c r="F661" i="1"/>
  <c r="F667" i="1"/>
  <c r="F673" i="1"/>
  <c r="F679" i="1"/>
  <c r="F685" i="1"/>
  <c r="F691" i="1"/>
  <c r="F697" i="1"/>
  <c r="F703" i="1"/>
  <c r="F709" i="1"/>
  <c r="F715" i="1"/>
  <c r="F721" i="1"/>
  <c r="F727" i="1"/>
  <c r="F733" i="1"/>
  <c r="F739" i="1"/>
  <c r="F745" i="1"/>
  <c r="F751" i="1"/>
  <c r="F757" i="1"/>
  <c r="F763" i="1"/>
  <c r="F769" i="1"/>
  <c r="F775" i="1"/>
  <c r="F781" i="1"/>
  <c r="F787" i="1"/>
  <c r="F793" i="1"/>
  <c r="F799" i="1"/>
  <c r="F805" i="1"/>
  <c r="F811" i="1"/>
  <c r="F817" i="1"/>
  <c r="F823" i="1"/>
  <c r="F829" i="1"/>
  <c r="F835" i="1"/>
  <c r="F841" i="1"/>
  <c r="F847" i="1"/>
  <c r="F853" i="1"/>
  <c r="F859" i="1"/>
  <c r="F865" i="1"/>
  <c r="F871" i="1"/>
  <c r="F877" i="1"/>
  <c r="F883" i="1"/>
  <c r="F889" i="1"/>
  <c r="F895" i="1"/>
  <c r="F901" i="1"/>
  <c r="F907" i="1"/>
  <c r="J839" i="1"/>
  <c r="J1016" i="1"/>
  <c r="I1119" i="1"/>
  <c r="I1215" i="1"/>
  <c r="I1311" i="1"/>
  <c r="I1407" i="1"/>
  <c r="J1492" i="1"/>
  <c r="J1564" i="1"/>
  <c r="J1636" i="1"/>
  <c r="J1672" i="1"/>
  <c r="J1708" i="1"/>
  <c r="J1732" i="1"/>
  <c r="J1756" i="1"/>
  <c r="J1774" i="1"/>
  <c r="J1786" i="1"/>
  <c r="J1798" i="1"/>
  <c r="J1810" i="1"/>
  <c r="J1822" i="1"/>
  <c r="J1834" i="1"/>
  <c r="J1846" i="1"/>
  <c r="J1858" i="1"/>
  <c r="J1870" i="1"/>
  <c r="J1881" i="1"/>
  <c r="J1892" i="1"/>
  <c r="I1903" i="1"/>
  <c r="J1911" i="1"/>
  <c r="I1921" i="1"/>
  <c r="I1929" i="1"/>
  <c r="J1936" i="1"/>
  <c r="J1945" i="1"/>
  <c r="I1953" i="1"/>
  <c r="J1960" i="1"/>
  <c r="J1969" i="1"/>
  <c r="I1977" i="1"/>
  <c r="J1984" i="1"/>
  <c r="J1993" i="1"/>
  <c r="I193" i="1"/>
  <c r="J196" i="1"/>
  <c r="F202" i="1"/>
  <c r="G209" i="1"/>
  <c r="G217" i="1"/>
  <c r="G223" i="1"/>
  <c r="G229" i="1"/>
  <c r="G235" i="1"/>
  <c r="G241" i="1"/>
  <c r="G247" i="1"/>
  <c r="G253" i="1"/>
  <c r="G259" i="1"/>
  <c r="G265" i="1"/>
  <c r="G271" i="1"/>
  <c r="G277" i="1"/>
  <c r="G283" i="1"/>
  <c r="G289" i="1"/>
  <c r="G295" i="1"/>
  <c r="G301" i="1"/>
  <c r="G307" i="1"/>
  <c r="G313" i="1"/>
  <c r="G319" i="1"/>
  <c r="G325" i="1"/>
  <c r="G331" i="1"/>
  <c r="G337" i="1"/>
  <c r="G343" i="1"/>
  <c r="G349" i="1"/>
  <c r="G355" i="1"/>
  <c r="G361" i="1"/>
  <c r="G367" i="1"/>
  <c r="G373" i="1"/>
  <c r="G379" i="1"/>
  <c r="G385" i="1"/>
  <c r="G391" i="1"/>
  <c r="G397" i="1"/>
  <c r="G403" i="1"/>
  <c r="G409" i="1"/>
  <c r="G415" i="1"/>
  <c r="G421" i="1"/>
  <c r="G427" i="1"/>
  <c r="G433" i="1"/>
  <c r="G439" i="1"/>
  <c r="G445" i="1"/>
  <c r="G451" i="1"/>
  <c r="G457" i="1"/>
  <c r="G463" i="1"/>
  <c r="G469" i="1"/>
  <c r="G475" i="1"/>
  <c r="G481" i="1"/>
  <c r="G487" i="1"/>
  <c r="G493" i="1"/>
  <c r="G499" i="1"/>
  <c r="G505" i="1"/>
  <c r="G511" i="1"/>
  <c r="G517" i="1"/>
  <c r="G523" i="1"/>
  <c r="G529" i="1"/>
  <c r="G535" i="1"/>
  <c r="G541" i="1"/>
  <c r="G547" i="1"/>
  <c r="G553" i="1"/>
  <c r="G559" i="1"/>
  <c r="G565" i="1"/>
  <c r="G571" i="1"/>
  <c r="G577" i="1"/>
  <c r="G583" i="1"/>
  <c r="G589" i="1"/>
  <c r="G595" i="1"/>
  <c r="G601" i="1"/>
  <c r="G607" i="1"/>
  <c r="G613" i="1"/>
  <c r="G619" i="1"/>
  <c r="G625" i="1"/>
  <c r="G631" i="1"/>
  <c r="G637" i="1"/>
  <c r="G643" i="1"/>
  <c r="G649" i="1"/>
  <c r="G655" i="1"/>
  <c r="G661" i="1"/>
  <c r="G667" i="1"/>
  <c r="G673" i="1"/>
  <c r="G679" i="1"/>
  <c r="G685" i="1"/>
  <c r="G691" i="1"/>
  <c r="G697" i="1"/>
  <c r="G703" i="1"/>
  <c r="G709" i="1"/>
  <c r="G715" i="1"/>
  <c r="G721" i="1"/>
  <c r="G727" i="1"/>
  <c r="G733" i="1"/>
  <c r="G739" i="1"/>
  <c r="G745" i="1"/>
  <c r="G751" i="1"/>
  <c r="G757" i="1"/>
  <c r="G763" i="1"/>
  <c r="G769" i="1"/>
  <c r="G775" i="1"/>
  <c r="G781" i="1"/>
  <c r="G787" i="1"/>
  <c r="G793" i="1"/>
  <c r="G799" i="1"/>
  <c r="G805" i="1"/>
  <c r="G811" i="1"/>
  <c r="G817" i="1"/>
  <c r="G823" i="1"/>
  <c r="G829" i="1"/>
  <c r="G835" i="1"/>
  <c r="G841" i="1"/>
  <c r="G847" i="1"/>
  <c r="G853" i="1"/>
  <c r="G859" i="1"/>
  <c r="G865" i="1"/>
  <c r="G871" i="1"/>
  <c r="G877" i="1"/>
  <c r="G883" i="1"/>
  <c r="G889" i="1"/>
  <c r="G895" i="1"/>
  <c r="G901" i="1"/>
  <c r="G907" i="1"/>
  <c r="J882" i="1"/>
  <c r="J1027" i="1"/>
  <c r="J1127" i="1"/>
  <c r="J1223" i="1"/>
  <c r="J1319" i="1"/>
  <c r="J1415" i="1"/>
  <c r="J1498" i="1"/>
  <c r="J1570" i="1"/>
  <c r="J1640" i="1"/>
  <c r="J1676" i="1"/>
  <c r="J1712" i="1"/>
  <c r="J1736" i="1"/>
  <c r="J1760" i="1"/>
  <c r="I1777" i="1"/>
  <c r="I1789" i="1"/>
  <c r="I1801" i="1"/>
  <c r="I1813" i="1"/>
  <c r="I1825" i="1"/>
  <c r="I1837" i="1"/>
  <c r="I1849" i="1"/>
  <c r="I1861" i="1"/>
  <c r="I1873" i="1"/>
  <c r="I1882" i="1"/>
  <c r="I1893" i="1"/>
  <c r="I1904" i="1"/>
  <c r="I1912" i="1"/>
  <c r="I1922" i="1"/>
  <c r="J1929" i="1"/>
  <c r="J1937" i="1"/>
  <c r="I1946" i="1"/>
  <c r="J1953" i="1"/>
  <c r="J1961" i="1"/>
  <c r="I1970" i="1"/>
  <c r="J1977" i="1"/>
  <c r="J1985" i="1"/>
  <c r="I1994" i="1"/>
  <c r="J193" i="1"/>
  <c r="J197" i="1"/>
  <c r="F195" i="1"/>
  <c r="G202" i="1"/>
  <c r="G210" i="1"/>
  <c r="F218" i="1"/>
  <c r="F224" i="1"/>
  <c r="F230" i="1"/>
  <c r="F236" i="1"/>
  <c r="F242" i="1"/>
  <c r="F248" i="1"/>
  <c r="F254" i="1"/>
  <c r="F260" i="1"/>
  <c r="F266" i="1"/>
  <c r="F272" i="1"/>
  <c r="F278" i="1"/>
  <c r="F284" i="1"/>
  <c r="F290" i="1"/>
  <c r="F296" i="1"/>
  <c r="F302" i="1"/>
  <c r="F308" i="1"/>
  <c r="F314" i="1"/>
  <c r="F320" i="1"/>
  <c r="F326" i="1"/>
  <c r="F332" i="1"/>
  <c r="F338" i="1"/>
  <c r="F344" i="1"/>
  <c r="F350" i="1"/>
  <c r="F356" i="1"/>
  <c r="F362" i="1"/>
  <c r="F368" i="1"/>
  <c r="F374" i="1"/>
  <c r="F380" i="1"/>
  <c r="F386" i="1"/>
  <c r="F392" i="1"/>
  <c r="F398" i="1"/>
  <c r="F404" i="1"/>
  <c r="F410" i="1"/>
  <c r="F416" i="1"/>
  <c r="F422" i="1"/>
  <c r="F428" i="1"/>
  <c r="F434" i="1"/>
  <c r="F440" i="1"/>
  <c r="F446" i="1"/>
  <c r="F452" i="1"/>
  <c r="F458" i="1"/>
  <c r="F464" i="1"/>
  <c r="F470" i="1"/>
  <c r="F476" i="1"/>
  <c r="F482" i="1"/>
  <c r="F488" i="1"/>
  <c r="F494" i="1"/>
  <c r="F500" i="1"/>
  <c r="F506" i="1"/>
  <c r="F512" i="1"/>
  <c r="F518" i="1"/>
  <c r="F524" i="1"/>
  <c r="F530" i="1"/>
  <c r="F536" i="1"/>
  <c r="F542" i="1"/>
  <c r="F548" i="1"/>
  <c r="F554" i="1"/>
  <c r="F560" i="1"/>
  <c r="F566" i="1"/>
  <c r="F572" i="1"/>
  <c r="F578" i="1"/>
  <c r="F584" i="1"/>
  <c r="F590" i="1"/>
  <c r="F596" i="1"/>
  <c r="F602" i="1"/>
  <c r="F608" i="1"/>
  <c r="F614" i="1"/>
  <c r="F620" i="1"/>
  <c r="F626" i="1"/>
  <c r="F632" i="1"/>
  <c r="F638" i="1"/>
  <c r="F644" i="1"/>
  <c r="F650" i="1"/>
  <c r="F656" i="1"/>
  <c r="F662" i="1"/>
  <c r="F668" i="1"/>
  <c r="F674" i="1"/>
  <c r="F680" i="1"/>
  <c r="F686" i="1"/>
  <c r="F692" i="1"/>
  <c r="F698" i="1"/>
  <c r="F704" i="1"/>
  <c r="F710" i="1"/>
  <c r="F716" i="1"/>
  <c r="F722" i="1"/>
  <c r="F728" i="1"/>
  <c r="F734" i="1"/>
  <c r="F740" i="1"/>
  <c r="F746" i="1"/>
  <c r="F752" i="1"/>
  <c r="J907" i="1"/>
  <c r="J1037" i="1"/>
  <c r="J1135" i="1"/>
  <c r="J1231" i="1"/>
  <c r="J1327" i="1"/>
  <c r="J1423" i="1"/>
  <c r="J1504" i="1"/>
  <c r="J1576" i="1"/>
  <c r="J1642" i="1"/>
  <c r="J1678" i="1"/>
  <c r="I1713" i="1"/>
  <c r="I1737" i="1"/>
  <c r="I1761" i="1"/>
  <c r="J1778" i="1"/>
  <c r="J1790" i="1"/>
  <c r="J1802" i="1"/>
  <c r="J1814" i="1"/>
  <c r="J1826" i="1"/>
  <c r="J1838" i="1"/>
  <c r="J1850" i="1"/>
  <c r="J1862" i="1"/>
  <c r="I1874" i="1"/>
  <c r="J1882" i="1"/>
  <c r="J1893" i="1"/>
  <c r="J1904" i="1"/>
  <c r="J1912" i="1"/>
  <c r="J1922" i="1"/>
  <c r="I1930" i="1"/>
  <c r="I1939" i="1"/>
  <c r="J1946" i="1"/>
  <c r="I1954" i="1"/>
  <c r="I1963" i="1"/>
  <c r="J1970" i="1"/>
  <c r="I1978" i="1"/>
  <c r="I1987" i="1"/>
  <c r="J1994" i="1"/>
  <c r="I194" i="1"/>
  <c r="I199" i="1"/>
  <c r="G195" i="1"/>
  <c r="F203" i="1"/>
  <c r="F212" i="1"/>
  <c r="G218" i="1"/>
  <c r="G224" i="1"/>
  <c r="G230" i="1"/>
  <c r="G236" i="1"/>
  <c r="G242" i="1"/>
  <c r="G248" i="1"/>
  <c r="G254" i="1"/>
  <c r="G260" i="1"/>
  <c r="G266" i="1"/>
  <c r="G272" i="1"/>
  <c r="G278" i="1"/>
  <c r="G284" i="1"/>
  <c r="G290" i="1"/>
  <c r="G296" i="1"/>
  <c r="G302" i="1"/>
  <c r="G308" i="1"/>
  <c r="G314" i="1"/>
  <c r="G320" i="1"/>
  <c r="G326" i="1"/>
  <c r="G332" i="1"/>
  <c r="G338" i="1"/>
  <c r="G344" i="1"/>
  <c r="G350" i="1"/>
  <c r="G356" i="1"/>
  <c r="G362" i="1"/>
  <c r="G368" i="1"/>
  <c r="G374" i="1"/>
  <c r="G380" i="1"/>
  <c r="G386" i="1"/>
  <c r="G392" i="1"/>
  <c r="G398" i="1"/>
  <c r="G404" i="1"/>
  <c r="G410" i="1"/>
  <c r="G416" i="1"/>
  <c r="G422" i="1"/>
  <c r="G428" i="1"/>
  <c r="G434" i="1"/>
  <c r="G440" i="1"/>
  <c r="G446" i="1"/>
  <c r="G452" i="1"/>
  <c r="J933" i="1"/>
  <c r="J1055" i="1"/>
  <c r="J1151" i="1"/>
  <c r="J1247" i="1"/>
  <c r="J1343" i="1"/>
  <c r="J1439" i="1"/>
  <c r="J1516" i="1"/>
  <c r="J1588" i="1"/>
  <c r="J1648" i="1"/>
  <c r="J1684" i="1"/>
  <c r="J1718" i="1"/>
  <c r="J1742" i="1"/>
  <c r="J1766" i="1"/>
  <c r="J1779" i="1"/>
  <c r="J1791" i="1"/>
  <c r="J1803" i="1"/>
  <c r="J1815" i="1"/>
  <c r="J1827" i="1"/>
  <c r="J1839" i="1"/>
  <c r="J1851" i="1"/>
  <c r="J1863" i="1"/>
  <c r="I1875" i="1"/>
  <c r="I1886" i="1"/>
  <c r="J1894" i="1"/>
  <c r="J1905" i="1"/>
  <c r="I1915" i="1"/>
  <c r="J1923" i="1"/>
  <c r="J1931" i="1"/>
  <c r="I1940" i="1"/>
  <c r="J1947" i="1"/>
  <c r="J1955" i="1"/>
  <c r="I1964" i="1"/>
  <c r="J1971" i="1"/>
  <c r="J1979" i="1"/>
  <c r="I1988" i="1"/>
  <c r="J1995" i="1"/>
  <c r="I200" i="1"/>
  <c r="G196" i="1"/>
  <c r="G204" i="1"/>
  <c r="F213" i="1"/>
  <c r="G219" i="1"/>
  <c r="G225" i="1"/>
  <c r="G231" i="1"/>
  <c r="G237" i="1"/>
  <c r="G243" i="1"/>
  <c r="G249" i="1"/>
  <c r="G255" i="1"/>
  <c r="G261" i="1"/>
  <c r="G267" i="1"/>
  <c r="G273" i="1"/>
  <c r="G279" i="1"/>
  <c r="G285" i="1"/>
  <c r="G291" i="1"/>
  <c r="G297" i="1"/>
  <c r="G303" i="1"/>
  <c r="G309" i="1"/>
  <c r="G315" i="1"/>
  <c r="G321" i="1"/>
  <c r="G327" i="1"/>
  <c r="G333" i="1"/>
  <c r="G339" i="1"/>
  <c r="G345" i="1"/>
  <c r="G351" i="1"/>
  <c r="G357" i="1"/>
  <c r="G363" i="1"/>
  <c r="G369" i="1"/>
  <c r="G375" i="1"/>
  <c r="G381" i="1"/>
  <c r="G387" i="1"/>
  <c r="G393" i="1"/>
  <c r="G399" i="1"/>
  <c r="G405" i="1"/>
  <c r="G411" i="1"/>
  <c r="I921" i="1"/>
  <c r="J1762" i="1"/>
  <c r="I1905" i="1"/>
  <c r="J194" i="1"/>
  <c r="F261" i="1"/>
  <c r="F333" i="1"/>
  <c r="F405" i="1"/>
  <c r="F447" i="1"/>
  <c r="G471" i="1"/>
  <c r="G495" i="1"/>
  <c r="G519" i="1"/>
  <c r="G543" i="1"/>
  <c r="G567" i="1"/>
  <c r="G591" i="1"/>
  <c r="G615" i="1"/>
  <c r="G639" i="1"/>
  <c r="G663" i="1"/>
  <c r="G687" i="1"/>
  <c r="G711" i="1"/>
  <c r="G735" i="1"/>
  <c r="F759" i="1"/>
  <c r="F777" i="1"/>
  <c r="F795" i="1"/>
  <c r="F813" i="1"/>
  <c r="F831" i="1"/>
  <c r="G848" i="1"/>
  <c r="F861" i="1"/>
  <c r="F873" i="1"/>
  <c r="F885" i="1"/>
  <c r="F897" i="1"/>
  <c r="G908" i="1"/>
  <c r="F916" i="1"/>
  <c r="F925" i="1"/>
  <c r="G932" i="1"/>
  <c r="F940" i="1"/>
  <c r="F949" i="1"/>
  <c r="G956" i="1"/>
  <c r="F964" i="1"/>
  <c r="F973" i="1"/>
  <c r="G980" i="1"/>
  <c r="F988" i="1"/>
  <c r="F996" i="1"/>
  <c r="F1003" i="1"/>
  <c r="F1010" i="1"/>
  <c r="F1017" i="1"/>
  <c r="F1024" i="1"/>
  <c r="F1032" i="1"/>
  <c r="F1039" i="1"/>
  <c r="F1046" i="1"/>
  <c r="F1053" i="1"/>
  <c r="F1060" i="1"/>
  <c r="F1068" i="1"/>
  <c r="F1074" i="1"/>
  <c r="F1080" i="1"/>
  <c r="F1086" i="1"/>
  <c r="F1092" i="1"/>
  <c r="F1098" i="1"/>
  <c r="F1104" i="1"/>
  <c r="F1110" i="1"/>
  <c r="F1116" i="1"/>
  <c r="F1122" i="1"/>
  <c r="F1128" i="1"/>
  <c r="F1134" i="1"/>
  <c r="F1140" i="1"/>
  <c r="F1146" i="1"/>
  <c r="F1152" i="1"/>
  <c r="F1158" i="1"/>
  <c r="F1164" i="1"/>
  <c r="F1170" i="1"/>
  <c r="F1176" i="1"/>
  <c r="F1182" i="1"/>
  <c r="F1188" i="1"/>
  <c r="F1194" i="1"/>
  <c r="F1200" i="1"/>
  <c r="F1206" i="1"/>
  <c r="F1212" i="1"/>
  <c r="F1218" i="1"/>
  <c r="F1224" i="1"/>
  <c r="F1230" i="1"/>
  <c r="F1236" i="1"/>
  <c r="F1242" i="1"/>
  <c r="F1248" i="1"/>
  <c r="F1254" i="1"/>
  <c r="F1260" i="1"/>
  <c r="F1266" i="1"/>
  <c r="F1272" i="1"/>
  <c r="F1278" i="1"/>
  <c r="F1284" i="1"/>
  <c r="F1290" i="1"/>
  <c r="F1296" i="1"/>
  <c r="F1302" i="1"/>
  <c r="F1308" i="1"/>
  <c r="F1314" i="1"/>
  <c r="F1320" i="1"/>
  <c r="F1326" i="1"/>
  <c r="F1332" i="1"/>
  <c r="F1338" i="1"/>
  <c r="F1344" i="1"/>
  <c r="F1350" i="1"/>
  <c r="F1356" i="1"/>
  <c r="F1362" i="1"/>
  <c r="F1368" i="1"/>
  <c r="F1374" i="1"/>
  <c r="F1380" i="1"/>
  <c r="F1386" i="1"/>
  <c r="F1392" i="1"/>
  <c r="F1398" i="1"/>
  <c r="F1404" i="1"/>
  <c r="F1410" i="1"/>
  <c r="F1416" i="1"/>
  <c r="F1422" i="1"/>
  <c r="F1428" i="1"/>
  <c r="F1434" i="1"/>
  <c r="F1440" i="1"/>
  <c r="F1446" i="1"/>
  <c r="F1452" i="1"/>
  <c r="F1458" i="1"/>
  <c r="F1464" i="1"/>
  <c r="F1470" i="1"/>
  <c r="F1476" i="1"/>
  <c r="F1482" i="1"/>
  <c r="F1488" i="1"/>
  <c r="F1494" i="1"/>
  <c r="F1500" i="1"/>
  <c r="F1506" i="1"/>
  <c r="F1512" i="1"/>
  <c r="F1518" i="1"/>
  <c r="F1524" i="1"/>
  <c r="F1530" i="1"/>
  <c r="F1536" i="1"/>
  <c r="F1542" i="1"/>
  <c r="F1548" i="1"/>
  <c r="F1554" i="1"/>
  <c r="F1560" i="1"/>
  <c r="I1046" i="1"/>
  <c r="I1779" i="1"/>
  <c r="J1913" i="1"/>
  <c r="J199" i="1"/>
  <c r="F267" i="1"/>
  <c r="F339" i="1"/>
  <c r="F411" i="1"/>
  <c r="G447" i="1"/>
  <c r="G476" i="1"/>
  <c r="G500" i="1"/>
  <c r="G524" i="1"/>
  <c r="G548" i="1"/>
  <c r="G572" i="1"/>
  <c r="G596" i="1"/>
  <c r="G620" i="1"/>
  <c r="G644" i="1"/>
  <c r="G668" i="1"/>
  <c r="G692" i="1"/>
  <c r="G716" i="1"/>
  <c r="G740" i="1"/>
  <c r="G759" i="1"/>
  <c r="G777" i="1"/>
  <c r="G795" i="1"/>
  <c r="G813" i="1"/>
  <c r="G831" i="1"/>
  <c r="F849" i="1"/>
  <c r="G861" i="1"/>
  <c r="G873" i="1"/>
  <c r="G885" i="1"/>
  <c r="G897" i="1"/>
  <c r="F909" i="1"/>
  <c r="F918" i="1"/>
  <c r="G925" i="1"/>
  <c r="F933" i="1"/>
  <c r="F942" i="1"/>
  <c r="G949" i="1"/>
  <c r="F957" i="1"/>
  <c r="F966" i="1"/>
  <c r="G973" i="1"/>
  <c r="F981" i="1"/>
  <c r="G989" i="1"/>
  <c r="G996" i="1"/>
  <c r="G1003" i="1"/>
  <c r="G1010" i="1"/>
  <c r="G1017" i="1"/>
  <c r="G1025" i="1"/>
  <c r="G1032" i="1"/>
  <c r="G1039" i="1"/>
  <c r="G1046" i="1"/>
  <c r="G1053" i="1"/>
  <c r="G1061" i="1"/>
  <c r="G1068" i="1"/>
  <c r="G1074" i="1"/>
  <c r="G1080" i="1"/>
  <c r="G1086" i="1"/>
  <c r="G1092" i="1"/>
  <c r="G1098" i="1"/>
  <c r="G1104" i="1"/>
  <c r="G1110" i="1"/>
  <c r="G1116" i="1"/>
  <c r="G1122" i="1"/>
  <c r="G1128" i="1"/>
  <c r="G1134" i="1"/>
  <c r="G1140" i="1"/>
  <c r="G1146" i="1"/>
  <c r="G1152" i="1"/>
  <c r="G1158" i="1"/>
  <c r="G1164" i="1"/>
  <c r="G1170" i="1"/>
  <c r="G1176" i="1"/>
  <c r="G1182" i="1"/>
  <c r="G1188" i="1"/>
  <c r="G1194" i="1"/>
  <c r="G1200" i="1"/>
  <c r="G1206" i="1"/>
  <c r="G1212" i="1"/>
  <c r="G1218" i="1"/>
  <c r="G1224" i="1"/>
  <c r="G1230" i="1"/>
  <c r="G1236" i="1"/>
  <c r="G1242" i="1"/>
  <c r="G1248" i="1"/>
  <c r="G1254" i="1"/>
  <c r="G1260" i="1"/>
  <c r="G1266" i="1"/>
  <c r="G1272" i="1"/>
  <c r="G1278" i="1"/>
  <c r="G1284" i="1"/>
  <c r="G1290" i="1"/>
  <c r="G1296" i="1"/>
  <c r="G1302" i="1"/>
  <c r="G1308" i="1"/>
  <c r="G1314" i="1"/>
  <c r="G1320" i="1"/>
  <c r="G1326" i="1"/>
  <c r="G1332" i="1"/>
  <c r="G1338" i="1"/>
  <c r="G1344" i="1"/>
  <c r="G1350" i="1"/>
  <c r="G1356" i="1"/>
  <c r="G1362" i="1"/>
  <c r="G1368" i="1"/>
  <c r="G1374" i="1"/>
  <c r="G1380" i="1"/>
  <c r="G1386" i="1"/>
  <c r="G1392" i="1"/>
  <c r="G1398" i="1"/>
  <c r="G1404" i="1"/>
  <c r="G1410" i="1"/>
  <c r="G1416" i="1"/>
  <c r="G1422" i="1"/>
  <c r="G1428" i="1"/>
  <c r="G1434" i="1"/>
  <c r="G1440" i="1"/>
  <c r="G1446" i="1"/>
  <c r="G1452" i="1"/>
  <c r="G1458" i="1"/>
  <c r="G1464" i="1"/>
  <c r="G1470" i="1"/>
  <c r="G1476" i="1"/>
  <c r="G1482" i="1"/>
  <c r="G1488" i="1"/>
  <c r="G1494" i="1"/>
  <c r="G1500" i="1"/>
  <c r="G1506" i="1"/>
  <c r="G1512" i="1"/>
  <c r="G1518" i="1"/>
  <c r="G1524" i="1"/>
  <c r="G1530" i="1"/>
  <c r="G1536" i="1"/>
  <c r="G1542" i="1"/>
  <c r="G1548" i="1"/>
  <c r="G1554" i="1"/>
  <c r="G1560" i="1"/>
  <c r="G1566" i="1"/>
  <c r="G1572" i="1"/>
  <c r="G1578" i="1"/>
  <c r="G1584" i="1"/>
  <c r="G1590" i="1"/>
  <c r="G1596" i="1"/>
  <c r="G1602" i="1"/>
  <c r="G1608" i="1"/>
  <c r="G1614" i="1"/>
  <c r="G1620" i="1"/>
  <c r="G1626" i="1"/>
  <c r="G1632" i="1"/>
  <c r="G1638" i="1"/>
  <c r="G1644" i="1"/>
  <c r="G1650" i="1"/>
  <c r="G1656" i="1"/>
  <c r="G1662" i="1"/>
  <c r="G1668" i="1"/>
  <c r="G1674" i="1"/>
  <c r="G1680" i="1"/>
  <c r="G1686" i="1"/>
  <c r="G1692" i="1"/>
  <c r="G1698" i="1"/>
  <c r="G1704" i="1"/>
  <c r="G1710" i="1"/>
  <c r="G1716" i="1"/>
  <c r="G1722" i="1"/>
  <c r="G1728" i="1"/>
  <c r="G1734" i="1"/>
  <c r="G1740" i="1"/>
  <c r="G1746" i="1"/>
  <c r="G1752" i="1"/>
  <c r="G1758" i="1"/>
  <c r="G1764" i="1"/>
  <c r="G1770" i="1"/>
  <c r="G1776" i="1"/>
  <c r="G1782" i="1"/>
  <c r="I1143" i="1"/>
  <c r="I1791" i="1"/>
  <c r="I1923" i="1"/>
  <c r="F196" i="1"/>
  <c r="F273" i="1"/>
  <c r="F345" i="1"/>
  <c r="F417" i="1"/>
  <c r="F453" i="1"/>
  <c r="F477" i="1"/>
  <c r="F501" i="1"/>
  <c r="F525" i="1"/>
  <c r="F549" i="1"/>
  <c r="F573" i="1"/>
  <c r="F597" i="1"/>
  <c r="F621" i="1"/>
  <c r="F645" i="1"/>
  <c r="F669" i="1"/>
  <c r="F693" i="1"/>
  <c r="F717" i="1"/>
  <c r="F741" i="1"/>
  <c r="F764" i="1"/>
  <c r="F782" i="1"/>
  <c r="F800" i="1"/>
  <c r="F818" i="1"/>
  <c r="F836" i="1"/>
  <c r="G849" i="1"/>
  <c r="F862" i="1"/>
  <c r="F874" i="1"/>
  <c r="F886" i="1"/>
  <c r="F898" i="1"/>
  <c r="G909" i="1"/>
  <c r="G918" i="1"/>
  <c r="F926" i="1"/>
  <c r="G933" i="1"/>
  <c r="G942" i="1"/>
  <c r="F950" i="1"/>
  <c r="G957" i="1"/>
  <c r="G966" i="1"/>
  <c r="F974" i="1"/>
  <c r="G981" i="1"/>
  <c r="F990" i="1"/>
  <c r="F997" i="1"/>
  <c r="F1004" i="1"/>
  <c r="F1011" i="1"/>
  <c r="F1018" i="1"/>
  <c r="F1026" i="1"/>
  <c r="F1033" i="1"/>
  <c r="F1040" i="1"/>
  <c r="F1047" i="1"/>
  <c r="F1054" i="1"/>
  <c r="F1062" i="1"/>
  <c r="F1069" i="1"/>
  <c r="F1075" i="1"/>
  <c r="F1081" i="1"/>
  <c r="F1087" i="1"/>
  <c r="F1093" i="1"/>
  <c r="F1099" i="1"/>
  <c r="F1105" i="1"/>
  <c r="F1111" i="1"/>
  <c r="F1117" i="1"/>
  <c r="F1123" i="1"/>
  <c r="F1129" i="1"/>
  <c r="F1135" i="1"/>
  <c r="F1141" i="1"/>
  <c r="F1147" i="1"/>
  <c r="F1153" i="1"/>
  <c r="F1159" i="1"/>
  <c r="F1165" i="1"/>
  <c r="F1171" i="1"/>
  <c r="F1177" i="1"/>
  <c r="F1183" i="1"/>
  <c r="F1189" i="1"/>
  <c r="F1195" i="1"/>
  <c r="F1201" i="1"/>
  <c r="F1207" i="1"/>
  <c r="F1213" i="1"/>
  <c r="F1219" i="1"/>
  <c r="F1225" i="1"/>
  <c r="F1231" i="1"/>
  <c r="F1237" i="1"/>
  <c r="F1243" i="1"/>
  <c r="F1249" i="1"/>
  <c r="F1255" i="1"/>
  <c r="F1261" i="1"/>
  <c r="F1267" i="1"/>
  <c r="F1273" i="1"/>
  <c r="F1279" i="1"/>
  <c r="F1285" i="1"/>
  <c r="F1291" i="1"/>
  <c r="F1297" i="1"/>
  <c r="F1303" i="1"/>
  <c r="F1309" i="1"/>
  <c r="F1315" i="1"/>
  <c r="F1321" i="1"/>
  <c r="F1327" i="1"/>
  <c r="F1333" i="1"/>
  <c r="F1339" i="1"/>
  <c r="F1345" i="1"/>
  <c r="F1351" i="1"/>
  <c r="F1357" i="1"/>
  <c r="F1363" i="1"/>
  <c r="F1369" i="1"/>
  <c r="F1375" i="1"/>
  <c r="F1381" i="1"/>
  <c r="F1387" i="1"/>
  <c r="F1393" i="1"/>
  <c r="F1399" i="1"/>
  <c r="F1405" i="1"/>
  <c r="F1411" i="1"/>
  <c r="F1417" i="1"/>
  <c r="F1423" i="1"/>
  <c r="F1429" i="1"/>
  <c r="F1435" i="1"/>
  <c r="F1441" i="1"/>
  <c r="F1447" i="1"/>
  <c r="F1453" i="1"/>
  <c r="F1459" i="1"/>
  <c r="F1465" i="1"/>
  <c r="F1471" i="1"/>
  <c r="F1477" i="1"/>
  <c r="F1483" i="1"/>
  <c r="F1489" i="1"/>
  <c r="F1495" i="1"/>
  <c r="F1501" i="1"/>
  <c r="F1507" i="1"/>
  <c r="F1513" i="1"/>
  <c r="F1519" i="1"/>
  <c r="F1525" i="1"/>
  <c r="F1531" i="1"/>
  <c r="F1537" i="1"/>
  <c r="F1543" i="1"/>
  <c r="F1549" i="1"/>
  <c r="F1555" i="1"/>
  <c r="F1561" i="1"/>
  <c r="F1567" i="1"/>
  <c r="F1573" i="1"/>
  <c r="F1579" i="1"/>
  <c r="F1585" i="1"/>
  <c r="F1591" i="1"/>
  <c r="F1597" i="1"/>
  <c r="F1603" i="1"/>
  <c r="F1609" i="1"/>
  <c r="F1615" i="1"/>
  <c r="F1621" i="1"/>
  <c r="F1627" i="1"/>
  <c r="F1633" i="1"/>
  <c r="F1639" i="1"/>
  <c r="F1645" i="1"/>
  <c r="F1651" i="1"/>
  <c r="F1657" i="1"/>
  <c r="F1663" i="1"/>
  <c r="F1669" i="1"/>
  <c r="F1675" i="1"/>
  <c r="F1681" i="1"/>
  <c r="F1687" i="1"/>
  <c r="F1693" i="1"/>
  <c r="F1699" i="1"/>
  <c r="F1705" i="1"/>
  <c r="F1711" i="1"/>
  <c r="F1717" i="1"/>
  <c r="F1723" i="1"/>
  <c r="F1729" i="1"/>
  <c r="F1735" i="1"/>
  <c r="F1741" i="1"/>
  <c r="F1747" i="1"/>
  <c r="F1753" i="1"/>
  <c r="F1759" i="1"/>
  <c r="F1765" i="1"/>
  <c r="F1771" i="1"/>
  <c r="F1777" i="1"/>
  <c r="F1783" i="1"/>
  <c r="F1789" i="1"/>
  <c r="F1795" i="1"/>
  <c r="F1801" i="1"/>
  <c r="F1807" i="1"/>
  <c r="F1813" i="1"/>
  <c r="F1819" i="1"/>
  <c r="F1825" i="1"/>
  <c r="F1831" i="1"/>
  <c r="F1837" i="1"/>
  <c r="F1843" i="1"/>
  <c r="F1849" i="1"/>
  <c r="F1855" i="1"/>
  <c r="F1861" i="1"/>
  <c r="F1867" i="1"/>
  <c r="F1873" i="1"/>
  <c r="F1879" i="1"/>
  <c r="F1885" i="1"/>
  <c r="F1891" i="1"/>
  <c r="F1897" i="1"/>
  <c r="F1903" i="1"/>
  <c r="F1909" i="1"/>
  <c r="F1915" i="1"/>
  <c r="F1921" i="1"/>
  <c r="F1927" i="1"/>
  <c r="F1933" i="1"/>
  <c r="F1939" i="1"/>
  <c r="F1945" i="1"/>
  <c r="F1951" i="1"/>
  <c r="F1957" i="1"/>
  <c r="F1963" i="1"/>
  <c r="F1969" i="1"/>
  <c r="F1975" i="1"/>
  <c r="F1981" i="1"/>
  <c r="F1987" i="1"/>
  <c r="F1993" i="1"/>
  <c r="F1999" i="1"/>
  <c r="R11" i="1"/>
  <c r="R17" i="1"/>
  <c r="R23" i="1"/>
  <c r="R29" i="1"/>
  <c r="R35" i="1"/>
  <c r="R41" i="1"/>
  <c r="R47" i="1"/>
  <c r="R53" i="1"/>
  <c r="R59" i="1"/>
  <c r="R65" i="1"/>
  <c r="R71" i="1"/>
  <c r="R77" i="1"/>
  <c r="R83" i="1"/>
  <c r="R89" i="1"/>
  <c r="R95" i="1"/>
  <c r="R101" i="1"/>
  <c r="R107" i="1"/>
  <c r="R113" i="1"/>
  <c r="I1239" i="1"/>
  <c r="I1803" i="1"/>
  <c r="J1930" i="1"/>
  <c r="G203" i="1"/>
  <c r="F279" i="1"/>
  <c r="F351" i="1"/>
  <c r="G417" i="1"/>
  <c r="G453" i="1"/>
  <c r="G477" i="1"/>
  <c r="G501" i="1"/>
  <c r="G525" i="1"/>
  <c r="G549" i="1"/>
  <c r="G573" i="1"/>
  <c r="G597" i="1"/>
  <c r="G621" i="1"/>
  <c r="G645" i="1"/>
  <c r="G669" i="1"/>
  <c r="G693" i="1"/>
  <c r="G717" i="1"/>
  <c r="G741" i="1"/>
  <c r="G764" i="1"/>
  <c r="G782" i="1"/>
  <c r="G800" i="1"/>
  <c r="G818" i="1"/>
  <c r="G836" i="1"/>
  <c r="F850" i="1"/>
  <c r="F864" i="1"/>
  <c r="F876" i="1"/>
  <c r="F888" i="1"/>
  <c r="F900" i="1"/>
  <c r="F910" i="1"/>
  <c r="F919" i="1"/>
  <c r="G926" i="1"/>
  <c r="F934" i="1"/>
  <c r="F943" i="1"/>
  <c r="G950" i="1"/>
  <c r="F958" i="1"/>
  <c r="F967" i="1"/>
  <c r="G974" i="1"/>
  <c r="F982" i="1"/>
  <c r="G990" i="1"/>
  <c r="G997" i="1"/>
  <c r="G1004" i="1"/>
  <c r="G1011" i="1"/>
  <c r="G1019" i="1"/>
  <c r="G1026" i="1"/>
  <c r="G1033" i="1"/>
  <c r="G1040" i="1"/>
  <c r="G1047" i="1"/>
  <c r="G1055" i="1"/>
  <c r="G1062" i="1"/>
  <c r="G1069" i="1"/>
  <c r="G1075" i="1"/>
  <c r="G1081" i="1"/>
  <c r="G1087" i="1"/>
  <c r="G1093" i="1"/>
  <c r="G1099" i="1"/>
  <c r="G1105" i="1"/>
  <c r="G1111" i="1"/>
  <c r="G1117" i="1"/>
  <c r="G1123" i="1"/>
  <c r="G1129" i="1"/>
  <c r="G1135" i="1"/>
  <c r="G1141" i="1"/>
  <c r="G1147" i="1"/>
  <c r="G1153" i="1"/>
  <c r="G1159" i="1"/>
  <c r="G1165" i="1"/>
  <c r="G1171" i="1"/>
  <c r="G1177" i="1"/>
  <c r="G1183" i="1"/>
  <c r="G1189" i="1"/>
  <c r="G1195" i="1"/>
  <c r="G1201" i="1"/>
  <c r="G1207" i="1"/>
  <c r="G1213" i="1"/>
  <c r="G1219" i="1"/>
  <c r="G1225" i="1"/>
  <c r="G1231" i="1"/>
  <c r="G1237" i="1"/>
  <c r="G1243" i="1"/>
  <c r="G1249" i="1"/>
  <c r="G1255" i="1"/>
  <c r="G1261" i="1"/>
  <c r="G1267" i="1"/>
  <c r="G1273" i="1"/>
  <c r="G1279" i="1"/>
  <c r="G1285" i="1"/>
  <c r="G1291" i="1"/>
  <c r="G1297" i="1"/>
  <c r="G1303" i="1"/>
  <c r="G1309" i="1"/>
  <c r="G1315" i="1"/>
  <c r="G1321" i="1"/>
  <c r="G1327" i="1"/>
  <c r="G1333" i="1"/>
  <c r="G1339" i="1"/>
  <c r="G1345" i="1"/>
  <c r="G1351" i="1"/>
  <c r="G1357" i="1"/>
  <c r="G1363" i="1"/>
  <c r="G1369" i="1"/>
  <c r="G1375" i="1"/>
  <c r="G1381" i="1"/>
  <c r="G1387" i="1"/>
  <c r="G1393" i="1"/>
  <c r="G1399" i="1"/>
  <c r="G1405" i="1"/>
  <c r="G1411" i="1"/>
  <c r="G1417" i="1"/>
  <c r="G1423" i="1"/>
  <c r="G1429" i="1"/>
  <c r="G1435" i="1"/>
  <c r="G1441" i="1"/>
  <c r="G1447" i="1"/>
  <c r="G1453" i="1"/>
  <c r="G1459" i="1"/>
  <c r="G1465" i="1"/>
  <c r="G1471" i="1"/>
  <c r="G1477" i="1"/>
  <c r="G1483" i="1"/>
  <c r="G1489" i="1"/>
  <c r="G1495" i="1"/>
  <c r="G1501" i="1"/>
  <c r="G1507" i="1"/>
  <c r="G1513" i="1"/>
  <c r="G1519" i="1"/>
  <c r="G1525" i="1"/>
  <c r="G1531" i="1"/>
  <c r="G1537" i="1"/>
  <c r="G1543" i="1"/>
  <c r="G1549" i="1"/>
  <c r="G1555" i="1"/>
  <c r="G1561" i="1"/>
  <c r="G1567" i="1"/>
  <c r="G1573" i="1"/>
  <c r="G1579" i="1"/>
  <c r="G1585" i="1"/>
  <c r="G1591" i="1"/>
  <c r="G1597" i="1"/>
  <c r="G1603" i="1"/>
  <c r="G1609" i="1"/>
  <c r="G1615" i="1"/>
  <c r="G1621" i="1"/>
  <c r="G1627" i="1"/>
  <c r="G1633" i="1"/>
  <c r="G1639" i="1"/>
  <c r="G1645" i="1"/>
  <c r="G1651" i="1"/>
  <c r="G1657" i="1"/>
  <c r="G1663" i="1"/>
  <c r="G1669" i="1"/>
  <c r="G1675" i="1"/>
  <c r="G1681" i="1"/>
  <c r="G1687" i="1"/>
  <c r="G1693" i="1"/>
  <c r="G1699" i="1"/>
  <c r="G1705" i="1"/>
  <c r="G1711" i="1"/>
  <c r="G1717" i="1"/>
  <c r="G1723" i="1"/>
  <c r="G1729" i="1"/>
  <c r="G1735" i="1"/>
  <c r="G1741" i="1"/>
  <c r="G1747" i="1"/>
  <c r="G1753" i="1"/>
  <c r="G1759" i="1"/>
  <c r="G1765" i="1"/>
  <c r="G1771" i="1"/>
  <c r="G1777" i="1"/>
  <c r="G1783" i="1"/>
  <c r="G1789" i="1"/>
  <c r="G1795" i="1"/>
  <c r="G1801" i="1"/>
  <c r="G1807" i="1"/>
  <c r="G1813" i="1"/>
  <c r="G1819" i="1"/>
  <c r="G1825" i="1"/>
  <c r="G1831" i="1"/>
  <c r="G1837" i="1"/>
  <c r="G1843" i="1"/>
  <c r="G1849" i="1"/>
  <c r="G1855" i="1"/>
  <c r="G1861" i="1"/>
  <c r="I1335" i="1"/>
  <c r="I1815" i="1"/>
  <c r="J1939" i="1"/>
  <c r="G212" i="1"/>
  <c r="F285" i="1"/>
  <c r="F357" i="1"/>
  <c r="F423" i="1"/>
  <c r="G458" i="1"/>
  <c r="G482" i="1"/>
  <c r="G506" i="1"/>
  <c r="G530" i="1"/>
  <c r="G554" i="1"/>
  <c r="G578" i="1"/>
  <c r="G602" i="1"/>
  <c r="G626" i="1"/>
  <c r="G650" i="1"/>
  <c r="G674" i="1"/>
  <c r="G698" i="1"/>
  <c r="G722" i="1"/>
  <c r="G746" i="1"/>
  <c r="F765" i="1"/>
  <c r="F783" i="1"/>
  <c r="F801" i="1"/>
  <c r="F819" i="1"/>
  <c r="F837" i="1"/>
  <c r="F854" i="1"/>
  <c r="F866" i="1"/>
  <c r="F878" i="1"/>
  <c r="F890" i="1"/>
  <c r="F902" i="1"/>
  <c r="F912" i="1"/>
  <c r="G919" i="1"/>
  <c r="F927" i="1"/>
  <c r="F936" i="1"/>
  <c r="G943" i="1"/>
  <c r="F951" i="1"/>
  <c r="F960" i="1"/>
  <c r="G967" i="1"/>
  <c r="F975" i="1"/>
  <c r="F984" i="1"/>
  <c r="F991" i="1"/>
  <c r="F998" i="1"/>
  <c r="F1005" i="1"/>
  <c r="F1012" i="1"/>
  <c r="F1020" i="1"/>
  <c r="F1027" i="1"/>
  <c r="F1034" i="1"/>
  <c r="F1041" i="1"/>
  <c r="F1048" i="1"/>
  <c r="F1056" i="1"/>
  <c r="F1063" i="1"/>
  <c r="F1070" i="1"/>
  <c r="F1076" i="1"/>
  <c r="F1082" i="1"/>
  <c r="F1088" i="1"/>
  <c r="F1094" i="1"/>
  <c r="F1100" i="1"/>
  <c r="F1106" i="1"/>
  <c r="F1112" i="1"/>
  <c r="F1118" i="1"/>
  <c r="F1124" i="1"/>
  <c r="F1130" i="1"/>
  <c r="F1136" i="1"/>
  <c r="F1142" i="1"/>
  <c r="F1148" i="1"/>
  <c r="F1154" i="1"/>
  <c r="F1160" i="1"/>
  <c r="F1166" i="1"/>
  <c r="F1172" i="1"/>
  <c r="F1178" i="1"/>
  <c r="F1184" i="1"/>
  <c r="F1190" i="1"/>
  <c r="F1196" i="1"/>
  <c r="F1202" i="1"/>
  <c r="F1208" i="1"/>
  <c r="F1214" i="1"/>
  <c r="F1220" i="1"/>
  <c r="F1226" i="1"/>
  <c r="F1232" i="1"/>
  <c r="F1238" i="1"/>
  <c r="F1244" i="1"/>
  <c r="F1250" i="1"/>
  <c r="F1256" i="1"/>
  <c r="F1262" i="1"/>
  <c r="F1268" i="1"/>
  <c r="F1274" i="1"/>
  <c r="F1280" i="1"/>
  <c r="F1286" i="1"/>
  <c r="F1292" i="1"/>
  <c r="F1298" i="1"/>
  <c r="F1304" i="1"/>
  <c r="F1310" i="1"/>
  <c r="F1316" i="1"/>
  <c r="F1322" i="1"/>
  <c r="F1328" i="1"/>
  <c r="F1334" i="1"/>
  <c r="F1340" i="1"/>
  <c r="F1346" i="1"/>
  <c r="F1352" i="1"/>
  <c r="F1358" i="1"/>
  <c r="F1364" i="1"/>
  <c r="F1370" i="1"/>
  <c r="F1376" i="1"/>
  <c r="F1382" i="1"/>
  <c r="F1388" i="1"/>
  <c r="F1394" i="1"/>
  <c r="F1400" i="1"/>
  <c r="F1406" i="1"/>
  <c r="F1412" i="1"/>
  <c r="F1418" i="1"/>
  <c r="F1424" i="1"/>
  <c r="F1430" i="1"/>
  <c r="F1436" i="1"/>
  <c r="F1442" i="1"/>
  <c r="F1448" i="1"/>
  <c r="F1454" i="1"/>
  <c r="F1460" i="1"/>
  <c r="F1466" i="1"/>
  <c r="F1472" i="1"/>
  <c r="F1478" i="1"/>
  <c r="F1484" i="1"/>
  <c r="F1490" i="1"/>
  <c r="F1496" i="1"/>
  <c r="F1502" i="1"/>
  <c r="F1508" i="1"/>
  <c r="F1514" i="1"/>
  <c r="F1520" i="1"/>
  <c r="F1526" i="1"/>
  <c r="F1532" i="1"/>
  <c r="F1538" i="1"/>
  <c r="F1544" i="1"/>
  <c r="F1550" i="1"/>
  <c r="F1556" i="1"/>
  <c r="F1562" i="1"/>
  <c r="F1568" i="1"/>
  <c r="F1574" i="1"/>
  <c r="F1580" i="1"/>
  <c r="F1586" i="1"/>
  <c r="F1592" i="1"/>
  <c r="F1598" i="1"/>
  <c r="F1604" i="1"/>
  <c r="I1431" i="1"/>
  <c r="I1827" i="1"/>
  <c r="I1947" i="1"/>
  <c r="F219" i="1"/>
  <c r="F291" i="1"/>
  <c r="F363" i="1"/>
  <c r="G423" i="1"/>
  <c r="F459" i="1"/>
  <c r="F483" i="1"/>
  <c r="F507" i="1"/>
  <c r="F531" i="1"/>
  <c r="F555" i="1"/>
  <c r="F579" i="1"/>
  <c r="F603" i="1"/>
  <c r="F627" i="1"/>
  <c r="F651" i="1"/>
  <c r="F675" i="1"/>
  <c r="F699" i="1"/>
  <c r="F723" i="1"/>
  <c r="F747" i="1"/>
  <c r="G765" i="1"/>
  <c r="G783" i="1"/>
  <c r="G801" i="1"/>
  <c r="G819" i="1"/>
  <c r="G837" i="1"/>
  <c r="G854" i="1"/>
  <c r="G866" i="1"/>
  <c r="G878" i="1"/>
  <c r="G890" i="1"/>
  <c r="G902" i="1"/>
  <c r="G912" i="1"/>
  <c r="F920" i="1"/>
  <c r="G927" i="1"/>
  <c r="G936" i="1"/>
  <c r="F944" i="1"/>
  <c r="G951" i="1"/>
  <c r="G960" i="1"/>
  <c r="F968" i="1"/>
  <c r="G975" i="1"/>
  <c r="G984" i="1"/>
  <c r="G991" i="1"/>
  <c r="G998" i="1"/>
  <c r="G1005" i="1"/>
  <c r="G1013" i="1"/>
  <c r="G1020" i="1"/>
  <c r="G1027" i="1"/>
  <c r="G1034" i="1"/>
  <c r="G1041" i="1"/>
  <c r="G1049" i="1"/>
  <c r="G1056" i="1"/>
  <c r="G1063" i="1"/>
  <c r="G1070" i="1"/>
  <c r="G1076" i="1"/>
  <c r="G1082" i="1"/>
  <c r="G1088" i="1"/>
  <c r="G1094" i="1"/>
  <c r="G1100" i="1"/>
  <c r="G1106" i="1"/>
  <c r="G1112" i="1"/>
  <c r="G1118" i="1"/>
  <c r="G1124" i="1"/>
  <c r="G1130" i="1"/>
  <c r="G1136" i="1"/>
  <c r="G1142" i="1"/>
  <c r="G1148" i="1"/>
  <c r="G1154" i="1"/>
  <c r="G1160" i="1"/>
  <c r="G1166" i="1"/>
  <c r="G1172" i="1"/>
  <c r="G1178" i="1"/>
  <c r="G1184" i="1"/>
  <c r="G1190" i="1"/>
  <c r="G1196" i="1"/>
  <c r="G1202" i="1"/>
  <c r="G1208" i="1"/>
  <c r="G1214" i="1"/>
  <c r="G1220" i="1"/>
  <c r="G1226" i="1"/>
  <c r="G1232" i="1"/>
  <c r="G1238" i="1"/>
  <c r="G1244" i="1"/>
  <c r="G1250" i="1"/>
  <c r="G1256" i="1"/>
  <c r="G1262" i="1"/>
  <c r="G1268" i="1"/>
  <c r="G1274" i="1"/>
  <c r="G1280" i="1"/>
  <c r="G1286" i="1"/>
  <c r="G1292" i="1"/>
  <c r="G1298" i="1"/>
  <c r="G1304" i="1"/>
  <c r="G1310" i="1"/>
  <c r="G1316" i="1"/>
  <c r="G1322" i="1"/>
  <c r="G1328" i="1"/>
  <c r="G1334" i="1"/>
  <c r="G1340" i="1"/>
  <c r="G1346" i="1"/>
  <c r="G1352" i="1"/>
  <c r="G1358" i="1"/>
  <c r="G1364" i="1"/>
  <c r="G1370" i="1"/>
  <c r="G1376" i="1"/>
  <c r="G1382" i="1"/>
  <c r="G1388" i="1"/>
  <c r="G1394" i="1"/>
  <c r="G1400" i="1"/>
  <c r="G1406" i="1"/>
  <c r="G1412" i="1"/>
  <c r="G1418" i="1"/>
  <c r="G1424" i="1"/>
  <c r="G1430" i="1"/>
  <c r="G1436" i="1"/>
  <c r="G1442" i="1"/>
  <c r="G1448" i="1"/>
  <c r="G1454" i="1"/>
  <c r="G1460" i="1"/>
  <c r="G1466" i="1"/>
  <c r="G1472" i="1"/>
  <c r="G1478" i="1"/>
  <c r="G1484" i="1"/>
  <c r="G1490" i="1"/>
  <c r="G1496" i="1"/>
  <c r="G1502" i="1"/>
  <c r="G1508" i="1"/>
  <c r="G1514" i="1"/>
  <c r="G1520" i="1"/>
  <c r="G1526" i="1"/>
  <c r="G1532" i="1"/>
  <c r="G1538" i="1"/>
  <c r="G1544" i="1"/>
  <c r="G1550" i="1"/>
  <c r="G1556" i="1"/>
  <c r="G1562" i="1"/>
  <c r="G1568" i="1"/>
  <c r="G1574" i="1"/>
  <c r="G1580" i="1"/>
  <c r="G1586" i="1"/>
  <c r="G1592" i="1"/>
  <c r="G1598" i="1"/>
  <c r="G1604" i="1"/>
  <c r="G1610" i="1"/>
  <c r="G1616" i="1"/>
  <c r="G1622" i="1"/>
  <c r="G1628" i="1"/>
  <c r="G1634" i="1"/>
  <c r="G1640" i="1"/>
  <c r="G1646" i="1"/>
  <c r="G1652" i="1"/>
  <c r="G1658" i="1"/>
  <c r="G1664" i="1"/>
  <c r="G1670" i="1"/>
  <c r="G1676" i="1"/>
  <c r="G1682" i="1"/>
  <c r="G1688" i="1"/>
  <c r="G1694" i="1"/>
  <c r="G1700" i="1"/>
  <c r="G1706" i="1"/>
  <c r="G1712" i="1"/>
  <c r="G1718" i="1"/>
  <c r="G1724" i="1"/>
  <c r="G1730" i="1"/>
  <c r="G1736" i="1"/>
  <c r="G1742" i="1"/>
  <c r="G1748" i="1"/>
  <c r="G1754" i="1"/>
  <c r="G1760" i="1"/>
  <c r="G1766" i="1"/>
  <c r="J1510" i="1"/>
  <c r="I1839" i="1"/>
  <c r="J1954" i="1"/>
  <c r="F225" i="1"/>
  <c r="F297" i="1"/>
  <c r="F369" i="1"/>
  <c r="F429" i="1"/>
  <c r="G459" i="1"/>
  <c r="G483" i="1"/>
  <c r="G507" i="1"/>
  <c r="G531" i="1"/>
  <c r="G555" i="1"/>
  <c r="G579" i="1"/>
  <c r="G603" i="1"/>
  <c r="G627" i="1"/>
  <c r="G651" i="1"/>
  <c r="G675" i="1"/>
  <c r="G699" i="1"/>
  <c r="G723" i="1"/>
  <c r="G747" i="1"/>
  <c r="F770" i="1"/>
  <c r="F788" i="1"/>
  <c r="F806" i="1"/>
  <c r="F824" i="1"/>
  <c r="F842" i="1"/>
  <c r="F855" i="1"/>
  <c r="F867" i="1"/>
  <c r="F879" i="1"/>
  <c r="F891" i="1"/>
  <c r="F903" i="1"/>
  <c r="F913" i="1"/>
  <c r="G920" i="1"/>
  <c r="F928" i="1"/>
  <c r="F937" i="1"/>
  <c r="G944" i="1"/>
  <c r="F952" i="1"/>
  <c r="F961" i="1"/>
  <c r="G968" i="1"/>
  <c r="F976" i="1"/>
  <c r="F985" i="1"/>
  <c r="F992" i="1"/>
  <c r="F999" i="1"/>
  <c r="F1006" i="1"/>
  <c r="F1014" i="1"/>
  <c r="F1021" i="1"/>
  <c r="F1028" i="1"/>
  <c r="F1035" i="1"/>
  <c r="F1042" i="1"/>
  <c r="F1050" i="1"/>
  <c r="F1057" i="1"/>
  <c r="F1064" i="1"/>
  <c r="F1071" i="1"/>
  <c r="F1077" i="1"/>
  <c r="F1083" i="1"/>
  <c r="F1089" i="1"/>
  <c r="F1095" i="1"/>
  <c r="F1101" i="1"/>
  <c r="F1107" i="1"/>
  <c r="F1113" i="1"/>
  <c r="F1119" i="1"/>
  <c r="F1125" i="1"/>
  <c r="F1131" i="1"/>
  <c r="F1137" i="1"/>
  <c r="F1143" i="1"/>
  <c r="F1149" i="1"/>
  <c r="F1155" i="1"/>
  <c r="F1161" i="1"/>
  <c r="F1167" i="1"/>
  <c r="F1173" i="1"/>
  <c r="F1179" i="1"/>
  <c r="F1185" i="1"/>
  <c r="F1191" i="1"/>
  <c r="F1197" i="1"/>
  <c r="F1203" i="1"/>
  <c r="F1209" i="1"/>
  <c r="F1215" i="1"/>
  <c r="F1221" i="1"/>
  <c r="F1227" i="1"/>
  <c r="F1233" i="1"/>
  <c r="F1239" i="1"/>
  <c r="F1245" i="1"/>
  <c r="F1251" i="1"/>
  <c r="F1257" i="1"/>
  <c r="F1263" i="1"/>
  <c r="F1269" i="1"/>
  <c r="F1275" i="1"/>
  <c r="F1281" i="1"/>
  <c r="F1287" i="1"/>
  <c r="F1293" i="1"/>
  <c r="F1299" i="1"/>
  <c r="F1305" i="1"/>
  <c r="F1311" i="1"/>
  <c r="F1317" i="1"/>
  <c r="F1323" i="1"/>
  <c r="F1329" i="1"/>
  <c r="F1335" i="1"/>
  <c r="F1341" i="1"/>
  <c r="F1347" i="1"/>
  <c r="F1353" i="1"/>
  <c r="F1359" i="1"/>
  <c r="F1365" i="1"/>
  <c r="F1371" i="1"/>
  <c r="F1377" i="1"/>
  <c r="F1383" i="1"/>
  <c r="F1389" i="1"/>
  <c r="F1395" i="1"/>
  <c r="F1401" i="1"/>
  <c r="F1407" i="1"/>
  <c r="F1413" i="1"/>
  <c r="F1419" i="1"/>
  <c r="F1425" i="1"/>
  <c r="F1431" i="1"/>
  <c r="F1437" i="1"/>
  <c r="F1443" i="1"/>
  <c r="F1449" i="1"/>
  <c r="F1455" i="1"/>
  <c r="F1461" i="1"/>
  <c r="F1467" i="1"/>
  <c r="F1473" i="1"/>
  <c r="F1479" i="1"/>
  <c r="F1485" i="1"/>
  <c r="F1491" i="1"/>
  <c r="F1497" i="1"/>
  <c r="F1503" i="1"/>
  <c r="F1509" i="1"/>
  <c r="F1515" i="1"/>
  <c r="F1521" i="1"/>
  <c r="F1527" i="1"/>
  <c r="F1533" i="1"/>
  <c r="F1539" i="1"/>
  <c r="F1545" i="1"/>
  <c r="F1551" i="1"/>
  <c r="F1557" i="1"/>
  <c r="F1563" i="1"/>
  <c r="F1569" i="1"/>
  <c r="F1575" i="1"/>
  <c r="F1581" i="1"/>
  <c r="F1587" i="1"/>
  <c r="F1593" i="1"/>
  <c r="F1599" i="1"/>
  <c r="F1605" i="1"/>
  <c r="F1611" i="1"/>
  <c r="F1617" i="1"/>
  <c r="F1623" i="1"/>
  <c r="F1629" i="1"/>
  <c r="F1635" i="1"/>
  <c r="F1641" i="1"/>
  <c r="F1647" i="1"/>
  <c r="F1653" i="1"/>
  <c r="F1659" i="1"/>
  <c r="F1665" i="1"/>
  <c r="F1671" i="1"/>
  <c r="F1677" i="1"/>
  <c r="F1683" i="1"/>
  <c r="F1689" i="1"/>
  <c r="F1695" i="1"/>
  <c r="F1701" i="1"/>
  <c r="F1707" i="1"/>
  <c r="F1713" i="1"/>
  <c r="F1719" i="1"/>
  <c r="F1725" i="1"/>
  <c r="F1731" i="1"/>
  <c r="F1737" i="1"/>
  <c r="F1743" i="1"/>
  <c r="F1749" i="1"/>
  <c r="F1755" i="1"/>
  <c r="F1761" i="1"/>
  <c r="F1767" i="1"/>
  <c r="F1773" i="1"/>
  <c r="F1779" i="1"/>
  <c r="J1582" i="1"/>
  <c r="I1851" i="1"/>
  <c r="J1963" i="1"/>
  <c r="F231" i="1"/>
  <c r="F303" i="1"/>
  <c r="F375" i="1"/>
  <c r="G429" i="1"/>
  <c r="G464" i="1"/>
  <c r="G488" i="1"/>
  <c r="G512" i="1"/>
  <c r="G536" i="1"/>
  <c r="G560" i="1"/>
  <c r="G584" i="1"/>
  <c r="G608" i="1"/>
  <c r="G632" i="1"/>
  <c r="G656" i="1"/>
  <c r="G680" i="1"/>
  <c r="G704" i="1"/>
  <c r="G728" i="1"/>
  <c r="G752" i="1"/>
  <c r="G770" i="1"/>
  <c r="G788" i="1"/>
  <c r="G806" i="1"/>
  <c r="G824" i="1"/>
  <c r="G842" i="1"/>
  <c r="G855" i="1"/>
  <c r="G867" i="1"/>
  <c r="G879" i="1"/>
  <c r="G891" i="1"/>
  <c r="G903" i="1"/>
  <c r="G913" i="1"/>
  <c r="F921" i="1"/>
  <c r="F930" i="1"/>
  <c r="G937" i="1"/>
  <c r="F945" i="1"/>
  <c r="F954" i="1"/>
  <c r="G961" i="1"/>
  <c r="F969" i="1"/>
  <c r="F978" i="1"/>
  <c r="G985" i="1"/>
  <c r="G992" i="1"/>
  <c r="G999" i="1"/>
  <c r="G1007" i="1"/>
  <c r="G1014" i="1"/>
  <c r="G1021" i="1"/>
  <c r="G1028" i="1"/>
  <c r="G1035" i="1"/>
  <c r="G1043" i="1"/>
  <c r="G1050" i="1"/>
  <c r="G1057" i="1"/>
  <c r="G1064" i="1"/>
  <c r="G1071" i="1"/>
  <c r="G1077" i="1"/>
  <c r="G1083" i="1"/>
  <c r="G1089" i="1"/>
  <c r="G1095" i="1"/>
  <c r="G1101" i="1"/>
  <c r="G1107" i="1"/>
  <c r="G1113" i="1"/>
  <c r="G1119" i="1"/>
  <c r="G1125" i="1"/>
  <c r="G1131" i="1"/>
  <c r="G1137" i="1"/>
  <c r="G1143" i="1"/>
  <c r="G1149" i="1"/>
  <c r="G1155" i="1"/>
  <c r="G1161" i="1"/>
  <c r="G1167" i="1"/>
  <c r="G1173" i="1"/>
  <c r="G1179" i="1"/>
  <c r="G1185" i="1"/>
  <c r="G1191" i="1"/>
  <c r="G1197" i="1"/>
  <c r="G1203" i="1"/>
  <c r="G1209" i="1"/>
  <c r="G1215" i="1"/>
  <c r="G1221" i="1"/>
  <c r="G1227" i="1"/>
  <c r="G1233" i="1"/>
  <c r="G1239" i="1"/>
  <c r="G1245" i="1"/>
  <c r="G1251" i="1"/>
  <c r="G1257" i="1"/>
  <c r="G1263" i="1"/>
  <c r="G1269" i="1"/>
  <c r="G1275" i="1"/>
  <c r="G1281" i="1"/>
  <c r="G1287" i="1"/>
  <c r="G1293" i="1"/>
  <c r="G1299" i="1"/>
  <c r="G1305" i="1"/>
  <c r="G1311" i="1"/>
  <c r="G1317" i="1"/>
  <c r="G1323" i="1"/>
  <c r="G1329" i="1"/>
  <c r="G1335" i="1"/>
  <c r="G1341" i="1"/>
  <c r="G1347" i="1"/>
  <c r="G1353" i="1"/>
  <c r="G1359" i="1"/>
  <c r="G1365" i="1"/>
  <c r="G1371" i="1"/>
  <c r="G1377" i="1"/>
  <c r="G1383" i="1"/>
  <c r="G1389" i="1"/>
  <c r="G1395" i="1"/>
  <c r="G1401" i="1"/>
  <c r="G1407" i="1"/>
  <c r="G1413" i="1"/>
  <c r="G1419" i="1"/>
  <c r="G1425" i="1"/>
  <c r="G1431" i="1"/>
  <c r="G1437" i="1"/>
  <c r="G1443" i="1"/>
  <c r="G1449" i="1"/>
  <c r="G1455" i="1"/>
  <c r="G1461" i="1"/>
  <c r="G1467" i="1"/>
  <c r="G1473" i="1"/>
  <c r="G1479" i="1"/>
  <c r="G1485" i="1"/>
  <c r="G1491" i="1"/>
  <c r="G1497" i="1"/>
  <c r="G1503" i="1"/>
  <c r="G1509" i="1"/>
  <c r="G1515" i="1"/>
  <c r="G1521" i="1"/>
  <c r="G1527" i="1"/>
  <c r="G1533" i="1"/>
  <c r="G1539" i="1"/>
  <c r="G1545" i="1"/>
  <c r="G1551" i="1"/>
  <c r="G1557" i="1"/>
  <c r="G1563" i="1"/>
  <c r="G1569" i="1"/>
  <c r="G1575" i="1"/>
  <c r="G1581" i="1"/>
  <c r="G1587" i="1"/>
  <c r="G1593" i="1"/>
  <c r="G1599" i="1"/>
  <c r="G1605" i="1"/>
  <c r="G1611" i="1"/>
  <c r="G1617" i="1"/>
  <c r="G1623" i="1"/>
  <c r="G1629" i="1"/>
  <c r="G1635" i="1"/>
  <c r="G1641" i="1"/>
  <c r="G1647" i="1"/>
  <c r="G1653" i="1"/>
  <c r="G1659" i="1"/>
  <c r="G1665" i="1"/>
  <c r="G1671" i="1"/>
  <c r="G1677" i="1"/>
  <c r="G1683" i="1"/>
  <c r="G1689" i="1"/>
  <c r="G1695" i="1"/>
  <c r="G1701" i="1"/>
  <c r="G1707" i="1"/>
  <c r="G1713" i="1"/>
  <c r="G1719" i="1"/>
  <c r="G1725" i="1"/>
  <c r="G1731" i="1"/>
  <c r="G1737" i="1"/>
  <c r="G1743" i="1"/>
  <c r="G1749" i="1"/>
  <c r="G1755" i="1"/>
  <c r="G1761" i="1"/>
  <c r="G1767" i="1"/>
  <c r="G1773" i="1"/>
  <c r="G1779" i="1"/>
  <c r="J1646" i="1"/>
  <c r="I1863" i="1"/>
  <c r="I1971" i="1"/>
  <c r="F237" i="1"/>
  <c r="F309" i="1"/>
  <c r="F381" i="1"/>
  <c r="F435" i="1"/>
  <c r="F465" i="1"/>
  <c r="F489" i="1"/>
  <c r="F513" i="1"/>
  <c r="F537" i="1"/>
  <c r="F561" i="1"/>
  <c r="F585" i="1"/>
  <c r="F609" i="1"/>
  <c r="F633" i="1"/>
  <c r="F657" i="1"/>
  <c r="F681" i="1"/>
  <c r="F705" i="1"/>
  <c r="F729" i="1"/>
  <c r="F753" i="1"/>
  <c r="F771" i="1"/>
  <c r="F789" i="1"/>
  <c r="F807" i="1"/>
  <c r="F825" i="1"/>
  <c r="F843" i="1"/>
  <c r="F856" i="1"/>
  <c r="F868" i="1"/>
  <c r="F880" i="1"/>
  <c r="F892" i="1"/>
  <c r="F904" i="1"/>
  <c r="F914" i="1"/>
  <c r="G921" i="1"/>
  <c r="G930" i="1"/>
  <c r="F938" i="1"/>
  <c r="G945" i="1"/>
  <c r="G954" i="1"/>
  <c r="F962" i="1"/>
  <c r="G969" i="1"/>
  <c r="G978" i="1"/>
  <c r="F986" i="1"/>
  <c r="F993" i="1"/>
  <c r="F1000" i="1"/>
  <c r="F1008" i="1"/>
  <c r="F1015" i="1"/>
  <c r="F1022" i="1"/>
  <c r="F1029" i="1"/>
  <c r="F1036" i="1"/>
  <c r="F1044" i="1"/>
  <c r="F1051" i="1"/>
  <c r="F1058" i="1"/>
  <c r="F1065" i="1"/>
  <c r="F1072" i="1"/>
  <c r="F1078" i="1"/>
  <c r="F1084" i="1"/>
  <c r="F1090" i="1"/>
  <c r="F1096" i="1"/>
  <c r="F1102" i="1"/>
  <c r="F1108" i="1"/>
  <c r="F1114" i="1"/>
  <c r="F1120" i="1"/>
  <c r="F1126" i="1"/>
  <c r="F1132" i="1"/>
  <c r="F1138" i="1"/>
  <c r="F1144" i="1"/>
  <c r="F1150" i="1"/>
  <c r="F1156" i="1"/>
  <c r="F1162" i="1"/>
  <c r="F1168" i="1"/>
  <c r="F1174" i="1"/>
  <c r="F1180" i="1"/>
  <c r="F1186" i="1"/>
  <c r="F1192" i="1"/>
  <c r="F1198" i="1"/>
  <c r="F1204" i="1"/>
  <c r="F1210" i="1"/>
  <c r="F1216" i="1"/>
  <c r="F1222" i="1"/>
  <c r="F1228" i="1"/>
  <c r="F1234" i="1"/>
  <c r="F1240" i="1"/>
  <c r="F1246" i="1"/>
  <c r="F1252" i="1"/>
  <c r="F1258" i="1"/>
  <c r="F1264" i="1"/>
  <c r="F1270" i="1"/>
  <c r="F1276" i="1"/>
  <c r="F1282" i="1"/>
  <c r="F1288" i="1"/>
  <c r="F1294" i="1"/>
  <c r="F1300" i="1"/>
  <c r="F1306" i="1"/>
  <c r="F1312" i="1"/>
  <c r="F1318" i="1"/>
  <c r="F1324" i="1"/>
  <c r="F1330" i="1"/>
  <c r="F1336" i="1"/>
  <c r="F1342" i="1"/>
  <c r="F1348" i="1"/>
  <c r="F1354" i="1"/>
  <c r="F1360" i="1"/>
  <c r="F1366" i="1"/>
  <c r="F1372" i="1"/>
  <c r="F1378" i="1"/>
  <c r="F1384" i="1"/>
  <c r="F1390" i="1"/>
  <c r="F1396" i="1"/>
  <c r="F1402" i="1"/>
  <c r="F1408" i="1"/>
  <c r="F1414" i="1"/>
  <c r="F1420" i="1"/>
  <c r="F1426" i="1"/>
  <c r="F1432" i="1"/>
  <c r="F1438" i="1"/>
  <c r="F1444" i="1"/>
  <c r="F1450" i="1"/>
  <c r="F1456" i="1"/>
  <c r="F1462" i="1"/>
  <c r="F1468" i="1"/>
  <c r="F1474" i="1"/>
  <c r="F1480" i="1"/>
  <c r="F1486" i="1"/>
  <c r="F1492" i="1"/>
  <c r="F1498" i="1"/>
  <c r="F1504" i="1"/>
  <c r="F1510" i="1"/>
  <c r="F1516" i="1"/>
  <c r="J1714" i="1"/>
  <c r="I1885" i="1"/>
  <c r="J1987" i="1"/>
  <c r="F249" i="1"/>
  <c r="F321" i="1"/>
  <c r="F393" i="1"/>
  <c r="F441" i="1"/>
  <c r="G470" i="1"/>
  <c r="G494" i="1"/>
  <c r="G518" i="1"/>
  <c r="G542" i="1"/>
  <c r="G566" i="1"/>
  <c r="G590" i="1"/>
  <c r="G614" i="1"/>
  <c r="G638" i="1"/>
  <c r="G662" i="1"/>
  <c r="G686" i="1"/>
  <c r="G710" i="1"/>
  <c r="G734" i="1"/>
  <c r="F758" i="1"/>
  <c r="F776" i="1"/>
  <c r="F794" i="1"/>
  <c r="F812" i="1"/>
  <c r="F830" i="1"/>
  <c r="F844" i="1"/>
  <c r="F860" i="1"/>
  <c r="F872" i="1"/>
  <c r="F884" i="1"/>
  <c r="F896" i="1"/>
  <c r="G906" i="1"/>
  <c r="F915" i="1"/>
  <c r="F924" i="1"/>
  <c r="G931" i="1"/>
  <c r="F939" i="1"/>
  <c r="F948" i="1"/>
  <c r="G955" i="1"/>
  <c r="F963" i="1"/>
  <c r="F972" i="1"/>
  <c r="G979" i="1"/>
  <c r="F987" i="1"/>
  <c r="F994" i="1"/>
  <c r="F1002" i="1"/>
  <c r="F1009" i="1"/>
  <c r="F1016" i="1"/>
  <c r="F1023" i="1"/>
  <c r="F1030" i="1"/>
  <c r="F1038" i="1"/>
  <c r="F1045" i="1"/>
  <c r="F1052" i="1"/>
  <c r="F1059" i="1"/>
  <c r="F1066" i="1"/>
  <c r="F1073" i="1"/>
  <c r="F1079" i="1"/>
  <c r="F1085" i="1"/>
  <c r="F1091" i="1"/>
  <c r="F1097" i="1"/>
  <c r="F1103" i="1"/>
  <c r="F1109" i="1"/>
  <c r="F1115" i="1"/>
  <c r="F1121" i="1"/>
  <c r="F1127" i="1"/>
  <c r="F1133" i="1"/>
  <c r="F1139" i="1"/>
  <c r="F1145" i="1"/>
  <c r="F1151" i="1"/>
  <c r="F1157" i="1"/>
  <c r="F1163" i="1"/>
  <c r="F1169" i="1"/>
  <c r="F1175" i="1"/>
  <c r="F1181" i="1"/>
  <c r="F1187" i="1"/>
  <c r="F1193" i="1"/>
  <c r="F1199" i="1"/>
  <c r="F1205" i="1"/>
  <c r="F1211" i="1"/>
  <c r="F1217" i="1"/>
  <c r="F1223" i="1"/>
  <c r="F1229" i="1"/>
  <c r="F1235" i="1"/>
  <c r="F1241" i="1"/>
  <c r="F1247" i="1"/>
  <c r="F1253" i="1"/>
  <c r="F1259" i="1"/>
  <c r="F1265" i="1"/>
  <c r="F1271" i="1"/>
  <c r="F1277" i="1"/>
  <c r="F1283" i="1"/>
  <c r="F1289" i="1"/>
  <c r="F1295" i="1"/>
  <c r="F1301" i="1"/>
  <c r="F1307" i="1"/>
  <c r="F1313" i="1"/>
  <c r="F1319" i="1"/>
  <c r="F1325" i="1"/>
  <c r="F1331" i="1"/>
  <c r="F1337" i="1"/>
  <c r="F1343" i="1"/>
  <c r="F1349" i="1"/>
  <c r="F1355" i="1"/>
  <c r="F1361" i="1"/>
  <c r="F1367" i="1"/>
  <c r="F1373" i="1"/>
  <c r="F1379" i="1"/>
  <c r="F1385" i="1"/>
  <c r="F1391" i="1"/>
  <c r="F1397" i="1"/>
  <c r="F1403" i="1"/>
  <c r="F1409" i="1"/>
  <c r="F1415" i="1"/>
  <c r="F1421" i="1"/>
  <c r="F1427" i="1"/>
  <c r="F1433" i="1"/>
  <c r="F1439" i="1"/>
  <c r="F1445" i="1"/>
  <c r="F1451" i="1"/>
  <c r="F1457" i="1"/>
  <c r="F1463" i="1"/>
  <c r="F1469" i="1"/>
  <c r="F1475" i="1"/>
  <c r="F1481" i="1"/>
  <c r="F1487" i="1"/>
  <c r="F1493" i="1"/>
  <c r="F1499" i="1"/>
  <c r="F1505" i="1"/>
  <c r="F1511" i="1"/>
  <c r="F1517" i="1"/>
  <c r="F1523" i="1"/>
  <c r="F1529" i="1"/>
  <c r="F1535" i="1"/>
  <c r="F1541" i="1"/>
  <c r="F1547" i="1"/>
  <c r="F1553" i="1"/>
  <c r="F1559" i="1"/>
  <c r="F1565" i="1"/>
  <c r="F1571" i="1"/>
  <c r="F1577" i="1"/>
  <c r="F1583" i="1"/>
  <c r="F1589" i="1"/>
  <c r="F1595" i="1"/>
  <c r="F1601" i="1"/>
  <c r="F1607" i="1"/>
  <c r="F1613" i="1"/>
  <c r="F1619" i="1"/>
  <c r="F1625" i="1"/>
  <c r="F1631" i="1"/>
  <c r="F1637" i="1"/>
  <c r="F1643" i="1"/>
  <c r="F1649" i="1"/>
  <c r="F1655" i="1"/>
  <c r="F1661" i="1"/>
  <c r="F1667" i="1"/>
  <c r="F1673" i="1"/>
  <c r="F1679" i="1"/>
  <c r="F1685" i="1"/>
  <c r="F1691" i="1"/>
  <c r="F1697" i="1"/>
  <c r="F1703" i="1"/>
  <c r="F1709" i="1"/>
  <c r="F1715" i="1"/>
  <c r="F1721" i="1"/>
  <c r="F1727" i="1"/>
  <c r="F1733" i="1"/>
  <c r="F1739" i="1"/>
  <c r="F1745" i="1"/>
  <c r="F1751" i="1"/>
  <c r="F1757" i="1"/>
  <c r="F1763" i="1"/>
  <c r="F1769" i="1"/>
  <c r="F1775" i="1"/>
  <c r="F1781" i="1"/>
  <c r="F1787" i="1"/>
  <c r="F1793" i="1"/>
  <c r="F1799" i="1"/>
  <c r="F1805" i="1"/>
  <c r="F1811" i="1"/>
  <c r="F1817" i="1"/>
  <c r="F1823" i="1"/>
  <c r="F1829" i="1"/>
  <c r="F1835" i="1"/>
  <c r="F1841" i="1"/>
  <c r="F1847" i="1"/>
  <c r="F1853" i="1"/>
  <c r="F1859" i="1"/>
  <c r="F1865" i="1"/>
  <c r="F1871" i="1"/>
  <c r="F1877" i="1"/>
  <c r="F1883" i="1"/>
  <c r="F1889" i="1"/>
  <c r="F1895" i="1"/>
  <c r="F1901" i="1"/>
  <c r="F1907" i="1"/>
  <c r="F1913" i="1"/>
  <c r="F1919" i="1"/>
  <c r="F1925" i="1"/>
  <c r="F1931" i="1"/>
  <c r="F1937" i="1"/>
  <c r="F1943" i="1"/>
  <c r="F1949" i="1"/>
  <c r="F1955" i="1"/>
  <c r="F1961" i="1"/>
  <c r="F1967" i="1"/>
  <c r="F1973" i="1"/>
  <c r="F1979" i="1"/>
  <c r="F1985" i="1"/>
  <c r="F1991" i="1"/>
  <c r="F1997" i="1"/>
  <c r="R9" i="1"/>
  <c r="R15" i="1"/>
  <c r="R21" i="1"/>
  <c r="R27" i="1"/>
  <c r="R33" i="1"/>
  <c r="R39" i="1"/>
  <c r="R45" i="1"/>
  <c r="R51" i="1"/>
  <c r="R57" i="1"/>
  <c r="R63" i="1"/>
  <c r="R69" i="1"/>
  <c r="J1738" i="1"/>
  <c r="I1894" i="1"/>
  <c r="I1995" i="1"/>
  <c r="F255" i="1"/>
  <c r="F327" i="1"/>
  <c r="F399" i="1"/>
  <c r="G441" i="1"/>
  <c r="F471" i="1"/>
  <c r="F495" i="1"/>
  <c r="F519" i="1"/>
  <c r="F543" i="1"/>
  <c r="F567" i="1"/>
  <c r="F591" i="1"/>
  <c r="F615" i="1"/>
  <c r="F639" i="1"/>
  <c r="F663" i="1"/>
  <c r="F687" i="1"/>
  <c r="F711" i="1"/>
  <c r="F735" i="1"/>
  <c r="G758" i="1"/>
  <c r="G776" i="1"/>
  <c r="G794" i="1"/>
  <c r="G812" i="1"/>
  <c r="G830" i="1"/>
  <c r="F848" i="1"/>
  <c r="G860" i="1"/>
  <c r="G872" i="1"/>
  <c r="G884" i="1"/>
  <c r="G896" i="1"/>
  <c r="F908" i="1"/>
  <c r="G915" i="1"/>
  <c r="G924" i="1"/>
  <c r="F932" i="1"/>
  <c r="G939" i="1"/>
  <c r="G948" i="1"/>
  <c r="F956" i="1"/>
  <c r="G963" i="1"/>
  <c r="G972" i="1"/>
  <c r="F980" i="1"/>
  <c r="G987" i="1"/>
  <c r="G995" i="1"/>
  <c r="G1002" i="1"/>
  <c r="G1009" i="1"/>
  <c r="G1016" i="1"/>
  <c r="G1023" i="1"/>
  <c r="G1031" i="1"/>
  <c r="G1038" i="1"/>
  <c r="G1045" i="1"/>
  <c r="G1052" i="1"/>
  <c r="G1059" i="1"/>
  <c r="G1067" i="1"/>
  <c r="G1073" i="1"/>
  <c r="G1079" i="1"/>
  <c r="G1085" i="1"/>
  <c r="G1091" i="1"/>
  <c r="G1097" i="1"/>
  <c r="G1103" i="1"/>
  <c r="G1109" i="1"/>
  <c r="G1115" i="1"/>
  <c r="G1121" i="1"/>
  <c r="G1127" i="1"/>
  <c r="G1133" i="1"/>
  <c r="G1139" i="1"/>
  <c r="G1145" i="1"/>
  <c r="G1151" i="1"/>
  <c r="G1157" i="1"/>
  <c r="G1163" i="1"/>
  <c r="G1169" i="1"/>
  <c r="G1175" i="1"/>
  <c r="G1181" i="1"/>
  <c r="G1187" i="1"/>
  <c r="G1193" i="1"/>
  <c r="G1199" i="1"/>
  <c r="G1205" i="1"/>
  <c r="G1211" i="1"/>
  <c r="G1217" i="1"/>
  <c r="G1223" i="1"/>
  <c r="G1229" i="1"/>
  <c r="G1235" i="1"/>
  <c r="G1241" i="1"/>
  <c r="G1247" i="1"/>
  <c r="G1253" i="1"/>
  <c r="G1259" i="1"/>
  <c r="G1265" i="1"/>
  <c r="G1271" i="1"/>
  <c r="G1277" i="1"/>
  <c r="G1283" i="1"/>
  <c r="G1289" i="1"/>
  <c r="G1295" i="1"/>
  <c r="G1301" i="1"/>
  <c r="G1307" i="1"/>
  <c r="G1313" i="1"/>
  <c r="G1319" i="1"/>
  <c r="G1325" i="1"/>
  <c r="G1331" i="1"/>
  <c r="G1337" i="1"/>
  <c r="G1343" i="1"/>
  <c r="G1349" i="1"/>
  <c r="G1355" i="1"/>
  <c r="G1361" i="1"/>
  <c r="G1367" i="1"/>
  <c r="G1373" i="1"/>
  <c r="G1379" i="1"/>
  <c r="G1385" i="1"/>
  <c r="G1391" i="1"/>
  <c r="G1397" i="1"/>
  <c r="G1403" i="1"/>
  <c r="G1409" i="1"/>
  <c r="G1415" i="1"/>
  <c r="G1421" i="1"/>
  <c r="G1427" i="1"/>
  <c r="G1433" i="1"/>
  <c r="G1439" i="1"/>
  <c r="G1445" i="1"/>
  <c r="G1451" i="1"/>
  <c r="G1457" i="1"/>
  <c r="G1463" i="1"/>
  <c r="G1469" i="1"/>
  <c r="G1475" i="1"/>
  <c r="G1481" i="1"/>
  <c r="G1487" i="1"/>
  <c r="G1493" i="1"/>
  <c r="G1499" i="1"/>
  <c r="G1505" i="1"/>
  <c r="G1511" i="1"/>
  <c r="G1517" i="1"/>
  <c r="G1523" i="1"/>
  <c r="G1529" i="1"/>
  <c r="G1535" i="1"/>
  <c r="G1541" i="1"/>
  <c r="G1547" i="1"/>
  <c r="G1553" i="1"/>
  <c r="G1559" i="1"/>
  <c r="G1565" i="1"/>
  <c r="G1571" i="1"/>
  <c r="G1577" i="1"/>
  <c r="G1583" i="1"/>
  <c r="G1589" i="1"/>
  <c r="G1595" i="1"/>
  <c r="G1601" i="1"/>
  <c r="G1607" i="1"/>
  <c r="G1613" i="1"/>
  <c r="G1619" i="1"/>
  <c r="G1625" i="1"/>
  <c r="G1631" i="1"/>
  <c r="G1637" i="1"/>
  <c r="G1643" i="1"/>
  <c r="G1649" i="1"/>
  <c r="G1655" i="1"/>
  <c r="G1661" i="1"/>
  <c r="G1667" i="1"/>
  <c r="G1673" i="1"/>
  <c r="G1679" i="1"/>
  <c r="G1685" i="1"/>
  <c r="G1691" i="1"/>
  <c r="G1697" i="1"/>
  <c r="G1703" i="1"/>
  <c r="G1709" i="1"/>
  <c r="G1715" i="1"/>
  <c r="G1721" i="1"/>
  <c r="G1727" i="1"/>
  <c r="G1733" i="1"/>
  <c r="G1739" i="1"/>
  <c r="G1745" i="1"/>
  <c r="G1751" i="1"/>
  <c r="G1757" i="1"/>
  <c r="G1763" i="1"/>
  <c r="G1769" i="1"/>
  <c r="G1775" i="1"/>
  <c r="G1781" i="1"/>
  <c r="G1787" i="1"/>
  <c r="G1793" i="1"/>
  <c r="G1799" i="1"/>
  <c r="G1805" i="1"/>
  <c r="G1811" i="1"/>
  <c r="G1817" i="1"/>
  <c r="G1823" i="1"/>
  <c r="G1829" i="1"/>
  <c r="G1835" i="1"/>
  <c r="G1841" i="1"/>
  <c r="G1847" i="1"/>
  <c r="G1853" i="1"/>
  <c r="G1859" i="1"/>
  <c r="G1865" i="1"/>
  <c r="G1871" i="1"/>
  <c r="G1877" i="1"/>
  <c r="G1883" i="1"/>
  <c r="G1889" i="1"/>
  <c r="G1895" i="1"/>
  <c r="G1901" i="1"/>
  <c r="G1907" i="1"/>
  <c r="G1913" i="1"/>
  <c r="G1919" i="1"/>
  <c r="G1925" i="1"/>
  <c r="G1931" i="1"/>
  <c r="G1937" i="1"/>
  <c r="G1943" i="1"/>
  <c r="G1949" i="1"/>
  <c r="G1955" i="1"/>
  <c r="G1961" i="1"/>
  <c r="G1967" i="1"/>
  <c r="G1973" i="1"/>
  <c r="G1979" i="1"/>
  <c r="G1985" i="1"/>
  <c r="G1991" i="1"/>
  <c r="G1997" i="1"/>
  <c r="S9" i="1"/>
  <c r="S15" i="1"/>
  <c r="S21" i="1"/>
  <c r="S27" i="1"/>
  <c r="S33" i="1"/>
  <c r="S39" i="1"/>
  <c r="S45" i="1"/>
  <c r="S51" i="1"/>
  <c r="S57" i="1"/>
  <c r="S63" i="1"/>
  <c r="S69" i="1"/>
  <c r="J1682" i="1"/>
  <c r="G585" i="1"/>
  <c r="G843" i="1"/>
  <c r="G962" i="1"/>
  <c r="G1051" i="1"/>
  <c r="G1126" i="1"/>
  <c r="G1198" i="1"/>
  <c r="G1270" i="1"/>
  <c r="G1342" i="1"/>
  <c r="G1414" i="1"/>
  <c r="G1486" i="1"/>
  <c r="F1540" i="1"/>
  <c r="G1570" i="1"/>
  <c r="G1594" i="1"/>
  <c r="F1616" i="1"/>
  <c r="F1634" i="1"/>
  <c r="F1652" i="1"/>
  <c r="F1670" i="1"/>
  <c r="F1688" i="1"/>
  <c r="F1706" i="1"/>
  <c r="F1724" i="1"/>
  <c r="F1742" i="1"/>
  <c r="F1760" i="1"/>
  <c r="F1776" i="1"/>
  <c r="F1788" i="1"/>
  <c r="F1797" i="1"/>
  <c r="F1806" i="1"/>
  <c r="F1815" i="1"/>
  <c r="F1824" i="1"/>
  <c r="F1833" i="1"/>
  <c r="F1842" i="1"/>
  <c r="F1851" i="1"/>
  <c r="F1860" i="1"/>
  <c r="G1868" i="1"/>
  <c r="F1876" i="1"/>
  <c r="G1884" i="1"/>
  <c r="G1892" i="1"/>
  <c r="F1900" i="1"/>
  <c r="G1908" i="1"/>
  <c r="G1916" i="1"/>
  <c r="F1924" i="1"/>
  <c r="G1932" i="1"/>
  <c r="G1940" i="1"/>
  <c r="F1948" i="1"/>
  <c r="G1956" i="1"/>
  <c r="G1964" i="1"/>
  <c r="F1972" i="1"/>
  <c r="G1980" i="1"/>
  <c r="G1988" i="1"/>
  <c r="F1996" i="1"/>
  <c r="S10" i="1"/>
  <c r="S18" i="1"/>
  <c r="R26" i="1"/>
  <c r="S34" i="1"/>
  <c r="S42" i="1"/>
  <c r="R50" i="1"/>
  <c r="S58" i="1"/>
  <c r="S66" i="1"/>
  <c r="R74" i="1"/>
  <c r="S80" i="1"/>
  <c r="R87" i="1"/>
  <c r="S93" i="1"/>
  <c r="R100" i="1"/>
  <c r="S106" i="1"/>
  <c r="S113" i="1"/>
  <c r="S119" i="1"/>
  <c r="S125" i="1"/>
  <c r="S131" i="1"/>
  <c r="S137" i="1"/>
  <c r="S143" i="1"/>
  <c r="S149" i="1"/>
  <c r="S155" i="1"/>
  <c r="S161" i="1"/>
  <c r="S167" i="1"/>
  <c r="S173" i="1"/>
  <c r="S179" i="1"/>
  <c r="S185" i="1"/>
  <c r="S191" i="1"/>
  <c r="P11" i="1"/>
  <c r="P17" i="1"/>
  <c r="P23" i="1"/>
  <c r="P29" i="1"/>
  <c r="P35" i="1"/>
  <c r="P41" i="1"/>
  <c r="P47" i="1"/>
  <c r="P53" i="1"/>
  <c r="P59" i="1"/>
  <c r="P65" i="1"/>
  <c r="P71" i="1"/>
  <c r="P77" i="1"/>
  <c r="P83" i="1"/>
  <c r="P89" i="1"/>
  <c r="P95" i="1"/>
  <c r="P101" i="1"/>
  <c r="P107" i="1"/>
  <c r="P113" i="1"/>
  <c r="P119" i="1"/>
  <c r="P125" i="1"/>
  <c r="P131" i="1"/>
  <c r="P137" i="1"/>
  <c r="P143" i="1"/>
  <c r="P149" i="1"/>
  <c r="P155" i="1"/>
  <c r="P161" i="1"/>
  <c r="P167" i="1"/>
  <c r="P173" i="1"/>
  <c r="P179" i="1"/>
  <c r="P185" i="1"/>
  <c r="P191" i="1"/>
  <c r="M12" i="1"/>
  <c r="M30" i="1"/>
  <c r="M36" i="1"/>
  <c r="M42" i="1"/>
  <c r="M48" i="1"/>
  <c r="M54" i="1"/>
  <c r="M60" i="1"/>
  <c r="M66" i="1"/>
  <c r="M84" i="1"/>
  <c r="M108" i="1"/>
  <c r="M144" i="1"/>
  <c r="M174" i="1"/>
  <c r="G1528" i="1"/>
  <c r="G1994" i="1"/>
  <c r="R130" i="1"/>
  <c r="O40" i="1"/>
  <c r="O124" i="1"/>
  <c r="L29" i="1"/>
  <c r="L125" i="1"/>
  <c r="J1874" i="1"/>
  <c r="G609" i="1"/>
  <c r="F858" i="1"/>
  <c r="F970" i="1"/>
  <c r="G1058" i="1"/>
  <c r="G1132" i="1"/>
  <c r="G1204" i="1"/>
  <c r="G1276" i="1"/>
  <c r="G1348" i="1"/>
  <c r="G1420" i="1"/>
  <c r="G1492" i="1"/>
  <c r="G1540" i="1"/>
  <c r="F1572" i="1"/>
  <c r="F1596" i="1"/>
  <c r="F1618" i="1"/>
  <c r="F1636" i="1"/>
  <c r="F1654" i="1"/>
  <c r="F1672" i="1"/>
  <c r="F1690" i="1"/>
  <c r="F1708" i="1"/>
  <c r="F1726" i="1"/>
  <c r="F1744" i="1"/>
  <c r="F1762" i="1"/>
  <c r="F1778" i="1"/>
  <c r="G1788" i="1"/>
  <c r="G1797" i="1"/>
  <c r="G1806" i="1"/>
  <c r="G1815" i="1"/>
  <c r="G1824" i="1"/>
  <c r="G1833" i="1"/>
  <c r="G1842" i="1"/>
  <c r="G1851" i="1"/>
  <c r="G1860" i="1"/>
  <c r="F1869" i="1"/>
  <c r="G1876" i="1"/>
  <c r="G1885" i="1"/>
  <c r="F1893" i="1"/>
  <c r="G1900" i="1"/>
  <c r="G1909" i="1"/>
  <c r="F1917" i="1"/>
  <c r="G1924" i="1"/>
  <c r="G1933" i="1"/>
  <c r="F1941" i="1"/>
  <c r="G1948" i="1"/>
  <c r="G1957" i="1"/>
  <c r="F1965" i="1"/>
  <c r="G1972" i="1"/>
  <c r="G1981" i="1"/>
  <c r="F1989" i="1"/>
  <c r="G1996" i="1"/>
  <c r="S11" i="1"/>
  <c r="R19" i="1"/>
  <c r="S26" i="1"/>
  <c r="S35" i="1"/>
  <c r="R43" i="1"/>
  <c r="S50" i="1"/>
  <c r="S59" i="1"/>
  <c r="R67" i="1"/>
  <c r="S74" i="1"/>
  <c r="R81" i="1"/>
  <c r="S87" i="1"/>
  <c r="R94" i="1"/>
  <c r="S100" i="1"/>
  <c r="S107" i="1"/>
  <c r="R114" i="1"/>
  <c r="R120" i="1"/>
  <c r="R126" i="1"/>
  <c r="R132" i="1"/>
  <c r="R138" i="1"/>
  <c r="R144" i="1"/>
  <c r="R150" i="1"/>
  <c r="R156" i="1"/>
  <c r="R162" i="1"/>
  <c r="R168" i="1"/>
  <c r="R174" i="1"/>
  <c r="R180" i="1"/>
  <c r="R186" i="1"/>
  <c r="R192" i="1"/>
  <c r="O12" i="1"/>
  <c r="O18" i="1"/>
  <c r="O24" i="1"/>
  <c r="O30" i="1"/>
  <c r="O36" i="1"/>
  <c r="O42" i="1"/>
  <c r="O48" i="1"/>
  <c r="O54" i="1"/>
  <c r="O60" i="1"/>
  <c r="O66" i="1"/>
  <c r="O72" i="1"/>
  <c r="O78" i="1"/>
  <c r="O84" i="1"/>
  <c r="O90" i="1"/>
  <c r="O96" i="1"/>
  <c r="O102" i="1"/>
  <c r="O108" i="1"/>
  <c r="O114" i="1"/>
  <c r="O120" i="1"/>
  <c r="O126" i="1"/>
  <c r="O132" i="1"/>
  <c r="O138" i="1"/>
  <c r="O144" i="1"/>
  <c r="O150" i="1"/>
  <c r="O156" i="1"/>
  <c r="O162" i="1"/>
  <c r="O168" i="1"/>
  <c r="O174" i="1"/>
  <c r="O180" i="1"/>
  <c r="O186" i="1"/>
  <c r="O192" i="1"/>
  <c r="L13" i="1"/>
  <c r="L19" i="1"/>
  <c r="L25" i="1"/>
  <c r="L31" i="1"/>
  <c r="L37" i="1"/>
  <c r="L43" i="1"/>
  <c r="L49" i="1"/>
  <c r="L55" i="1"/>
  <c r="L61" i="1"/>
  <c r="L67" i="1"/>
  <c r="L73" i="1"/>
  <c r="L79" i="1"/>
  <c r="L85" i="1"/>
  <c r="L91" i="1"/>
  <c r="L97" i="1"/>
  <c r="L103" i="1"/>
  <c r="L109" i="1"/>
  <c r="L115" i="1"/>
  <c r="L121" i="1"/>
  <c r="L127" i="1"/>
  <c r="L133" i="1"/>
  <c r="L139" i="1"/>
  <c r="L145" i="1"/>
  <c r="L151" i="1"/>
  <c r="L157" i="1"/>
  <c r="L163" i="1"/>
  <c r="L169" i="1"/>
  <c r="L175" i="1"/>
  <c r="L181" i="1"/>
  <c r="L187" i="1"/>
  <c r="M7" i="1"/>
  <c r="G1396" i="1"/>
  <c r="G1938" i="1"/>
  <c r="S85" i="1"/>
  <c r="R166" i="1"/>
  <c r="O52" i="1"/>
  <c r="O130" i="1"/>
  <c r="L23" i="1"/>
  <c r="L95" i="1"/>
  <c r="L179" i="1"/>
  <c r="J1978" i="1"/>
  <c r="G633" i="1"/>
  <c r="F870" i="1"/>
  <c r="F979" i="1"/>
  <c r="G1065" i="1"/>
  <c r="G1138" i="1"/>
  <c r="G1210" i="1"/>
  <c r="G1282" i="1"/>
  <c r="G1354" i="1"/>
  <c r="G1426" i="1"/>
  <c r="G1498" i="1"/>
  <c r="F1546" i="1"/>
  <c r="F1576" i="1"/>
  <c r="F1600" i="1"/>
  <c r="G1618" i="1"/>
  <c r="G1636" i="1"/>
  <c r="G1654" i="1"/>
  <c r="G1672" i="1"/>
  <c r="G1690" i="1"/>
  <c r="G1708" i="1"/>
  <c r="G1726" i="1"/>
  <c r="G1744" i="1"/>
  <c r="G1762" i="1"/>
  <c r="G1778" i="1"/>
  <c r="F1790" i="1"/>
  <c r="F1798" i="1"/>
  <c r="F1808" i="1"/>
  <c r="F1816" i="1"/>
  <c r="F1826" i="1"/>
  <c r="F1834" i="1"/>
  <c r="F1844" i="1"/>
  <c r="F1852" i="1"/>
  <c r="F1862" i="1"/>
  <c r="G1869" i="1"/>
  <c r="F1878" i="1"/>
  <c r="F1886" i="1"/>
  <c r="G1893" i="1"/>
  <c r="F1902" i="1"/>
  <c r="F1910" i="1"/>
  <c r="G1917" i="1"/>
  <c r="F1926" i="1"/>
  <c r="F1934" i="1"/>
  <c r="G1941" i="1"/>
  <c r="F1950" i="1"/>
  <c r="F1958" i="1"/>
  <c r="G1965" i="1"/>
  <c r="F1974" i="1"/>
  <c r="F1982" i="1"/>
  <c r="G1989" i="1"/>
  <c r="F1998" i="1"/>
  <c r="R12" i="1"/>
  <c r="S19" i="1"/>
  <c r="R28" i="1"/>
  <c r="R36" i="1"/>
  <c r="S43" i="1"/>
  <c r="R52" i="1"/>
  <c r="R60" i="1"/>
  <c r="S67" i="1"/>
  <c r="R75" i="1"/>
  <c r="S81" i="1"/>
  <c r="R88" i="1"/>
  <c r="S94" i="1"/>
  <c r="S101" i="1"/>
  <c r="R108" i="1"/>
  <c r="S114" i="1"/>
  <c r="S120" i="1"/>
  <c r="S126" i="1"/>
  <c r="S132" i="1"/>
  <c r="S138" i="1"/>
  <c r="S144" i="1"/>
  <c r="S150" i="1"/>
  <c r="S156" i="1"/>
  <c r="S162" i="1"/>
  <c r="S168" i="1"/>
  <c r="S174" i="1"/>
  <c r="S180" i="1"/>
  <c r="S186" i="1"/>
  <c r="S192" i="1"/>
  <c r="P12" i="1"/>
  <c r="P18" i="1"/>
  <c r="P24" i="1"/>
  <c r="P30" i="1"/>
  <c r="P36" i="1"/>
  <c r="P42" i="1"/>
  <c r="P48" i="1"/>
  <c r="P54" i="1"/>
  <c r="P60" i="1"/>
  <c r="P66" i="1"/>
  <c r="P72" i="1"/>
  <c r="P78" i="1"/>
  <c r="P84" i="1"/>
  <c r="P90" i="1"/>
  <c r="P96" i="1"/>
  <c r="P102" i="1"/>
  <c r="P108" i="1"/>
  <c r="P114" i="1"/>
  <c r="P120" i="1"/>
  <c r="P126" i="1"/>
  <c r="P132" i="1"/>
  <c r="P138" i="1"/>
  <c r="P144" i="1"/>
  <c r="P150" i="1"/>
  <c r="P156" i="1"/>
  <c r="P162" i="1"/>
  <c r="P168" i="1"/>
  <c r="P174" i="1"/>
  <c r="P180" i="1"/>
  <c r="P186" i="1"/>
  <c r="P192" i="1"/>
  <c r="M13" i="1"/>
  <c r="M19" i="1"/>
  <c r="M25" i="1"/>
  <c r="M31" i="1"/>
  <c r="M37" i="1"/>
  <c r="M43" i="1"/>
  <c r="M49" i="1"/>
  <c r="M55" i="1"/>
  <c r="M61" i="1"/>
  <c r="M67" i="1"/>
  <c r="M73" i="1"/>
  <c r="M79" i="1"/>
  <c r="M85" i="1"/>
  <c r="M91" i="1"/>
  <c r="M97" i="1"/>
  <c r="M103" i="1"/>
  <c r="M109" i="1"/>
  <c r="M115" i="1"/>
  <c r="M121" i="1"/>
  <c r="M127" i="1"/>
  <c r="M133" i="1"/>
  <c r="M139" i="1"/>
  <c r="M145" i="1"/>
  <c r="M151" i="1"/>
  <c r="M157" i="1"/>
  <c r="M163" i="1"/>
  <c r="M169" i="1"/>
  <c r="M175" i="1"/>
  <c r="M181" i="1"/>
  <c r="M187" i="1"/>
  <c r="L7" i="1"/>
  <c r="L182" i="1"/>
  <c r="M56" i="1"/>
  <c r="M110" i="1"/>
  <c r="M122" i="1"/>
  <c r="M134" i="1"/>
  <c r="M146" i="1"/>
  <c r="M158" i="1"/>
  <c r="M170" i="1"/>
  <c r="G789" i="1"/>
  <c r="F1612" i="1"/>
  <c r="F1648" i="1"/>
  <c r="F1702" i="1"/>
  <c r="G1772" i="1"/>
  <c r="G1794" i="1"/>
  <c r="G1821" i="1"/>
  <c r="G1874" i="1"/>
  <c r="F1906" i="1"/>
  <c r="F1954" i="1"/>
  <c r="R32" i="1"/>
  <c r="R79" i="1"/>
  <c r="S111" i="1"/>
  <c r="R178" i="1"/>
  <c r="O22" i="1"/>
  <c r="O70" i="1"/>
  <c r="O118" i="1"/>
  <c r="O172" i="1"/>
  <c r="L17" i="1"/>
  <c r="L71" i="1"/>
  <c r="L107" i="1"/>
  <c r="L155" i="1"/>
  <c r="L191" i="1"/>
  <c r="F243" i="1"/>
  <c r="G657" i="1"/>
  <c r="F882" i="1"/>
  <c r="G986" i="1"/>
  <c r="G1072" i="1"/>
  <c r="G1144" i="1"/>
  <c r="G1216" i="1"/>
  <c r="G1288" i="1"/>
  <c r="G1360" i="1"/>
  <c r="G1432" i="1"/>
  <c r="G1504" i="1"/>
  <c r="G1546" i="1"/>
  <c r="G1576" i="1"/>
  <c r="G1600" i="1"/>
  <c r="F1620" i="1"/>
  <c r="F1638" i="1"/>
  <c r="F1656" i="1"/>
  <c r="F1674" i="1"/>
  <c r="F1692" i="1"/>
  <c r="F1710" i="1"/>
  <c r="F1728" i="1"/>
  <c r="F1746" i="1"/>
  <c r="F1764" i="1"/>
  <c r="F1780" i="1"/>
  <c r="G1790" i="1"/>
  <c r="G1798" i="1"/>
  <c r="G1808" i="1"/>
  <c r="G1816" i="1"/>
  <c r="G1826" i="1"/>
  <c r="G1834" i="1"/>
  <c r="G1844" i="1"/>
  <c r="G1852" i="1"/>
  <c r="G1862" i="1"/>
  <c r="F1870" i="1"/>
  <c r="G1878" i="1"/>
  <c r="G1886" i="1"/>
  <c r="F1894" i="1"/>
  <c r="G1902" i="1"/>
  <c r="G1910" i="1"/>
  <c r="F1918" i="1"/>
  <c r="G1926" i="1"/>
  <c r="G1934" i="1"/>
  <c r="F1942" i="1"/>
  <c r="G1950" i="1"/>
  <c r="G1958" i="1"/>
  <c r="F1966" i="1"/>
  <c r="G1974" i="1"/>
  <c r="G1982" i="1"/>
  <c r="F1990" i="1"/>
  <c r="G1998" i="1"/>
  <c r="S12" i="1"/>
  <c r="R20" i="1"/>
  <c r="S28" i="1"/>
  <c r="S36" i="1"/>
  <c r="R44" i="1"/>
  <c r="S52" i="1"/>
  <c r="S60" i="1"/>
  <c r="R68" i="1"/>
  <c r="S75" i="1"/>
  <c r="R82" i="1"/>
  <c r="S88" i="1"/>
  <c r="S95" i="1"/>
  <c r="R102" i="1"/>
  <c r="S108" i="1"/>
  <c r="R115" i="1"/>
  <c r="R121" i="1"/>
  <c r="R127" i="1"/>
  <c r="R133" i="1"/>
  <c r="R139" i="1"/>
  <c r="R145" i="1"/>
  <c r="R151" i="1"/>
  <c r="R157" i="1"/>
  <c r="R163" i="1"/>
  <c r="R169" i="1"/>
  <c r="R175" i="1"/>
  <c r="R181" i="1"/>
  <c r="R187" i="1"/>
  <c r="S7" i="1"/>
  <c r="O13" i="1"/>
  <c r="O19" i="1"/>
  <c r="O25" i="1"/>
  <c r="O31" i="1"/>
  <c r="O37" i="1"/>
  <c r="O43" i="1"/>
  <c r="O49" i="1"/>
  <c r="O55" i="1"/>
  <c r="O61" i="1"/>
  <c r="O67" i="1"/>
  <c r="O73" i="1"/>
  <c r="O79" i="1"/>
  <c r="O85" i="1"/>
  <c r="O91" i="1"/>
  <c r="O97" i="1"/>
  <c r="O103" i="1"/>
  <c r="O109" i="1"/>
  <c r="O115" i="1"/>
  <c r="O121" i="1"/>
  <c r="O127" i="1"/>
  <c r="O133" i="1"/>
  <c r="O139" i="1"/>
  <c r="O145" i="1"/>
  <c r="O151" i="1"/>
  <c r="O157" i="1"/>
  <c r="O163" i="1"/>
  <c r="O169" i="1"/>
  <c r="O175" i="1"/>
  <c r="O181" i="1"/>
  <c r="O187" i="1"/>
  <c r="L8" i="1"/>
  <c r="L14" i="1"/>
  <c r="L20" i="1"/>
  <c r="L26" i="1"/>
  <c r="L32" i="1"/>
  <c r="L38" i="1"/>
  <c r="L44" i="1"/>
  <c r="L50" i="1"/>
  <c r="L56" i="1"/>
  <c r="L62" i="1"/>
  <c r="L68" i="1"/>
  <c r="L74" i="1"/>
  <c r="L80" i="1"/>
  <c r="L86" i="1"/>
  <c r="L92" i="1"/>
  <c r="L98" i="1"/>
  <c r="L104" i="1"/>
  <c r="L110" i="1"/>
  <c r="L116" i="1"/>
  <c r="L122" i="1"/>
  <c r="L128" i="1"/>
  <c r="L134" i="1"/>
  <c r="L140" i="1"/>
  <c r="L146" i="1"/>
  <c r="L152" i="1"/>
  <c r="L158" i="1"/>
  <c r="L164" i="1"/>
  <c r="L170" i="1"/>
  <c r="L176" i="1"/>
  <c r="L188" i="1"/>
  <c r="G1108" i="1"/>
  <c r="G1922" i="1"/>
  <c r="S72" i="1"/>
  <c r="R172" i="1"/>
  <c r="O82" i="1"/>
  <c r="O166" i="1"/>
  <c r="L59" i="1"/>
  <c r="L143" i="1"/>
  <c r="F315" i="1"/>
  <c r="G681" i="1"/>
  <c r="F894" i="1"/>
  <c r="G993" i="1"/>
  <c r="G1078" i="1"/>
  <c r="G1150" i="1"/>
  <c r="G1222" i="1"/>
  <c r="G1294" i="1"/>
  <c r="G1366" i="1"/>
  <c r="G1438" i="1"/>
  <c r="G1510" i="1"/>
  <c r="F1552" i="1"/>
  <c r="F1578" i="1"/>
  <c r="F1602" i="1"/>
  <c r="F1622" i="1"/>
  <c r="F1640" i="1"/>
  <c r="F1658" i="1"/>
  <c r="F1676" i="1"/>
  <c r="F1694" i="1"/>
  <c r="F1712" i="1"/>
  <c r="F1730" i="1"/>
  <c r="F1748" i="1"/>
  <c r="F1766" i="1"/>
  <c r="G1780" i="1"/>
  <c r="F1791" i="1"/>
  <c r="F1800" i="1"/>
  <c r="F1809" i="1"/>
  <c r="F1818" i="1"/>
  <c r="F1827" i="1"/>
  <c r="F1836" i="1"/>
  <c r="F1845" i="1"/>
  <c r="F1854" i="1"/>
  <c r="F1863" i="1"/>
  <c r="G1870" i="1"/>
  <c r="G1879" i="1"/>
  <c r="F1887" i="1"/>
  <c r="G1894" i="1"/>
  <c r="G1903" i="1"/>
  <c r="F1911" i="1"/>
  <c r="G1918" i="1"/>
  <c r="G1927" i="1"/>
  <c r="F1935" i="1"/>
  <c r="G1942" i="1"/>
  <c r="G1951" i="1"/>
  <c r="F1959" i="1"/>
  <c r="G1966" i="1"/>
  <c r="G1975" i="1"/>
  <c r="F1983" i="1"/>
  <c r="G1990" i="1"/>
  <c r="G1999" i="1"/>
  <c r="R13" i="1"/>
  <c r="S20" i="1"/>
  <c r="S29" i="1"/>
  <c r="R37" i="1"/>
  <c r="S44" i="1"/>
  <c r="S53" i="1"/>
  <c r="R61" i="1"/>
  <c r="S68" i="1"/>
  <c r="R76" i="1"/>
  <c r="S82" i="1"/>
  <c r="S89" i="1"/>
  <c r="R96" i="1"/>
  <c r="S102" i="1"/>
  <c r="R109" i="1"/>
  <c r="S115" i="1"/>
  <c r="S121" i="1"/>
  <c r="S127" i="1"/>
  <c r="S133" i="1"/>
  <c r="S139" i="1"/>
  <c r="S145" i="1"/>
  <c r="S151" i="1"/>
  <c r="S157" i="1"/>
  <c r="S163" i="1"/>
  <c r="S169" i="1"/>
  <c r="S175" i="1"/>
  <c r="S181" i="1"/>
  <c r="S187" i="1"/>
  <c r="R7" i="1"/>
  <c r="P13" i="1"/>
  <c r="P19" i="1"/>
  <c r="P25" i="1"/>
  <c r="P31" i="1"/>
  <c r="P37" i="1"/>
  <c r="P43" i="1"/>
  <c r="P49" i="1"/>
  <c r="P55" i="1"/>
  <c r="P61" i="1"/>
  <c r="P67" i="1"/>
  <c r="P73" i="1"/>
  <c r="P79" i="1"/>
  <c r="P85" i="1"/>
  <c r="P91" i="1"/>
  <c r="P97" i="1"/>
  <c r="P103" i="1"/>
  <c r="P109" i="1"/>
  <c r="P115" i="1"/>
  <c r="P121" i="1"/>
  <c r="P127" i="1"/>
  <c r="P133" i="1"/>
  <c r="P139" i="1"/>
  <c r="P145" i="1"/>
  <c r="P151" i="1"/>
  <c r="P157" i="1"/>
  <c r="P163" i="1"/>
  <c r="P169" i="1"/>
  <c r="P175" i="1"/>
  <c r="P181" i="1"/>
  <c r="P187" i="1"/>
  <c r="M8" i="1"/>
  <c r="M14" i="1"/>
  <c r="M20" i="1"/>
  <c r="M26" i="1"/>
  <c r="M32" i="1"/>
  <c r="M38" i="1"/>
  <c r="M44" i="1"/>
  <c r="M50" i="1"/>
  <c r="M62" i="1"/>
  <c r="M68" i="1"/>
  <c r="M74" i="1"/>
  <c r="M80" i="1"/>
  <c r="M86" i="1"/>
  <c r="M92" i="1"/>
  <c r="M98" i="1"/>
  <c r="M104" i="1"/>
  <c r="M116" i="1"/>
  <c r="M128" i="1"/>
  <c r="M140" i="1"/>
  <c r="M152" i="1"/>
  <c r="M164" i="1"/>
  <c r="M182" i="1"/>
  <c r="G1180" i="1"/>
  <c r="G1839" i="1"/>
  <c r="G1946" i="1"/>
  <c r="S48" i="1"/>
  <c r="R154" i="1"/>
  <c r="O64" i="1"/>
  <c r="O148" i="1"/>
  <c r="L47" i="1"/>
  <c r="L137" i="1"/>
  <c r="F387" i="1"/>
  <c r="G705" i="1"/>
  <c r="F906" i="1"/>
  <c r="G1001" i="1"/>
  <c r="G1084" i="1"/>
  <c r="G1156" i="1"/>
  <c r="G1228" i="1"/>
  <c r="G1300" i="1"/>
  <c r="G1372" i="1"/>
  <c r="G1444" i="1"/>
  <c r="G1516" i="1"/>
  <c r="G1552" i="1"/>
  <c r="F1582" i="1"/>
  <c r="F1606" i="1"/>
  <c r="F1624" i="1"/>
  <c r="F1642" i="1"/>
  <c r="F1660" i="1"/>
  <c r="F1678" i="1"/>
  <c r="F1696" i="1"/>
  <c r="F1714" i="1"/>
  <c r="F1732" i="1"/>
  <c r="F1750" i="1"/>
  <c r="F1768" i="1"/>
  <c r="F1782" i="1"/>
  <c r="G1791" i="1"/>
  <c r="G1800" i="1"/>
  <c r="G1809" i="1"/>
  <c r="G1818" i="1"/>
  <c r="G1827" i="1"/>
  <c r="G1836" i="1"/>
  <c r="G1845" i="1"/>
  <c r="G1854" i="1"/>
  <c r="G1863" i="1"/>
  <c r="F1872" i="1"/>
  <c r="F1880" i="1"/>
  <c r="G1887" i="1"/>
  <c r="F1896" i="1"/>
  <c r="F1904" i="1"/>
  <c r="G1911" i="1"/>
  <c r="F1920" i="1"/>
  <c r="F1928" i="1"/>
  <c r="G1935" i="1"/>
  <c r="F1944" i="1"/>
  <c r="F1952" i="1"/>
  <c r="G1959" i="1"/>
  <c r="F1968" i="1"/>
  <c r="F1976" i="1"/>
  <c r="G1983" i="1"/>
  <c r="F1992" i="1"/>
  <c r="F2000" i="1"/>
  <c r="S13" i="1"/>
  <c r="R22" i="1"/>
  <c r="R30" i="1"/>
  <c r="S37" i="1"/>
  <c r="R46" i="1"/>
  <c r="R54" i="1"/>
  <c r="S61" i="1"/>
  <c r="R70" i="1"/>
  <c r="S76" i="1"/>
  <c r="S83" i="1"/>
  <c r="R90" i="1"/>
  <c r="S96" i="1"/>
  <c r="R103" i="1"/>
  <c r="S109" i="1"/>
  <c r="R116" i="1"/>
  <c r="R122" i="1"/>
  <c r="R128" i="1"/>
  <c r="R134" i="1"/>
  <c r="R140" i="1"/>
  <c r="R146" i="1"/>
  <c r="R152" i="1"/>
  <c r="R158" i="1"/>
  <c r="R164" i="1"/>
  <c r="R170" i="1"/>
  <c r="R176" i="1"/>
  <c r="R182" i="1"/>
  <c r="R188" i="1"/>
  <c r="O8" i="1"/>
  <c r="O14" i="1"/>
  <c r="O20" i="1"/>
  <c r="O26" i="1"/>
  <c r="O32" i="1"/>
  <c r="O38" i="1"/>
  <c r="O44" i="1"/>
  <c r="O50" i="1"/>
  <c r="O56" i="1"/>
  <c r="O62" i="1"/>
  <c r="O68" i="1"/>
  <c r="O74" i="1"/>
  <c r="O80" i="1"/>
  <c r="O86" i="1"/>
  <c r="O92" i="1"/>
  <c r="O98" i="1"/>
  <c r="O104" i="1"/>
  <c r="O110" i="1"/>
  <c r="O116" i="1"/>
  <c r="O122" i="1"/>
  <c r="O128" i="1"/>
  <c r="O134" i="1"/>
  <c r="O140" i="1"/>
  <c r="O146" i="1"/>
  <c r="O152" i="1"/>
  <c r="O158" i="1"/>
  <c r="O164" i="1"/>
  <c r="O170" i="1"/>
  <c r="O176" i="1"/>
  <c r="O182" i="1"/>
  <c r="O188" i="1"/>
  <c r="L9" i="1"/>
  <c r="L15" i="1"/>
  <c r="L21" i="1"/>
  <c r="L27" i="1"/>
  <c r="L33" i="1"/>
  <c r="L39" i="1"/>
  <c r="L45" i="1"/>
  <c r="L51" i="1"/>
  <c r="L57" i="1"/>
  <c r="L63" i="1"/>
  <c r="L69" i="1"/>
  <c r="L75" i="1"/>
  <c r="L81" i="1"/>
  <c r="L87" i="1"/>
  <c r="L93" i="1"/>
  <c r="L99" i="1"/>
  <c r="L105" i="1"/>
  <c r="L111" i="1"/>
  <c r="L117" i="1"/>
  <c r="L123" i="1"/>
  <c r="L129" i="1"/>
  <c r="L135" i="1"/>
  <c r="L141" i="1"/>
  <c r="L147" i="1"/>
  <c r="L153" i="1"/>
  <c r="L159" i="1"/>
  <c r="L165" i="1"/>
  <c r="L171" i="1"/>
  <c r="L177" i="1"/>
  <c r="L183" i="1"/>
  <c r="L189" i="1"/>
  <c r="M183" i="1"/>
  <c r="G1324" i="1"/>
  <c r="G1848" i="1"/>
  <c r="G1970" i="1"/>
  <c r="R56" i="1"/>
  <c r="R136" i="1"/>
  <c r="O28" i="1"/>
  <c r="O100" i="1"/>
  <c r="O184" i="1"/>
  <c r="L83" i="1"/>
  <c r="L167" i="1"/>
  <c r="G435" i="1"/>
  <c r="G729" i="1"/>
  <c r="G914" i="1"/>
  <c r="G1008" i="1"/>
  <c r="G1090" i="1"/>
  <c r="G1162" i="1"/>
  <c r="G1234" i="1"/>
  <c r="G1306" i="1"/>
  <c r="G1378" i="1"/>
  <c r="G1450" i="1"/>
  <c r="F1522" i="1"/>
  <c r="F1558" i="1"/>
  <c r="G1582" i="1"/>
  <c r="G1606" i="1"/>
  <c r="G1624" i="1"/>
  <c r="G1642" i="1"/>
  <c r="G1660" i="1"/>
  <c r="G1678" i="1"/>
  <c r="G1696" i="1"/>
  <c r="G1714" i="1"/>
  <c r="G1732" i="1"/>
  <c r="G1750" i="1"/>
  <c r="G1768" i="1"/>
  <c r="F1784" i="1"/>
  <c r="F1792" i="1"/>
  <c r="F1802" i="1"/>
  <c r="F1810" i="1"/>
  <c r="F1820" i="1"/>
  <c r="F1828" i="1"/>
  <c r="F1838" i="1"/>
  <c r="F1846" i="1"/>
  <c r="F1856" i="1"/>
  <c r="F1864" i="1"/>
  <c r="G1872" i="1"/>
  <c r="G1880" i="1"/>
  <c r="F1888" i="1"/>
  <c r="G1896" i="1"/>
  <c r="G1904" i="1"/>
  <c r="F1912" i="1"/>
  <c r="G1920" i="1"/>
  <c r="G1928" i="1"/>
  <c r="F1936" i="1"/>
  <c r="G1944" i="1"/>
  <c r="G1952" i="1"/>
  <c r="F1960" i="1"/>
  <c r="G1968" i="1"/>
  <c r="G1976" i="1"/>
  <c r="F1984" i="1"/>
  <c r="G1992" i="1"/>
  <c r="G2000" i="1"/>
  <c r="R14" i="1"/>
  <c r="S22" i="1"/>
  <c r="S30" i="1"/>
  <c r="R38" i="1"/>
  <c r="S46" i="1"/>
  <c r="S54" i="1"/>
  <c r="R62" i="1"/>
  <c r="S70" i="1"/>
  <c r="S77" i="1"/>
  <c r="R84" i="1"/>
  <c r="S90" i="1"/>
  <c r="R97" i="1"/>
  <c r="S103" i="1"/>
  <c r="R110" i="1"/>
  <c r="S116" i="1"/>
  <c r="S122" i="1"/>
  <c r="S128" i="1"/>
  <c r="S134" i="1"/>
  <c r="S140" i="1"/>
  <c r="S146" i="1"/>
  <c r="S152" i="1"/>
  <c r="S158" i="1"/>
  <c r="S164" i="1"/>
  <c r="S170" i="1"/>
  <c r="S176" i="1"/>
  <c r="S182" i="1"/>
  <c r="S188" i="1"/>
  <c r="P8" i="1"/>
  <c r="P14" i="1"/>
  <c r="P20" i="1"/>
  <c r="P26" i="1"/>
  <c r="P32" i="1"/>
  <c r="P38" i="1"/>
  <c r="P44" i="1"/>
  <c r="P50" i="1"/>
  <c r="P56" i="1"/>
  <c r="P62" i="1"/>
  <c r="P68" i="1"/>
  <c r="P74" i="1"/>
  <c r="P80" i="1"/>
  <c r="P86" i="1"/>
  <c r="P92" i="1"/>
  <c r="P98" i="1"/>
  <c r="P104" i="1"/>
  <c r="P110" i="1"/>
  <c r="P116" i="1"/>
  <c r="P122" i="1"/>
  <c r="P128" i="1"/>
  <c r="P134" i="1"/>
  <c r="P140" i="1"/>
  <c r="P146" i="1"/>
  <c r="P152" i="1"/>
  <c r="P158" i="1"/>
  <c r="P164" i="1"/>
  <c r="P170" i="1"/>
  <c r="P176" i="1"/>
  <c r="P182" i="1"/>
  <c r="P188" i="1"/>
  <c r="M9" i="1"/>
  <c r="M15" i="1"/>
  <c r="M21" i="1"/>
  <c r="M27" i="1"/>
  <c r="M33" i="1"/>
  <c r="M39" i="1"/>
  <c r="M45" i="1"/>
  <c r="M51" i="1"/>
  <c r="M57" i="1"/>
  <c r="M63" i="1"/>
  <c r="M69" i="1"/>
  <c r="M75" i="1"/>
  <c r="M81" i="1"/>
  <c r="M87" i="1"/>
  <c r="M93" i="1"/>
  <c r="M99" i="1"/>
  <c r="M105" i="1"/>
  <c r="M111" i="1"/>
  <c r="M117" i="1"/>
  <c r="M123" i="1"/>
  <c r="M129" i="1"/>
  <c r="M135" i="1"/>
  <c r="M141" i="1"/>
  <c r="M147" i="1"/>
  <c r="M153" i="1"/>
  <c r="M159" i="1"/>
  <c r="M165" i="1"/>
  <c r="M171" i="1"/>
  <c r="M177" i="1"/>
  <c r="M189" i="1"/>
  <c r="G1468" i="1"/>
  <c r="R8" i="1"/>
  <c r="R142" i="1"/>
  <c r="O46" i="1"/>
  <c r="O136" i="1"/>
  <c r="L41" i="1"/>
  <c r="L131" i="1"/>
  <c r="G465" i="1"/>
  <c r="G753" i="1"/>
  <c r="F922" i="1"/>
  <c r="G1015" i="1"/>
  <c r="G1096" i="1"/>
  <c r="G1168" i="1"/>
  <c r="G1240" i="1"/>
  <c r="G1312" i="1"/>
  <c r="G1384" i="1"/>
  <c r="G1456" i="1"/>
  <c r="G1522" i="1"/>
  <c r="G1558" i="1"/>
  <c r="F1584" i="1"/>
  <c r="F1608" i="1"/>
  <c r="F1626" i="1"/>
  <c r="F1644" i="1"/>
  <c r="F1662" i="1"/>
  <c r="F1680" i="1"/>
  <c r="F1698" i="1"/>
  <c r="F1716" i="1"/>
  <c r="F1734" i="1"/>
  <c r="F1752" i="1"/>
  <c r="F1770" i="1"/>
  <c r="G1784" i="1"/>
  <c r="G1792" i="1"/>
  <c r="G1802" i="1"/>
  <c r="G1810" i="1"/>
  <c r="G1820" i="1"/>
  <c r="G1828" i="1"/>
  <c r="G1838" i="1"/>
  <c r="G1846" i="1"/>
  <c r="G1856" i="1"/>
  <c r="G1864" i="1"/>
  <c r="G1873" i="1"/>
  <c r="F1881" i="1"/>
  <c r="G1888" i="1"/>
  <c r="G1897" i="1"/>
  <c r="F1905" i="1"/>
  <c r="G1912" i="1"/>
  <c r="G1921" i="1"/>
  <c r="F1929" i="1"/>
  <c r="G1936" i="1"/>
  <c r="G1945" i="1"/>
  <c r="F1953" i="1"/>
  <c r="G1960" i="1"/>
  <c r="G1969" i="1"/>
  <c r="F1977" i="1"/>
  <c r="G1984" i="1"/>
  <c r="G1993" i="1"/>
  <c r="F193" i="1"/>
  <c r="S14" i="1"/>
  <c r="S23" i="1"/>
  <c r="R31" i="1"/>
  <c r="S38" i="1"/>
  <c r="S47" i="1"/>
  <c r="R55" i="1"/>
  <c r="S62" i="1"/>
  <c r="S71" i="1"/>
  <c r="R78" i="1"/>
  <c r="S84" i="1"/>
  <c r="R91" i="1"/>
  <c r="S97" i="1"/>
  <c r="R104" i="1"/>
  <c r="S110" i="1"/>
  <c r="R117" i="1"/>
  <c r="R123" i="1"/>
  <c r="R129" i="1"/>
  <c r="R135" i="1"/>
  <c r="R141" i="1"/>
  <c r="R147" i="1"/>
  <c r="R153" i="1"/>
  <c r="R159" i="1"/>
  <c r="R165" i="1"/>
  <c r="R171" i="1"/>
  <c r="R177" i="1"/>
  <c r="R183" i="1"/>
  <c r="R189" i="1"/>
  <c r="O9" i="1"/>
  <c r="O15" i="1"/>
  <c r="O21" i="1"/>
  <c r="O27" i="1"/>
  <c r="O33" i="1"/>
  <c r="O39" i="1"/>
  <c r="O45" i="1"/>
  <c r="O51" i="1"/>
  <c r="O57" i="1"/>
  <c r="O63" i="1"/>
  <c r="O69" i="1"/>
  <c r="O75" i="1"/>
  <c r="O81" i="1"/>
  <c r="O87" i="1"/>
  <c r="O93" i="1"/>
  <c r="O99" i="1"/>
  <c r="O105" i="1"/>
  <c r="O111" i="1"/>
  <c r="O117" i="1"/>
  <c r="O123" i="1"/>
  <c r="O129" i="1"/>
  <c r="O135" i="1"/>
  <c r="O141" i="1"/>
  <c r="O147" i="1"/>
  <c r="O153" i="1"/>
  <c r="O159" i="1"/>
  <c r="O165" i="1"/>
  <c r="O171" i="1"/>
  <c r="O177" i="1"/>
  <c r="O183" i="1"/>
  <c r="O189" i="1"/>
  <c r="L10" i="1"/>
  <c r="L16" i="1"/>
  <c r="L22" i="1"/>
  <c r="L28" i="1"/>
  <c r="L34" i="1"/>
  <c r="L40" i="1"/>
  <c r="L46" i="1"/>
  <c r="L52" i="1"/>
  <c r="L58" i="1"/>
  <c r="L64" i="1"/>
  <c r="L70" i="1"/>
  <c r="L76" i="1"/>
  <c r="L82" i="1"/>
  <c r="L88" i="1"/>
  <c r="L94" i="1"/>
  <c r="L100" i="1"/>
  <c r="L106" i="1"/>
  <c r="L112" i="1"/>
  <c r="L118" i="1"/>
  <c r="L124" i="1"/>
  <c r="L130" i="1"/>
  <c r="L136" i="1"/>
  <c r="L142" i="1"/>
  <c r="L148" i="1"/>
  <c r="L154" i="1"/>
  <c r="L160" i="1"/>
  <c r="L166" i="1"/>
  <c r="L172" i="1"/>
  <c r="L178" i="1"/>
  <c r="L184" i="1"/>
  <c r="L190" i="1"/>
  <c r="M112" i="1"/>
  <c r="M190" i="1"/>
  <c r="G1029" i="1"/>
  <c r="G1866" i="1"/>
  <c r="G1986" i="1"/>
  <c r="S98" i="1"/>
  <c r="R184" i="1"/>
  <c r="O76" i="1"/>
  <c r="O154" i="1"/>
  <c r="L53" i="1"/>
  <c r="L119" i="1"/>
  <c r="G489" i="1"/>
  <c r="G771" i="1"/>
  <c r="F931" i="1"/>
  <c r="G1022" i="1"/>
  <c r="G1102" i="1"/>
  <c r="G1174" i="1"/>
  <c r="G1246" i="1"/>
  <c r="G1318" i="1"/>
  <c r="G1390" i="1"/>
  <c r="G1462" i="1"/>
  <c r="F1528" i="1"/>
  <c r="F1564" i="1"/>
  <c r="F1588" i="1"/>
  <c r="F1610" i="1"/>
  <c r="F1628" i="1"/>
  <c r="F1646" i="1"/>
  <c r="F1664" i="1"/>
  <c r="F1682" i="1"/>
  <c r="F1700" i="1"/>
  <c r="F1718" i="1"/>
  <c r="F1736" i="1"/>
  <c r="F1754" i="1"/>
  <c r="F1772" i="1"/>
  <c r="F1785" i="1"/>
  <c r="F1794" i="1"/>
  <c r="F1803" i="1"/>
  <c r="F1812" i="1"/>
  <c r="F1821" i="1"/>
  <c r="F1830" i="1"/>
  <c r="F1839" i="1"/>
  <c r="F1848" i="1"/>
  <c r="F1857" i="1"/>
  <c r="F1866" i="1"/>
  <c r="F1874" i="1"/>
  <c r="G1881" i="1"/>
  <c r="F1890" i="1"/>
  <c r="F1898" i="1"/>
  <c r="G1905" i="1"/>
  <c r="F1914" i="1"/>
  <c r="F1922" i="1"/>
  <c r="G1929" i="1"/>
  <c r="F1938" i="1"/>
  <c r="F1946" i="1"/>
  <c r="G1953" i="1"/>
  <c r="F1962" i="1"/>
  <c r="F1970" i="1"/>
  <c r="G1977" i="1"/>
  <c r="F1986" i="1"/>
  <c r="F1994" i="1"/>
  <c r="G193" i="1"/>
  <c r="R16" i="1"/>
  <c r="R24" i="1"/>
  <c r="S31" i="1"/>
  <c r="R40" i="1"/>
  <c r="R48" i="1"/>
  <c r="S55" i="1"/>
  <c r="R64" i="1"/>
  <c r="R72" i="1"/>
  <c r="S78" i="1"/>
  <c r="R85" i="1"/>
  <c r="S91" i="1"/>
  <c r="R98" i="1"/>
  <c r="S104" i="1"/>
  <c r="R111" i="1"/>
  <c r="S117" i="1"/>
  <c r="S123" i="1"/>
  <c r="S129" i="1"/>
  <c r="S135" i="1"/>
  <c r="S141" i="1"/>
  <c r="S147" i="1"/>
  <c r="S153" i="1"/>
  <c r="S159" i="1"/>
  <c r="S165" i="1"/>
  <c r="S171" i="1"/>
  <c r="S177" i="1"/>
  <c r="S183" i="1"/>
  <c r="S189" i="1"/>
  <c r="P9" i="1"/>
  <c r="P15" i="1"/>
  <c r="P21" i="1"/>
  <c r="P27" i="1"/>
  <c r="P33" i="1"/>
  <c r="P39" i="1"/>
  <c r="P45" i="1"/>
  <c r="P51" i="1"/>
  <c r="P57" i="1"/>
  <c r="P63" i="1"/>
  <c r="P69" i="1"/>
  <c r="P75" i="1"/>
  <c r="P81" i="1"/>
  <c r="P87" i="1"/>
  <c r="P93" i="1"/>
  <c r="P99" i="1"/>
  <c r="P105" i="1"/>
  <c r="P111" i="1"/>
  <c r="P117" i="1"/>
  <c r="P123" i="1"/>
  <c r="P129" i="1"/>
  <c r="P135" i="1"/>
  <c r="P141" i="1"/>
  <c r="P147" i="1"/>
  <c r="P153" i="1"/>
  <c r="P159" i="1"/>
  <c r="P165" i="1"/>
  <c r="P171" i="1"/>
  <c r="P177" i="1"/>
  <c r="P183" i="1"/>
  <c r="P189" i="1"/>
  <c r="M10" i="1"/>
  <c r="M16" i="1"/>
  <c r="M22" i="1"/>
  <c r="M28" i="1"/>
  <c r="M34" i="1"/>
  <c r="M40" i="1"/>
  <c r="M46" i="1"/>
  <c r="M52" i="1"/>
  <c r="M58" i="1"/>
  <c r="M64" i="1"/>
  <c r="M70" i="1"/>
  <c r="M76" i="1"/>
  <c r="M82" i="1"/>
  <c r="M88" i="1"/>
  <c r="M94" i="1"/>
  <c r="M100" i="1"/>
  <c r="M106" i="1"/>
  <c r="M118" i="1"/>
  <c r="M124" i="1"/>
  <c r="M130" i="1"/>
  <c r="M136" i="1"/>
  <c r="M142" i="1"/>
  <c r="M148" i="1"/>
  <c r="M154" i="1"/>
  <c r="M160" i="1"/>
  <c r="M166" i="1"/>
  <c r="M172" i="1"/>
  <c r="M178" i="1"/>
  <c r="M184" i="1"/>
  <c r="G1252" i="1"/>
  <c r="G1890" i="1"/>
  <c r="S16" i="1"/>
  <c r="R118" i="1"/>
  <c r="O16" i="1"/>
  <c r="O94" i="1"/>
  <c r="O190" i="1"/>
  <c r="L89" i="1"/>
  <c r="L173" i="1"/>
  <c r="G537" i="1"/>
  <c r="G807" i="1"/>
  <c r="F946" i="1"/>
  <c r="G1037" i="1"/>
  <c r="G1114" i="1"/>
  <c r="G1186" i="1"/>
  <c r="G1258" i="1"/>
  <c r="G1330" i="1"/>
  <c r="G1402" i="1"/>
  <c r="G1474" i="1"/>
  <c r="F1534" i="1"/>
  <c r="F1566" i="1"/>
  <c r="F1590" i="1"/>
  <c r="G1612" i="1"/>
  <c r="G1630" i="1"/>
  <c r="G1648" i="1"/>
  <c r="G1666" i="1"/>
  <c r="G1684" i="1"/>
  <c r="G1702" i="1"/>
  <c r="G1720" i="1"/>
  <c r="G1738" i="1"/>
  <c r="G1756" i="1"/>
  <c r="F1774" i="1"/>
  <c r="F1786" i="1"/>
  <c r="F1796" i="1"/>
  <c r="F1804" i="1"/>
  <c r="F1814" i="1"/>
  <c r="F1822" i="1"/>
  <c r="F1832" i="1"/>
  <c r="F1840" i="1"/>
  <c r="F1850" i="1"/>
  <c r="F1858" i="1"/>
  <c r="G1867" i="1"/>
  <c r="F1875" i="1"/>
  <c r="G1882" i="1"/>
  <c r="G1891" i="1"/>
  <c r="F1899" i="1"/>
  <c r="G1906" i="1"/>
  <c r="G1915" i="1"/>
  <c r="F1923" i="1"/>
  <c r="G1930" i="1"/>
  <c r="G1939" i="1"/>
  <c r="F1947" i="1"/>
  <c r="G1954" i="1"/>
  <c r="G1963" i="1"/>
  <c r="F1971" i="1"/>
  <c r="G1978" i="1"/>
  <c r="G1987" i="1"/>
  <c r="F1995" i="1"/>
  <c r="S8" i="1"/>
  <c r="S17" i="1"/>
  <c r="R25" i="1"/>
  <c r="S32" i="1"/>
  <c r="S41" i="1"/>
  <c r="R49" i="1"/>
  <c r="S56" i="1"/>
  <c r="S65" i="1"/>
  <c r="R73" i="1"/>
  <c r="S79" i="1"/>
  <c r="R86" i="1"/>
  <c r="S92" i="1"/>
  <c r="R99" i="1"/>
  <c r="S105" i="1"/>
  <c r="R112" i="1"/>
  <c r="S118" i="1"/>
  <c r="S124" i="1"/>
  <c r="S130" i="1"/>
  <c r="S136" i="1"/>
  <c r="S142" i="1"/>
  <c r="S148" i="1"/>
  <c r="S154" i="1"/>
  <c r="S160" i="1"/>
  <c r="S166" i="1"/>
  <c r="S172" i="1"/>
  <c r="S178" i="1"/>
  <c r="S184" i="1"/>
  <c r="S190" i="1"/>
  <c r="P10" i="1"/>
  <c r="P16" i="1"/>
  <c r="P22" i="1"/>
  <c r="P28" i="1"/>
  <c r="P34" i="1"/>
  <c r="P40" i="1"/>
  <c r="P46" i="1"/>
  <c r="P52" i="1"/>
  <c r="P58" i="1"/>
  <c r="P64" i="1"/>
  <c r="P70" i="1"/>
  <c r="P76" i="1"/>
  <c r="P82" i="1"/>
  <c r="P88" i="1"/>
  <c r="P94" i="1"/>
  <c r="P100" i="1"/>
  <c r="P106" i="1"/>
  <c r="P112" i="1"/>
  <c r="P118" i="1"/>
  <c r="P124" i="1"/>
  <c r="P130" i="1"/>
  <c r="P136" i="1"/>
  <c r="P142" i="1"/>
  <c r="P148" i="1"/>
  <c r="P154" i="1"/>
  <c r="P160" i="1"/>
  <c r="P166" i="1"/>
  <c r="P172" i="1"/>
  <c r="P178" i="1"/>
  <c r="P184" i="1"/>
  <c r="P190" i="1"/>
  <c r="M11" i="1"/>
  <c r="M17" i="1"/>
  <c r="M23" i="1"/>
  <c r="M29" i="1"/>
  <c r="M35" i="1"/>
  <c r="M41" i="1"/>
  <c r="M47" i="1"/>
  <c r="M53" i="1"/>
  <c r="M59" i="1"/>
  <c r="M65" i="1"/>
  <c r="M71" i="1"/>
  <c r="M77" i="1"/>
  <c r="M83" i="1"/>
  <c r="M89" i="1"/>
  <c r="M95" i="1"/>
  <c r="M101" i="1"/>
  <c r="M107" i="1"/>
  <c r="M113" i="1"/>
  <c r="M119" i="1"/>
  <c r="M125" i="1"/>
  <c r="M131" i="1"/>
  <c r="M137" i="1"/>
  <c r="M143" i="1"/>
  <c r="M149" i="1"/>
  <c r="M155" i="1"/>
  <c r="M161" i="1"/>
  <c r="M167" i="1"/>
  <c r="M173" i="1"/>
  <c r="M179" i="1"/>
  <c r="M185" i="1"/>
  <c r="M191" i="1"/>
  <c r="M24" i="1"/>
  <c r="M72" i="1"/>
  <c r="M90" i="1"/>
  <c r="M96" i="1"/>
  <c r="M114" i="1"/>
  <c r="M126" i="1"/>
  <c r="M132" i="1"/>
  <c r="M150" i="1"/>
  <c r="M162" i="1"/>
  <c r="M180" i="1"/>
  <c r="M186" i="1"/>
  <c r="M176" i="1"/>
  <c r="G513" i="1"/>
  <c r="G1588" i="1"/>
  <c r="F1630" i="1"/>
  <c r="F1684" i="1"/>
  <c r="F1738" i="1"/>
  <c r="G1785" i="1"/>
  <c r="G1812" i="1"/>
  <c r="G1857" i="1"/>
  <c r="G1898" i="1"/>
  <c r="F1930" i="1"/>
  <c r="F1978" i="1"/>
  <c r="S40" i="1"/>
  <c r="R92" i="1"/>
  <c r="R124" i="1"/>
  <c r="R160" i="1"/>
  <c r="R190" i="1"/>
  <c r="O34" i="1"/>
  <c r="O88" i="1"/>
  <c r="O112" i="1"/>
  <c r="O142" i="1"/>
  <c r="O178" i="1"/>
  <c r="L35" i="1"/>
  <c r="L77" i="1"/>
  <c r="L113" i="1"/>
  <c r="L161" i="1"/>
  <c r="G561" i="1"/>
  <c r="G825" i="1"/>
  <c r="F955" i="1"/>
  <c r="G1044" i="1"/>
  <c r="G1120" i="1"/>
  <c r="G1192" i="1"/>
  <c r="G1264" i="1"/>
  <c r="G1336" i="1"/>
  <c r="G1408" i="1"/>
  <c r="G1480" i="1"/>
  <c r="G1534" i="1"/>
  <c r="F1570" i="1"/>
  <c r="F1594" i="1"/>
  <c r="F1614" i="1"/>
  <c r="F1632" i="1"/>
  <c r="F1650" i="1"/>
  <c r="F1668" i="1"/>
  <c r="F1686" i="1"/>
  <c r="F1704" i="1"/>
  <c r="F1722" i="1"/>
  <c r="F1740" i="1"/>
  <c r="F1758" i="1"/>
  <c r="G1774" i="1"/>
  <c r="G1786" i="1"/>
  <c r="G1796" i="1"/>
  <c r="G1804" i="1"/>
  <c r="G1814" i="1"/>
  <c r="G1822" i="1"/>
  <c r="G1832" i="1"/>
  <c r="G1840" i="1"/>
  <c r="G1850" i="1"/>
  <c r="G1858" i="1"/>
  <c r="F1868" i="1"/>
  <c r="G1875" i="1"/>
  <c r="F1884" i="1"/>
  <c r="F1892" i="1"/>
  <c r="G1899" i="1"/>
  <c r="F1908" i="1"/>
  <c r="F1916" i="1"/>
  <c r="G1923" i="1"/>
  <c r="F1932" i="1"/>
  <c r="F1940" i="1"/>
  <c r="G1947" i="1"/>
  <c r="F1956" i="1"/>
  <c r="F1964" i="1"/>
  <c r="G1971" i="1"/>
  <c r="F1980" i="1"/>
  <c r="F1988" i="1"/>
  <c r="G1995" i="1"/>
  <c r="R10" i="1"/>
  <c r="R18" i="1"/>
  <c r="S25" i="1"/>
  <c r="R34" i="1"/>
  <c r="R42" i="1"/>
  <c r="S49" i="1"/>
  <c r="R58" i="1"/>
  <c r="R66" i="1"/>
  <c r="S73" i="1"/>
  <c r="R80" i="1"/>
  <c r="S86" i="1"/>
  <c r="R93" i="1"/>
  <c r="S99" i="1"/>
  <c r="R106" i="1"/>
  <c r="S112" i="1"/>
  <c r="R119" i="1"/>
  <c r="R125" i="1"/>
  <c r="R131" i="1"/>
  <c r="R137" i="1"/>
  <c r="R143" i="1"/>
  <c r="R149" i="1"/>
  <c r="R155" i="1"/>
  <c r="R161" i="1"/>
  <c r="R167" i="1"/>
  <c r="R173" i="1"/>
  <c r="R179" i="1"/>
  <c r="R185" i="1"/>
  <c r="R191" i="1"/>
  <c r="O11" i="1"/>
  <c r="O17" i="1"/>
  <c r="O23" i="1"/>
  <c r="O29" i="1"/>
  <c r="O35" i="1"/>
  <c r="O41" i="1"/>
  <c r="O47" i="1"/>
  <c r="O53" i="1"/>
  <c r="O59" i="1"/>
  <c r="O65" i="1"/>
  <c r="O71" i="1"/>
  <c r="O77" i="1"/>
  <c r="O83" i="1"/>
  <c r="O89" i="1"/>
  <c r="O95" i="1"/>
  <c r="O101" i="1"/>
  <c r="O107" i="1"/>
  <c r="O113" i="1"/>
  <c r="O119" i="1"/>
  <c r="O125" i="1"/>
  <c r="O131" i="1"/>
  <c r="O137" i="1"/>
  <c r="O143" i="1"/>
  <c r="O149" i="1"/>
  <c r="O155" i="1"/>
  <c r="O161" i="1"/>
  <c r="O167" i="1"/>
  <c r="O173" i="1"/>
  <c r="O179" i="1"/>
  <c r="O185" i="1"/>
  <c r="O191" i="1"/>
  <c r="L12" i="1"/>
  <c r="L18" i="1"/>
  <c r="L24" i="1"/>
  <c r="L30" i="1"/>
  <c r="L36" i="1"/>
  <c r="L42" i="1"/>
  <c r="L48" i="1"/>
  <c r="L54" i="1"/>
  <c r="L60" i="1"/>
  <c r="L66" i="1"/>
  <c r="L72" i="1"/>
  <c r="L78" i="1"/>
  <c r="L84" i="1"/>
  <c r="L90" i="1"/>
  <c r="L96" i="1"/>
  <c r="L102" i="1"/>
  <c r="L108" i="1"/>
  <c r="L114" i="1"/>
  <c r="L120" i="1"/>
  <c r="L126" i="1"/>
  <c r="L132" i="1"/>
  <c r="L138" i="1"/>
  <c r="L144" i="1"/>
  <c r="L150" i="1"/>
  <c r="L156" i="1"/>
  <c r="L162" i="1"/>
  <c r="L168" i="1"/>
  <c r="L174" i="1"/>
  <c r="L180" i="1"/>
  <c r="L186" i="1"/>
  <c r="L192" i="1"/>
  <c r="M18" i="1"/>
  <c r="M78" i="1"/>
  <c r="M102" i="1"/>
  <c r="M120" i="1"/>
  <c r="M138" i="1"/>
  <c r="M156" i="1"/>
  <c r="M168" i="1"/>
  <c r="M192" i="1"/>
  <c r="M188" i="1"/>
  <c r="G938" i="1"/>
  <c r="G1564" i="1"/>
  <c r="F1666" i="1"/>
  <c r="F1720" i="1"/>
  <c r="F1756" i="1"/>
  <c r="G1803" i="1"/>
  <c r="G1830" i="1"/>
  <c r="F1882" i="1"/>
  <c r="G1914" i="1"/>
  <c r="G1962" i="1"/>
  <c r="S24" i="1"/>
  <c r="S64" i="1"/>
  <c r="R105" i="1"/>
  <c r="R148" i="1"/>
  <c r="O10" i="1"/>
  <c r="O58" i="1"/>
  <c r="O106" i="1"/>
  <c r="O160" i="1"/>
  <c r="L11" i="1"/>
  <c r="L65" i="1"/>
  <c r="L101" i="1"/>
  <c r="L149" i="1"/>
  <c r="L185" i="1"/>
  <c r="G189" i="1"/>
  <c r="I188" i="1"/>
  <c r="I182" i="1"/>
  <c r="I176" i="1"/>
  <c r="I170" i="1"/>
  <c r="I164" i="1"/>
  <c r="I158" i="1"/>
  <c r="I152" i="1"/>
  <c r="I146" i="1"/>
  <c r="I140" i="1"/>
  <c r="I134" i="1"/>
  <c r="I128" i="1"/>
  <c r="I122" i="1"/>
  <c r="I116" i="1"/>
  <c r="I110" i="1"/>
  <c r="I104" i="1"/>
  <c r="I98" i="1"/>
  <c r="I92" i="1"/>
  <c r="I86" i="1"/>
  <c r="I80" i="1"/>
  <c r="I74" i="1"/>
  <c r="I68" i="1"/>
  <c r="I62" i="1"/>
  <c r="I56" i="1"/>
  <c r="I50" i="1"/>
  <c r="I44" i="1"/>
  <c r="I38" i="1"/>
  <c r="I32" i="1"/>
  <c r="I26" i="1"/>
  <c r="I20" i="1"/>
  <c r="I14" i="1"/>
  <c r="I8" i="1"/>
  <c r="G186" i="1"/>
  <c r="G180" i="1"/>
  <c r="G174" i="1"/>
  <c r="G168" i="1"/>
  <c r="G162" i="1"/>
  <c r="G156" i="1"/>
  <c r="G150" i="1"/>
  <c r="G144" i="1"/>
  <c r="G138" i="1"/>
  <c r="G132" i="1"/>
  <c r="G126" i="1"/>
  <c r="G120" i="1"/>
  <c r="G114" i="1"/>
  <c r="G108" i="1"/>
  <c r="G102" i="1"/>
  <c r="G96" i="1"/>
  <c r="G90" i="1"/>
  <c r="G84" i="1"/>
  <c r="G78" i="1"/>
  <c r="G72" i="1"/>
  <c r="G66" i="1"/>
  <c r="G60" i="1"/>
  <c r="G54" i="1"/>
  <c r="G48" i="1"/>
  <c r="G42" i="1"/>
  <c r="G36" i="1"/>
  <c r="G30" i="1"/>
  <c r="G24" i="1"/>
  <c r="G18" i="1"/>
  <c r="G12" i="1"/>
  <c r="J160" i="1"/>
  <c r="J40" i="1"/>
  <c r="F159" i="1"/>
  <c r="F111" i="1"/>
  <c r="F57" i="1"/>
  <c r="J187" i="1"/>
  <c r="J181" i="1"/>
  <c r="J175" i="1"/>
  <c r="J169" i="1"/>
  <c r="J163" i="1"/>
  <c r="J157" i="1"/>
  <c r="J151" i="1"/>
  <c r="J145" i="1"/>
  <c r="J139" i="1"/>
  <c r="J133" i="1"/>
  <c r="J127" i="1"/>
  <c r="J121" i="1"/>
  <c r="J115" i="1"/>
  <c r="J109" i="1"/>
  <c r="J103" i="1"/>
  <c r="J97" i="1"/>
  <c r="J91" i="1"/>
  <c r="J85" i="1"/>
  <c r="J79" i="1"/>
  <c r="J73" i="1"/>
  <c r="J67" i="1"/>
  <c r="J61" i="1"/>
  <c r="J55" i="1"/>
  <c r="J49" i="1"/>
  <c r="J43" i="1"/>
  <c r="J37" i="1"/>
  <c r="J31" i="1"/>
  <c r="J25" i="1"/>
  <c r="J19" i="1"/>
  <c r="J13" i="1"/>
  <c r="G192" i="1"/>
  <c r="F186" i="1"/>
  <c r="F180" i="1"/>
  <c r="F174" i="1"/>
  <c r="F168" i="1"/>
  <c r="F162" i="1"/>
  <c r="F156" i="1"/>
  <c r="F150" i="1"/>
  <c r="F144" i="1"/>
  <c r="F138" i="1"/>
  <c r="F132" i="1"/>
  <c r="F126" i="1"/>
  <c r="F120" i="1"/>
  <c r="F114" i="1"/>
  <c r="F108" i="1"/>
  <c r="F102" i="1"/>
  <c r="F96" i="1"/>
  <c r="F90" i="1"/>
  <c r="F84" i="1"/>
  <c r="F78" i="1"/>
  <c r="F72" i="1"/>
  <c r="F66" i="1"/>
  <c r="F60" i="1"/>
  <c r="F54" i="1"/>
  <c r="F48" i="1"/>
  <c r="F42" i="1"/>
  <c r="F36" i="1"/>
  <c r="F30" i="1"/>
  <c r="F24" i="1"/>
  <c r="F18" i="1"/>
  <c r="F12" i="1"/>
  <c r="J154" i="1"/>
  <c r="J34" i="1"/>
  <c r="F147" i="1"/>
  <c r="F93" i="1"/>
  <c r="F39" i="1"/>
  <c r="I187" i="1"/>
  <c r="I181" i="1"/>
  <c r="I175" i="1"/>
  <c r="I169" i="1"/>
  <c r="I163" i="1"/>
  <c r="I157" i="1"/>
  <c r="I151" i="1"/>
  <c r="I145" i="1"/>
  <c r="I139" i="1"/>
  <c r="I133" i="1"/>
  <c r="I127" i="1"/>
  <c r="I121" i="1"/>
  <c r="I115" i="1"/>
  <c r="I109" i="1"/>
  <c r="I103" i="1"/>
  <c r="I97" i="1"/>
  <c r="I91" i="1"/>
  <c r="I85" i="1"/>
  <c r="I79" i="1"/>
  <c r="I73" i="1"/>
  <c r="I67" i="1"/>
  <c r="I61" i="1"/>
  <c r="I55" i="1"/>
  <c r="I49" i="1"/>
  <c r="I43" i="1"/>
  <c r="I37" i="1"/>
  <c r="I31" i="1"/>
  <c r="I25" i="1"/>
  <c r="I19" i="1"/>
  <c r="I13" i="1"/>
  <c r="F192" i="1"/>
  <c r="G185" i="1"/>
  <c r="G179" i="1"/>
  <c r="G173" i="1"/>
  <c r="G167" i="1"/>
  <c r="G161" i="1"/>
  <c r="G155" i="1"/>
  <c r="G149" i="1"/>
  <c r="G143" i="1"/>
  <c r="G137" i="1"/>
  <c r="G131" i="1"/>
  <c r="G125" i="1"/>
  <c r="G119" i="1"/>
  <c r="G113" i="1"/>
  <c r="G107" i="1"/>
  <c r="G101" i="1"/>
  <c r="G95" i="1"/>
  <c r="G89" i="1"/>
  <c r="G83" i="1"/>
  <c r="G77" i="1"/>
  <c r="G71" i="1"/>
  <c r="G65" i="1"/>
  <c r="G59" i="1"/>
  <c r="G53" i="1"/>
  <c r="G47" i="1"/>
  <c r="G41" i="1"/>
  <c r="G35" i="1"/>
  <c r="G29" i="1"/>
  <c r="G23" i="1"/>
  <c r="G17" i="1"/>
  <c r="G11" i="1"/>
  <c r="J178" i="1"/>
  <c r="F171" i="1"/>
  <c r="F105" i="1"/>
  <c r="F33" i="1"/>
  <c r="J192" i="1"/>
  <c r="J186" i="1"/>
  <c r="J180" i="1"/>
  <c r="J174" i="1"/>
  <c r="J168" i="1"/>
  <c r="J162" i="1"/>
  <c r="J156" i="1"/>
  <c r="J150" i="1"/>
  <c r="J144" i="1"/>
  <c r="J138" i="1"/>
  <c r="J132" i="1"/>
  <c r="J126" i="1"/>
  <c r="J120" i="1"/>
  <c r="J114" i="1"/>
  <c r="J108" i="1"/>
  <c r="J102" i="1"/>
  <c r="J96" i="1"/>
  <c r="J90" i="1"/>
  <c r="J84" i="1"/>
  <c r="J78" i="1"/>
  <c r="J72" i="1"/>
  <c r="J66" i="1"/>
  <c r="J60" i="1"/>
  <c r="J54" i="1"/>
  <c r="J48" i="1"/>
  <c r="J42" i="1"/>
  <c r="J36" i="1"/>
  <c r="J30" i="1"/>
  <c r="J24" i="1"/>
  <c r="J18" i="1"/>
  <c r="J12" i="1"/>
  <c r="G191" i="1"/>
  <c r="F185" i="1"/>
  <c r="F179" i="1"/>
  <c r="F173" i="1"/>
  <c r="F167" i="1"/>
  <c r="F161" i="1"/>
  <c r="F155" i="1"/>
  <c r="F149" i="1"/>
  <c r="F143" i="1"/>
  <c r="F137" i="1"/>
  <c r="F131" i="1"/>
  <c r="F125" i="1"/>
  <c r="F119" i="1"/>
  <c r="F113" i="1"/>
  <c r="F107" i="1"/>
  <c r="F101" i="1"/>
  <c r="F95" i="1"/>
  <c r="F89" i="1"/>
  <c r="F83" i="1"/>
  <c r="F77" i="1"/>
  <c r="F71" i="1"/>
  <c r="F65" i="1"/>
  <c r="F59" i="1"/>
  <c r="F53" i="1"/>
  <c r="F47" i="1"/>
  <c r="F41" i="1"/>
  <c r="F35" i="1"/>
  <c r="F29" i="1"/>
  <c r="F23" i="1"/>
  <c r="F17" i="1"/>
  <c r="F11" i="1"/>
  <c r="P7" i="1"/>
  <c r="J166" i="1"/>
  <c r="F189" i="1"/>
  <c r="F123" i="1"/>
  <c r="F69" i="1"/>
  <c r="F9" i="1"/>
  <c r="I192" i="1"/>
  <c r="I186" i="1"/>
  <c r="I180" i="1"/>
  <c r="I174" i="1"/>
  <c r="I168" i="1"/>
  <c r="I162" i="1"/>
  <c r="I156" i="1"/>
  <c r="I150" i="1"/>
  <c r="I144" i="1"/>
  <c r="I138" i="1"/>
  <c r="I132" i="1"/>
  <c r="I126" i="1"/>
  <c r="I120" i="1"/>
  <c r="I114" i="1"/>
  <c r="I108" i="1"/>
  <c r="I102" i="1"/>
  <c r="I96" i="1"/>
  <c r="I90" i="1"/>
  <c r="I84" i="1"/>
  <c r="I78" i="1"/>
  <c r="I72" i="1"/>
  <c r="I66" i="1"/>
  <c r="I60" i="1"/>
  <c r="I54" i="1"/>
  <c r="I48" i="1"/>
  <c r="I42" i="1"/>
  <c r="I36" i="1"/>
  <c r="I30" i="1"/>
  <c r="I24" i="1"/>
  <c r="I18" i="1"/>
  <c r="I12" i="1"/>
  <c r="F191" i="1"/>
  <c r="G184" i="1"/>
  <c r="G178" i="1"/>
  <c r="G172" i="1"/>
  <c r="G166" i="1"/>
  <c r="G160" i="1"/>
  <c r="G154" i="1"/>
  <c r="G148" i="1"/>
  <c r="G142" i="1"/>
  <c r="G136" i="1"/>
  <c r="G130" i="1"/>
  <c r="G124" i="1"/>
  <c r="G118" i="1"/>
  <c r="G112" i="1"/>
  <c r="G106" i="1"/>
  <c r="G100" i="1"/>
  <c r="G94" i="1"/>
  <c r="G88" i="1"/>
  <c r="G82" i="1"/>
  <c r="G76" i="1"/>
  <c r="G70" i="1"/>
  <c r="G64" i="1"/>
  <c r="G58" i="1"/>
  <c r="G52" i="1"/>
  <c r="G46" i="1"/>
  <c r="G40" i="1"/>
  <c r="G34" i="1"/>
  <c r="G28" i="1"/>
  <c r="G22" i="1"/>
  <c r="G16" i="1"/>
  <c r="G10" i="1"/>
  <c r="O7" i="1"/>
  <c r="J172" i="1"/>
  <c r="J10" i="1"/>
  <c r="F129" i="1"/>
  <c r="F63" i="1"/>
  <c r="J191" i="1"/>
  <c r="J185" i="1"/>
  <c r="J179" i="1"/>
  <c r="J173" i="1"/>
  <c r="J167" i="1"/>
  <c r="J161" i="1"/>
  <c r="J155" i="1"/>
  <c r="J149" i="1"/>
  <c r="J143" i="1"/>
  <c r="J137" i="1"/>
  <c r="J131" i="1"/>
  <c r="J125" i="1"/>
  <c r="J119" i="1"/>
  <c r="J113" i="1"/>
  <c r="J107" i="1"/>
  <c r="J101" i="1"/>
  <c r="J95" i="1"/>
  <c r="J89" i="1"/>
  <c r="J83" i="1"/>
  <c r="J77" i="1"/>
  <c r="J71" i="1"/>
  <c r="J65" i="1"/>
  <c r="J59" i="1"/>
  <c r="J53" i="1"/>
  <c r="J47" i="1"/>
  <c r="J41" i="1"/>
  <c r="J35" i="1"/>
  <c r="J29" i="1"/>
  <c r="J23" i="1"/>
  <c r="J17" i="1"/>
  <c r="J11" i="1"/>
  <c r="G190" i="1"/>
  <c r="F184" i="1"/>
  <c r="F178" i="1"/>
  <c r="F172" i="1"/>
  <c r="F166" i="1"/>
  <c r="F160" i="1"/>
  <c r="F154" i="1"/>
  <c r="F148" i="1"/>
  <c r="F142" i="1"/>
  <c r="F136" i="1"/>
  <c r="F130" i="1"/>
  <c r="F124" i="1"/>
  <c r="F118" i="1"/>
  <c r="F112" i="1"/>
  <c r="F106" i="1"/>
  <c r="F100" i="1"/>
  <c r="F94" i="1"/>
  <c r="F88" i="1"/>
  <c r="F82" i="1"/>
  <c r="F76" i="1"/>
  <c r="F70" i="1"/>
  <c r="F64" i="1"/>
  <c r="F58" i="1"/>
  <c r="F52" i="1"/>
  <c r="F46" i="1"/>
  <c r="F40" i="1"/>
  <c r="F34" i="1"/>
  <c r="F28" i="1"/>
  <c r="F22" i="1"/>
  <c r="F16" i="1"/>
  <c r="F10" i="1"/>
  <c r="J7" i="1"/>
  <c r="J190" i="1"/>
  <c r="J16" i="1"/>
  <c r="F135" i="1"/>
  <c r="F75" i="1"/>
  <c r="F15" i="1"/>
  <c r="I191" i="1"/>
  <c r="I185" i="1"/>
  <c r="I179" i="1"/>
  <c r="I173" i="1"/>
  <c r="I167" i="1"/>
  <c r="I161" i="1"/>
  <c r="I155" i="1"/>
  <c r="I149" i="1"/>
  <c r="I143" i="1"/>
  <c r="I137" i="1"/>
  <c r="I131" i="1"/>
  <c r="I125" i="1"/>
  <c r="I119" i="1"/>
  <c r="I113" i="1"/>
  <c r="I107" i="1"/>
  <c r="I101" i="1"/>
  <c r="I95" i="1"/>
  <c r="I89" i="1"/>
  <c r="I83" i="1"/>
  <c r="I77" i="1"/>
  <c r="I71" i="1"/>
  <c r="I65" i="1"/>
  <c r="I59" i="1"/>
  <c r="I53" i="1"/>
  <c r="I47" i="1"/>
  <c r="I41" i="1"/>
  <c r="I35" i="1"/>
  <c r="I29" i="1"/>
  <c r="I23" i="1"/>
  <c r="I17" i="1"/>
  <c r="I11" i="1"/>
  <c r="F190" i="1"/>
  <c r="G183" i="1"/>
  <c r="G177" i="1"/>
  <c r="G171" i="1"/>
  <c r="G165" i="1"/>
  <c r="G159" i="1"/>
  <c r="G153" i="1"/>
  <c r="G147" i="1"/>
  <c r="G141" i="1"/>
  <c r="G135" i="1"/>
  <c r="G129" i="1"/>
  <c r="G123" i="1"/>
  <c r="G117" i="1"/>
  <c r="G111" i="1"/>
  <c r="G105" i="1"/>
  <c r="G99" i="1"/>
  <c r="G93" i="1"/>
  <c r="G87" i="1"/>
  <c r="G81" i="1"/>
  <c r="G75" i="1"/>
  <c r="G69" i="1"/>
  <c r="G63" i="1"/>
  <c r="G57" i="1"/>
  <c r="G51" i="1"/>
  <c r="G45" i="1"/>
  <c r="G39" i="1"/>
  <c r="G33" i="1"/>
  <c r="G27" i="1"/>
  <c r="G21" i="1"/>
  <c r="G15" i="1"/>
  <c r="G9" i="1"/>
  <c r="I7" i="1"/>
  <c r="J148" i="1"/>
  <c r="J142" i="1"/>
  <c r="J136" i="1"/>
  <c r="J124" i="1"/>
  <c r="J112" i="1"/>
  <c r="J106" i="1"/>
  <c r="J94" i="1"/>
  <c r="J88" i="1"/>
  <c r="J76" i="1"/>
  <c r="J64" i="1"/>
  <c r="J46" i="1"/>
  <c r="J22" i="1"/>
  <c r="F177" i="1"/>
  <c r="F165" i="1"/>
  <c r="F141" i="1"/>
  <c r="F117" i="1"/>
  <c r="F87" i="1"/>
  <c r="F51" i="1"/>
  <c r="F27" i="1"/>
  <c r="G7" i="1"/>
  <c r="I190" i="1"/>
  <c r="I142" i="1"/>
  <c r="J188" i="1"/>
  <c r="J182" i="1"/>
  <c r="J176" i="1"/>
  <c r="J170" i="1"/>
  <c r="J164" i="1"/>
  <c r="J158" i="1"/>
  <c r="J152" i="1"/>
  <c r="J146" i="1"/>
  <c r="J140" i="1"/>
  <c r="J134" i="1"/>
  <c r="J128" i="1"/>
  <c r="J122" i="1"/>
  <c r="J116" i="1"/>
  <c r="J110" i="1"/>
  <c r="J104" i="1"/>
  <c r="J98" i="1"/>
  <c r="J92" i="1"/>
  <c r="J86" i="1"/>
  <c r="J80" i="1"/>
  <c r="J74" i="1"/>
  <c r="J68" i="1"/>
  <c r="J62" i="1"/>
  <c r="J56" i="1"/>
  <c r="J50" i="1"/>
  <c r="J44" i="1"/>
  <c r="J38" i="1"/>
  <c r="J32" i="1"/>
  <c r="J26" i="1"/>
  <c r="J20" i="1"/>
  <c r="J14" i="1"/>
  <c r="J8" i="1"/>
  <c r="F187" i="1"/>
  <c r="F181" i="1"/>
  <c r="F175" i="1"/>
  <c r="F169" i="1"/>
  <c r="F163" i="1"/>
  <c r="F157" i="1"/>
  <c r="F151" i="1"/>
  <c r="F145" i="1"/>
  <c r="F139" i="1"/>
  <c r="F133" i="1"/>
  <c r="F127" i="1"/>
  <c r="F121" i="1"/>
  <c r="F115" i="1"/>
  <c r="F109" i="1"/>
  <c r="F103" i="1"/>
  <c r="F97" i="1"/>
  <c r="F91" i="1"/>
  <c r="F85" i="1"/>
  <c r="F79" i="1"/>
  <c r="F73" i="1"/>
  <c r="F67" i="1"/>
  <c r="F61" i="1"/>
  <c r="F55" i="1"/>
  <c r="F49" i="1"/>
  <c r="F43" i="1"/>
  <c r="F37" i="1"/>
  <c r="F31" i="1"/>
  <c r="F25" i="1"/>
  <c r="F19" i="1"/>
  <c r="F13" i="1"/>
  <c r="J184" i="1"/>
  <c r="J130" i="1"/>
  <c r="J118" i="1"/>
  <c r="J100" i="1"/>
  <c r="J82" i="1"/>
  <c r="J70" i="1"/>
  <c r="J58" i="1"/>
  <c r="J52" i="1"/>
  <c r="J28" i="1"/>
  <c r="F183" i="1"/>
  <c r="F153" i="1"/>
  <c r="F99" i="1"/>
  <c r="F81" i="1"/>
  <c r="F45" i="1"/>
  <c r="F21" i="1"/>
  <c r="I148" i="1"/>
  <c r="I136" i="1"/>
  <c r="I171" i="1"/>
  <c r="J141" i="1"/>
  <c r="I117" i="1"/>
  <c r="I93" i="1"/>
  <c r="I69" i="1"/>
  <c r="I45" i="1"/>
  <c r="I21" i="1"/>
  <c r="G181" i="1"/>
  <c r="G157" i="1"/>
  <c r="G133" i="1"/>
  <c r="G109" i="1"/>
  <c r="G85" i="1"/>
  <c r="G61" i="1"/>
  <c r="G37" i="1"/>
  <c r="G13" i="1"/>
  <c r="J189" i="1"/>
  <c r="J135" i="1"/>
  <c r="J87" i="1"/>
  <c r="J15" i="1"/>
  <c r="F152" i="1"/>
  <c r="F104" i="1"/>
  <c r="F80" i="1"/>
  <c r="F32" i="1"/>
  <c r="G43" i="1"/>
  <c r="I46" i="1"/>
  <c r="F62" i="1"/>
  <c r="I166" i="1"/>
  <c r="I141" i="1"/>
  <c r="I112" i="1"/>
  <c r="I88" i="1"/>
  <c r="I64" i="1"/>
  <c r="I40" i="1"/>
  <c r="I16" i="1"/>
  <c r="G176" i="1"/>
  <c r="G152" i="1"/>
  <c r="G128" i="1"/>
  <c r="G104" i="1"/>
  <c r="G80" i="1"/>
  <c r="G56" i="1"/>
  <c r="G32" i="1"/>
  <c r="G8" i="1"/>
  <c r="J165" i="1"/>
  <c r="J111" i="1"/>
  <c r="J63" i="1"/>
  <c r="J39" i="1"/>
  <c r="F176" i="1"/>
  <c r="F128" i="1"/>
  <c r="F56" i="1"/>
  <c r="F8" i="1"/>
  <c r="G19" i="1"/>
  <c r="I22" i="1"/>
  <c r="F110" i="1"/>
  <c r="I189" i="1"/>
  <c r="I165" i="1"/>
  <c r="I135" i="1"/>
  <c r="I111" i="1"/>
  <c r="I87" i="1"/>
  <c r="I63" i="1"/>
  <c r="I39" i="1"/>
  <c r="I15" i="1"/>
  <c r="G175" i="1"/>
  <c r="G151" i="1"/>
  <c r="G127" i="1"/>
  <c r="G103" i="1"/>
  <c r="G79" i="1"/>
  <c r="G55" i="1"/>
  <c r="G31" i="1"/>
  <c r="J51" i="1"/>
  <c r="G139" i="1"/>
  <c r="I70" i="1"/>
  <c r="J69" i="1"/>
  <c r="I184" i="1"/>
  <c r="I160" i="1"/>
  <c r="I130" i="1"/>
  <c r="I106" i="1"/>
  <c r="I82" i="1"/>
  <c r="I58" i="1"/>
  <c r="I34" i="1"/>
  <c r="I10" i="1"/>
  <c r="G170" i="1"/>
  <c r="G146" i="1"/>
  <c r="G122" i="1"/>
  <c r="G98" i="1"/>
  <c r="G74" i="1"/>
  <c r="G50" i="1"/>
  <c r="G26" i="1"/>
  <c r="J99" i="1"/>
  <c r="I123" i="1"/>
  <c r="I172" i="1"/>
  <c r="G38" i="1"/>
  <c r="J93" i="1"/>
  <c r="J183" i="1"/>
  <c r="J159" i="1"/>
  <c r="J129" i="1"/>
  <c r="J105" i="1"/>
  <c r="J81" i="1"/>
  <c r="J57" i="1"/>
  <c r="J33" i="1"/>
  <c r="J9" i="1"/>
  <c r="F170" i="1"/>
  <c r="F146" i="1"/>
  <c r="F122" i="1"/>
  <c r="F98" i="1"/>
  <c r="F74" i="1"/>
  <c r="F50" i="1"/>
  <c r="F26" i="1"/>
  <c r="J75" i="1"/>
  <c r="I177" i="1"/>
  <c r="I118" i="1"/>
  <c r="G14" i="1"/>
  <c r="J171" i="1"/>
  <c r="I183" i="1"/>
  <c r="I159" i="1"/>
  <c r="I129" i="1"/>
  <c r="I105" i="1"/>
  <c r="I81" i="1"/>
  <c r="I57" i="1"/>
  <c r="I33" i="1"/>
  <c r="I9" i="1"/>
  <c r="G169" i="1"/>
  <c r="G145" i="1"/>
  <c r="G121" i="1"/>
  <c r="G97" i="1"/>
  <c r="G73" i="1"/>
  <c r="G49" i="1"/>
  <c r="G25" i="1"/>
  <c r="J153" i="1"/>
  <c r="F68" i="1"/>
  <c r="F20" i="1"/>
  <c r="I75" i="1"/>
  <c r="I51" i="1"/>
  <c r="I27" i="1"/>
  <c r="G187" i="1"/>
  <c r="G163" i="1"/>
  <c r="G115" i="1"/>
  <c r="G91" i="1"/>
  <c r="G67" i="1"/>
  <c r="I94" i="1"/>
  <c r="G182" i="1"/>
  <c r="G134" i="1"/>
  <c r="G110" i="1"/>
  <c r="J45" i="1"/>
  <c r="J21" i="1"/>
  <c r="F182" i="1"/>
  <c r="F158" i="1"/>
  <c r="F134" i="1"/>
  <c r="F86" i="1"/>
  <c r="F38" i="1"/>
  <c r="F14" i="1"/>
  <c r="I178" i="1"/>
  <c r="I154" i="1"/>
  <c r="I124" i="1"/>
  <c r="I100" i="1"/>
  <c r="I76" i="1"/>
  <c r="I52" i="1"/>
  <c r="I28" i="1"/>
  <c r="G188" i="1"/>
  <c r="G164" i="1"/>
  <c r="G140" i="1"/>
  <c r="G116" i="1"/>
  <c r="G92" i="1"/>
  <c r="G68" i="1"/>
  <c r="G44" i="1"/>
  <c r="G20" i="1"/>
  <c r="J123" i="1"/>
  <c r="I153" i="1"/>
  <c r="G158" i="1"/>
  <c r="G62" i="1"/>
  <c r="I147" i="1"/>
  <c r="J177" i="1"/>
  <c r="J27" i="1"/>
  <c r="F188" i="1"/>
  <c r="F164" i="1"/>
  <c r="F140" i="1"/>
  <c r="F116" i="1"/>
  <c r="F92" i="1"/>
  <c r="F44" i="1"/>
  <c r="F7" i="1"/>
  <c r="I99" i="1"/>
  <c r="J147" i="1"/>
  <c r="G86" i="1"/>
  <c r="J117" i="1"/>
  <c r="F23" i="5"/>
  <c r="M3" i="6"/>
  <c r="M4" i="6"/>
  <c r="M5" i="6"/>
  <c r="M6" i="6"/>
  <c r="M7" i="6"/>
  <c r="E4" i="5" s="1"/>
  <c r="M8" i="6"/>
  <c r="M9" i="6"/>
  <c r="M10" i="6"/>
  <c r="M11" i="6"/>
  <c r="E6" i="5" s="1"/>
  <c r="M12" i="6"/>
  <c r="M13" i="6"/>
  <c r="M14" i="6"/>
  <c r="M15" i="6"/>
  <c r="M16" i="6"/>
  <c r="E8" i="5" s="1"/>
  <c r="M17" i="6"/>
  <c r="M18" i="6"/>
  <c r="M19" i="6"/>
  <c r="M20" i="6"/>
  <c r="E10" i="5" s="1"/>
  <c r="M21" i="6"/>
  <c r="M22" i="6"/>
  <c r="M23" i="6"/>
  <c r="M24" i="6"/>
  <c r="E12" i="5" s="1"/>
  <c r="M25" i="6"/>
  <c r="M26" i="6"/>
  <c r="M27" i="6"/>
  <c r="M28" i="6"/>
  <c r="E14" i="5" s="1"/>
  <c r="M29" i="6"/>
  <c r="M30" i="6"/>
  <c r="M31" i="6"/>
  <c r="E16" i="5" s="1"/>
  <c r="M32" i="6"/>
  <c r="M33" i="6"/>
  <c r="M34" i="6"/>
  <c r="M2" i="6"/>
  <c r="E2" i="5" s="1"/>
  <c r="C4" i="6" l="1"/>
  <c r="C5" i="6"/>
  <c r="C12" i="6"/>
  <c r="C13" i="6"/>
  <c r="C20" i="6"/>
  <c r="C21" i="6"/>
  <c r="C28" i="6"/>
  <c r="C29" i="6"/>
  <c r="C2" i="6"/>
  <c r="D3" i="6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2" i="6"/>
  <c r="C3" i="6"/>
  <c r="C6" i="6"/>
  <c r="C7" i="6"/>
  <c r="C8" i="6"/>
  <c r="C9" i="6"/>
  <c r="C10" i="6"/>
  <c r="C11" i="6"/>
  <c r="C14" i="6"/>
  <c r="C15" i="6"/>
  <c r="C16" i="6"/>
  <c r="C17" i="6"/>
  <c r="C18" i="6"/>
  <c r="C19" i="6"/>
  <c r="C22" i="6"/>
  <c r="C23" i="6"/>
  <c r="C24" i="6"/>
  <c r="C25" i="6"/>
  <c r="C26" i="6"/>
  <c r="C27" i="6"/>
  <c r="C30" i="6"/>
  <c r="C31" i="6"/>
  <c r="C32" i="6"/>
  <c r="C33" i="6"/>
  <c r="C34" i="6"/>
  <c r="F6" i="1" l="1"/>
  <c r="R6" i="1"/>
  <c r="G6" i="1"/>
  <c r="P5" i="1"/>
  <c r="I6" i="1"/>
  <c r="F5" i="1"/>
  <c r="R5" i="1"/>
  <c r="I5" i="1"/>
  <c r="J6" i="1"/>
  <c r="G5" i="1"/>
  <c r="S5" i="1"/>
  <c r="L6" i="1"/>
  <c r="M6" i="1"/>
  <c r="J5" i="1"/>
  <c r="L5" i="1"/>
  <c r="P6" i="1"/>
  <c r="M5" i="1"/>
  <c r="O5" i="1"/>
  <c r="S6" i="1"/>
  <c r="O6" i="1"/>
  <c r="H16" i="5"/>
  <c r="H14" i="5"/>
  <c r="H12" i="5"/>
  <c r="H10" i="5"/>
  <c r="H8" i="5"/>
  <c r="H6" i="5"/>
  <c r="H4" i="5"/>
  <c r="H2" i="5"/>
  <c r="G16" i="5"/>
  <c r="G14" i="5"/>
  <c r="G12" i="5"/>
  <c r="G10" i="5"/>
  <c r="G8" i="5"/>
  <c r="G6" i="5"/>
  <c r="G4" i="5"/>
  <c r="G2" i="5"/>
  <c r="F16" i="5"/>
  <c r="F10" i="5"/>
  <c r="F8" i="5"/>
  <c r="F6" i="5"/>
  <c r="D6" i="5"/>
  <c r="D8" i="5"/>
  <c r="D10" i="5"/>
  <c r="D16" i="5"/>
  <c r="D19" i="5" l="1"/>
  <c r="F35" i="5" s="1"/>
  <c r="F14" i="5" l="1"/>
  <c r="F12" i="5"/>
  <c r="F4" i="5"/>
  <c r="F2" i="5"/>
  <c r="D4" i="5"/>
  <c r="D2" i="5"/>
  <c r="D14" i="5"/>
  <c r="D12" i="5"/>
</calcChain>
</file>

<file path=xl/sharedStrings.xml><?xml version="1.0" encoding="utf-8"?>
<sst xmlns="http://schemas.openxmlformats.org/spreadsheetml/2006/main" count="4916" uniqueCount="789">
  <si>
    <t>MAC</t>
  </si>
  <si>
    <t>CODICE</t>
  </si>
  <si>
    <t>DESCRIZIONE</t>
  </si>
  <si>
    <t>DATA ULTIMA LASTRINA</t>
  </si>
  <si>
    <t>data richiesta</t>
  </si>
  <si>
    <t>CODICE MATERIALE</t>
  </si>
  <si>
    <t>descrizione mat</t>
  </si>
  <si>
    <t>codice lastrina</t>
  </si>
  <si>
    <t>SINTER 70 ANTISTATICO GIALLO</t>
  </si>
  <si>
    <t>MAC 1</t>
  </si>
  <si>
    <t>438014255</t>
  </si>
  <si>
    <t>M1Ro - SINTER 70 GIALLO - ANTISTATICO</t>
  </si>
  <si>
    <t>SINTAM 90  GIALLO</t>
  </si>
  <si>
    <t>MAC 2</t>
  </si>
  <si>
    <t>438014261</t>
  </si>
  <si>
    <t>M2Ro - SINTAM 90 GIALLO</t>
  </si>
  <si>
    <t>SINTAM 90 ANTISTATICO GIALLO</t>
  </si>
  <si>
    <t>M2Ro - SINTAM 90 GIALLO - ANTISTATICO</t>
  </si>
  <si>
    <t>SINTAM 70 ANTISTATICO GIALLO</t>
  </si>
  <si>
    <t>MAC 3</t>
  </si>
  <si>
    <t>438014260</t>
  </si>
  <si>
    <t>M3Ro - SINTAM 70 GIALLO - ANTISTATICO</t>
  </si>
  <si>
    <t>SINTAL 70 BIANCO G</t>
  </si>
  <si>
    <t>MAC 4</t>
  </si>
  <si>
    <t>438020339</t>
  </si>
  <si>
    <t>M4Ro - SINTAL 70 BIANCO G</t>
  </si>
  <si>
    <t>SINTAM 70  GIALLO</t>
  </si>
  <si>
    <t>MAC 5</t>
  </si>
  <si>
    <t>438014259</t>
  </si>
  <si>
    <t>M5Ro - SINTAM 70 GIALLO</t>
  </si>
  <si>
    <t>SINTAM 70 ANTIMICROBICO GIALLO</t>
  </si>
  <si>
    <t>438044935</t>
  </si>
  <si>
    <t>M5Ro - SINTAM 70 GIALLO - ANTIMICROBICO</t>
  </si>
  <si>
    <t>SINTER 70 ANTISTATICO NEUTRO</t>
  </si>
  <si>
    <t>MAC 6</t>
  </si>
  <si>
    <t>438014257</t>
  </si>
  <si>
    <t>M6Ro - SINTER 70 NEUTRO - ANTISTATICO</t>
  </si>
  <si>
    <t>SINTHT 70 NEUTRO</t>
  </si>
  <si>
    <t>438014258</t>
  </si>
  <si>
    <t>M6Ro - SINTHT 70 NEUTRO</t>
  </si>
  <si>
    <t>SINTAL 70 BIANCO F</t>
  </si>
  <si>
    <t>MAC 7</t>
  </si>
  <si>
    <t>438019965</t>
  </si>
  <si>
    <t>M7Ro - SINTAL 70 BIANCO F</t>
  </si>
  <si>
    <t>SINTAL 92 BIANCO F</t>
  </si>
  <si>
    <t>M7Ro - SINTAL 92 BIANCO F</t>
  </si>
  <si>
    <t>passw: tcm</t>
  </si>
  <si>
    <t>codice mat</t>
  </si>
  <si>
    <t>desc materiale</t>
  </si>
  <si>
    <t>CONCATENA</t>
  </si>
  <si>
    <t>num componenti</t>
  </si>
  <si>
    <t>tipo comp</t>
  </si>
  <si>
    <t>componenti</t>
  </si>
  <si>
    <t>desc componenti</t>
  </si>
  <si>
    <t>TIPO</t>
  </si>
  <si>
    <t>UM</t>
  </si>
  <si>
    <t>Q.tà</t>
  </si>
  <si>
    <t>cod lastrina</t>
  </si>
  <si>
    <t>desc last</t>
  </si>
  <si>
    <t>cod materiale</t>
  </si>
  <si>
    <t>ISOCIANATO</t>
  </si>
  <si>
    <t>997001502</t>
  </si>
  <si>
    <t>ISOCIANATO POLIETERE SH.70/90 TECNOTHANE MPT 109SG</t>
  </si>
  <si>
    <t>B</t>
  </si>
  <si>
    <t>KG</t>
  </si>
  <si>
    <t>370002101</t>
  </si>
  <si>
    <t>LASTRINA IN SINTER 70 GIALLO - ANTISTATICO</t>
  </si>
  <si>
    <t>POLIOLO</t>
  </si>
  <si>
    <t>997005228</t>
  </si>
  <si>
    <t>POLIOLO POLIETERE SH.70 TECNOTHANE RH 246  FORMATO 200 KG.</t>
  </si>
  <si>
    <t>CATALIZZATORE</t>
  </si>
  <si>
    <t>040001013</t>
  </si>
  <si>
    <t>ACCELERANTE X POLIOLO POLIESTE RE (per macchine pur old)</t>
  </si>
  <si>
    <t>ADDITIVO 1</t>
  </si>
  <si>
    <t>997001508</t>
  </si>
  <si>
    <t>COLORE GIALLO PER POLIOLO</t>
  </si>
  <si>
    <t>ADDITIVO 2</t>
  </si>
  <si>
    <t>040001014</t>
  </si>
  <si>
    <t>ADDITTIVO ANTISTAT.PER POLIOLO POLIEST.CATAFOR PU</t>
  </si>
  <si>
    <t>438001325</t>
  </si>
  <si>
    <t>SINTER 90  GIALLO</t>
  </si>
  <si>
    <t>MC-ISO0ER00A</t>
  </si>
  <si>
    <t>370002093</t>
  </si>
  <si>
    <t>LASTRINA IN SINTER 90 GIALLO</t>
  </si>
  <si>
    <t>MC-POL0ER90A</t>
  </si>
  <si>
    <t>POLIOLO POLIETERE SH.90 TECNOTHANE RH 90</t>
  </si>
  <si>
    <t>MC-CATCAS00A</t>
  </si>
  <si>
    <t>ACCELERANTE X POLIOLO POLIESTERE TECNOKAT  PURO NON DILUITO</t>
  </si>
  <si>
    <t>MC-CLRGIA00A</t>
  </si>
  <si>
    <t>MC-PSTPLP00A</t>
  </si>
  <si>
    <t>PLASTIFICANTE PLEP 3002</t>
  </si>
  <si>
    <t>997001513</t>
  </si>
  <si>
    <t>RESINA TECNOTHANE MPC2013SG</t>
  </si>
  <si>
    <t>370002102</t>
  </si>
  <si>
    <t>LASTRINA IN SINTAM 70 GIALLO</t>
  </si>
  <si>
    <t>997001514</t>
  </si>
  <si>
    <t>RETICOLANTE TECNOTHANE RCH361</t>
  </si>
  <si>
    <t>370002105</t>
  </si>
  <si>
    <t>LASTRINA IN SINTAM 90 GIALLO</t>
  </si>
  <si>
    <t>997001515</t>
  </si>
  <si>
    <t>RETICOLANTE TECNOTHANE RCH160 (50 KG)</t>
  </si>
  <si>
    <t>438010844</t>
  </si>
  <si>
    <t>SINTER 90 ANTISTATICO GIALLO</t>
  </si>
  <si>
    <t>370002094</t>
  </si>
  <si>
    <t>LASTRINA IN SINTER 90 GIALLO - ANTISTATICO</t>
  </si>
  <si>
    <t>MC-ADDAST00A</t>
  </si>
  <si>
    <t>ADDITIVO 3</t>
  </si>
  <si>
    <t>438011103</t>
  </si>
  <si>
    <t>MC-ISO0AM00A</t>
  </si>
  <si>
    <t>370002106</t>
  </si>
  <si>
    <t>LASTRINA IN SINTAM 90 GIALLO - ANTISTATICO</t>
  </si>
  <si>
    <t>MC-POL0AM90A</t>
  </si>
  <si>
    <t>438011345</t>
  </si>
  <si>
    <t>SINTEC 90  VERDE</t>
  </si>
  <si>
    <t>MC-ISO0EC00A</t>
  </si>
  <si>
    <t>ISOCIANATO A - SWP4000N</t>
  </si>
  <si>
    <t>370002111</t>
  </si>
  <si>
    <t>LASTRINA IN SINTEC 90 VERDE</t>
  </si>
  <si>
    <t>MC-POL0ECXXA</t>
  </si>
  <si>
    <t>POLIOLO B - RSW906K3N</t>
  </si>
  <si>
    <t>EXTENDER</t>
  </si>
  <si>
    <t>MC-EXT0EC00A</t>
  </si>
  <si>
    <t>EXTENDER C - RSW997K3</t>
  </si>
  <si>
    <t>MC-CLRVER00A</t>
  </si>
  <si>
    <t>PIGMENTO VERDE PER ELASTOMERO</t>
  </si>
  <si>
    <t>438011346</t>
  </si>
  <si>
    <t>SINTEC 70  VERDE</t>
  </si>
  <si>
    <t>370002108</t>
  </si>
  <si>
    <t>LASTRINA IN SINTEC 70 VERDE</t>
  </si>
  <si>
    <t>438011585</t>
  </si>
  <si>
    <t>SINTER 70 CARTUCCE ANTISTATICO GIALLO</t>
  </si>
  <si>
    <t>370002084</t>
  </si>
  <si>
    <t>LASTRINA IN SINTER 70 GIALLO - CARTUCCE</t>
  </si>
  <si>
    <t>MC-POL0ER70C</t>
  </si>
  <si>
    <t>POLIOLO POLIETERE SH.70 TECNOTHANE RH 275</t>
  </si>
  <si>
    <t>MC-CATCOS00A</t>
  </si>
  <si>
    <t>438011586</t>
  </si>
  <si>
    <t>SINTER 70  ROSSO</t>
  </si>
  <si>
    <t>370002086</t>
  </si>
  <si>
    <t>LASTRINA IN SINTER 70 ROSSO</t>
  </si>
  <si>
    <t>MC-POL0ER70A</t>
  </si>
  <si>
    <t>POLIOLO POLIETERE SH.70 TECNOTHANE RH 275  (50 KG)</t>
  </si>
  <si>
    <t>MC-CLRROS00A</t>
  </si>
  <si>
    <t>PIGMENTO ROSSO PGTR166 USS</t>
  </si>
  <si>
    <t>438011587</t>
  </si>
  <si>
    <t>SINTER 70 ANTISTATICO ROSSO</t>
  </si>
  <si>
    <t>370002087</t>
  </si>
  <si>
    <t>LASTRINA IN SINTER 70 ROSSO - ANTISTATICO</t>
  </si>
  <si>
    <t>438011588</t>
  </si>
  <si>
    <t>SINTER 70  BLU</t>
  </si>
  <si>
    <t>370002088</t>
  </si>
  <si>
    <t>LASTRINA IN SINTER 70 BLU</t>
  </si>
  <si>
    <t>MC-CLRBIA00A</t>
  </si>
  <si>
    <t>COLORE BIANCO ALIMENTARE PER POLIOLO</t>
  </si>
  <si>
    <t>MC-CLRBLU00A</t>
  </si>
  <si>
    <t>PIGMENTO BLU PGTBU990</t>
  </si>
  <si>
    <t>438011589</t>
  </si>
  <si>
    <t>SINTER 70 ANTISTATICO BLU</t>
  </si>
  <si>
    <t>370002089</t>
  </si>
  <si>
    <t>LASTRINA IN SINTER 70 BLU - ANTISTATICO</t>
  </si>
  <si>
    <t>ADDITIVO 4</t>
  </si>
  <si>
    <t>438011590</t>
  </si>
  <si>
    <t>SINTER 70  VERDE</t>
  </si>
  <si>
    <t>370002090</t>
  </si>
  <si>
    <t>LASTRINA IN SINTER 70 VERDE</t>
  </si>
  <si>
    <t>438011591</t>
  </si>
  <si>
    <t>SINTER 70 ANTISTATICO VERDE</t>
  </si>
  <si>
    <t>370002091</t>
  </si>
  <si>
    <t>LASTRINA IN SINTER 70 VERDE - ANTISTATICO</t>
  </si>
  <si>
    <t>438011592</t>
  </si>
  <si>
    <t>SINTER 90  ROSSO</t>
  </si>
  <si>
    <t>370002095</t>
  </si>
  <si>
    <t>LASTRINA IN SINTER 90 ROSSO</t>
  </si>
  <si>
    <t>438011593</t>
  </si>
  <si>
    <t>SINTER 90 ANTISTATICO ROSSO</t>
  </si>
  <si>
    <t>370002096</t>
  </si>
  <si>
    <t>LASTRINA IN SINTER 90 ROSSO - ANTISTATICO</t>
  </si>
  <si>
    <t>438011594</t>
  </si>
  <si>
    <t>SINTER 90 BLU</t>
  </si>
  <si>
    <t>370002097</t>
  </si>
  <si>
    <t>LASTRINA IN SINTER 90 BLU</t>
  </si>
  <si>
    <t>438011595</t>
  </si>
  <si>
    <t>SINTER 90 ANTISTATICO BLU</t>
  </si>
  <si>
    <t>370002098</t>
  </si>
  <si>
    <t>LASTRINA IN SINTER 90 BLU - ANTISTATICO</t>
  </si>
  <si>
    <t>438011596</t>
  </si>
  <si>
    <t>SINTER 90  VERDE</t>
  </si>
  <si>
    <t>370002099</t>
  </si>
  <si>
    <t>LASTRINA IN SINTER 90 VERDE</t>
  </si>
  <si>
    <t>438011597</t>
  </si>
  <si>
    <t>SINTER 90 ANTISTATICO VERDE</t>
  </si>
  <si>
    <t>370002100</t>
  </si>
  <si>
    <t>LASTRINA IN SINTER 90 VERDE - ANTISTATICO</t>
  </si>
  <si>
    <t>370002103</t>
  </si>
  <si>
    <t>LASTRINA IN SINTAM 70 GIALLO - ANTISTATICO</t>
  </si>
  <si>
    <t>438011599</t>
  </si>
  <si>
    <t>SINTAM 90 ANTIMICROBICO GIALLO</t>
  </si>
  <si>
    <t>370002107</t>
  </si>
  <si>
    <t>LASTRINA IN SINTAM 90 GIALLO - ANTIMICROBICO</t>
  </si>
  <si>
    <t>MC-ADDAMC00A</t>
  </si>
  <si>
    <t>ADDITIVO ANTIMICROBICO ASSOLUTO DENSIL DN</t>
  </si>
  <si>
    <t>438011600</t>
  </si>
  <si>
    <t>SINTEC 70  BLU</t>
  </si>
  <si>
    <t>370002109</t>
  </si>
  <si>
    <t>LASTRINA IN SINTEC 70 BLU</t>
  </si>
  <si>
    <t>438011601</t>
  </si>
  <si>
    <t>SINTEC 90  BLU</t>
  </si>
  <si>
    <t>370002112</t>
  </si>
  <si>
    <t>LASTRINA IN SINTEC 90 BLU</t>
  </si>
  <si>
    <t>438011602</t>
  </si>
  <si>
    <t>SINTAL 90  BIANCO</t>
  </si>
  <si>
    <t>MC-ISO0AL00A</t>
  </si>
  <si>
    <t>MPC 2013F (FUSTI 50 KG)</t>
  </si>
  <si>
    <t>370002114</t>
  </si>
  <si>
    <t>LASTRINA IN SINTAL 90 BIANCO</t>
  </si>
  <si>
    <t>MC-POL0AL70B</t>
  </si>
  <si>
    <t>POLIOLO SINTAL  - RCH 750F - FUSTI 50K</t>
  </si>
  <si>
    <t>MC-POL0AL90B</t>
  </si>
  <si>
    <t>EXTENDER SINTAL - RCH 50F - FUSTI 25KG</t>
  </si>
  <si>
    <t>MC-CATALI00A</t>
  </si>
  <si>
    <t>CATALIZZATORE DILUITO TECNOKAT  T9-100</t>
  </si>
  <si>
    <t>MC-ADDALI00A</t>
  </si>
  <si>
    <t>TECNOKAT 6301 - M.4 - FUSTI 5KG</t>
  </si>
  <si>
    <t>COLORE BIANCO ALIMENTARE PER POLIOLO (BIANCO REMAP 10080)</t>
  </si>
  <si>
    <t>438013744</t>
  </si>
  <si>
    <t>SINTER 70 GIALLO</t>
  </si>
  <si>
    <t>370002085</t>
  </si>
  <si>
    <t>LASTRINA IN SINTER 70 GIALLO</t>
  </si>
  <si>
    <t>438015200</t>
  </si>
  <si>
    <t>SINTEC 80 BLU</t>
  </si>
  <si>
    <t>370002110</t>
  </si>
  <si>
    <t>LASTRINA IN SINTEC 80 BLU</t>
  </si>
  <si>
    <t>438015201</t>
  </si>
  <si>
    <t>SINTER 80 GIALLO</t>
  </si>
  <si>
    <t>370002092</t>
  </si>
  <si>
    <t>LASTRINA IN SINTER 80 GIALLO</t>
  </si>
  <si>
    <t>997004145</t>
  </si>
  <si>
    <t>SINTAL 70  BIANCO</t>
  </si>
  <si>
    <t>370002113</t>
  </si>
  <si>
    <t>LASTRINA IN SINTAL 70 BIANCO</t>
  </si>
  <si>
    <t>438019283</t>
  </si>
  <si>
    <t>SINTAM 70 NEUTRO ANTISTATICO</t>
  </si>
  <si>
    <t>370002115</t>
  </si>
  <si>
    <t>LASTRINA IN SINTAM 70 NEUTRO - ANTISTATICO</t>
  </si>
  <si>
    <t>MC-POL0AM70A</t>
  </si>
  <si>
    <t>997006153</t>
  </si>
  <si>
    <t>MPC 109A (FUSTI 50 KG)</t>
  </si>
  <si>
    <t>370002132</t>
  </si>
  <si>
    <t>LASTRINA IN SINTAL 70 BIANCO G</t>
  </si>
  <si>
    <t>997006154</t>
  </si>
  <si>
    <t>RH 275B (FUSTI 25 KG)</t>
  </si>
  <si>
    <t>997006168</t>
  </si>
  <si>
    <t>CATALIZZATORE TECNOKAT T12-500</t>
  </si>
  <si>
    <t>997004318</t>
  </si>
  <si>
    <t>BIANCO REMAP 10080 FDA 178.3297 (COLORANTE FDA PER SISTEMI)</t>
  </si>
  <si>
    <t>370002825</t>
  </si>
  <si>
    <t>LASTRINA IN SINTAM 70 ANTIMICROBICO GIALLO</t>
  </si>
  <si>
    <t>RETICOLANTE TECNOTHANE RCH360 (N.B.FUSTI DA 200 KG)</t>
  </si>
  <si>
    <t>CATALIZZATORE TECNOKAT E, 10KG</t>
  </si>
  <si>
    <t>COLORANTE GIALLO REPIPLAST/CE 28713</t>
  </si>
  <si>
    <t>040001264</t>
  </si>
  <si>
    <t>ADDITIVO TECNOADD AMC1 HSAAA017-ANTIMICROBICO</t>
  </si>
  <si>
    <t>997005963</t>
  </si>
  <si>
    <t>370002136</t>
  </si>
  <si>
    <t>LASTRINA IN SINTAL 70 BIANCO F</t>
  </si>
  <si>
    <t>997005965</t>
  </si>
  <si>
    <t>RCH 350F (FUSTI 25 KG)</t>
  </si>
  <si>
    <t>370002134</t>
  </si>
  <si>
    <t>LASTRINA IN SINTER 70 ANTISTATICO NEUTRO</t>
  </si>
  <si>
    <t>997001503</t>
  </si>
  <si>
    <t>997001518</t>
  </si>
  <si>
    <t>PREPOLIMERO HTR 2011 (FUSTI DA 60 KG)</t>
  </si>
  <si>
    <t>370002135</t>
  </si>
  <si>
    <t>LASTRINA IN SINTHT 70 NEUTRO</t>
  </si>
  <si>
    <t>997001519</t>
  </si>
  <si>
    <t>RETICOLANTE TH 380 (FUSTI DA 20 KG.)</t>
  </si>
  <si>
    <t>LOTTO COMPONENTI</t>
  </si>
  <si>
    <t>ESITO ANALISI</t>
  </si>
  <si>
    <t>[ShA]</t>
  </si>
  <si>
    <t>[MPa]</t>
  </si>
  <si>
    <t>[%]</t>
  </si>
  <si>
    <t>[kN/m]</t>
  </si>
  <si>
    <t>[mg]</t>
  </si>
  <si>
    <r>
      <t>[</t>
    </r>
    <r>
      <rPr>
        <b/>
        <sz val="11"/>
        <color theme="1"/>
        <rFont val="Calibri"/>
        <family val="2"/>
      </rPr>
      <t>Ω*</t>
    </r>
    <r>
      <rPr>
        <b/>
        <sz val="11"/>
        <color theme="1"/>
        <rFont val="Calibri"/>
        <family val="2"/>
        <scheme val="minor"/>
      </rPr>
      <t>mm]</t>
    </r>
  </si>
  <si>
    <t>Note</t>
  </si>
  <si>
    <t>Data Richiesta</t>
  </si>
  <si>
    <t>Codice Materiale</t>
  </si>
  <si>
    <t>Descrizione Materiale</t>
  </si>
  <si>
    <t>Codice Lastrina</t>
  </si>
  <si>
    <t>Data Prod Effettiva</t>
  </si>
  <si>
    <t>CODICE ISO</t>
  </si>
  <si>
    <t>DESCRIZIONE
ISO</t>
  </si>
  <si>
    <t>LOTTO
ISO</t>
  </si>
  <si>
    <t>CODICE POL</t>
  </si>
  <si>
    <t>DESCRIZIONE
POL</t>
  </si>
  <si>
    <t>LOTTO
POL</t>
  </si>
  <si>
    <t>CODICE CAT</t>
  </si>
  <si>
    <t>DESCRIZIONE
CAT</t>
  </si>
  <si>
    <t>LOTTO
CAT</t>
  </si>
  <si>
    <t>CODICE ADD1</t>
  </si>
  <si>
    <t>DESCRIZIONE
ADD1</t>
  </si>
  <si>
    <t>LOTTO
ADD1</t>
  </si>
  <si>
    <t>CODICE ADD2</t>
  </si>
  <si>
    <t>DESCRIZIONE
ADD2</t>
  </si>
  <si>
    <t>LOTTO
ADD2</t>
  </si>
  <si>
    <t>DATA ANALISI</t>
  </si>
  <si>
    <t>Durezza</t>
  </si>
  <si>
    <t>Carico di rottura</t>
  </si>
  <si>
    <t>Allungamento</t>
  </si>
  <si>
    <t>Lacerazione B_a</t>
  </si>
  <si>
    <t>Lacerazione C_a</t>
  </si>
  <si>
    <t>Abrasione</t>
  </si>
  <si>
    <t>Resistività Superficiale</t>
  </si>
  <si>
    <t>Column1</t>
  </si>
  <si>
    <t>Coll Ipertestuale</t>
  </si>
  <si>
    <t>370002131</t>
  </si>
  <si>
    <t>9.12.2020</t>
  </si>
  <si>
    <t>2020S0016311</t>
  </si>
  <si>
    <t>2020S0016561</t>
  </si>
  <si>
    <t>2020S0004801</t>
  </si>
  <si>
    <t>DA22196</t>
  </si>
  <si>
    <t>438014262</t>
  </si>
  <si>
    <t>M4Ro - SINTAL 70 BIANCO A</t>
  </si>
  <si>
    <t>22.01.2021</t>
  </si>
  <si>
    <t>2020S0017481</t>
  </si>
  <si>
    <t>2020S00163316</t>
  </si>
  <si>
    <t>0000053699</t>
  </si>
  <si>
    <t>370002133</t>
  </si>
  <si>
    <t>10.12.2020</t>
  </si>
  <si>
    <t>2020S0004796</t>
  </si>
  <si>
    <t>2020S0011767</t>
  </si>
  <si>
    <t>15.12.2020</t>
  </si>
  <si>
    <t>2020S0013256</t>
  </si>
  <si>
    <t>2020S00132512</t>
  </si>
  <si>
    <t>M7R0 - SINTAL 70 BIANCO F</t>
  </si>
  <si>
    <t>13.12.2020</t>
  </si>
  <si>
    <t>2020S007111</t>
  </si>
  <si>
    <t>2020S0012782</t>
  </si>
  <si>
    <t>2018S00229412</t>
  </si>
  <si>
    <t>370002130</t>
  </si>
  <si>
    <t>2020S00158011</t>
  </si>
  <si>
    <t>370002129</t>
  </si>
  <si>
    <t>8.12.2020</t>
  </si>
  <si>
    <t>2020S0014497</t>
  </si>
  <si>
    <t>2020S0014783</t>
  </si>
  <si>
    <t>29.01.2021</t>
  </si>
  <si>
    <t>2020S0011742</t>
  </si>
  <si>
    <t>2020S00132513</t>
  </si>
  <si>
    <t>23.02.2021</t>
  </si>
  <si>
    <t>2020S0017541</t>
  </si>
  <si>
    <t>2020S0000831</t>
  </si>
  <si>
    <t>2020S0009551</t>
  </si>
  <si>
    <t>02.03.2021</t>
  </si>
  <si>
    <t>2021S000753</t>
  </si>
  <si>
    <t>2021S0000184</t>
  </si>
  <si>
    <t>18.02.2021</t>
  </si>
  <si>
    <t>2020S0017087</t>
  </si>
  <si>
    <t>11.03.2021</t>
  </si>
  <si>
    <t>2021S0001281</t>
  </si>
  <si>
    <t>2021S0000875</t>
  </si>
  <si>
    <t>24.02.2021</t>
  </si>
  <si>
    <t>2021S0000831</t>
  </si>
  <si>
    <t>05.03.2021</t>
  </si>
  <si>
    <t>20200S0017542</t>
  </si>
  <si>
    <t>2020S0011741</t>
  </si>
  <si>
    <t>2020S0017542</t>
  </si>
  <si>
    <t>2020S00170812</t>
  </si>
  <si>
    <t>28.01.2021</t>
  </si>
  <si>
    <t>27.04.2021</t>
  </si>
  <si>
    <t>2021S0016422</t>
  </si>
  <si>
    <t>2021S0001035</t>
  </si>
  <si>
    <t>2021S0009551</t>
  </si>
  <si>
    <t>19.04.2021</t>
  </si>
  <si>
    <t>2021S00008174</t>
  </si>
  <si>
    <t>2021S0006831</t>
  </si>
  <si>
    <t>12.04.2021</t>
  </si>
  <si>
    <t>2021S0002723</t>
  </si>
  <si>
    <t>2021S00016453</t>
  </si>
  <si>
    <t>2021S0000878</t>
  </si>
  <si>
    <t>2020S0006831</t>
  </si>
  <si>
    <t>10.05.2021</t>
  </si>
  <si>
    <t>2021S0000879</t>
  </si>
  <si>
    <t>27.07.2021</t>
  </si>
  <si>
    <t>2021S00018327</t>
  </si>
  <si>
    <t>2021S00018350</t>
  </si>
  <si>
    <t>2021S00018326</t>
  </si>
  <si>
    <t>2021S0000874</t>
  </si>
  <si>
    <t>2021S0000871</t>
  </si>
  <si>
    <t>20.07.2021</t>
  </si>
  <si>
    <t>2021S0006431</t>
  </si>
  <si>
    <t>2021S0006209</t>
  </si>
  <si>
    <t>28.07.2021</t>
  </si>
  <si>
    <t>2021S0006206</t>
  </si>
  <si>
    <t>2021S00018351</t>
  </si>
  <si>
    <t>23.07.2021</t>
  </si>
  <si>
    <t>2021S0006204</t>
  </si>
  <si>
    <t>26.07.2021</t>
  </si>
  <si>
    <t>2021S0016333</t>
  </si>
  <si>
    <t>2021S00018332</t>
  </si>
  <si>
    <t>02.11.2021</t>
  </si>
  <si>
    <t>2021S00010322</t>
  </si>
  <si>
    <t>2020S00170855</t>
  </si>
  <si>
    <t>2021S00018325</t>
  </si>
  <si>
    <t>DL 142131</t>
  </si>
  <si>
    <t>28.10.2021</t>
  </si>
  <si>
    <t>2021S0008823</t>
  </si>
  <si>
    <t>2021S0010322</t>
  </si>
  <si>
    <t>09.11.2021</t>
  </si>
  <si>
    <t>2021S0000751</t>
  </si>
  <si>
    <t>2021S0000755</t>
  </si>
  <si>
    <t>05.11.2021</t>
  </si>
  <si>
    <t>2021S00016456</t>
  </si>
  <si>
    <t>2021S00062011</t>
  </si>
  <si>
    <t>2021S00018352</t>
  </si>
  <si>
    <t>P8426</t>
  </si>
  <si>
    <t>04.11.2021</t>
  </si>
  <si>
    <t>2021S00062010</t>
  </si>
  <si>
    <t>2018S0010731</t>
  </si>
  <si>
    <t>0000069774</t>
  </si>
  <si>
    <t>03.11.2021</t>
  </si>
  <si>
    <t>2021S0008822</t>
  </si>
  <si>
    <t>2021S0008825</t>
  </si>
  <si>
    <t>2021S0002671</t>
  </si>
  <si>
    <t>03.02.2022</t>
  </si>
  <si>
    <t>2021S0013927</t>
  </si>
  <si>
    <t>2021S00124527</t>
  </si>
  <si>
    <t>2021S0010921</t>
  </si>
  <si>
    <t>DF03215</t>
  </si>
  <si>
    <t>2021S0013921</t>
  </si>
  <si>
    <t>2021S0013419</t>
  </si>
  <si>
    <t>2021S0012452</t>
  </si>
  <si>
    <t>28.01.2022</t>
  </si>
  <si>
    <t>2021S0006208</t>
  </si>
  <si>
    <t>04.02.2022</t>
  </si>
  <si>
    <t>2021S0012182</t>
  </si>
  <si>
    <t>2021S0012457</t>
  </si>
  <si>
    <t>2021S0012185</t>
  </si>
  <si>
    <t>21.09.2022</t>
  </si>
  <si>
    <t>2022S0004273</t>
  </si>
  <si>
    <t>2022S00039622</t>
  </si>
  <si>
    <t>2021S00124593</t>
  </si>
  <si>
    <t>DA06227</t>
  </si>
  <si>
    <t>22.09.2022</t>
  </si>
  <si>
    <t>2022S00039621</t>
  </si>
  <si>
    <t>2022S0000923</t>
  </si>
  <si>
    <t>19.09.2022</t>
  </si>
  <si>
    <t>2021S00124574</t>
  </si>
  <si>
    <t>2021S001245127</t>
  </si>
  <si>
    <t>2022S00061216</t>
  </si>
  <si>
    <t>2022S00039664</t>
  </si>
  <si>
    <t>2022S00039641</t>
  </si>
  <si>
    <t>22.02.2023</t>
  </si>
  <si>
    <t>2022S00042725</t>
  </si>
  <si>
    <t>2022S0010058</t>
  </si>
  <si>
    <t>2022S00124544</t>
  </si>
  <si>
    <t>DA08227</t>
  </si>
  <si>
    <t>21.02.2023</t>
  </si>
  <si>
    <t>2022S00079436</t>
  </si>
  <si>
    <t>2022S0007948</t>
  </si>
  <si>
    <t>2022S0050011</t>
  </si>
  <si>
    <t>2022S00010058</t>
  </si>
  <si>
    <t>23.02.2023</t>
  </si>
  <si>
    <t>2022S00090513</t>
  </si>
  <si>
    <t>2022S0010059</t>
  </si>
  <si>
    <t>2022S0009052</t>
  </si>
  <si>
    <t>2022S00042718</t>
  </si>
  <si>
    <t>2022S0002415</t>
  </si>
  <si>
    <t>2022S00050011</t>
  </si>
  <si>
    <t>2022S0010499</t>
  </si>
  <si>
    <t>21.03.2023</t>
  </si>
  <si>
    <t>2023S0000459</t>
  </si>
  <si>
    <t>2022S00100528</t>
  </si>
  <si>
    <t>2021S00124569</t>
  </si>
  <si>
    <t>23.03.2023</t>
  </si>
  <si>
    <t>2022S0010052B</t>
  </si>
  <si>
    <t>2021S00124544</t>
  </si>
  <si>
    <r>
      <t xml:space="preserve">NOTA: Carta abrasiva sostituita il 7/03/2023, efficienza carta confermata il 8/09/2023. Media 3 valori di abrasione= 211mg </t>
    </r>
    <r>
      <rPr>
        <sz val="11"/>
        <color theme="1"/>
        <rFont val="Calibri"/>
        <family val="2"/>
      </rPr>
      <t>±</t>
    </r>
    <r>
      <rPr>
        <sz val="8.8000000000000007"/>
        <color theme="1"/>
        <rFont val="Calibri"/>
        <family val="2"/>
      </rPr>
      <t xml:space="preserve"> 13mg</t>
    </r>
  </si>
  <si>
    <t>20.03.2023</t>
  </si>
  <si>
    <t>2023S0001351</t>
  </si>
  <si>
    <t>2022S0010052</t>
  </si>
  <si>
    <t>2022S006981</t>
  </si>
  <si>
    <t>2022S00010055</t>
  </si>
  <si>
    <t>2022S0009414</t>
  </si>
  <si>
    <t>2022S00214544</t>
  </si>
  <si>
    <t>2022S0010055</t>
  </si>
  <si>
    <t>2023S0010053</t>
  </si>
  <si>
    <t>22.03.2023</t>
  </si>
  <si>
    <t>2023S0001361</t>
  </si>
  <si>
    <t>2023S00016411</t>
  </si>
  <si>
    <t>2023S0001647</t>
  </si>
  <si>
    <t>20.12.2024</t>
  </si>
  <si>
    <t>2023S0005713</t>
  </si>
  <si>
    <t>2023S0005715</t>
  </si>
  <si>
    <t>2022S00079417</t>
  </si>
  <si>
    <t>2023S00057114</t>
  </si>
  <si>
    <t>2023S0005714</t>
  </si>
  <si>
    <t>2023S00046023</t>
  </si>
  <si>
    <t>2023S0000743</t>
  </si>
  <si>
    <t>20.12.2023</t>
  </si>
  <si>
    <t>2022S0004274</t>
  </si>
  <si>
    <t>2023S00046025</t>
  </si>
  <si>
    <t>2023S0007101</t>
  </si>
  <si>
    <r>
      <t xml:space="preserve">NOTA: Carta abrasiva sostituita il 22/01/2024, . Media 3 valori di abrasione= 214mg </t>
    </r>
    <r>
      <rPr>
        <sz val="11"/>
        <color theme="1"/>
        <rFont val="Calibri"/>
        <family val="2"/>
      </rPr>
      <t>±</t>
    </r>
    <r>
      <rPr>
        <sz val="8.8000000000000007"/>
        <color theme="1"/>
        <rFont val="Calibri"/>
        <family val="2"/>
      </rPr>
      <t xml:space="preserve"> 8%</t>
    </r>
  </si>
  <si>
    <t>2023S001361</t>
  </si>
  <si>
    <t>2023S0002091</t>
  </si>
  <si>
    <t>2022S00100561</t>
  </si>
  <si>
    <t>2022S00100570</t>
  </si>
  <si>
    <t>2023S0005401</t>
  </si>
  <si>
    <t>20.05.2024</t>
  </si>
  <si>
    <t>2024S0002041</t>
  </si>
  <si>
    <t>2024S0002762</t>
  </si>
  <si>
    <t>2023S0010823</t>
  </si>
  <si>
    <t>2023S00068010</t>
  </si>
  <si>
    <t>2024S0001931</t>
  </si>
  <si>
    <t>2023S0010828</t>
  </si>
  <si>
    <t>2023S00097426</t>
  </si>
  <si>
    <t>2023S00097438</t>
  </si>
  <si>
    <t>2023S00108230</t>
  </si>
  <si>
    <t>2023S0010825</t>
  </si>
  <si>
    <t>2024S0002763</t>
  </si>
  <si>
    <t>2023S0009012</t>
  </si>
  <si>
    <t>2023S00090110</t>
  </si>
  <si>
    <t>2023S00097425</t>
  </si>
  <si>
    <t>2023S0009729</t>
  </si>
  <si>
    <t>20.07.2024</t>
  </si>
  <si>
    <t>2024S0004091</t>
  </si>
  <si>
    <t>2023S0010821</t>
  </si>
  <si>
    <t>2023S00108246</t>
  </si>
  <si>
    <t>DN302310</t>
  </si>
  <si>
    <t>2023S00108291</t>
  </si>
  <si>
    <t>2023S00108252</t>
  </si>
  <si>
    <t>2023S00068042</t>
  </si>
  <si>
    <t>2024S0005051</t>
  </si>
  <si>
    <t>2024S0005252</t>
  </si>
  <si>
    <r>
      <t xml:space="preserve">NOTA: Carta abrasiva sostituita l'08/08/2024. Valore taratura: 192mg </t>
    </r>
    <r>
      <rPr>
        <sz val="11"/>
        <color theme="1"/>
        <rFont val="Calibri"/>
        <family val="2"/>
      </rPr>
      <t>±</t>
    </r>
    <r>
      <rPr>
        <sz val="8.8000000000000007"/>
        <color theme="1"/>
        <rFont val="Calibri"/>
        <family val="2"/>
      </rPr>
      <t xml:space="preserve"> 8%</t>
    </r>
  </si>
  <si>
    <t>2024S0002031</t>
  </si>
  <si>
    <t>2024S0003549</t>
  </si>
  <si>
    <t>2024S0004711</t>
  </si>
  <si>
    <t>22.09.2024</t>
  </si>
  <si>
    <t>2024S00050512</t>
  </si>
  <si>
    <t>2024S00050527</t>
  </si>
  <si>
    <t>2024S00050510</t>
  </si>
  <si>
    <t>2024S00050526</t>
  </si>
  <si>
    <t>2024S00047564</t>
  </si>
  <si>
    <t>2024S00052534</t>
  </si>
  <si>
    <t>2024S0005055</t>
  </si>
  <si>
    <t>2024S00040921</t>
  </si>
  <si>
    <t>2024S00050532</t>
  </si>
  <si>
    <t>2024S00005055</t>
  </si>
  <si>
    <t>2024S00050530</t>
  </si>
  <si>
    <t>2024S00050599</t>
  </si>
  <si>
    <t>2024S00047565</t>
  </si>
  <si>
    <t>2024S0006477</t>
  </si>
  <si>
    <t>14.02.2025</t>
  </si>
  <si>
    <t>2024S00080917</t>
  </si>
  <si>
    <t>2024S00098734</t>
  </si>
  <si>
    <t>2024S000113425</t>
  </si>
  <si>
    <t>-</t>
  </si>
  <si>
    <t>2024S00113426</t>
  </si>
  <si>
    <t>2024S0010647</t>
  </si>
  <si>
    <t>2024S0011349</t>
  </si>
  <si>
    <t>2024S0012208</t>
  </si>
  <si>
    <t>2024S00113429</t>
  </si>
  <si>
    <t>2024S0011342</t>
  </si>
  <si>
    <t>2024S0085416</t>
  </si>
  <si>
    <t>2024S00050598</t>
  </si>
  <si>
    <t>2024S0010855</t>
  </si>
  <si>
    <t>2024S0098710</t>
  </si>
  <si>
    <t>21.07.2025</t>
  </si>
  <si>
    <r>
      <t>5,7*10</t>
    </r>
    <r>
      <rPr>
        <vertAlign val="superscript"/>
        <sz val="11"/>
        <color theme="1"/>
        <rFont val="Calibri"/>
        <family val="2"/>
        <scheme val="minor"/>
      </rPr>
      <t>8</t>
    </r>
  </si>
  <si>
    <r>
      <t>1,1*10</t>
    </r>
    <r>
      <rPr>
        <vertAlign val="superscript"/>
        <sz val="11"/>
        <color theme="1"/>
        <rFont val="Calibri"/>
        <family val="2"/>
        <scheme val="minor"/>
      </rPr>
      <t>8</t>
    </r>
  </si>
  <si>
    <r>
      <t>4,5*10</t>
    </r>
    <r>
      <rPr>
        <vertAlign val="superscript"/>
        <sz val="11"/>
        <color theme="1"/>
        <rFont val="Calibri"/>
        <family val="2"/>
        <scheme val="minor"/>
      </rPr>
      <t>8</t>
    </r>
  </si>
  <si>
    <t>10.09.2025</t>
  </si>
  <si>
    <t>2025S00046626</t>
  </si>
  <si>
    <t xml:space="preserve">2025S0004697
</t>
  </si>
  <si>
    <t>2025S0004661</t>
  </si>
  <si>
    <t>DG31251</t>
  </si>
  <si>
    <t>2025S00046713</t>
  </si>
  <si>
    <t>2025S0004668</t>
  </si>
  <si>
    <t>2025S0004697</t>
  </si>
  <si>
    <t>2024S00122058</t>
  </si>
  <si>
    <t>2025S0004311</t>
  </si>
  <si>
    <t>2025S0004676</t>
  </si>
  <si>
    <t>2025S0004803</t>
  </si>
  <si>
    <t>2025S0005991</t>
  </si>
  <si>
    <t>2025S0004675</t>
  </si>
  <si>
    <t>2025S0004692</t>
  </si>
  <si>
    <t>02.10.2025</t>
  </si>
  <si>
    <t>03.10.2025</t>
  </si>
  <si>
    <t>09.10.2025</t>
  </si>
  <si>
    <t>10.10.2025</t>
  </si>
  <si>
    <t>2025S00048011</t>
  </si>
  <si>
    <t>13.10.2025</t>
  </si>
  <si>
    <t>14.10.2025</t>
  </si>
  <si>
    <t>15.10.2025</t>
  </si>
  <si>
    <t>16.10.2025</t>
  </si>
  <si>
    <t>17.10.2025</t>
  </si>
  <si>
    <t>20.10.2025</t>
  </si>
  <si>
    <t>2025S00046723</t>
  </si>
  <si>
    <t>2025S00048012</t>
  </si>
  <si>
    <t>21.10.2025</t>
  </si>
  <si>
    <t>22.10.2025</t>
  </si>
  <si>
    <t>23.10.2025</t>
  </si>
  <si>
    <t>28.10.2025</t>
  </si>
  <si>
    <t>29.10.2025</t>
  </si>
  <si>
    <t>30.10.2025</t>
  </si>
  <si>
    <t>31.10.2025</t>
  </si>
  <si>
    <t>03.11.2025</t>
  </si>
  <si>
    <t>04.11.2025</t>
  </si>
  <si>
    <t>05.11.2025</t>
  </si>
  <si>
    <t>06.11.2025</t>
  </si>
  <si>
    <t>07.11.2025</t>
  </si>
  <si>
    <t>2025S00048013</t>
  </si>
  <si>
    <t>10.11.2025</t>
  </si>
  <si>
    <t>11.11.2025</t>
  </si>
  <si>
    <t>12.11.2025</t>
  </si>
  <si>
    <t>13.11.2025</t>
  </si>
  <si>
    <t>24.11.2025</t>
  </si>
  <si>
    <t>25.11.2025</t>
  </si>
  <si>
    <t>26.11.2025</t>
  </si>
  <si>
    <t>27.11.2025</t>
  </si>
  <si>
    <t>28.11.2025</t>
  </si>
  <si>
    <t>01.12.2025</t>
  </si>
  <si>
    <t>02.12.2025</t>
  </si>
  <si>
    <t>2025S00104604</t>
  </si>
  <si>
    <t>03.12.2025</t>
  </si>
  <si>
    <t>04.12.2025</t>
  </si>
  <si>
    <t>05.12.2025</t>
  </si>
  <si>
    <t>08.12.2025</t>
  </si>
  <si>
    <t>09.12.2025</t>
  </si>
  <si>
    <t>10.12.2025</t>
  </si>
  <si>
    <t>11.12.2025</t>
  </si>
  <si>
    <t>20.01.2026</t>
  </si>
  <si>
    <r>
      <t>5,2*10</t>
    </r>
    <r>
      <rPr>
        <vertAlign val="superscript"/>
        <sz val="11"/>
        <color rgb="FF000000"/>
        <rFont val="Calibri"/>
        <family val="2"/>
      </rPr>
      <t>8</t>
    </r>
  </si>
  <si>
    <r>
      <t>7,7*10</t>
    </r>
    <r>
      <rPr>
        <vertAlign val="superscript"/>
        <sz val="11"/>
        <color rgb="FF000000"/>
        <rFont val="Calibri"/>
        <family val="2"/>
      </rPr>
      <t>8</t>
    </r>
  </si>
  <si>
    <t>M3Ro - SINTAM 70 GIALLO - ANTIMICROBICO</t>
  </si>
  <si>
    <r>
      <t>8,3*10</t>
    </r>
    <r>
      <rPr>
        <vertAlign val="superscript"/>
        <sz val="11"/>
        <color rgb="FF000000"/>
        <rFont val="Calibri"/>
        <family val="2"/>
      </rPr>
      <t>8</t>
    </r>
  </si>
  <si>
    <t>26.01.2026</t>
  </si>
  <si>
    <t>27.01.2026</t>
  </si>
  <si>
    <t>28.01.2026</t>
  </si>
  <si>
    <t>29.01.2026</t>
  </si>
  <si>
    <t>30.01.2026</t>
  </si>
  <si>
    <t>02.02.2026</t>
  </si>
  <si>
    <t>03.02.2026</t>
  </si>
  <si>
    <t>04.02.2026</t>
  </si>
  <si>
    <t>05.02.2026</t>
  </si>
  <si>
    <t>23.02.2026</t>
  </si>
  <si>
    <t>24.02.2026</t>
  </si>
  <si>
    <t>25.02.2026</t>
  </si>
  <si>
    <t>26.02.2026</t>
  </si>
  <si>
    <t>04.03.2026</t>
  </si>
  <si>
    <r>
      <t xml:space="preserve">NON CANCELLARE MAI QUESTA RIGA - </t>
    </r>
    <r>
      <rPr>
        <b/>
        <sz val="12"/>
        <color rgb="FFC00000"/>
        <rFont val="Calibri"/>
        <family val="2"/>
        <scheme val="minor"/>
      </rPr>
      <t>IMPORTANTE</t>
    </r>
    <r>
      <rPr>
        <b/>
        <sz val="14"/>
        <color rgb="FFC00000"/>
        <rFont val="Calibri"/>
        <family val="2"/>
        <scheme val="minor"/>
      </rPr>
      <t xml:space="preserve"> </t>
    </r>
    <r>
      <rPr>
        <b/>
        <sz val="11"/>
        <color rgb="FFC00000"/>
        <rFont val="Calibri"/>
        <family val="2"/>
        <scheme val="minor"/>
      </rPr>
      <t xml:space="preserve">- NON CANCELLARE MAI QUESTA RIGA - </t>
    </r>
    <r>
      <rPr>
        <b/>
        <sz val="12"/>
        <color rgb="FFC00000"/>
        <rFont val="Calibri"/>
        <family val="2"/>
        <scheme val="minor"/>
      </rPr>
      <t>IMPORTANTE</t>
    </r>
  </si>
  <si>
    <t>PROPRIETA'</t>
  </si>
  <si>
    <t>08/12/2020</t>
  </si>
  <si>
    <t>05/03/2021</t>
  </si>
  <si>
    <t>19/04/2021</t>
  </si>
  <si>
    <t>28/07/2021</t>
  </si>
  <si>
    <t>02/11/2021</t>
  </si>
  <si>
    <t>28/01/2022</t>
  </si>
  <si>
    <t>19/09/2022</t>
  </si>
  <si>
    <t>21/02/2022</t>
  </si>
  <si>
    <t>12/12/2023</t>
  </si>
  <si>
    <t>20/05/2024</t>
  </si>
  <si>
    <t>20/07/2024</t>
  </si>
  <si>
    <t>14/02/2025</t>
  </si>
  <si>
    <t>21/07/2025</t>
  </si>
  <si>
    <t>10/09/2025</t>
  </si>
  <si>
    <t>20/01/2026</t>
  </si>
  <si>
    <t>DUREZZA (ShA)</t>
  </si>
  <si>
    <t>CARICO DI ROTTURA (MPa)</t>
  </si>
  <si>
    <t>ALLUNGAMENTO (%)</t>
  </si>
  <si>
    <t>LACERAZIONE B (kN/m)</t>
  </si>
  <si>
    <t>LACERAZIONE C (kN/m)</t>
  </si>
  <si>
    <t>ABRASIONE (mg)</t>
  </si>
  <si>
    <t>Allungamento %</t>
  </si>
  <si>
    <t>Lacerazione B</t>
  </si>
  <si>
    <t>Lacerazione C</t>
  </si>
  <si>
    <t>Totale</t>
  </si>
  <si>
    <t>Okay?</t>
  </si>
  <si>
    <t xml:space="preserve">   </t>
  </si>
  <si>
    <t>22/01/2021</t>
  </si>
  <si>
    <t>18/02/2021</t>
  </si>
  <si>
    <t>27/07/2021</t>
  </si>
  <si>
    <t>21/02/2023</t>
  </si>
  <si>
    <t>21/03/2023</t>
  </si>
  <si>
    <t>22/09/2024</t>
  </si>
  <si>
    <t>10/09/2026</t>
  </si>
  <si>
    <t>09/12/2020</t>
  </si>
  <si>
    <t>23/02/2021</t>
  </si>
  <si>
    <t>27/04/2021</t>
  </si>
  <si>
    <t>23/07/2021</t>
  </si>
  <si>
    <t>28/10/2021</t>
  </si>
  <si>
    <t>03/02/2022</t>
  </si>
  <si>
    <t>21/09/2022</t>
  </si>
  <si>
    <t>22/02/2023</t>
  </si>
  <si>
    <t>03/11/2021</t>
  </si>
  <si>
    <t>22/09/2022</t>
  </si>
  <si>
    <t>22/03/2023</t>
  </si>
  <si>
    <t>02/10/2025</t>
  </si>
  <si>
    <t>03/10/2025</t>
  </si>
  <si>
    <t>09/10/2025</t>
  </si>
  <si>
    <t>10/10/2025</t>
  </si>
  <si>
    <t>13/10/2025</t>
  </si>
  <si>
    <t>14/10/2025</t>
  </si>
  <si>
    <t>15/10/2025</t>
  </si>
  <si>
    <t>16/10/2025</t>
  </si>
  <si>
    <t>17/10/2025</t>
  </si>
  <si>
    <t>20/10/2025</t>
  </si>
  <si>
    <t>21/10/2025</t>
  </si>
  <si>
    <t>22/10/2025</t>
  </si>
  <si>
    <t>23/10/2025</t>
  </si>
  <si>
    <t>28/10/2025</t>
  </si>
  <si>
    <t>29/10/2025</t>
  </si>
  <si>
    <t>30/10/2025</t>
  </si>
  <si>
    <t>31/10/2025</t>
  </si>
  <si>
    <t>03/11/2025</t>
  </si>
  <si>
    <t>04/11/2025</t>
  </si>
  <si>
    <t>05/11/2025</t>
  </si>
  <si>
    <t>06/11/2025</t>
  </si>
  <si>
    <t>07/11/2025</t>
  </si>
  <si>
    <t>10/11/2025</t>
  </si>
  <si>
    <t>11/11/2025</t>
  </si>
  <si>
    <t>12/11/2025</t>
  </si>
  <si>
    <t>13/11/2025</t>
  </si>
  <si>
    <t>24/11/2025</t>
  </si>
  <si>
    <t>25/11/2025</t>
  </si>
  <si>
    <t>26/11/2025</t>
  </si>
  <si>
    <t>27/11/2025</t>
  </si>
  <si>
    <t>28/11/2025</t>
  </si>
  <si>
    <t>01/12/2025</t>
  </si>
  <si>
    <t>02/12/2025</t>
  </si>
  <si>
    <t>03/12/2025</t>
  </si>
  <si>
    <t>04/12/2025</t>
  </si>
  <si>
    <t>05/12/2025</t>
  </si>
  <si>
    <t>08/12/2025</t>
  </si>
  <si>
    <t>09/12/2025</t>
  </si>
  <si>
    <t>10/12/2025</t>
  </si>
  <si>
    <t>11/12/2025</t>
  </si>
  <si>
    <t>26/01/2026</t>
  </si>
  <si>
    <t>27/01/20262</t>
  </si>
  <si>
    <t>28/01/20263</t>
  </si>
  <si>
    <t>29/01/20264</t>
  </si>
  <si>
    <t>30/01/2026</t>
  </si>
  <si>
    <t>02/02/2026</t>
  </si>
  <si>
    <t>03/02/2026</t>
  </si>
  <si>
    <t>04/02/2026</t>
  </si>
  <si>
    <t>05/02/2026</t>
  </si>
  <si>
    <t>23/02/2026</t>
  </si>
  <si>
    <t>24/02/2026</t>
  </si>
  <si>
    <t>25/02/2026</t>
  </si>
  <si>
    <t>26/02/2026</t>
  </si>
  <si>
    <t>02/03/2026</t>
  </si>
  <si>
    <t>10/12/2020</t>
  </si>
  <si>
    <t>24/02/2021</t>
  </si>
  <si>
    <t>20/07/2021</t>
  </si>
  <si>
    <t>05/11/2021</t>
  </si>
  <si>
    <t>04/02/2022</t>
  </si>
  <si>
    <t>23/03/2023</t>
  </si>
  <si>
    <t>15/12/2020</t>
  </si>
  <si>
    <t>02/03/2021</t>
  </si>
  <si>
    <t>10/05/2021</t>
  </si>
  <si>
    <t>26/07/2021</t>
  </si>
  <si>
    <t>13/12/2020</t>
  </si>
  <si>
    <t>12/04/2021</t>
  </si>
  <si>
    <t>04/11/2021</t>
  </si>
  <si>
    <t>23/02/2023</t>
  </si>
  <si>
    <t>20/03/2023</t>
  </si>
  <si>
    <t>22/09/2025</t>
  </si>
  <si>
    <t>scelta lastrina da lanciare</t>
  </si>
  <si>
    <t>NUMERO TOTALE LASTRINE RICHIESTE</t>
  </si>
  <si>
    <t>TO</t>
  </si>
  <si>
    <t>Nicolae.Maxim@wamgroup.com</t>
  </si>
  <si>
    <t>dario.pederzoli@wamgroup.com</t>
  </si>
  <si>
    <t>Serena.Diazzi@wamgroup.com</t>
  </si>
  <si>
    <t>OBJ</t>
  </si>
  <si>
    <t>Richiesta Lastrine Colata</t>
  </si>
  <si>
    <t>CORPO</t>
  </si>
  <si>
    <t xml:space="preserve">Con la presente si notifica che sono state richieste </t>
  </si>
  <si>
    <t xml:space="preserve"> lastrine. Si ricorda di compilare (sul file delle lastrine) i seguenti dati: Data produzione - Lotto Materiali utilizzati</t>
  </si>
  <si>
    <t>desc mat</t>
  </si>
  <si>
    <t>cod last</t>
  </si>
  <si>
    <t>Kg</t>
  </si>
  <si>
    <t>POLIOLO POLIETERE SH.70 TECNOTHANE RH 246</t>
  </si>
  <si>
    <t xml:space="preserve">RETICOLANTE TECNOTHANE RCH160 </t>
  </si>
  <si>
    <t>RH 275B(FUSTI 25 KG)</t>
  </si>
  <si>
    <t>997006155</t>
  </si>
  <si>
    <t>CATALIZZATORE TECNOKAT AVP</t>
  </si>
  <si>
    <t>997005966</t>
  </si>
  <si>
    <t>CATALIZZATORE TECNOKAT T9-100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</si>
</sst>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0.000"/>
    <numFmt numFmtId="165" formatCode="0.0000"/>
    <numFmt numFmtId="166" formatCode="0.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b/>
      <sz val="12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</font>
    <font>
      <sz val="8.8000000000000007"/>
      <color theme="1"/>
      <name val="Calibri"/>
      <family val="2"/>
    </font>
    <font>
      <sz val="8"/>
      <name val="Arial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vertAlign val="superscript"/>
      <sz val="11"/>
      <color rgb="FF000000"/>
      <name val="Calibri"/>
      <family val="2"/>
    </font>
    <font>
      <b/>
      <sz val="11"/>
      <color rgb="FF80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lightGray"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/>
      <right style="thin">
        <color theme="9"/>
      </right>
      <top/>
      <bottom/>
      <diagonal/>
    </border>
    <border>
      <left style="thin">
        <color theme="9"/>
      </left>
      <right style="thin">
        <color theme="9"/>
      </right>
      <top/>
      <bottom style="thin">
        <color theme="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2" fillId="0" borderId="0" applyNumberFormat="0" applyFill="0" applyBorder="0" applyAlignment="0" applyProtection="0"/>
    <xf numFmtId="9" fontId="15" fillId="0" borderId="0" applyFont="0" applyFill="0" applyBorder="0" applyAlignment="0" applyProtection="0"/>
    <xf numFmtId="0" fontId="17" fillId="0" borderId="0"/>
  </cellStyleXfs>
  <cellXfs count="252">
    <xf numFmtId="0" fontId="0" fillId="0" borderId="0" xfId="0"/>
    <xf numFmtId="0" fontId="0" fillId="2" borderId="0" xfId="0" applyFill="1"/>
    <xf numFmtId="0" fontId="0" fillId="3" borderId="0" xfId="0" applyFill="1"/>
    <xf numFmtId="0" fontId="2" fillId="2" borderId="0" xfId="0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2" fillId="0" borderId="0" xfId="0" applyFont="1" applyAlignment="1">
      <alignment horizontal="left"/>
    </xf>
    <xf numFmtId="0" fontId="0" fillId="0" borderId="0" xfId="0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1" fillId="9" borderId="1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14" fontId="1" fillId="9" borderId="2" xfId="0" applyNumberFormat="1" applyFont="1" applyFill="1" applyBorder="1" applyAlignment="1">
      <alignment horizontal="center" vertical="center" wrapText="1"/>
    </xf>
    <xf numFmtId="14" fontId="5" fillId="7" borderId="5" xfId="0" applyNumberFormat="1" applyFont="1" applyFill="1" applyBorder="1" applyAlignment="1">
      <alignment horizontal="center" vertical="center" wrapText="1"/>
    </xf>
    <xf numFmtId="0" fontId="0" fillId="7" borderId="3" xfId="0" applyFill="1" applyBorder="1" applyAlignment="1">
      <alignment vertical="center"/>
    </xf>
    <xf numFmtId="14" fontId="0" fillId="4" borderId="1" xfId="0" applyNumberFormat="1" applyFill="1" applyBorder="1" applyAlignment="1">
      <alignment horizontal="center" vertical="center"/>
    </xf>
    <xf numFmtId="0" fontId="0" fillId="0" borderId="0" xfId="0" applyAlignment="1">
      <alignment vertical="center" wrapText="1"/>
    </xf>
    <xf numFmtId="14" fontId="5" fillId="0" borderId="0" xfId="0" applyNumberFormat="1" applyFont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4" fillId="4" borderId="1" xfId="0" applyFont="1" applyFill="1" applyBorder="1" applyAlignment="1">
      <alignment horizontal="center" vertical="center" wrapText="1"/>
    </xf>
    <xf numFmtId="14" fontId="0" fillId="4" borderId="2" xfId="0" applyNumberFormat="1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 wrapText="1"/>
    </xf>
    <xf numFmtId="0" fontId="2" fillId="7" borderId="8" xfId="0" applyFont="1" applyFill="1" applyBorder="1" applyAlignment="1">
      <alignment horizontal="center" vertical="center" wrapText="1"/>
    </xf>
    <xf numFmtId="0" fontId="0" fillId="7" borderId="0" xfId="0" applyFill="1" applyAlignment="1">
      <alignment vertical="center"/>
    </xf>
    <xf numFmtId="0" fontId="0" fillId="7" borderId="7" xfId="0" applyFill="1" applyBorder="1" applyAlignment="1">
      <alignment vertical="center"/>
    </xf>
    <xf numFmtId="0" fontId="0" fillId="12" borderId="2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12" fillId="0" borderId="0" xfId="1" applyAlignment="1">
      <alignment vertical="center"/>
    </xf>
    <xf numFmtId="0" fontId="8" fillId="0" borderId="0" xfId="0" applyFont="1" applyAlignment="1">
      <alignment vertical="center" wrapText="1"/>
    </xf>
    <xf numFmtId="0" fontId="13" fillId="0" borderId="0" xfId="1" applyFont="1" applyAlignment="1">
      <alignment vertical="center" wrapText="1"/>
    </xf>
    <xf numFmtId="14" fontId="0" fillId="0" borderId="0" xfId="0" applyNumberFormat="1" applyAlignment="1">
      <alignment horizontal="center" vertical="center"/>
    </xf>
    <xf numFmtId="1" fontId="11" fillId="0" borderId="1" xfId="0" applyNumberFormat="1" applyFont="1" applyBorder="1" applyAlignment="1">
      <alignment horizontal="center" vertical="center"/>
    </xf>
    <xf numFmtId="49" fontId="16" fillId="0" borderId="1" xfId="0" quotePrefix="1" applyNumberFormat="1" applyFont="1" applyBorder="1" applyAlignment="1">
      <alignment vertical="center"/>
    </xf>
    <xf numFmtId="0" fontId="16" fillId="0" borderId="1" xfId="3" applyFont="1" applyBorder="1" applyAlignment="1">
      <alignment vertical="center"/>
    </xf>
    <xf numFmtId="0" fontId="16" fillId="0" borderId="1" xfId="3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 shrinkToFit="1"/>
    </xf>
    <xf numFmtId="0" fontId="0" fillId="0" borderId="1" xfId="0" applyBorder="1"/>
    <xf numFmtId="0" fontId="5" fillId="0" borderId="3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0" fillId="7" borderId="11" xfId="0" applyFill="1" applyBorder="1" applyAlignment="1">
      <alignment vertical="center"/>
    </xf>
    <xf numFmtId="0" fontId="0" fillId="7" borderId="12" xfId="0" applyFill="1" applyBorder="1" applyAlignment="1">
      <alignment vertical="center"/>
    </xf>
    <xf numFmtId="0" fontId="2" fillId="0" borderId="2" xfId="0" quotePrefix="1" applyFont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left" vertical="center" wrapText="1"/>
    </xf>
    <xf numFmtId="0" fontId="5" fillId="7" borderId="5" xfId="0" applyFont="1" applyFill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 wrapText="1"/>
    </xf>
    <xf numFmtId="0" fontId="0" fillId="0" borderId="0" xfId="0" applyAlignment="1">
      <alignment horizontal="left" vertical="center"/>
    </xf>
    <xf numFmtId="0" fontId="2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left" vertical="center" wrapText="1"/>
    </xf>
    <xf numFmtId="14" fontId="5" fillId="7" borderId="0" xfId="0" applyNumberFormat="1" applyFont="1" applyFill="1" applyAlignment="1">
      <alignment horizontal="center" vertical="center" wrapText="1"/>
    </xf>
    <xf numFmtId="0" fontId="8" fillId="7" borderId="3" xfId="0" applyFont="1" applyFill="1" applyBorder="1" applyAlignment="1">
      <alignment horizontal="center" vertical="center" wrapText="1"/>
    </xf>
    <xf numFmtId="0" fontId="8" fillId="7" borderId="5" xfId="0" applyFont="1" applyFill="1" applyBorder="1" applyAlignment="1">
      <alignment horizontal="center" vertical="center" wrapText="1"/>
    </xf>
    <xf numFmtId="14" fontId="8" fillId="7" borderId="5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 wrapText="1"/>
    </xf>
    <xf numFmtId="14" fontId="8" fillId="7" borderId="5" xfId="0" applyNumberFormat="1" applyFont="1" applyFill="1" applyBorder="1" applyAlignment="1">
      <alignment horizontal="left" vertical="center" wrapText="1"/>
    </xf>
    <xf numFmtId="0" fontId="0" fillId="0" borderId="0" xfId="0" applyAlignment="1">
      <alignment horizontal="center" vertical="center"/>
    </xf>
    <xf numFmtId="14" fontId="2" fillId="13" borderId="14" xfId="0" applyNumberFormat="1" applyFont="1" applyFill="1" applyBorder="1" applyAlignment="1">
      <alignment horizontal="center" vertical="center" wrapText="1"/>
    </xf>
    <xf numFmtId="14" fontId="2" fillId="13" borderId="15" xfId="0" applyNumberFormat="1" applyFont="1" applyFill="1" applyBorder="1" applyAlignment="1">
      <alignment horizontal="center" vertical="center" wrapText="1"/>
    </xf>
    <xf numFmtId="0" fontId="0" fillId="0" borderId="1" xfId="0" quotePrefix="1" applyBorder="1"/>
    <xf numFmtId="0" fontId="2" fillId="0" borderId="1" xfId="0" applyFont="1" applyBorder="1" applyAlignment="1">
      <alignment horizontal="center" vertical="center"/>
    </xf>
    <xf numFmtId="11" fontId="2" fillId="0" borderId="1" xfId="0" applyNumberFormat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8" fillId="8" borderId="9" xfId="0" applyFont="1" applyFill="1" applyBorder="1" applyAlignment="1">
      <alignment horizontal="center" vertical="center" wrapText="1"/>
    </xf>
    <xf numFmtId="0" fontId="8" fillId="13" borderId="13" xfId="0" applyFont="1" applyFill="1" applyBorder="1" applyAlignment="1">
      <alignment horizontal="center" vertical="center" wrapText="1"/>
    </xf>
    <xf numFmtId="0" fontId="8" fillId="8" borderId="13" xfId="0" applyFont="1" applyFill="1" applyBorder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10" fillId="11" borderId="1" xfId="0" applyFont="1" applyFill="1" applyBorder="1" applyAlignment="1">
      <alignment horizontal="center" vertical="center" wrapText="1"/>
    </xf>
    <xf numFmtId="0" fontId="9" fillId="11" borderId="1" xfId="0" applyFont="1" applyFill="1" applyBorder="1" applyAlignment="1">
      <alignment horizontal="center" vertical="center" wrapText="1"/>
    </xf>
    <xf numFmtId="11" fontId="9" fillId="11" borderId="1" xfId="0" applyNumberFormat="1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4" fillId="10" borderId="1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11" fontId="4" fillId="8" borderId="1" xfId="0" applyNumberFormat="1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13" borderId="14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 shrinkToFit="1"/>
    </xf>
    <xf numFmtId="0" fontId="6" fillId="13" borderId="15" xfId="0" applyFont="1" applyFill="1" applyBorder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12" fillId="0" borderId="0" xfId="1" applyBorder="1" applyAlignment="1">
      <alignment horizontal="center" vertical="center" wrapText="1" shrinkToFit="1"/>
    </xf>
    <xf numFmtId="49" fontId="6" fillId="13" borderId="15" xfId="0" applyNumberFormat="1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2" fillId="0" borderId="0" xfId="1" applyFill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 shrinkToFit="1"/>
    </xf>
    <xf numFmtId="9" fontId="20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 wrapText="1" shrinkToFit="1"/>
    </xf>
    <xf numFmtId="14" fontId="10" fillId="0" borderId="0" xfId="0" applyNumberFormat="1" applyFont="1" applyAlignment="1">
      <alignment horizontal="center" vertical="center"/>
    </xf>
    <xf numFmtId="14" fontId="10" fillId="0" borderId="0" xfId="0" applyNumberFormat="1" applyFont="1" applyAlignment="1">
      <alignment horizontal="left" vertical="center"/>
    </xf>
    <xf numFmtId="0" fontId="2" fillId="0" borderId="0" xfId="0" applyFont="1"/>
    <xf numFmtId="14" fontId="2" fillId="0" borderId="0" xfId="0" applyNumberFormat="1" applyFont="1"/>
    <xf numFmtId="0" fontId="0" fillId="0" borderId="0" xfId="2" applyNumberFormat="1" applyFont="1" applyBorder="1" applyAlignment="1">
      <alignment horizontal="center" vertical="center"/>
    </xf>
    <xf numFmtId="0" fontId="20" fillId="0" borderId="0" xfId="2" applyNumberFormat="1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0" fillId="0" borderId="0" xfId="0" applyFont="1" applyAlignment="1">
      <alignment horizontal="center"/>
    </xf>
    <xf numFmtId="0" fontId="17" fillId="0" borderId="0" xfId="3"/>
    <xf numFmtId="9" fontId="4" fillId="8" borderId="1" xfId="0" applyNumberFormat="1" applyFont="1" applyFill="1" applyBorder="1" applyAlignment="1">
      <alignment horizontal="center" vertical="center"/>
    </xf>
    <xf numFmtId="9" fontId="2" fillId="0" borderId="1" xfId="0" applyNumberFormat="1" applyFont="1" applyBorder="1" applyAlignment="1">
      <alignment horizontal="center" vertical="center"/>
    </xf>
    <xf numFmtId="9" fontId="10" fillId="11" borderId="1" xfId="0" applyNumberFormat="1" applyFont="1" applyFill="1" applyBorder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14" fontId="10" fillId="0" borderId="0" xfId="0" applyNumberFormat="1" applyFont="1" applyAlignment="1">
      <alignment horizontal="center" vertical="center" wrapText="1"/>
    </xf>
    <xf numFmtId="14" fontId="2" fillId="0" borderId="0" xfId="0" applyNumberFormat="1" applyFont="1" applyAlignment="1">
      <alignment horizontal="center" vertical="center"/>
    </xf>
    <xf numFmtId="0" fontId="1" fillId="14" borderId="16" xfId="0" applyFont="1" applyFill="1" applyBorder="1" applyAlignment="1">
      <alignment horizontal="center" vertical="center"/>
    </xf>
    <xf numFmtId="14" fontId="1" fillId="14" borderId="17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0" fillId="15" borderId="17" xfId="0" applyFill="1" applyBorder="1" applyAlignment="1">
      <alignment horizontal="center" vertical="center"/>
    </xf>
    <xf numFmtId="0" fontId="0" fillId="15" borderId="17" xfId="2" applyNumberFormat="1" applyFont="1" applyFill="1" applyBorder="1" applyAlignment="1">
      <alignment horizontal="center" vertical="center"/>
    </xf>
    <xf numFmtId="14" fontId="10" fillId="0" borderId="16" xfId="0" applyNumberFormat="1" applyFont="1" applyBorder="1" applyAlignment="1">
      <alignment horizontal="center" vertical="center" wrapText="1"/>
    </xf>
    <xf numFmtId="0" fontId="20" fillId="0" borderId="17" xfId="0" applyFont="1" applyBorder="1" applyAlignment="1">
      <alignment horizontal="center" vertical="center"/>
    </xf>
    <xf numFmtId="0" fontId="20" fillId="0" borderId="17" xfId="2" applyNumberFormat="1" applyFont="1" applyBorder="1" applyAlignment="1">
      <alignment horizontal="center" vertical="center"/>
    </xf>
    <xf numFmtId="14" fontId="10" fillId="15" borderId="16" xfId="0" applyNumberFormat="1" applyFont="1" applyFill="1" applyBorder="1" applyAlignment="1">
      <alignment horizontal="center" vertical="center" wrapText="1"/>
    </xf>
    <xf numFmtId="0" fontId="20" fillId="15" borderId="17" xfId="0" applyFont="1" applyFill="1" applyBorder="1" applyAlignment="1">
      <alignment horizontal="center" vertical="center" wrapText="1"/>
    </xf>
    <xf numFmtId="0" fontId="20" fillId="15" borderId="17" xfId="0" applyFont="1" applyFill="1" applyBorder="1" applyAlignment="1">
      <alignment horizontal="center" vertical="center"/>
    </xf>
    <xf numFmtId="14" fontId="1" fillId="14" borderId="18" xfId="0" applyNumberFormat="1" applyFont="1" applyFill="1" applyBorder="1" applyAlignment="1">
      <alignment horizontal="center" vertical="center"/>
    </xf>
    <xf numFmtId="0" fontId="20" fillId="15" borderId="18" xfId="0" applyFont="1" applyFill="1" applyBorder="1" applyAlignment="1">
      <alignment horizontal="center" vertical="center"/>
    </xf>
    <xf numFmtId="0" fontId="20" fillId="0" borderId="18" xfId="0" applyFont="1" applyBorder="1" applyAlignment="1">
      <alignment horizontal="center" vertical="center"/>
    </xf>
    <xf numFmtId="0" fontId="0" fillId="16" borderId="0" xfId="0" applyFill="1"/>
    <xf numFmtId="0" fontId="1" fillId="9" borderId="19" xfId="0" applyFont="1" applyFill="1" applyBorder="1" applyAlignment="1">
      <alignment horizontal="center" vertical="center" wrapText="1"/>
    </xf>
    <xf numFmtId="0" fontId="1" fillId="9" borderId="20" xfId="0" applyFont="1" applyFill="1" applyBorder="1" applyAlignment="1">
      <alignment horizontal="center" vertical="center" wrapText="1"/>
    </xf>
    <xf numFmtId="14" fontId="1" fillId="9" borderId="20" xfId="0" applyNumberFormat="1" applyFont="1" applyFill="1" applyBorder="1" applyAlignment="1">
      <alignment horizontal="center" vertical="center" wrapText="1"/>
    </xf>
    <xf numFmtId="0" fontId="5" fillId="0" borderId="20" xfId="0" applyFont="1" applyBorder="1" applyAlignment="1">
      <alignment horizontal="center" vertical="center" wrapText="1"/>
    </xf>
    <xf numFmtId="0" fontId="2" fillId="0" borderId="20" xfId="0" applyFont="1" applyBorder="1" applyAlignment="1">
      <alignment horizontal="center" vertical="center" wrapText="1"/>
    </xf>
    <xf numFmtId="0" fontId="2" fillId="0" borderId="21" xfId="0" applyFont="1" applyBorder="1" applyAlignment="1">
      <alignment horizontal="center" vertical="center" wrapText="1"/>
    </xf>
    <xf numFmtId="0" fontId="0" fillId="16" borderId="22" xfId="0" applyFill="1" applyBorder="1"/>
    <xf numFmtId="0" fontId="0" fillId="7" borderId="23" xfId="0" applyFill="1" applyBorder="1"/>
    <xf numFmtId="0" fontId="0" fillId="7" borderId="24" xfId="0" applyFill="1" applyBorder="1"/>
    <xf numFmtId="0" fontId="0" fillId="7" borderId="25" xfId="0" applyFill="1" applyBorder="1"/>
    <xf numFmtId="14" fontId="0" fillId="4" borderId="13" xfId="0" applyNumberForma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Alignment="1">
      <alignment horizontal="center" vertical="center" shrinkToFit="1"/>
    </xf>
    <xf numFmtId="0" fontId="0" fillId="0" borderId="0" xfId="0" quotePrefix="1" applyAlignment="1">
      <alignment horizontal="center" vertical="center" shrinkToFit="1"/>
    </xf>
    <xf numFmtId="0" fontId="0" fillId="0" borderId="0" xfId="0" quotePrefix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5" borderId="13" xfId="0" quotePrefix="1" applyFont="1" applyFill="1" applyBorder="1" applyAlignment="1">
      <alignment horizontal="center" vertical="center"/>
    </xf>
    <xf numFmtId="0" fontId="5" fillId="0" borderId="13" xfId="0" applyFont="1" applyBorder="1" applyAlignment="1">
      <alignment horizontal="left" vertical="center" wrapText="1"/>
    </xf>
    <xf numFmtId="14" fontId="5" fillId="0" borderId="13" xfId="0" applyNumberFormat="1" applyFont="1" applyBorder="1" applyAlignment="1">
      <alignment horizontal="center" vertical="center" wrapText="1"/>
    </xf>
    <xf numFmtId="0" fontId="2" fillId="5" borderId="13" xfId="0" applyFont="1" applyFill="1" applyBorder="1" applyAlignment="1">
      <alignment horizontal="center" vertical="center"/>
    </xf>
    <xf numFmtId="0" fontId="2" fillId="0" borderId="13" xfId="0" applyFont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5" fillId="16" borderId="13" xfId="0" applyFont="1" applyFill="1" applyBorder="1" applyAlignment="1">
      <alignment horizontal="left" vertical="center" wrapText="1"/>
    </xf>
    <xf numFmtId="0" fontId="2" fillId="16" borderId="13" xfId="0" applyFont="1" applyFill="1" applyBorder="1" applyAlignment="1">
      <alignment vertical="center" wrapText="1"/>
    </xf>
    <xf numFmtId="0" fontId="0" fillId="16" borderId="13" xfId="0" applyFill="1" applyBorder="1" applyAlignment="1">
      <alignment horizontal="center" vertical="center"/>
    </xf>
    <xf numFmtId="14" fontId="0" fillId="16" borderId="0" xfId="0" applyNumberFormat="1" applyFill="1"/>
    <xf numFmtId="14" fontId="0" fillId="0" borderId="0" xfId="0" applyNumberFormat="1"/>
    <xf numFmtId="14" fontId="15" fillId="0" borderId="0" xfId="0" applyNumberFormat="1" applyFont="1" applyAlignment="1">
      <alignment horizontal="center" vertical="center"/>
    </xf>
    <xf numFmtId="0" fontId="0" fillId="0" borderId="27" xfId="0" applyBorder="1" applyAlignment="1">
      <alignment horizontal="center" vertical="center"/>
    </xf>
    <xf numFmtId="9" fontId="0" fillId="0" borderId="27" xfId="0" applyNumberFormat="1" applyBorder="1" applyAlignment="1">
      <alignment horizontal="center" vertical="center"/>
    </xf>
    <xf numFmtId="11" fontId="0" fillId="0" borderId="27" xfId="0" applyNumberFormat="1" applyBorder="1" applyAlignment="1">
      <alignment horizontal="center" vertical="center"/>
    </xf>
    <xf numFmtId="1" fontId="0" fillId="0" borderId="27" xfId="0" applyNumberFormat="1" applyBorder="1" applyAlignment="1">
      <alignment horizontal="center" vertical="center"/>
    </xf>
    <xf numFmtId="2" fontId="0" fillId="0" borderId="27" xfId="0" applyNumberFormat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23" fillId="1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1" fontId="20" fillId="0" borderId="0" xfId="0" applyNumberFormat="1" applyFont="1" applyAlignment="1">
      <alignment horizontal="center" vertical="center"/>
    </xf>
    <xf numFmtId="1" fontId="20" fillId="0" borderId="0" xfId="2" applyNumberFormat="1" applyFont="1" applyBorder="1" applyAlignment="1">
      <alignment horizontal="center" vertical="center"/>
    </xf>
    <xf numFmtId="1" fontId="0" fillId="0" borderId="28" xfId="0" applyNumberFormat="1" applyBorder="1" applyAlignment="1">
      <alignment horizontal="center" vertical="center"/>
    </xf>
    <xf numFmtId="0" fontId="10" fillId="0" borderId="0" xfId="0" applyFont="1"/>
    <xf numFmtId="14" fontId="10" fillId="0" borderId="0" xfId="0" applyNumberFormat="1" applyFont="1"/>
    <xf numFmtId="0" fontId="20" fillId="0" borderId="0" xfId="0" applyFont="1"/>
    <xf numFmtId="0" fontId="6" fillId="1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9" fontId="6" fillId="0" borderId="1" xfId="2" applyFont="1" applyBorder="1" applyAlignment="1">
      <alignment horizontal="center" vertical="center"/>
    </xf>
    <xf numFmtId="0" fontId="3" fillId="13" borderId="14" xfId="0" applyFont="1" applyFill="1" applyBorder="1" applyAlignment="1">
      <alignment horizontal="center" vertical="center"/>
    </xf>
    <xf numFmtId="0" fontId="3" fillId="13" borderId="15" xfId="0" applyFont="1" applyFill="1" applyBorder="1" applyAlignment="1">
      <alignment horizontal="center" vertical="center"/>
    </xf>
    <xf numFmtId="0" fontId="3" fillId="13" borderId="1" xfId="0" applyFont="1" applyFill="1" applyBorder="1" applyAlignment="1">
      <alignment horizontal="center" vertical="center"/>
    </xf>
    <xf numFmtId="0" fontId="2" fillId="17" borderId="3" xfId="0" applyFont="1" applyFill="1" applyBorder="1" applyAlignment="1">
      <alignment vertical="center"/>
    </xf>
    <xf numFmtId="0" fontId="2" fillId="17" borderId="5" xfId="0" applyFont="1" applyFill="1" applyBorder="1" applyAlignment="1">
      <alignment vertical="center"/>
    </xf>
    <xf numFmtId="0" fontId="2" fillId="17" borderId="26" xfId="0" applyFont="1" applyFill="1" applyBorder="1" applyAlignment="1">
      <alignment vertical="center"/>
    </xf>
    <xf numFmtId="0" fontId="2" fillId="5" borderId="1" xfId="0" quotePrefix="1" applyFont="1" applyFill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2" fontId="20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166" fontId="20" fillId="0" borderId="0" xfId="0" applyNumberFormat="1" applyFont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14" fontId="10" fillId="0" borderId="17" xfId="0" applyNumberFormat="1" applyFont="1" applyBorder="1" applyAlignment="1">
      <alignment horizontal="center" vertical="center"/>
    </xf>
    <xf numFmtId="14" fontId="10" fillId="0" borderId="18" xfId="0" applyNumberFormat="1" applyFont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166" fontId="0" fillId="15" borderId="17" xfId="0" applyNumberFormat="1" applyFill="1" applyBorder="1" applyAlignment="1">
      <alignment horizontal="center" vertical="center"/>
    </xf>
    <xf numFmtId="0" fontId="0" fillId="18" borderId="1" xfId="0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wrapText="1"/>
    </xf>
    <xf numFmtId="1" fontId="0" fillId="0" borderId="29" xfId="0" applyNumberFormat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11" fontId="0" fillId="0" borderId="1" xfId="0" applyNumberFormat="1" applyBorder="1" applyAlignment="1">
      <alignment horizontal="center" vertical="center"/>
    </xf>
    <xf numFmtId="0" fontId="0" fillId="7" borderId="3" xfId="0" applyFill="1" applyBorder="1"/>
    <xf numFmtId="0" fontId="5" fillId="16" borderId="1" xfId="0" applyFont="1" applyFill="1" applyBorder="1" applyAlignment="1">
      <alignment horizontal="left" vertical="center" wrapText="1"/>
    </xf>
    <xf numFmtId="0" fontId="2" fillId="16" borderId="1" xfId="0" applyFont="1" applyFill="1" applyBorder="1" applyAlignment="1">
      <alignment vertical="center" wrapText="1"/>
    </xf>
    <xf numFmtId="0" fontId="0" fillId="16" borderId="1" xfId="0" applyFill="1" applyBorder="1" applyAlignment="1">
      <alignment horizontal="center" vertical="center"/>
    </xf>
    <xf numFmtId="0" fontId="0" fillId="12" borderId="30" xfId="0" applyFill="1" applyBorder="1" applyAlignment="1">
      <alignment horizontal="center" vertical="center"/>
    </xf>
    <xf numFmtId="0" fontId="2" fillId="5" borderId="31" xfId="0" quotePrefix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left" vertical="center" wrapText="1"/>
    </xf>
    <xf numFmtId="14" fontId="0" fillId="4" borderId="31" xfId="0" applyNumberFormat="1" applyFill="1" applyBorder="1" applyAlignment="1">
      <alignment horizontal="center" vertical="center"/>
    </xf>
    <xf numFmtId="14" fontId="5" fillId="0" borderId="31" xfId="0" applyNumberFormat="1" applyFont="1" applyBorder="1" applyAlignment="1">
      <alignment horizontal="center" vertical="center" wrapText="1"/>
    </xf>
    <xf numFmtId="0" fontId="2" fillId="0" borderId="31" xfId="0" applyFont="1" applyBorder="1" applyAlignment="1">
      <alignment vertical="center" wrapText="1"/>
    </xf>
    <xf numFmtId="0" fontId="0" fillId="0" borderId="31" xfId="0" applyBorder="1" applyAlignment="1">
      <alignment horizontal="center" vertical="center"/>
    </xf>
    <xf numFmtId="0" fontId="0" fillId="7" borderId="0" xfId="0" applyFill="1"/>
    <xf numFmtId="0" fontId="0" fillId="7" borderId="26" xfId="0" applyFill="1" applyBorder="1"/>
    <xf numFmtId="0" fontId="0" fillId="12" borderId="33" xfId="0" applyFill="1" applyBorder="1" applyAlignment="1">
      <alignment horizontal="center" vertical="center"/>
    </xf>
    <xf numFmtId="0" fontId="2" fillId="17" borderId="32" xfId="0" applyFont="1" applyFill="1" applyBorder="1" applyAlignment="1">
      <alignment vertical="center"/>
    </xf>
    <xf numFmtId="0" fontId="0" fillId="17" borderId="35" xfId="0" applyFill="1" applyBorder="1" applyAlignment="1">
      <alignment vertical="center"/>
    </xf>
    <xf numFmtId="0" fontId="2" fillId="17" borderId="36" xfId="0" applyFont="1" applyFill="1" applyBorder="1" applyAlignment="1">
      <alignment horizontal="center" vertical="center"/>
    </xf>
    <xf numFmtId="0" fontId="5" fillId="17" borderId="36" xfId="0" applyFont="1" applyFill="1" applyBorder="1" applyAlignment="1">
      <alignment horizontal="left" vertical="center" wrapText="1"/>
    </xf>
    <xf numFmtId="14" fontId="5" fillId="17" borderId="36" xfId="0" applyNumberFormat="1" applyFont="1" applyFill="1" applyBorder="1" applyAlignment="1">
      <alignment horizontal="center" vertical="center" wrapText="1"/>
    </xf>
    <xf numFmtId="14" fontId="0" fillId="17" borderId="36" xfId="0" applyNumberFormat="1" applyFill="1" applyBorder="1" applyAlignment="1">
      <alignment horizontal="center" vertical="center"/>
    </xf>
    <xf numFmtId="14" fontId="0" fillId="17" borderId="37" xfId="0" applyNumberFormat="1" applyFill="1" applyBorder="1" applyAlignment="1">
      <alignment horizontal="center" vertical="center"/>
    </xf>
    <xf numFmtId="0" fontId="0" fillId="17" borderId="38" xfId="0" applyFill="1" applyBorder="1"/>
    <xf numFmtId="0" fontId="0" fillId="17" borderId="39" xfId="0" applyFill="1" applyBorder="1"/>
    <xf numFmtId="166" fontId="20" fillId="15" borderId="17" xfId="0" applyNumberFormat="1" applyFont="1" applyFill="1" applyBorder="1" applyAlignment="1">
      <alignment horizontal="center" vertical="center" wrapText="1"/>
    </xf>
    <xf numFmtId="2" fontId="0" fillId="0" borderId="0" xfId="0" applyNumberFormat="1" applyAlignment="1">
      <alignment horizontal="center" vertical="center"/>
    </xf>
    <xf numFmtId="14" fontId="10" fillId="15" borderId="16" xfId="0" applyNumberFormat="1" applyFont="1" applyFill="1" applyBorder="1" applyAlignment="1">
      <alignment horizontal="left" vertical="center" wrapText="1"/>
    </xf>
    <xf numFmtId="166" fontId="0" fillId="0" borderId="0" xfId="0" applyNumberFormat="1" applyAlignment="1">
      <alignment horizontal="center" vertical="center"/>
    </xf>
    <xf numFmtId="1" fontId="0" fillId="0" borderId="0" xfId="2" applyNumberFormat="1" applyFont="1" applyBorder="1" applyAlignment="1">
      <alignment horizontal="center" vertical="center"/>
    </xf>
    <xf numFmtId="1" fontId="19" fillId="0" borderId="0" xfId="0" applyNumberFormat="1" applyFont="1" applyAlignment="1">
      <alignment horizontal="center" vertical="center"/>
    </xf>
    <xf numFmtId="0" fontId="0" fillId="17" borderId="32" xfId="0" applyFill="1" applyBorder="1" applyAlignment="1">
      <alignment horizontal="center" vertical="center"/>
    </xf>
    <xf numFmtId="0" fontId="0" fillId="17" borderId="5" xfId="0" applyFill="1" applyBorder="1" applyAlignment="1">
      <alignment horizontal="center" vertical="center"/>
    </xf>
    <xf numFmtId="0" fontId="0" fillId="17" borderId="26" xfId="0" applyFill="1" applyBorder="1" applyAlignment="1">
      <alignment horizontal="center" vertical="center"/>
    </xf>
    <xf numFmtId="0" fontId="2" fillId="17" borderId="3" xfId="0" applyFont="1" applyFill="1" applyBorder="1" applyAlignment="1">
      <alignment horizontal="center" vertical="center"/>
    </xf>
    <xf numFmtId="0" fontId="2" fillId="17" borderId="5" xfId="0" applyFont="1" applyFill="1" applyBorder="1" applyAlignment="1">
      <alignment horizontal="center" vertical="center"/>
    </xf>
    <xf numFmtId="0" fontId="2" fillId="17" borderId="26" xfId="0" applyFont="1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26" xfId="0" applyFill="1" applyBorder="1" applyAlignment="1">
      <alignment horizontal="center"/>
    </xf>
    <xf numFmtId="0" fontId="0" fillId="10" borderId="3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10" borderId="4" xfId="0" applyFill="1" applyBorder="1" applyAlignment="1">
      <alignment horizontal="center" vertical="center"/>
    </xf>
    <xf numFmtId="14" fontId="0" fillId="7" borderId="5" xfId="0" applyNumberForma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0" fillId="12" borderId="1" xfId="0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</cellXfs>
  <cellStyles count="4">
    <cellStyle name="Hyperlink" xfId="1" builtinId="8"/>
    <cellStyle name="Normal" xfId="0" builtinId="0"/>
    <cellStyle name="Normale 2" xfId="3" xr:uid="{00000000-0005-0000-0000-000002000000}"/>
    <cellStyle name="Percent" xfId="2" builtinId="5"/>
  </cellStyles>
  <dxfs count="24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indexed="64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theme="7" tint="0.59996337778862885"/>
      </font>
      <fill>
        <patternFill patternType="solid"/>
      </fill>
    </dxf>
    <dxf>
      <alignment horizontal="center" vertical="center" textRotation="0" wrapText="1" indent="0" justifyLastLine="0" shrinkToFit="1" readingOrder="0"/>
    </dxf>
    <dxf>
      <numFmt numFmtId="15" formatCode="0.00E+00"/>
      <alignment horizontal="center" vertical="center" textRotation="0" wrapText="0" indent="0" justifyLastLine="0" shrinkToFit="0" readingOrder="0"/>
    </dxf>
    <dxf>
      <numFmt numFmtId="15" formatCode="0.00E+00"/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numFmt numFmtId="13" formatCode="0%"/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7" formatCode="dd/mm/yyyy"/>
      <fill>
        <patternFill patternType="solid">
          <fgColor indexed="64"/>
          <bgColor theme="7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7" tint="-0.24994659260841701"/>
        </left>
        <right style="thin">
          <color theme="7" tint="-0.24994659260841701"/>
        </right>
        <top style="thin">
          <color theme="7" tint="-0.24994659260841701"/>
        </top>
        <bottom style="thin">
          <color theme="7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  <numFmt numFmtId="167" formatCode="dd/mm/yyyy"/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2" tint="-0.24994659260841701"/>
        </patternFill>
      </fill>
      <border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>
          <bgColor theme="2" tint="-0.24994659260841701"/>
        </patternFill>
      </fill>
      <border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>
          <bgColor theme="0" tint="-0.24994659260841701"/>
        </patternFill>
      </fill>
      <border>
        <left/>
        <right/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 tint="-0.24994659260841701"/>
        </patternFill>
      </fill>
      <border>
        <left style="thin">
          <color theme="1" tint="0.34998626667073579"/>
        </left>
        <right/>
        <top style="thin">
          <color theme="1" tint="0.34998626667073579"/>
        </top>
        <bottom style="thin">
          <color theme="1" tint="0.34998626667073579"/>
        </bottom>
        <vertical/>
        <horizontal/>
      </border>
    </dxf>
    <dxf>
      <fill>
        <patternFill>
          <bgColor theme="0" tint="-0.24994659260841701"/>
        </patternFill>
      </fill>
      <border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ill>
        <patternFill>
          <bgColor theme="2" tint="-0.24994659260841701"/>
        </patternFill>
      </fill>
      <border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border>
        <left style="thin">
          <color auto="1"/>
        </left>
        <right style="thin">
          <color auto="1"/>
        </right>
        <vertical style="thin">
          <color auto="1"/>
        </vertical>
      </border>
    </dxf>
  </dxfs>
  <tableStyles count="2" defaultTableStyle="TableStyleMedium2" defaultPivotStyle="PivotStyleLight16">
    <tableStyle name="Invisible" pivot="0" table="0" count="0" xr9:uid="{00000000-0011-0000-FFFF-FFFF00000000}"/>
    <tableStyle name="Stile tabella 1" pivot="0" count="1" xr9:uid="{00000000-0011-0000-FFFF-FFFF01000000}">
      <tableStyleElement type="wholeTable" dxfId="247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01 SINTER 70 GIALLO AS'!$A$13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AS'!$B$13:$P$13</c:f>
              <c:numCache>
                <c:formatCode>General</c:formatCode>
                <c:ptCount val="15"/>
                <c:pt idx="0">
                  <c:v>400</c:v>
                </c:pt>
                <c:pt idx="1">
                  <c:v>572</c:v>
                </c:pt>
                <c:pt idx="2">
                  <c:v>571</c:v>
                </c:pt>
                <c:pt idx="3">
                  <c:v>656</c:v>
                </c:pt>
                <c:pt idx="4">
                  <c:v>460</c:v>
                </c:pt>
                <c:pt idx="5">
                  <c:v>242</c:v>
                </c:pt>
                <c:pt idx="6">
                  <c:v>313</c:v>
                </c:pt>
                <c:pt idx="7">
                  <c:v>466</c:v>
                </c:pt>
                <c:pt idx="8">
                  <c:v>407</c:v>
                </c:pt>
                <c:pt idx="9">
                  <c:v>510</c:v>
                </c:pt>
                <c:pt idx="10">
                  <c:v>473</c:v>
                </c:pt>
                <c:pt idx="11" formatCode="0.00">
                  <c:v>605</c:v>
                </c:pt>
                <c:pt idx="12">
                  <c:v>402</c:v>
                </c:pt>
                <c:pt idx="13" formatCode="0.00">
                  <c:v>517</c:v>
                </c:pt>
                <c:pt idx="14">
                  <c:v>489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DF9-4AFF-989A-F567C94AA515}"/>
            </c:ext>
          </c:extLst>
        </c:ser>
        <c:ser>
          <c:idx val="1"/>
          <c:order val="1"/>
          <c:tx>
            <c:strRef>
              <c:f>'SISTEMA 01 SINTER 70 GIALLO AS'!$A$14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AS'!$B$14:$P$14</c:f>
              <c:numCache>
                <c:formatCode>General</c:formatCode>
                <c:ptCount val="15"/>
                <c:pt idx="0">
                  <c:v>472.2</c:v>
                </c:pt>
                <c:pt idx="1">
                  <c:v>472.2</c:v>
                </c:pt>
                <c:pt idx="2">
                  <c:v>472.2</c:v>
                </c:pt>
                <c:pt idx="3">
                  <c:v>472.2</c:v>
                </c:pt>
                <c:pt idx="4">
                  <c:v>472.2</c:v>
                </c:pt>
                <c:pt idx="5">
                  <c:v>472.2</c:v>
                </c:pt>
                <c:pt idx="6">
                  <c:v>472.2</c:v>
                </c:pt>
                <c:pt idx="7">
                  <c:v>472.2</c:v>
                </c:pt>
                <c:pt idx="8">
                  <c:v>472.2</c:v>
                </c:pt>
                <c:pt idx="9">
                  <c:v>472.2</c:v>
                </c:pt>
                <c:pt idx="10">
                  <c:v>472.2</c:v>
                </c:pt>
                <c:pt idx="11">
                  <c:v>472.2</c:v>
                </c:pt>
                <c:pt idx="12">
                  <c:v>472.2</c:v>
                </c:pt>
                <c:pt idx="13">
                  <c:v>472.2</c:v>
                </c:pt>
                <c:pt idx="14">
                  <c:v>472.2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E-426C-9DA7-1348E05CC657}"/>
            </c:ext>
          </c:extLst>
        </c:ser>
        <c:ser>
          <c:idx val="2"/>
          <c:order val="2"/>
          <c:tx>
            <c:strRef>
              <c:f>'SISTEMA 01 SINTER 70 GIALLO AS'!$A$15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AS'!$B$15:$P$15</c:f>
              <c:numCache>
                <c:formatCode>General</c:formatCode>
                <c:ptCount val="15"/>
                <c:pt idx="0">
                  <c:v>424.9799999999999</c:v>
                </c:pt>
                <c:pt idx="1">
                  <c:v>424.9799999999999</c:v>
                </c:pt>
                <c:pt idx="2">
                  <c:v>424.9799999999999</c:v>
                </c:pt>
                <c:pt idx="3">
                  <c:v>424.9799999999999</c:v>
                </c:pt>
                <c:pt idx="4">
                  <c:v>424.9799999999999</c:v>
                </c:pt>
                <c:pt idx="5">
                  <c:v>424.9799999999999</c:v>
                </c:pt>
                <c:pt idx="6">
                  <c:v>424.9799999999999</c:v>
                </c:pt>
                <c:pt idx="7">
                  <c:v>424.9799999999999</c:v>
                </c:pt>
                <c:pt idx="8">
                  <c:v>424.9799999999999</c:v>
                </c:pt>
                <c:pt idx="9">
                  <c:v>424.9799999999999</c:v>
                </c:pt>
                <c:pt idx="10">
                  <c:v>424.9799999999999</c:v>
                </c:pt>
                <c:pt idx="11">
                  <c:v>424.9799999999999</c:v>
                </c:pt>
                <c:pt idx="12">
                  <c:v>424.9799999999999</c:v>
                </c:pt>
                <c:pt idx="13">
                  <c:v>424.9799999999999</c:v>
                </c:pt>
                <c:pt idx="14">
                  <c:v>424.9799999999999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EE-426C-9DA7-1348E05CC657}"/>
            </c:ext>
          </c:extLst>
        </c:ser>
        <c:ser>
          <c:idx val="3"/>
          <c:order val="3"/>
          <c:tx>
            <c:strRef>
              <c:f>'SISTEMA 01 SINTER 70 GIALLO AS'!$A$16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AS'!$B$16:$P$16</c:f>
              <c:numCache>
                <c:formatCode>General</c:formatCode>
                <c:ptCount val="15"/>
                <c:pt idx="0">
                  <c:v>377.75999999999988</c:v>
                </c:pt>
                <c:pt idx="1">
                  <c:v>377.75999999999988</c:v>
                </c:pt>
                <c:pt idx="2">
                  <c:v>377.75999999999988</c:v>
                </c:pt>
                <c:pt idx="3">
                  <c:v>377.75999999999988</c:v>
                </c:pt>
                <c:pt idx="4">
                  <c:v>377.75999999999988</c:v>
                </c:pt>
                <c:pt idx="5">
                  <c:v>377.75999999999988</c:v>
                </c:pt>
                <c:pt idx="6">
                  <c:v>377.75999999999988</c:v>
                </c:pt>
                <c:pt idx="7">
                  <c:v>377.75999999999988</c:v>
                </c:pt>
                <c:pt idx="8">
                  <c:v>377.75999999999988</c:v>
                </c:pt>
                <c:pt idx="9">
                  <c:v>377.75999999999988</c:v>
                </c:pt>
                <c:pt idx="10">
                  <c:v>377.75999999999988</c:v>
                </c:pt>
                <c:pt idx="11">
                  <c:v>377.75999999999988</c:v>
                </c:pt>
                <c:pt idx="12">
                  <c:v>377.75999999999988</c:v>
                </c:pt>
                <c:pt idx="13">
                  <c:v>377.75999999999988</c:v>
                </c:pt>
                <c:pt idx="14">
                  <c:v>377.75999999999988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EE-426C-9DA7-1348E05CC657}"/>
            </c:ext>
          </c:extLst>
        </c:ser>
        <c:ser>
          <c:idx val="4"/>
          <c:order val="4"/>
          <c:tx>
            <c:strRef>
              <c:f>'SISTEMA 01 SINTER 70 GIALLO AS'!$A$17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AS'!$B$17:$P$17</c:f>
              <c:numCache>
                <c:formatCode>General</c:formatCode>
                <c:ptCount val="15"/>
                <c:pt idx="0">
                  <c:v>519.41999999999985</c:v>
                </c:pt>
                <c:pt idx="1">
                  <c:v>519.41999999999985</c:v>
                </c:pt>
                <c:pt idx="2">
                  <c:v>519.41999999999985</c:v>
                </c:pt>
                <c:pt idx="3">
                  <c:v>519.41999999999985</c:v>
                </c:pt>
                <c:pt idx="4">
                  <c:v>519.41999999999985</c:v>
                </c:pt>
                <c:pt idx="5">
                  <c:v>519.41999999999985</c:v>
                </c:pt>
                <c:pt idx="6">
                  <c:v>519.41999999999985</c:v>
                </c:pt>
                <c:pt idx="7">
                  <c:v>519.41999999999985</c:v>
                </c:pt>
                <c:pt idx="8">
                  <c:v>519.41999999999985</c:v>
                </c:pt>
                <c:pt idx="9">
                  <c:v>519.41999999999985</c:v>
                </c:pt>
                <c:pt idx="10">
                  <c:v>519.41999999999985</c:v>
                </c:pt>
                <c:pt idx="11">
                  <c:v>519.41999999999985</c:v>
                </c:pt>
                <c:pt idx="12">
                  <c:v>519.41999999999985</c:v>
                </c:pt>
                <c:pt idx="13">
                  <c:v>519.41999999999985</c:v>
                </c:pt>
                <c:pt idx="14">
                  <c:v>519.41999999999985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EE-426C-9DA7-1348E05CC657}"/>
            </c:ext>
          </c:extLst>
        </c:ser>
        <c:ser>
          <c:idx val="5"/>
          <c:order val="5"/>
          <c:tx>
            <c:strRef>
              <c:f>'SISTEMA 01 SINTER 70 GIALLO AS'!$A$18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AS'!$B$18:$P$18</c:f>
              <c:numCache>
                <c:formatCode>General</c:formatCode>
                <c:ptCount val="15"/>
                <c:pt idx="0">
                  <c:v>566.63999999999987</c:v>
                </c:pt>
                <c:pt idx="1">
                  <c:v>566.63999999999987</c:v>
                </c:pt>
                <c:pt idx="2">
                  <c:v>566.63999999999987</c:v>
                </c:pt>
                <c:pt idx="3">
                  <c:v>566.63999999999987</c:v>
                </c:pt>
                <c:pt idx="4">
                  <c:v>566.63999999999987</c:v>
                </c:pt>
                <c:pt idx="5">
                  <c:v>566.63999999999987</c:v>
                </c:pt>
                <c:pt idx="6">
                  <c:v>566.63999999999987</c:v>
                </c:pt>
                <c:pt idx="7">
                  <c:v>566.63999999999987</c:v>
                </c:pt>
                <c:pt idx="8">
                  <c:v>566.63999999999987</c:v>
                </c:pt>
                <c:pt idx="9">
                  <c:v>566.63999999999987</c:v>
                </c:pt>
                <c:pt idx="10">
                  <c:v>566.63999999999987</c:v>
                </c:pt>
                <c:pt idx="11">
                  <c:v>566.63999999999987</c:v>
                </c:pt>
                <c:pt idx="12">
                  <c:v>566.63999999999987</c:v>
                </c:pt>
                <c:pt idx="13">
                  <c:v>566.63999999999987</c:v>
                </c:pt>
                <c:pt idx="14">
                  <c:v>566.63999999999987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EE-426C-9DA7-1348E05CC65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79923200"/>
        <c:axId val="179933184"/>
      </c:lineChart>
      <c:catAx>
        <c:axId val="179923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33184"/>
        <c:crosses val="autoZero"/>
        <c:auto val="1"/>
        <c:lblAlgn val="ctr"/>
        <c:lblOffset val="100"/>
        <c:noMultiLvlLbl val="0"/>
      </c:catAx>
      <c:valAx>
        <c:axId val="179933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923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DUREZZA [ShA]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01 SINTER 70 GIALLO AS'!$A$2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AS'!$B$2:$P$2</c:f>
              <c:numCache>
                <c:formatCode>General</c:formatCode>
                <c:ptCount val="15"/>
                <c:pt idx="0">
                  <c:v>73</c:v>
                </c:pt>
                <c:pt idx="1">
                  <c:v>77</c:v>
                </c:pt>
                <c:pt idx="2">
                  <c:v>75</c:v>
                </c:pt>
                <c:pt idx="3">
                  <c:v>74</c:v>
                </c:pt>
                <c:pt idx="4">
                  <c:v>68</c:v>
                </c:pt>
                <c:pt idx="5">
                  <c:v>72</c:v>
                </c:pt>
                <c:pt idx="6">
                  <c:v>70</c:v>
                </c:pt>
                <c:pt idx="7">
                  <c:v>71</c:v>
                </c:pt>
                <c:pt idx="8">
                  <c:v>68</c:v>
                </c:pt>
                <c:pt idx="9">
                  <c:v>66</c:v>
                </c:pt>
                <c:pt idx="10">
                  <c:v>68</c:v>
                </c:pt>
                <c:pt idx="11">
                  <c:v>69</c:v>
                </c:pt>
                <c:pt idx="12">
                  <c:v>71</c:v>
                </c:pt>
                <c:pt idx="13">
                  <c:v>71</c:v>
                </c:pt>
                <c:pt idx="14">
                  <c:v>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2F6-4CC5-AB6C-166BA09202A0}"/>
            </c:ext>
          </c:extLst>
        </c:ser>
        <c:ser>
          <c:idx val="1"/>
          <c:order val="1"/>
          <c:tx>
            <c:strRef>
              <c:f>'SISTEMA 01 SINTER 70 GIALLO AS'!$A$3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AS'!$B$3:$P$3</c:f>
              <c:numCache>
                <c:formatCode>0</c:formatCode>
                <c:ptCount val="15"/>
                <c:pt idx="0">
                  <c:v>69.2</c:v>
                </c:pt>
                <c:pt idx="1">
                  <c:v>69.2</c:v>
                </c:pt>
                <c:pt idx="2">
                  <c:v>69.2</c:v>
                </c:pt>
                <c:pt idx="3">
                  <c:v>69.2</c:v>
                </c:pt>
                <c:pt idx="4">
                  <c:v>69.2</c:v>
                </c:pt>
                <c:pt idx="5">
                  <c:v>69.2</c:v>
                </c:pt>
                <c:pt idx="6">
                  <c:v>69.2</c:v>
                </c:pt>
                <c:pt idx="7">
                  <c:v>69.2</c:v>
                </c:pt>
                <c:pt idx="8">
                  <c:v>69.2</c:v>
                </c:pt>
                <c:pt idx="9">
                  <c:v>69.2</c:v>
                </c:pt>
                <c:pt idx="10">
                  <c:v>69.2</c:v>
                </c:pt>
                <c:pt idx="11">
                  <c:v>69.2</c:v>
                </c:pt>
                <c:pt idx="12">
                  <c:v>69.2</c:v>
                </c:pt>
                <c:pt idx="13">
                  <c:v>69.2</c:v>
                </c:pt>
                <c:pt idx="14">
                  <c:v>69.2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F6-4CC5-AB6C-166BA09202A0}"/>
            </c:ext>
          </c:extLst>
        </c:ser>
        <c:ser>
          <c:idx val="2"/>
          <c:order val="2"/>
          <c:tx>
            <c:strRef>
              <c:f>'SISTEMA 01 SINTER 70 GIALLO AS'!$A$4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AS'!$B$4:$P$4</c:f>
              <c:numCache>
                <c:formatCode>0</c:formatCode>
                <c:ptCount val="15"/>
                <c:pt idx="0">
                  <c:v>73.2</c:v>
                </c:pt>
                <c:pt idx="1">
                  <c:v>73.2</c:v>
                </c:pt>
                <c:pt idx="2">
                  <c:v>73.2</c:v>
                </c:pt>
                <c:pt idx="3">
                  <c:v>73.2</c:v>
                </c:pt>
                <c:pt idx="4">
                  <c:v>73.2</c:v>
                </c:pt>
                <c:pt idx="5">
                  <c:v>73.2</c:v>
                </c:pt>
                <c:pt idx="6">
                  <c:v>73.2</c:v>
                </c:pt>
                <c:pt idx="7">
                  <c:v>73.2</c:v>
                </c:pt>
                <c:pt idx="8">
                  <c:v>73.2</c:v>
                </c:pt>
                <c:pt idx="9">
                  <c:v>73.2</c:v>
                </c:pt>
                <c:pt idx="10">
                  <c:v>73.2</c:v>
                </c:pt>
                <c:pt idx="11">
                  <c:v>73.2</c:v>
                </c:pt>
                <c:pt idx="12">
                  <c:v>73.2</c:v>
                </c:pt>
                <c:pt idx="13">
                  <c:v>73.2</c:v>
                </c:pt>
                <c:pt idx="14">
                  <c:v>73.2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F6-4CC5-AB6C-166BA09202A0}"/>
            </c:ext>
          </c:extLst>
        </c:ser>
        <c:ser>
          <c:idx val="3"/>
          <c:order val="3"/>
          <c:tx>
            <c:strRef>
              <c:f>'SISTEMA 01 SINTER 70 GIALLO AS'!$A$5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01 SINTER 70 GIALLO AS'!$B$1:$P$1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AS'!$B$5:$P$5</c:f>
              <c:numCache>
                <c:formatCode>0</c:formatCode>
                <c:ptCount val="15"/>
                <c:pt idx="0">
                  <c:v>71.2</c:v>
                </c:pt>
                <c:pt idx="1">
                  <c:v>71.2</c:v>
                </c:pt>
                <c:pt idx="2">
                  <c:v>71.2</c:v>
                </c:pt>
                <c:pt idx="3">
                  <c:v>71.2</c:v>
                </c:pt>
                <c:pt idx="4">
                  <c:v>71.2</c:v>
                </c:pt>
                <c:pt idx="5">
                  <c:v>71.2</c:v>
                </c:pt>
                <c:pt idx="6">
                  <c:v>71.2</c:v>
                </c:pt>
                <c:pt idx="7">
                  <c:v>71.2</c:v>
                </c:pt>
                <c:pt idx="8">
                  <c:v>71.2</c:v>
                </c:pt>
                <c:pt idx="9">
                  <c:v>71.2</c:v>
                </c:pt>
                <c:pt idx="10">
                  <c:v>71.2</c:v>
                </c:pt>
                <c:pt idx="11">
                  <c:v>71.2</c:v>
                </c:pt>
                <c:pt idx="12">
                  <c:v>71.2</c:v>
                </c:pt>
                <c:pt idx="13">
                  <c:v>71.2</c:v>
                </c:pt>
                <c:pt idx="14">
                  <c:v>71.2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F6-4CC5-AB6C-166BA09202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194304"/>
        <c:axId val="180208384"/>
      </c:lineChart>
      <c:catAx>
        <c:axId val="180194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08384"/>
        <c:crosses val="autoZero"/>
        <c:auto val="1"/>
        <c:lblAlgn val="ctr"/>
        <c:lblOffset val="100"/>
        <c:noMultiLvlLbl val="0"/>
      </c:catAx>
      <c:valAx>
        <c:axId val="180208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194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CARICO DI</a:t>
            </a:r>
            <a:r>
              <a:rPr lang="it-IT" baseline="0"/>
              <a:t> ROTTURA [MPa]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01 SINTER 70 GIALLO AS'!$A$7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AS'!$B$7:$P$7</c:f>
              <c:numCache>
                <c:formatCode>General</c:formatCode>
                <c:ptCount val="15"/>
                <c:pt idx="0">
                  <c:v>10</c:v>
                </c:pt>
                <c:pt idx="1">
                  <c:v>12</c:v>
                </c:pt>
                <c:pt idx="2">
                  <c:v>12</c:v>
                </c:pt>
                <c:pt idx="3">
                  <c:v>14</c:v>
                </c:pt>
                <c:pt idx="4">
                  <c:v>8</c:v>
                </c:pt>
                <c:pt idx="5">
                  <c:v>6</c:v>
                </c:pt>
                <c:pt idx="6">
                  <c:v>9</c:v>
                </c:pt>
                <c:pt idx="7">
                  <c:v>9</c:v>
                </c:pt>
                <c:pt idx="8">
                  <c:v>7</c:v>
                </c:pt>
                <c:pt idx="9">
                  <c:v>8</c:v>
                </c:pt>
                <c:pt idx="10">
                  <c:v>8</c:v>
                </c:pt>
                <c:pt idx="11">
                  <c:v>7</c:v>
                </c:pt>
                <c:pt idx="12">
                  <c:v>7</c:v>
                </c:pt>
                <c:pt idx="13">
                  <c:v>10</c:v>
                </c:pt>
                <c:pt idx="14">
                  <c:v>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163-4736-ABCF-FFF8B3CB2D00}"/>
            </c:ext>
          </c:extLst>
        </c:ser>
        <c:ser>
          <c:idx val="1"/>
          <c:order val="1"/>
          <c:tx>
            <c:strRef>
              <c:f>'SISTEMA 01 SINTER 70 GIALLO AS'!$A$8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AS'!$B$8:$P$8</c:f>
              <c:numCache>
                <c:formatCode>0.00</c:formatCode>
                <c:ptCount val="15"/>
                <c:pt idx="0">
                  <c:v>9.0666666666666664</c:v>
                </c:pt>
                <c:pt idx="1">
                  <c:v>9.0666666666666664</c:v>
                </c:pt>
                <c:pt idx="2">
                  <c:v>9.0666666666666664</c:v>
                </c:pt>
                <c:pt idx="3">
                  <c:v>9.0666666666666664</c:v>
                </c:pt>
                <c:pt idx="4">
                  <c:v>9.0666666666666664</c:v>
                </c:pt>
                <c:pt idx="5">
                  <c:v>9.0666666666666664</c:v>
                </c:pt>
                <c:pt idx="6">
                  <c:v>9.0666666666666664</c:v>
                </c:pt>
                <c:pt idx="7">
                  <c:v>9.0666666666666664</c:v>
                </c:pt>
                <c:pt idx="8">
                  <c:v>9.0666666666666664</c:v>
                </c:pt>
                <c:pt idx="9">
                  <c:v>9.0666666666666664</c:v>
                </c:pt>
                <c:pt idx="10">
                  <c:v>9.0666666666666664</c:v>
                </c:pt>
                <c:pt idx="11">
                  <c:v>9.0666666666666664</c:v>
                </c:pt>
                <c:pt idx="12">
                  <c:v>9.0666666666666664</c:v>
                </c:pt>
                <c:pt idx="13">
                  <c:v>9.0666666666666664</c:v>
                </c:pt>
                <c:pt idx="14">
                  <c:v>9.0666666666666664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63-4736-ABCF-FFF8B3CB2D00}"/>
            </c:ext>
          </c:extLst>
        </c:ser>
        <c:ser>
          <c:idx val="2"/>
          <c:order val="2"/>
          <c:tx>
            <c:strRef>
              <c:f>'SISTEMA 01 SINTER 70 GIALLO AS'!$A$9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AS'!$B$9:$P$9</c:f>
              <c:numCache>
                <c:formatCode>0.00</c:formatCode>
                <c:ptCount val="15"/>
                <c:pt idx="0">
                  <c:v>8.16</c:v>
                </c:pt>
                <c:pt idx="1">
                  <c:v>8.16</c:v>
                </c:pt>
                <c:pt idx="2">
                  <c:v>8.16</c:v>
                </c:pt>
                <c:pt idx="3">
                  <c:v>8.16</c:v>
                </c:pt>
                <c:pt idx="4">
                  <c:v>8.16</c:v>
                </c:pt>
                <c:pt idx="5">
                  <c:v>8.16</c:v>
                </c:pt>
                <c:pt idx="6">
                  <c:v>8.16</c:v>
                </c:pt>
                <c:pt idx="7">
                  <c:v>8.16</c:v>
                </c:pt>
                <c:pt idx="8">
                  <c:v>8.16</c:v>
                </c:pt>
                <c:pt idx="9">
                  <c:v>8.16</c:v>
                </c:pt>
                <c:pt idx="10">
                  <c:v>8.16</c:v>
                </c:pt>
                <c:pt idx="11">
                  <c:v>8.16</c:v>
                </c:pt>
                <c:pt idx="12">
                  <c:v>8.16</c:v>
                </c:pt>
                <c:pt idx="13">
                  <c:v>8.16</c:v>
                </c:pt>
                <c:pt idx="14">
                  <c:v>8.16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63-4736-ABCF-FFF8B3CB2D00}"/>
            </c:ext>
          </c:extLst>
        </c:ser>
        <c:ser>
          <c:idx val="3"/>
          <c:order val="3"/>
          <c:tx>
            <c:strRef>
              <c:f>'SISTEMA 01 SINTER 70 GIALLO AS'!$A$10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AS'!$B$10:$P$10</c:f>
              <c:numCache>
                <c:formatCode>0.00</c:formatCode>
                <c:ptCount val="15"/>
                <c:pt idx="0">
                  <c:v>9.973809523809523</c:v>
                </c:pt>
                <c:pt idx="1">
                  <c:v>9.973809523809523</c:v>
                </c:pt>
                <c:pt idx="2">
                  <c:v>9.973809523809523</c:v>
                </c:pt>
                <c:pt idx="3">
                  <c:v>9.973809523809523</c:v>
                </c:pt>
                <c:pt idx="4">
                  <c:v>9.973809523809523</c:v>
                </c:pt>
                <c:pt idx="5">
                  <c:v>9.973809523809523</c:v>
                </c:pt>
                <c:pt idx="6">
                  <c:v>9.973809523809523</c:v>
                </c:pt>
                <c:pt idx="7">
                  <c:v>9.973809523809523</c:v>
                </c:pt>
                <c:pt idx="8">
                  <c:v>9.973809523809523</c:v>
                </c:pt>
                <c:pt idx="9">
                  <c:v>9.973809523809523</c:v>
                </c:pt>
                <c:pt idx="10">
                  <c:v>9.973809523809523</c:v>
                </c:pt>
                <c:pt idx="11">
                  <c:v>9.973809523809523</c:v>
                </c:pt>
                <c:pt idx="12">
                  <c:v>9.973809523809523</c:v>
                </c:pt>
                <c:pt idx="13">
                  <c:v>9.973809523809523</c:v>
                </c:pt>
                <c:pt idx="14">
                  <c:v>9.973809523809523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163-4736-ABCF-FFF8B3CB2D00}"/>
            </c:ext>
          </c:extLst>
        </c:ser>
        <c:ser>
          <c:idx val="4"/>
          <c:order val="4"/>
          <c:tx>
            <c:strRef>
              <c:f>'SISTEMA 01 SINTER 70 GIALLO AS'!$A$11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AS'!$B$11:$P$11</c:f>
              <c:numCache>
                <c:formatCode>0.00</c:formatCode>
                <c:ptCount val="15"/>
                <c:pt idx="0">
                  <c:v>7.253333333333333</c:v>
                </c:pt>
                <c:pt idx="1">
                  <c:v>7.253333333333333</c:v>
                </c:pt>
                <c:pt idx="2">
                  <c:v>7.253333333333333</c:v>
                </c:pt>
                <c:pt idx="3">
                  <c:v>7.253333333333333</c:v>
                </c:pt>
                <c:pt idx="4">
                  <c:v>7.253333333333333</c:v>
                </c:pt>
                <c:pt idx="5">
                  <c:v>7.253333333333333</c:v>
                </c:pt>
                <c:pt idx="6">
                  <c:v>7.253333333333333</c:v>
                </c:pt>
                <c:pt idx="7">
                  <c:v>7.253333333333333</c:v>
                </c:pt>
                <c:pt idx="8">
                  <c:v>7.253333333333333</c:v>
                </c:pt>
                <c:pt idx="9">
                  <c:v>7.253333333333333</c:v>
                </c:pt>
                <c:pt idx="10">
                  <c:v>7.253333333333333</c:v>
                </c:pt>
                <c:pt idx="11">
                  <c:v>7.253333333333333</c:v>
                </c:pt>
                <c:pt idx="12">
                  <c:v>7.253333333333333</c:v>
                </c:pt>
                <c:pt idx="13">
                  <c:v>7.253333333333333</c:v>
                </c:pt>
                <c:pt idx="14">
                  <c:v>7.253333333333333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34-438D-A251-35430081424B}"/>
            </c:ext>
          </c:extLst>
        </c:ser>
        <c:ser>
          <c:idx val="5"/>
          <c:order val="5"/>
          <c:tx>
            <c:strRef>
              <c:f>'SISTEMA 01 SINTER 70 GIALLO AS'!$A$12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AS'!$B$6:$P$6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AS'!$B$12:$P$12</c:f>
              <c:numCache>
                <c:formatCode>0.00</c:formatCode>
                <c:ptCount val="15"/>
                <c:pt idx="0">
                  <c:v>10.88095238095238</c:v>
                </c:pt>
                <c:pt idx="1">
                  <c:v>10.88095238095238</c:v>
                </c:pt>
                <c:pt idx="2">
                  <c:v>10.88095238095238</c:v>
                </c:pt>
                <c:pt idx="3">
                  <c:v>10.88095238095238</c:v>
                </c:pt>
                <c:pt idx="4">
                  <c:v>10.88095238095238</c:v>
                </c:pt>
                <c:pt idx="5">
                  <c:v>10.88095238095238</c:v>
                </c:pt>
                <c:pt idx="6">
                  <c:v>10.88095238095238</c:v>
                </c:pt>
                <c:pt idx="7">
                  <c:v>10.88095238095238</c:v>
                </c:pt>
                <c:pt idx="8">
                  <c:v>10.88095238095238</c:v>
                </c:pt>
                <c:pt idx="9">
                  <c:v>10.88095238095238</c:v>
                </c:pt>
                <c:pt idx="10">
                  <c:v>10.88095238095238</c:v>
                </c:pt>
                <c:pt idx="11">
                  <c:v>10.88095238095238</c:v>
                </c:pt>
                <c:pt idx="12">
                  <c:v>10.88095238095238</c:v>
                </c:pt>
                <c:pt idx="13">
                  <c:v>10.88095238095238</c:v>
                </c:pt>
                <c:pt idx="14">
                  <c:v>10.88095238095238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C34-438D-A251-3543008142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869952"/>
        <c:axId val="179892224"/>
      </c:lineChart>
      <c:catAx>
        <c:axId val="179869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92224"/>
        <c:crosses val="autoZero"/>
        <c:auto val="1"/>
        <c:lblAlgn val="ctr"/>
        <c:lblOffset val="100"/>
        <c:noMultiLvlLbl val="0"/>
      </c:catAx>
      <c:valAx>
        <c:axId val="17989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869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Lacerazione B [N/mm]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01 SINTER 70 GIALLO AS'!$A$20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AS'!$B$20:$P$20</c:f>
              <c:numCache>
                <c:formatCode>General</c:formatCode>
                <c:ptCount val="15"/>
                <c:pt idx="0">
                  <c:v>32</c:v>
                </c:pt>
                <c:pt idx="1">
                  <c:v>38</c:v>
                </c:pt>
                <c:pt idx="2">
                  <c:v>31</c:v>
                </c:pt>
                <c:pt idx="3">
                  <c:v>39</c:v>
                </c:pt>
                <c:pt idx="4">
                  <c:v>34</c:v>
                </c:pt>
                <c:pt idx="5">
                  <c:v>28</c:v>
                </c:pt>
                <c:pt idx="6">
                  <c:v>31</c:v>
                </c:pt>
                <c:pt idx="7">
                  <c:v>31</c:v>
                </c:pt>
                <c:pt idx="8">
                  <c:v>29</c:v>
                </c:pt>
                <c:pt idx="9">
                  <c:v>27</c:v>
                </c:pt>
                <c:pt idx="10">
                  <c:v>23</c:v>
                </c:pt>
                <c:pt idx="11">
                  <c:v>26</c:v>
                </c:pt>
                <c:pt idx="12">
                  <c:v>24</c:v>
                </c:pt>
                <c:pt idx="13">
                  <c:v>30</c:v>
                </c:pt>
                <c:pt idx="14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71C-4EAA-BEC7-BA560B9E61B3}"/>
            </c:ext>
          </c:extLst>
        </c:ser>
        <c:ser>
          <c:idx val="1"/>
          <c:order val="1"/>
          <c:tx>
            <c:strRef>
              <c:f>'SISTEMA 01 SINTER 70 GIALLO AS'!$A$21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AS'!$B$21:$P$21</c:f>
              <c:numCache>
                <c:formatCode>0.00</c:formatCode>
                <c:ptCount val="15"/>
                <c:pt idx="0">
                  <c:v>29.933333333333334</c:v>
                </c:pt>
                <c:pt idx="1">
                  <c:v>29.933333333333334</c:v>
                </c:pt>
                <c:pt idx="2">
                  <c:v>29.933333333333334</c:v>
                </c:pt>
                <c:pt idx="3">
                  <c:v>29.933333333333334</c:v>
                </c:pt>
                <c:pt idx="4">
                  <c:v>29.933333333333334</c:v>
                </c:pt>
                <c:pt idx="5">
                  <c:v>29.933333333333334</c:v>
                </c:pt>
                <c:pt idx="6">
                  <c:v>29.933333333333334</c:v>
                </c:pt>
                <c:pt idx="7">
                  <c:v>29.933333333333334</c:v>
                </c:pt>
                <c:pt idx="8">
                  <c:v>29.933333333333334</c:v>
                </c:pt>
                <c:pt idx="9">
                  <c:v>29.933333333333334</c:v>
                </c:pt>
                <c:pt idx="10">
                  <c:v>29.933333333333334</c:v>
                </c:pt>
                <c:pt idx="11">
                  <c:v>29.933333333333334</c:v>
                </c:pt>
                <c:pt idx="12">
                  <c:v>29.933333333333334</c:v>
                </c:pt>
                <c:pt idx="13">
                  <c:v>29.933333333333334</c:v>
                </c:pt>
                <c:pt idx="14">
                  <c:v>29.933333333333334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1C-4EAA-BEC7-BA560B9E61B3}"/>
            </c:ext>
          </c:extLst>
        </c:ser>
        <c:ser>
          <c:idx val="2"/>
          <c:order val="2"/>
          <c:tx>
            <c:strRef>
              <c:f>'SISTEMA 01 SINTER 70 GIALLO AS'!$A$22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AS'!$B$22:$P$22</c:f>
              <c:numCache>
                <c:formatCode>0.00</c:formatCode>
                <c:ptCount val="15"/>
                <c:pt idx="0">
                  <c:v>26.94</c:v>
                </c:pt>
                <c:pt idx="1">
                  <c:v>26.94</c:v>
                </c:pt>
                <c:pt idx="2">
                  <c:v>26.94</c:v>
                </c:pt>
                <c:pt idx="3">
                  <c:v>26.94</c:v>
                </c:pt>
                <c:pt idx="4">
                  <c:v>26.94</c:v>
                </c:pt>
                <c:pt idx="5">
                  <c:v>26.94</c:v>
                </c:pt>
                <c:pt idx="6">
                  <c:v>26.94</c:v>
                </c:pt>
                <c:pt idx="7">
                  <c:v>26.94</c:v>
                </c:pt>
                <c:pt idx="8">
                  <c:v>26.94</c:v>
                </c:pt>
                <c:pt idx="9">
                  <c:v>26.94</c:v>
                </c:pt>
                <c:pt idx="10">
                  <c:v>26.94</c:v>
                </c:pt>
                <c:pt idx="11">
                  <c:v>26.94</c:v>
                </c:pt>
                <c:pt idx="12">
                  <c:v>26.94</c:v>
                </c:pt>
                <c:pt idx="13">
                  <c:v>26.94</c:v>
                </c:pt>
                <c:pt idx="14">
                  <c:v>26.94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1C-4EAA-BEC7-BA560B9E61B3}"/>
            </c:ext>
          </c:extLst>
        </c:ser>
        <c:ser>
          <c:idx val="3"/>
          <c:order val="3"/>
          <c:tx>
            <c:strRef>
              <c:f>'SISTEMA 01 SINTER 70 GIALLO AS'!$A$23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AS'!$B$23:$P$23</c:f>
              <c:numCache>
                <c:formatCode>0.00</c:formatCode>
                <c:ptCount val="15"/>
                <c:pt idx="0">
                  <c:v>35.976190476190474</c:v>
                </c:pt>
                <c:pt idx="1">
                  <c:v>35.976190476190474</c:v>
                </c:pt>
                <c:pt idx="2">
                  <c:v>35.976190476190474</c:v>
                </c:pt>
                <c:pt idx="3">
                  <c:v>35.976190476190474</c:v>
                </c:pt>
                <c:pt idx="4">
                  <c:v>35.976190476190474</c:v>
                </c:pt>
                <c:pt idx="5">
                  <c:v>35.976190476190474</c:v>
                </c:pt>
                <c:pt idx="6">
                  <c:v>35.976190476190474</c:v>
                </c:pt>
                <c:pt idx="7">
                  <c:v>35.976190476190474</c:v>
                </c:pt>
                <c:pt idx="8">
                  <c:v>35.976190476190474</c:v>
                </c:pt>
                <c:pt idx="9">
                  <c:v>35.976190476190474</c:v>
                </c:pt>
                <c:pt idx="10">
                  <c:v>35.976190476190474</c:v>
                </c:pt>
                <c:pt idx="11">
                  <c:v>35.976190476190474</c:v>
                </c:pt>
                <c:pt idx="12">
                  <c:v>35.976190476190474</c:v>
                </c:pt>
                <c:pt idx="13">
                  <c:v>35.976190476190474</c:v>
                </c:pt>
                <c:pt idx="14">
                  <c:v>35.976190476190474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71C-4EAA-BEC7-BA560B9E61B3}"/>
            </c:ext>
          </c:extLst>
        </c:ser>
        <c:ser>
          <c:idx val="4"/>
          <c:order val="4"/>
          <c:tx>
            <c:strRef>
              <c:f>'SISTEMA 01 SINTER 70 GIALLO AS'!$A$24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AS'!$B$24:$P$24</c:f>
              <c:numCache>
                <c:formatCode>0.00</c:formatCode>
                <c:ptCount val="15"/>
                <c:pt idx="0">
                  <c:v>23.946666666666665</c:v>
                </c:pt>
                <c:pt idx="1">
                  <c:v>23.946666666666665</c:v>
                </c:pt>
                <c:pt idx="2">
                  <c:v>23.946666666666665</c:v>
                </c:pt>
                <c:pt idx="3">
                  <c:v>23.946666666666665</c:v>
                </c:pt>
                <c:pt idx="4">
                  <c:v>23.946666666666665</c:v>
                </c:pt>
                <c:pt idx="5">
                  <c:v>23.946666666666665</c:v>
                </c:pt>
                <c:pt idx="6">
                  <c:v>23.946666666666665</c:v>
                </c:pt>
                <c:pt idx="7">
                  <c:v>23.946666666666665</c:v>
                </c:pt>
                <c:pt idx="8">
                  <c:v>23.946666666666665</c:v>
                </c:pt>
                <c:pt idx="9">
                  <c:v>23.946666666666665</c:v>
                </c:pt>
                <c:pt idx="10">
                  <c:v>23.946666666666665</c:v>
                </c:pt>
                <c:pt idx="11">
                  <c:v>23.946666666666665</c:v>
                </c:pt>
                <c:pt idx="12">
                  <c:v>23.946666666666665</c:v>
                </c:pt>
                <c:pt idx="13">
                  <c:v>23.946666666666665</c:v>
                </c:pt>
                <c:pt idx="14">
                  <c:v>23.946666666666665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E8-4834-8C78-ACA2B66B4625}"/>
            </c:ext>
          </c:extLst>
        </c:ser>
        <c:ser>
          <c:idx val="5"/>
          <c:order val="5"/>
          <c:tx>
            <c:strRef>
              <c:f>'SISTEMA 01 SINTER 70 GIALLO AS'!$A$25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AS'!$B$19:$P$19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AS'!$B$25:$P$25</c:f>
              <c:numCache>
                <c:formatCode>0.00</c:formatCode>
                <c:ptCount val="15"/>
                <c:pt idx="0">
                  <c:v>32.954761904761902</c:v>
                </c:pt>
                <c:pt idx="1">
                  <c:v>32.954761904761902</c:v>
                </c:pt>
                <c:pt idx="2">
                  <c:v>32.954761904761902</c:v>
                </c:pt>
                <c:pt idx="3">
                  <c:v>32.954761904761902</c:v>
                </c:pt>
                <c:pt idx="4">
                  <c:v>32.954761904761902</c:v>
                </c:pt>
                <c:pt idx="5">
                  <c:v>32.954761904761902</c:v>
                </c:pt>
                <c:pt idx="6">
                  <c:v>32.954761904761902</c:v>
                </c:pt>
                <c:pt idx="7">
                  <c:v>32.954761904761902</c:v>
                </c:pt>
                <c:pt idx="8">
                  <c:v>32.954761904761902</c:v>
                </c:pt>
                <c:pt idx="9">
                  <c:v>32.954761904761902</c:v>
                </c:pt>
                <c:pt idx="10">
                  <c:v>32.954761904761902</c:v>
                </c:pt>
                <c:pt idx="11">
                  <c:v>32.954761904761902</c:v>
                </c:pt>
                <c:pt idx="12">
                  <c:v>32.954761904761902</c:v>
                </c:pt>
                <c:pt idx="13">
                  <c:v>32.954761904761902</c:v>
                </c:pt>
                <c:pt idx="14">
                  <c:v>32.954761904761902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E8-4834-8C78-ACA2B66B46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295168"/>
        <c:axId val="180296704"/>
      </c:lineChart>
      <c:catAx>
        <c:axId val="180295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6704"/>
        <c:crosses val="autoZero"/>
        <c:auto val="1"/>
        <c:lblAlgn val="ctr"/>
        <c:lblOffset val="100"/>
        <c:noMultiLvlLbl val="0"/>
      </c:catAx>
      <c:valAx>
        <c:axId val="18029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295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Lacerazione C [N/mm]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01 SINTER 70 GIALLO AS'!$A$27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AS'!$B$27:$P$27</c:f>
              <c:numCache>
                <c:formatCode>General</c:formatCode>
                <c:ptCount val="15"/>
                <c:pt idx="0">
                  <c:v>38</c:v>
                </c:pt>
                <c:pt idx="1">
                  <c:v>46</c:v>
                </c:pt>
                <c:pt idx="2">
                  <c:v>43</c:v>
                </c:pt>
                <c:pt idx="3">
                  <c:v>47</c:v>
                </c:pt>
                <c:pt idx="4">
                  <c:v>34</c:v>
                </c:pt>
                <c:pt idx="5">
                  <c:v>34</c:v>
                </c:pt>
                <c:pt idx="6">
                  <c:v>40</c:v>
                </c:pt>
                <c:pt idx="7">
                  <c:v>36</c:v>
                </c:pt>
                <c:pt idx="8">
                  <c:v>35</c:v>
                </c:pt>
                <c:pt idx="9">
                  <c:v>37</c:v>
                </c:pt>
                <c:pt idx="10">
                  <c:v>32</c:v>
                </c:pt>
                <c:pt idx="11">
                  <c:v>38</c:v>
                </c:pt>
                <c:pt idx="12">
                  <c:v>36</c:v>
                </c:pt>
                <c:pt idx="13">
                  <c:v>46</c:v>
                </c:pt>
                <c:pt idx="14">
                  <c:v>50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2D2-46A0-AEFD-3929991EC609}"/>
            </c:ext>
          </c:extLst>
        </c:ser>
        <c:ser>
          <c:idx val="1"/>
          <c:order val="1"/>
          <c:tx>
            <c:strRef>
              <c:f>'SISTEMA 01 SINTER 70 GIALLO AS'!$A$28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AS'!$B$28:$P$28</c:f>
              <c:numCache>
                <c:formatCode>0.00</c:formatCode>
                <c:ptCount val="15"/>
                <c:pt idx="0">
                  <c:v>39.466666666666669</c:v>
                </c:pt>
                <c:pt idx="1">
                  <c:v>39.466666666666669</c:v>
                </c:pt>
                <c:pt idx="2">
                  <c:v>39.466666666666669</c:v>
                </c:pt>
                <c:pt idx="3">
                  <c:v>39.466666666666669</c:v>
                </c:pt>
                <c:pt idx="4">
                  <c:v>39.466666666666669</c:v>
                </c:pt>
                <c:pt idx="5">
                  <c:v>39.466666666666669</c:v>
                </c:pt>
                <c:pt idx="6">
                  <c:v>39.466666666666669</c:v>
                </c:pt>
                <c:pt idx="7">
                  <c:v>39.466666666666669</c:v>
                </c:pt>
                <c:pt idx="8">
                  <c:v>39.466666666666669</c:v>
                </c:pt>
                <c:pt idx="9">
                  <c:v>39.466666666666669</c:v>
                </c:pt>
                <c:pt idx="10">
                  <c:v>39.466666666666669</c:v>
                </c:pt>
                <c:pt idx="11">
                  <c:v>39.466666666666669</c:v>
                </c:pt>
                <c:pt idx="12">
                  <c:v>39.466666666666669</c:v>
                </c:pt>
                <c:pt idx="13">
                  <c:v>39.466666666666669</c:v>
                </c:pt>
                <c:pt idx="14">
                  <c:v>39.466666666666669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D2-46A0-AEFD-3929991EC609}"/>
            </c:ext>
          </c:extLst>
        </c:ser>
        <c:ser>
          <c:idx val="2"/>
          <c:order val="2"/>
          <c:tx>
            <c:strRef>
              <c:f>'SISTEMA 01 SINTER 70 GIALLO AS'!$A$29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AS'!$B$29:$P$29</c:f>
              <c:numCache>
                <c:formatCode>0.00</c:formatCode>
                <c:ptCount val="15"/>
                <c:pt idx="0">
                  <c:v>35.520000000000003</c:v>
                </c:pt>
                <c:pt idx="1">
                  <c:v>35.520000000000003</c:v>
                </c:pt>
                <c:pt idx="2">
                  <c:v>35.520000000000003</c:v>
                </c:pt>
                <c:pt idx="3">
                  <c:v>35.520000000000003</c:v>
                </c:pt>
                <c:pt idx="4">
                  <c:v>35.520000000000003</c:v>
                </c:pt>
                <c:pt idx="5">
                  <c:v>35.520000000000003</c:v>
                </c:pt>
                <c:pt idx="6">
                  <c:v>35.520000000000003</c:v>
                </c:pt>
                <c:pt idx="7">
                  <c:v>35.520000000000003</c:v>
                </c:pt>
                <c:pt idx="8">
                  <c:v>35.520000000000003</c:v>
                </c:pt>
                <c:pt idx="9">
                  <c:v>35.520000000000003</c:v>
                </c:pt>
                <c:pt idx="10">
                  <c:v>35.520000000000003</c:v>
                </c:pt>
                <c:pt idx="11">
                  <c:v>35.520000000000003</c:v>
                </c:pt>
                <c:pt idx="12">
                  <c:v>35.520000000000003</c:v>
                </c:pt>
                <c:pt idx="13">
                  <c:v>35.520000000000003</c:v>
                </c:pt>
                <c:pt idx="14">
                  <c:v>35.520000000000003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D2-46A0-AEFD-3929991EC609}"/>
            </c:ext>
          </c:extLst>
        </c:ser>
        <c:ser>
          <c:idx val="3"/>
          <c:order val="3"/>
          <c:tx>
            <c:strRef>
              <c:f>'SISTEMA 01 SINTER 70 GIALLO AS'!$A$30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AS'!$B$30:$P$30</c:f>
              <c:numCache>
                <c:formatCode>0.00</c:formatCode>
                <c:ptCount val="15"/>
                <c:pt idx="0">
                  <c:v>43.338095238095242</c:v>
                </c:pt>
                <c:pt idx="1">
                  <c:v>43.338095238095242</c:v>
                </c:pt>
                <c:pt idx="2">
                  <c:v>43.338095238095242</c:v>
                </c:pt>
                <c:pt idx="3">
                  <c:v>43.338095238095242</c:v>
                </c:pt>
                <c:pt idx="4">
                  <c:v>43.338095238095242</c:v>
                </c:pt>
                <c:pt idx="5">
                  <c:v>43.338095238095242</c:v>
                </c:pt>
                <c:pt idx="6">
                  <c:v>43.338095238095242</c:v>
                </c:pt>
                <c:pt idx="7">
                  <c:v>43.338095238095242</c:v>
                </c:pt>
                <c:pt idx="8">
                  <c:v>43.338095238095242</c:v>
                </c:pt>
                <c:pt idx="9">
                  <c:v>43.338095238095242</c:v>
                </c:pt>
                <c:pt idx="10">
                  <c:v>43.338095238095242</c:v>
                </c:pt>
                <c:pt idx="11">
                  <c:v>43.338095238095242</c:v>
                </c:pt>
                <c:pt idx="12">
                  <c:v>43.338095238095242</c:v>
                </c:pt>
                <c:pt idx="13">
                  <c:v>43.338095238095242</c:v>
                </c:pt>
                <c:pt idx="14">
                  <c:v>43.338095238095242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D2-46A0-AEFD-3929991EC609}"/>
            </c:ext>
          </c:extLst>
        </c:ser>
        <c:ser>
          <c:idx val="4"/>
          <c:order val="4"/>
          <c:tx>
            <c:strRef>
              <c:f>'SISTEMA 01 SINTER 70 GIALLO AS'!$A$31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AS'!$B$31:$P$31</c:f>
              <c:numCache>
                <c:formatCode>0.00</c:formatCode>
                <c:ptCount val="15"/>
                <c:pt idx="0">
                  <c:v>31.573333333333334</c:v>
                </c:pt>
                <c:pt idx="1">
                  <c:v>31.573333333333334</c:v>
                </c:pt>
                <c:pt idx="2">
                  <c:v>31.573333333333334</c:v>
                </c:pt>
                <c:pt idx="3">
                  <c:v>31.573333333333334</c:v>
                </c:pt>
                <c:pt idx="4">
                  <c:v>31.573333333333334</c:v>
                </c:pt>
                <c:pt idx="5">
                  <c:v>31.573333333333334</c:v>
                </c:pt>
                <c:pt idx="6">
                  <c:v>31.573333333333334</c:v>
                </c:pt>
                <c:pt idx="7">
                  <c:v>31.573333333333334</c:v>
                </c:pt>
                <c:pt idx="8">
                  <c:v>31.573333333333334</c:v>
                </c:pt>
                <c:pt idx="9">
                  <c:v>31.573333333333334</c:v>
                </c:pt>
                <c:pt idx="10">
                  <c:v>31.573333333333334</c:v>
                </c:pt>
                <c:pt idx="11">
                  <c:v>31.573333333333334</c:v>
                </c:pt>
                <c:pt idx="12">
                  <c:v>31.573333333333334</c:v>
                </c:pt>
                <c:pt idx="13">
                  <c:v>31.573333333333334</c:v>
                </c:pt>
                <c:pt idx="14">
                  <c:v>31.573333333333334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37-4136-BFC3-4EB7D323DA8E}"/>
            </c:ext>
          </c:extLst>
        </c:ser>
        <c:ser>
          <c:idx val="5"/>
          <c:order val="5"/>
          <c:tx>
            <c:strRef>
              <c:f>'SISTEMA 01 SINTER 70 GIALLO AS'!$A$32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AS'!$B$26:$P$26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AS'!$B$32:$P$32</c:f>
              <c:numCache>
                <c:formatCode>0.00</c:formatCode>
                <c:ptCount val="15"/>
                <c:pt idx="0">
                  <c:v>47.209523809523816</c:v>
                </c:pt>
                <c:pt idx="1">
                  <c:v>47.209523809523816</c:v>
                </c:pt>
                <c:pt idx="2">
                  <c:v>47.209523809523816</c:v>
                </c:pt>
                <c:pt idx="3">
                  <c:v>47.209523809523816</c:v>
                </c:pt>
                <c:pt idx="4">
                  <c:v>47.209523809523816</c:v>
                </c:pt>
                <c:pt idx="5">
                  <c:v>47.209523809523816</c:v>
                </c:pt>
                <c:pt idx="6">
                  <c:v>47.209523809523816</c:v>
                </c:pt>
                <c:pt idx="7">
                  <c:v>47.209523809523816</c:v>
                </c:pt>
                <c:pt idx="8">
                  <c:v>47.209523809523816</c:v>
                </c:pt>
                <c:pt idx="9">
                  <c:v>47.209523809523816</c:v>
                </c:pt>
                <c:pt idx="10">
                  <c:v>47.209523809523816</c:v>
                </c:pt>
                <c:pt idx="11">
                  <c:v>47.209523809523816</c:v>
                </c:pt>
                <c:pt idx="12">
                  <c:v>47.209523809523816</c:v>
                </c:pt>
                <c:pt idx="13">
                  <c:v>47.209523809523816</c:v>
                </c:pt>
                <c:pt idx="14">
                  <c:v>47.209523809523816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7-4136-BFC3-4EB7D323DA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388608"/>
        <c:axId val="180390144"/>
      </c:lineChart>
      <c:catAx>
        <c:axId val="18038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90144"/>
        <c:crosses val="autoZero"/>
        <c:auto val="1"/>
        <c:lblAlgn val="ctr"/>
        <c:lblOffset val="100"/>
        <c:noMultiLvlLbl val="0"/>
      </c:catAx>
      <c:valAx>
        <c:axId val="18039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38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Abrasione [mg]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01 SINTER 70 GIALLO AS'!$A$34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AS'!$B$34:$P$34</c:f>
              <c:numCache>
                <c:formatCode>General</c:formatCode>
                <c:ptCount val="15"/>
                <c:pt idx="0">
                  <c:v>16</c:v>
                </c:pt>
                <c:pt idx="1">
                  <c:v>22</c:v>
                </c:pt>
                <c:pt idx="2">
                  <c:v>16</c:v>
                </c:pt>
                <c:pt idx="3">
                  <c:v>18</c:v>
                </c:pt>
                <c:pt idx="4">
                  <c:v>15</c:v>
                </c:pt>
                <c:pt idx="5">
                  <c:v>12</c:v>
                </c:pt>
                <c:pt idx="6">
                  <c:v>6</c:v>
                </c:pt>
                <c:pt idx="7">
                  <c:v>12</c:v>
                </c:pt>
                <c:pt idx="8">
                  <c:v>21</c:v>
                </c:pt>
                <c:pt idx="9">
                  <c:v>17</c:v>
                </c:pt>
                <c:pt idx="10">
                  <c:v>18</c:v>
                </c:pt>
                <c:pt idx="11">
                  <c:v>14</c:v>
                </c:pt>
                <c:pt idx="12">
                  <c:v>10</c:v>
                </c:pt>
                <c:pt idx="13">
                  <c:v>10</c:v>
                </c:pt>
                <c:pt idx="14">
                  <c:v>30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BE8-4124-9777-C6DCF4C96B79}"/>
            </c:ext>
          </c:extLst>
        </c:ser>
        <c:ser>
          <c:idx val="1"/>
          <c:order val="1"/>
          <c:tx>
            <c:strRef>
              <c:f>'SISTEMA 01 SINTER 70 GIALLO AS'!$A$35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AS'!$B$35:$P$35</c:f>
              <c:numCache>
                <c:formatCode>0.00</c:formatCode>
                <c:ptCount val="15"/>
                <c:pt idx="0">
                  <c:v>15.8</c:v>
                </c:pt>
                <c:pt idx="1">
                  <c:v>15.8</c:v>
                </c:pt>
                <c:pt idx="2">
                  <c:v>15.8</c:v>
                </c:pt>
                <c:pt idx="3">
                  <c:v>15.8</c:v>
                </c:pt>
                <c:pt idx="4">
                  <c:v>15.8</c:v>
                </c:pt>
                <c:pt idx="5">
                  <c:v>15.8</c:v>
                </c:pt>
                <c:pt idx="6">
                  <c:v>15.8</c:v>
                </c:pt>
                <c:pt idx="7">
                  <c:v>15.8</c:v>
                </c:pt>
                <c:pt idx="8">
                  <c:v>15.8</c:v>
                </c:pt>
                <c:pt idx="9">
                  <c:v>15.8</c:v>
                </c:pt>
                <c:pt idx="10">
                  <c:v>15.8</c:v>
                </c:pt>
                <c:pt idx="11">
                  <c:v>15.8</c:v>
                </c:pt>
                <c:pt idx="12">
                  <c:v>15.8</c:v>
                </c:pt>
                <c:pt idx="13">
                  <c:v>15.8</c:v>
                </c:pt>
                <c:pt idx="14">
                  <c:v>15.8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8-4124-9777-C6DCF4C96B79}"/>
            </c:ext>
          </c:extLst>
        </c:ser>
        <c:ser>
          <c:idx val="2"/>
          <c:order val="2"/>
          <c:tx>
            <c:strRef>
              <c:f>'SISTEMA 01 SINTER 70 GIALLO AS'!$A$36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AS'!$B$36:$P$36</c:f>
              <c:numCache>
                <c:formatCode>0.00</c:formatCode>
                <c:ptCount val="15"/>
                <c:pt idx="0">
                  <c:v>14.22</c:v>
                </c:pt>
                <c:pt idx="1">
                  <c:v>14.22</c:v>
                </c:pt>
                <c:pt idx="2">
                  <c:v>14.22</c:v>
                </c:pt>
                <c:pt idx="3">
                  <c:v>14.22</c:v>
                </c:pt>
                <c:pt idx="4">
                  <c:v>14.22</c:v>
                </c:pt>
                <c:pt idx="5">
                  <c:v>14.22</c:v>
                </c:pt>
                <c:pt idx="6">
                  <c:v>14.22</c:v>
                </c:pt>
                <c:pt idx="7">
                  <c:v>14.22</c:v>
                </c:pt>
                <c:pt idx="8">
                  <c:v>14.22</c:v>
                </c:pt>
                <c:pt idx="9">
                  <c:v>14.22</c:v>
                </c:pt>
                <c:pt idx="10">
                  <c:v>14.22</c:v>
                </c:pt>
                <c:pt idx="11">
                  <c:v>14.22</c:v>
                </c:pt>
                <c:pt idx="12">
                  <c:v>14.22</c:v>
                </c:pt>
                <c:pt idx="13">
                  <c:v>14.22</c:v>
                </c:pt>
                <c:pt idx="14">
                  <c:v>14.22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8-4124-9777-C6DCF4C96B79}"/>
            </c:ext>
          </c:extLst>
        </c:ser>
        <c:ser>
          <c:idx val="3"/>
          <c:order val="3"/>
          <c:tx>
            <c:strRef>
              <c:f>'SISTEMA 01 SINTER 70 GIALLO AS'!$A$37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AS'!$B$37:$P$37</c:f>
              <c:numCache>
                <c:formatCode>0.00</c:formatCode>
                <c:ptCount val="15"/>
                <c:pt idx="0">
                  <c:v>17.278571428571428</c:v>
                </c:pt>
                <c:pt idx="1">
                  <c:v>17.278571428571428</c:v>
                </c:pt>
                <c:pt idx="2">
                  <c:v>17.278571428571428</c:v>
                </c:pt>
                <c:pt idx="3">
                  <c:v>17.278571428571428</c:v>
                </c:pt>
                <c:pt idx="4">
                  <c:v>17.278571428571428</c:v>
                </c:pt>
                <c:pt idx="5">
                  <c:v>17.278571428571428</c:v>
                </c:pt>
                <c:pt idx="6">
                  <c:v>17.278571428571428</c:v>
                </c:pt>
                <c:pt idx="7">
                  <c:v>17.278571428571428</c:v>
                </c:pt>
                <c:pt idx="8">
                  <c:v>17.278571428571428</c:v>
                </c:pt>
                <c:pt idx="9">
                  <c:v>17.278571428571428</c:v>
                </c:pt>
                <c:pt idx="10">
                  <c:v>17.278571428571428</c:v>
                </c:pt>
                <c:pt idx="11">
                  <c:v>17.278571428571428</c:v>
                </c:pt>
                <c:pt idx="12">
                  <c:v>17.278571428571428</c:v>
                </c:pt>
                <c:pt idx="13">
                  <c:v>17.278571428571428</c:v>
                </c:pt>
                <c:pt idx="14">
                  <c:v>17.278571428571428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BE8-4124-9777-C6DCF4C96B79}"/>
            </c:ext>
          </c:extLst>
        </c:ser>
        <c:ser>
          <c:idx val="4"/>
          <c:order val="4"/>
          <c:tx>
            <c:strRef>
              <c:f>'SISTEMA 01 SINTER 70 GIALLO AS'!$A$38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AS'!$B$38:$P$38</c:f>
              <c:numCache>
                <c:formatCode>0.00</c:formatCode>
                <c:ptCount val="15"/>
                <c:pt idx="0">
                  <c:v>12.64</c:v>
                </c:pt>
                <c:pt idx="1">
                  <c:v>12.64</c:v>
                </c:pt>
                <c:pt idx="2">
                  <c:v>12.64</c:v>
                </c:pt>
                <c:pt idx="3">
                  <c:v>12.64</c:v>
                </c:pt>
                <c:pt idx="4">
                  <c:v>12.64</c:v>
                </c:pt>
                <c:pt idx="5">
                  <c:v>12.64</c:v>
                </c:pt>
                <c:pt idx="6">
                  <c:v>12.64</c:v>
                </c:pt>
                <c:pt idx="7">
                  <c:v>12.64</c:v>
                </c:pt>
                <c:pt idx="8">
                  <c:v>12.64</c:v>
                </c:pt>
                <c:pt idx="9">
                  <c:v>12.64</c:v>
                </c:pt>
                <c:pt idx="10">
                  <c:v>12.64</c:v>
                </c:pt>
                <c:pt idx="11">
                  <c:v>12.64</c:v>
                </c:pt>
                <c:pt idx="12">
                  <c:v>12.64</c:v>
                </c:pt>
                <c:pt idx="13">
                  <c:v>12.64</c:v>
                </c:pt>
                <c:pt idx="14">
                  <c:v>12.64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8F-4532-9BC7-5506E49F54A2}"/>
            </c:ext>
          </c:extLst>
        </c:ser>
        <c:ser>
          <c:idx val="5"/>
          <c:order val="5"/>
          <c:tx>
            <c:strRef>
              <c:f>'SISTEMA 01 SINTER 70 GIALLO AS'!$A$39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01 SINTER 70 GIALLO AS'!$B$33:$P$33</c:f>
              <c:strCache>
                <c:ptCount val="15"/>
                <c:pt idx="0">
                  <c:v>08/12/2020</c:v>
                </c:pt>
                <c:pt idx="1">
                  <c:v>05/03/2021</c:v>
                </c:pt>
                <c:pt idx="2">
                  <c:v>19/04/2021</c:v>
                </c:pt>
                <c:pt idx="3">
                  <c:v>28/07/2021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21/02/2022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14/02/2025</c:v>
                </c:pt>
                <c:pt idx="12">
                  <c:v>21/07/2025</c:v>
                </c:pt>
                <c:pt idx="13">
                  <c:v>10/09/2025</c:v>
                </c:pt>
                <c:pt idx="14">
                  <c:v>20/01/2026</c:v>
                </c:pt>
              </c:strCache>
            </c:strRef>
          </c:cat>
          <c:val>
            <c:numRef>
              <c:f>'SISTEMA 01 SINTER 70 GIALLO AS'!$B$39:$P$39</c:f>
              <c:numCache>
                <c:formatCode>0.00</c:formatCode>
                <c:ptCount val="15"/>
                <c:pt idx="0">
                  <c:v>18.75714285714286</c:v>
                </c:pt>
                <c:pt idx="1">
                  <c:v>18.75714285714286</c:v>
                </c:pt>
                <c:pt idx="2">
                  <c:v>18.75714285714286</c:v>
                </c:pt>
                <c:pt idx="3">
                  <c:v>18.75714285714286</c:v>
                </c:pt>
                <c:pt idx="4">
                  <c:v>18.75714285714286</c:v>
                </c:pt>
                <c:pt idx="5">
                  <c:v>18.75714285714286</c:v>
                </c:pt>
                <c:pt idx="6">
                  <c:v>18.75714285714286</c:v>
                </c:pt>
                <c:pt idx="7">
                  <c:v>18.75714285714286</c:v>
                </c:pt>
                <c:pt idx="8">
                  <c:v>18.75714285714286</c:v>
                </c:pt>
                <c:pt idx="9">
                  <c:v>18.75714285714286</c:v>
                </c:pt>
                <c:pt idx="10">
                  <c:v>18.75714285714286</c:v>
                </c:pt>
                <c:pt idx="11">
                  <c:v>18.75714285714286</c:v>
                </c:pt>
                <c:pt idx="12">
                  <c:v>18.75714285714286</c:v>
                </c:pt>
                <c:pt idx="13">
                  <c:v>18.75714285714286</c:v>
                </c:pt>
                <c:pt idx="14">
                  <c:v>18.75714285714286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F-4532-9BC7-5506E49F54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420992"/>
        <c:axId val="180422528"/>
      </c:lineChart>
      <c:catAx>
        <c:axId val="180420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22528"/>
        <c:crosses val="autoZero"/>
        <c:auto val="1"/>
        <c:lblAlgn val="ctr"/>
        <c:lblOffset val="100"/>
        <c:noMultiLvlLbl val="0"/>
      </c:catAx>
      <c:valAx>
        <c:axId val="18042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42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GIALLO'!$B$2:$R$2</c:f>
              <c:numCache>
                <c:formatCode>General</c:formatCode>
                <c:ptCount val="17"/>
                <c:pt idx="0">
                  <c:v>92</c:v>
                </c:pt>
                <c:pt idx="1">
                  <c:v>92</c:v>
                </c:pt>
                <c:pt idx="2">
                  <c:v>91</c:v>
                </c:pt>
                <c:pt idx="3">
                  <c:v>92</c:v>
                </c:pt>
                <c:pt idx="4">
                  <c:v>90</c:v>
                </c:pt>
                <c:pt idx="5">
                  <c:v>92</c:v>
                </c:pt>
                <c:pt idx="6">
                  <c:v>92</c:v>
                </c:pt>
                <c:pt idx="7">
                  <c:v>92</c:v>
                </c:pt>
                <c:pt idx="8">
                  <c:v>91</c:v>
                </c:pt>
                <c:pt idx="9">
                  <c:v>92</c:v>
                </c:pt>
                <c:pt idx="10">
                  <c:v>88</c:v>
                </c:pt>
                <c:pt idx="11">
                  <c:v>88</c:v>
                </c:pt>
                <c:pt idx="12">
                  <c:v>92</c:v>
                </c:pt>
                <c:pt idx="13">
                  <c:v>90</c:v>
                </c:pt>
                <c:pt idx="14">
                  <c:v>90</c:v>
                </c:pt>
                <c:pt idx="15">
                  <c:v>91</c:v>
                </c:pt>
                <c:pt idx="16">
                  <c:v>95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E7A-49D2-B177-EF71ED209045}"/>
            </c:ext>
          </c:extLst>
        </c:ser>
        <c:ser>
          <c:idx val="1"/>
          <c:order val="1"/>
          <c:tx>
            <c:strRef>
              <c:f>'SISTEMA 02 SINTAM 90 GIALLO'!$A$3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GIALLO'!$B$3:$R$3</c:f>
              <c:numCache>
                <c:formatCode>0.0</c:formatCode>
                <c:ptCount val="17"/>
                <c:pt idx="0">
                  <c:v>91.17647058823529</c:v>
                </c:pt>
                <c:pt idx="1">
                  <c:v>91.17647058823529</c:v>
                </c:pt>
                <c:pt idx="2">
                  <c:v>91.17647058823529</c:v>
                </c:pt>
                <c:pt idx="3">
                  <c:v>91.17647058823529</c:v>
                </c:pt>
                <c:pt idx="4">
                  <c:v>91.17647058823529</c:v>
                </c:pt>
                <c:pt idx="5">
                  <c:v>91.17647058823529</c:v>
                </c:pt>
                <c:pt idx="6">
                  <c:v>91.17647058823529</c:v>
                </c:pt>
                <c:pt idx="7">
                  <c:v>91.17647058823529</c:v>
                </c:pt>
                <c:pt idx="8">
                  <c:v>91.17647058823529</c:v>
                </c:pt>
                <c:pt idx="9">
                  <c:v>91.17647058823529</c:v>
                </c:pt>
                <c:pt idx="10">
                  <c:v>91.17647058823529</c:v>
                </c:pt>
                <c:pt idx="11">
                  <c:v>91.17647058823529</c:v>
                </c:pt>
                <c:pt idx="12">
                  <c:v>91.17647058823529</c:v>
                </c:pt>
                <c:pt idx="13">
                  <c:v>91.17647058823529</c:v>
                </c:pt>
                <c:pt idx="14">
                  <c:v>91.17647058823529</c:v>
                </c:pt>
                <c:pt idx="15">
                  <c:v>91.17647058823529</c:v>
                </c:pt>
                <c:pt idx="16">
                  <c:v>91.17647058823529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99-4AC1-B86D-6FAE1B046FB7}"/>
            </c:ext>
          </c:extLst>
        </c:ser>
        <c:ser>
          <c:idx val="2"/>
          <c:order val="2"/>
          <c:tx>
            <c:strRef>
              <c:f>'SISTEMA 02 SINTAM 90 GIALLO'!$A$4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GIALLO'!$B$4:$R$4</c:f>
              <c:numCache>
                <c:formatCode>0.0</c:formatCode>
                <c:ptCount val="17"/>
                <c:pt idx="0">
                  <c:v>89.17647058823529</c:v>
                </c:pt>
                <c:pt idx="1">
                  <c:v>89.17647058823529</c:v>
                </c:pt>
                <c:pt idx="2">
                  <c:v>89.17647058823529</c:v>
                </c:pt>
                <c:pt idx="3">
                  <c:v>89.17647058823529</c:v>
                </c:pt>
                <c:pt idx="4">
                  <c:v>89.17647058823529</c:v>
                </c:pt>
                <c:pt idx="5">
                  <c:v>89.17647058823529</c:v>
                </c:pt>
                <c:pt idx="6">
                  <c:v>89.17647058823529</c:v>
                </c:pt>
                <c:pt idx="7">
                  <c:v>89.17647058823529</c:v>
                </c:pt>
                <c:pt idx="8">
                  <c:v>89.17647058823529</c:v>
                </c:pt>
                <c:pt idx="9">
                  <c:v>89.17647058823529</c:v>
                </c:pt>
                <c:pt idx="10">
                  <c:v>89.17647058823529</c:v>
                </c:pt>
                <c:pt idx="11">
                  <c:v>89.17647058823529</c:v>
                </c:pt>
                <c:pt idx="12">
                  <c:v>89.17647058823529</c:v>
                </c:pt>
                <c:pt idx="13">
                  <c:v>89.17647058823529</c:v>
                </c:pt>
                <c:pt idx="14">
                  <c:v>89.17647058823529</c:v>
                </c:pt>
                <c:pt idx="15">
                  <c:v>89.17647058823529</c:v>
                </c:pt>
                <c:pt idx="16">
                  <c:v>89.17647058823529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99-4AC1-B86D-6FAE1B046FB7}"/>
            </c:ext>
          </c:extLst>
        </c:ser>
        <c:ser>
          <c:idx val="3"/>
          <c:order val="3"/>
          <c:tx>
            <c:strRef>
              <c:f>'SISTEMA 02 SINTAM 90 GIALLO'!$A$5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GIALLO'!$B$5:$R$5</c:f>
              <c:numCache>
                <c:formatCode>0.0</c:formatCode>
                <c:ptCount val="17"/>
                <c:pt idx="0">
                  <c:v>93.17647058823529</c:v>
                </c:pt>
                <c:pt idx="1">
                  <c:v>93.17647058823529</c:v>
                </c:pt>
                <c:pt idx="2">
                  <c:v>93.17647058823529</c:v>
                </c:pt>
                <c:pt idx="3">
                  <c:v>93.17647058823529</c:v>
                </c:pt>
                <c:pt idx="4">
                  <c:v>93.17647058823529</c:v>
                </c:pt>
                <c:pt idx="5">
                  <c:v>93.17647058823529</c:v>
                </c:pt>
                <c:pt idx="6">
                  <c:v>93.17647058823529</c:v>
                </c:pt>
                <c:pt idx="7">
                  <c:v>93.17647058823529</c:v>
                </c:pt>
                <c:pt idx="8">
                  <c:v>93.17647058823529</c:v>
                </c:pt>
                <c:pt idx="9">
                  <c:v>93.17647058823529</c:v>
                </c:pt>
                <c:pt idx="10">
                  <c:v>93.17647058823529</c:v>
                </c:pt>
                <c:pt idx="11">
                  <c:v>93.17647058823529</c:v>
                </c:pt>
                <c:pt idx="12">
                  <c:v>93.17647058823529</c:v>
                </c:pt>
                <c:pt idx="13">
                  <c:v>93.17647058823529</c:v>
                </c:pt>
                <c:pt idx="14">
                  <c:v>93.17647058823529</c:v>
                </c:pt>
                <c:pt idx="15">
                  <c:v>93.17647058823529</c:v>
                </c:pt>
                <c:pt idx="16">
                  <c:v>93.17647058823529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99-4AC1-B86D-6FAE1B046FB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662272"/>
        <c:axId val="180663808"/>
      </c:lineChart>
      <c:catAx>
        <c:axId val="180662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63808"/>
        <c:crosses val="autoZero"/>
        <c:auto val="1"/>
        <c:lblAlgn val="ctr"/>
        <c:lblOffset val="100"/>
        <c:noMultiLvlLbl val="0"/>
      </c:catAx>
      <c:valAx>
        <c:axId val="180663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662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CARICO DI ROTTURA [MPa]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GIALLO'!$B$7:$R$7</c:f>
              <c:numCache>
                <c:formatCode>General</c:formatCode>
                <c:ptCount val="17"/>
                <c:pt idx="0">
                  <c:v>23</c:v>
                </c:pt>
                <c:pt idx="1">
                  <c:v>31</c:v>
                </c:pt>
                <c:pt idx="2">
                  <c:v>27</c:v>
                </c:pt>
                <c:pt idx="3">
                  <c:v>27</c:v>
                </c:pt>
                <c:pt idx="4">
                  <c:v>25</c:v>
                </c:pt>
                <c:pt idx="5">
                  <c:v>30</c:v>
                </c:pt>
                <c:pt idx="6">
                  <c:v>22</c:v>
                </c:pt>
                <c:pt idx="7">
                  <c:v>29</c:v>
                </c:pt>
                <c:pt idx="8">
                  <c:v>25</c:v>
                </c:pt>
                <c:pt idx="9">
                  <c:v>39</c:v>
                </c:pt>
                <c:pt idx="10">
                  <c:v>25</c:v>
                </c:pt>
                <c:pt idx="11">
                  <c:v>21</c:v>
                </c:pt>
                <c:pt idx="12">
                  <c:v>23</c:v>
                </c:pt>
                <c:pt idx="13">
                  <c:v>28</c:v>
                </c:pt>
                <c:pt idx="14">
                  <c:v>25</c:v>
                </c:pt>
                <c:pt idx="15">
                  <c:v>27</c:v>
                </c:pt>
                <c:pt idx="16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92B-413D-92CF-A41115D9E0E9}"/>
            </c:ext>
          </c:extLst>
        </c:ser>
        <c:ser>
          <c:idx val="1"/>
          <c:order val="1"/>
          <c:tx>
            <c:strRef>
              <c:f>'SISTEMA 02 SINTAM 90 GIALLO'!$A$8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GIALLO'!$B$8:$R$8</c:f>
              <c:numCache>
                <c:formatCode>0.0</c:formatCode>
                <c:ptCount val="17"/>
                <c:pt idx="0">
                  <c:v>26.647058823529413</c:v>
                </c:pt>
                <c:pt idx="1">
                  <c:v>26.647058823529413</c:v>
                </c:pt>
                <c:pt idx="2">
                  <c:v>26.647058823529413</c:v>
                </c:pt>
                <c:pt idx="3">
                  <c:v>26.647058823529413</c:v>
                </c:pt>
                <c:pt idx="4">
                  <c:v>26.647058823529413</c:v>
                </c:pt>
                <c:pt idx="5">
                  <c:v>26.647058823529413</c:v>
                </c:pt>
                <c:pt idx="6">
                  <c:v>26.647058823529413</c:v>
                </c:pt>
                <c:pt idx="7">
                  <c:v>26.647058823529413</c:v>
                </c:pt>
                <c:pt idx="8">
                  <c:v>26.647058823529413</c:v>
                </c:pt>
                <c:pt idx="9">
                  <c:v>26.647058823529413</c:v>
                </c:pt>
                <c:pt idx="10">
                  <c:v>26.647058823529413</c:v>
                </c:pt>
                <c:pt idx="11">
                  <c:v>26.647058823529413</c:v>
                </c:pt>
                <c:pt idx="12">
                  <c:v>26.647058823529413</c:v>
                </c:pt>
                <c:pt idx="13">
                  <c:v>26.647058823529413</c:v>
                </c:pt>
                <c:pt idx="14">
                  <c:v>26.647058823529413</c:v>
                </c:pt>
                <c:pt idx="15">
                  <c:v>26.647058823529413</c:v>
                </c:pt>
                <c:pt idx="16">
                  <c:v>26.647058823529413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233-48C0-925B-CDBCA394EA89}"/>
            </c:ext>
          </c:extLst>
        </c:ser>
        <c:ser>
          <c:idx val="2"/>
          <c:order val="2"/>
          <c:tx>
            <c:strRef>
              <c:f>'SISTEMA 02 SINTAM 90 GIALLO'!$A$9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GIALLO'!$B$9:$R$9</c:f>
              <c:numCache>
                <c:formatCode>0.0</c:formatCode>
                <c:ptCount val="17"/>
                <c:pt idx="0">
                  <c:v>23.982352941176472</c:v>
                </c:pt>
                <c:pt idx="1">
                  <c:v>23.982352941176472</c:v>
                </c:pt>
                <c:pt idx="2">
                  <c:v>23.982352941176472</c:v>
                </c:pt>
                <c:pt idx="3">
                  <c:v>23.982352941176472</c:v>
                </c:pt>
                <c:pt idx="4">
                  <c:v>23.982352941176472</c:v>
                </c:pt>
                <c:pt idx="5">
                  <c:v>23.982352941176472</c:v>
                </c:pt>
                <c:pt idx="6">
                  <c:v>23.982352941176472</c:v>
                </c:pt>
                <c:pt idx="7">
                  <c:v>23.982352941176472</c:v>
                </c:pt>
                <c:pt idx="8">
                  <c:v>23.982352941176472</c:v>
                </c:pt>
                <c:pt idx="9">
                  <c:v>23.982352941176472</c:v>
                </c:pt>
                <c:pt idx="10">
                  <c:v>23.982352941176472</c:v>
                </c:pt>
                <c:pt idx="11">
                  <c:v>23.982352941176472</c:v>
                </c:pt>
                <c:pt idx="12">
                  <c:v>23.982352941176472</c:v>
                </c:pt>
                <c:pt idx="13">
                  <c:v>23.982352941176472</c:v>
                </c:pt>
                <c:pt idx="14">
                  <c:v>23.982352941176472</c:v>
                </c:pt>
                <c:pt idx="15">
                  <c:v>23.982352941176472</c:v>
                </c:pt>
                <c:pt idx="16">
                  <c:v>23.982352941176472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33-48C0-925B-CDBCA394EA89}"/>
            </c:ext>
          </c:extLst>
        </c:ser>
        <c:ser>
          <c:idx val="3"/>
          <c:order val="3"/>
          <c:tx>
            <c:strRef>
              <c:f>'SISTEMA 02 SINTAM 90 GIALLO'!$A$10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GIALLO'!$B$10:$R$10</c:f>
              <c:numCache>
                <c:formatCode>0.0</c:formatCode>
                <c:ptCount val="17"/>
                <c:pt idx="0">
                  <c:v>29.315808823529412</c:v>
                </c:pt>
                <c:pt idx="1">
                  <c:v>29.315808823529412</c:v>
                </c:pt>
                <c:pt idx="2">
                  <c:v>29.315808823529412</c:v>
                </c:pt>
                <c:pt idx="3">
                  <c:v>29.315808823529412</c:v>
                </c:pt>
                <c:pt idx="4">
                  <c:v>29.315808823529412</c:v>
                </c:pt>
                <c:pt idx="5">
                  <c:v>29.315808823529412</c:v>
                </c:pt>
                <c:pt idx="6">
                  <c:v>29.315808823529412</c:v>
                </c:pt>
                <c:pt idx="7">
                  <c:v>29.315808823529412</c:v>
                </c:pt>
                <c:pt idx="8">
                  <c:v>29.315808823529412</c:v>
                </c:pt>
                <c:pt idx="9">
                  <c:v>29.315808823529412</c:v>
                </c:pt>
                <c:pt idx="10">
                  <c:v>29.315808823529412</c:v>
                </c:pt>
                <c:pt idx="11">
                  <c:v>29.315808823529412</c:v>
                </c:pt>
                <c:pt idx="12">
                  <c:v>29.315808823529412</c:v>
                </c:pt>
                <c:pt idx="13">
                  <c:v>29.315808823529412</c:v>
                </c:pt>
                <c:pt idx="14">
                  <c:v>29.315808823529412</c:v>
                </c:pt>
                <c:pt idx="15">
                  <c:v>29.315808823529412</c:v>
                </c:pt>
                <c:pt idx="16">
                  <c:v>29.315808823529412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33-48C0-925B-CDBCA394EA89}"/>
            </c:ext>
          </c:extLst>
        </c:ser>
        <c:ser>
          <c:idx val="4"/>
          <c:order val="4"/>
          <c:tx>
            <c:strRef>
              <c:f>'SISTEMA 02 SINTAM 90 GIALLO'!$A$11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GIALLO'!$B$11:$R$11</c:f>
              <c:numCache>
                <c:formatCode>0.0</c:formatCode>
                <c:ptCount val="17"/>
                <c:pt idx="0">
                  <c:v>21.317647058823532</c:v>
                </c:pt>
                <c:pt idx="1">
                  <c:v>21.317647058823532</c:v>
                </c:pt>
                <c:pt idx="2">
                  <c:v>21.317647058823532</c:v>
                </c:pt>
                <c:pt idx="3">
                  <c:v>21.317647058823532</c:v>
                </c:pt>
                <c:pt idx="4">
                  <c:v>21.317647058823532</c:v>
                </c:pt>
                <c:pt idx="5">
                  <c:v>21.317647058823532</c:v>
                </c:pt>
                <c:pt idx="6">
                  <c:v>21.317647058823532</c:v>
                </c:pt>
                <c:pt idx="7">
                  <c:v>21.317647058823532</c:v>
                </c:pt>
                <c:pt idx="8">
                  <c:v>21.317647058823532</c:v>
                </c:pt>
                <c:pt idx="9">
                  <c:v>21.317647058823532</c:v>
                </c:pt>
                <c:pt idx="10">
                  <c:v>21.317647058823532</c:v>
                </c:pt>
                <c:pt idx="11">
                  <c:v>21.317647058823532</c:v>
                </c:pt>
                <c:pt idx="12">
                  <c:v>21.317647058823532</c:v>
                </c:pt>
                <c:pt idx="13">
                  <c:v>21.317647058823532</c:v>
                </c:pt>
                <c:pt idx="14">
                  <c:v>21.317647058823532</c:v>
                </c:pt>
                <c:pt idx="15">
                  <c:v>21.317647058823532</c:v>
                </c:pt>
                <c:pt idx="16">
                  <c:v>21.317647058823532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FD-4DC5-A9EA-DF9912551C72}"/>
            </c:ext>
          </c:extLst>
        </c:ser>
        <c:ser>
          <c:idx val="5"/>
          <c:order val="5"/>
          <c:tx>
            <c:strRef>
              <c:f>'SISTEMA 02 SINTAM 90 GIALLO'!$A$12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GIALLO'!$B$12:$R$12</c:f>
              <c:numCache>
                <c:formatCode>0.0</c:formatCode>
                <c:ptCount val="17"/>
                <c:pt idx="0">
                  <c:v>31.984558823529412</c:v>
                </c:pt>
                <c:pt idx="1">
                  <c:v>31.984558823529412</c:v>
                </c:pt>
                <c:pt idx="2">
                  <c:v>31.984558823529412</c:v>
                </c:pt>
                <c:pt idx="3">
                  <c:v>31.984558823529412</c:v>
                </c:pt>
                <c:pt idx="4">
                  <c:v>31.984558823529412</c:v>
                </c:pt>
                <c:pt idx="5">
                  <c:v>31.984558823529412</c:v>
                </c:pt>
                <c:pt idx="6">
                  <c:v>31.984558823529412</c:v>
                </c:pt>
                <c:pt idx="7">
                  <c:v>31.984558823529412</c:v>
                </c:pt>
                <c:pt idx="8">
                  <c:v>31.984558823529412</c:v>
                </c:pt>
                <c:pt idx="9">
                  <c:v>31.984558823529412</c:v>
                </c:pt>
                <c:pt idx="10">
                  <c:v>31.984558823529412</c:v>
                </c:pt>
                <c:pt idx="11">
                  <c:v>31.984558823529412</c:v>
                </c:pt>
                <c:pt idx="12">
                  <c:v>31.984558823529412</c:v>
                </c:pt>
                <c:pt idx="13">
                  <c:v>31.984558823529412</c:v>
                </c:pt>
                <c:pt idx="14">
                  <c:v>31.984558823529412</c:v>
                </c:pt>
                <c:pt idx="15">
                  <c:v>31.984558823529412</c:v>
                </c:pt>
                <c:pt idx="16">
                  <c:v>31.984558823529412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FD-4DC5-A9EA-DF9912551C7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753536"/>
        <c:axId val="180755072"/>
      </c:lineChart>
      <c:catAx>
        <c:axId val="180753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55072"/>
        <c:crosses val="autoZero"/>
        <c:auto val="1"/>
        <c:lblAlgn val="ctr"/>
        <c:lblOffset val="100"/>
        <c:noMultiLvlLbl val="0"/>
      </c:catAx>
      <c:valAx>
        <c:axId val="1807550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53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GIALLO'!$B$14:$R$14</c:f>
              <c:numCache>
                <c:formatCode>General</c:formatCode>
                <c:ptCount val="17"/>
                <c:pt idx="0">
                  <c:v>470</c:v>
                </c:pt>
                <c:pt idx="1">
                  <c:v>773</c:v>
                </c:pt>
                <c:pt idx="2">
                  <c:v>784</c:v>
                </c:pt>
                <c:pt idx="3">
                  <c:v>778</c:v>
                </c:pt>
                <c:pt idx="4">
                  <c:v>756</c:v>
                </c:pt>
                <c:pt idx="5">
                  <c:v>539</c:v>
                </c:pt>
                <c:pt idx="6">
                  <c:v>407</c:v>
                </c:pt>
                <c:pt idx="7">
                  <c:v>499</c:v>
                </c:pt>
                <c:pt idx="8">
                  <c:v>774</c:v>
                </c:pt>
                <c:pt idx="9">
                  <c:v>836</c:v>
                </c:pt>
                <c:pt idx="10">
                  <c:v>707</c:v>
                </c:pt>
                <c:pt idx="11">
                  <c:v>848</c:v>
                </c:pt>
                <c:pt idx="12">
                  <c:v>722</c:v>
                </c:pt>
                <c:pt idx="13">
                  <c:v>760</c:v>
                </c:pt>
                <c:pt idx="14">
                  <c:v>754</c:v>
                </c:pt>
                <c:pt idx="15">
                  <c:v>808</c:v>
                </c:pt>
                <c:pt idx="16">
                  <c:v>790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E09E-42E9-900B-3D2711D6DBE9}"/>
            </c:ext>
          </c:extLst>
        </c:ser>
        <c:ser>
          <c:idx val="1"/>
          <c:order val="1"/>
          <c:tx>
            <c:strRef>
              <c:f>'SISTEMA 02 SINTAM 90 GIALLO'!$A$15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GIALLO'!$B$15:$R$15</c:f>
              <c:numCache>
                <c:formatCode>0.0</c:formatCode>
                <c:ptCount val="17"/>
                <c:pt idx="0">
                  <c:v>706.17647058823525</c:v>
                </c:pt>
                <c:pt idx="1">
                  <c:v>706.17647058823525</c:v>
                </c:pt>
                <c:pt idx="2">
                  <c:v>706.17647058823525</c:v>
                </c:pt>
                <c:pt idx="3">
                  <c:v>706.17647058823525</c:v>
                </c:pt>
                <c:pt idx="4">
                  <c:v>706.17647058823525</c:v>
                </c:pt>
                <c:pt idx="5">
                  <c:v>706.17647058823525</c:v>
                </c:pt>
                <c:pt idx="6">
                  <c:v>706.17647058823525</c:v>
                </c:pt>
                <c:pt idx="7">
                  <c:v>706.17647058823525</c:v>
                </c:pt>
                <c:pt idx="8">
                  <c:v>706.17647058823525</c:v>
                </c:pt>
                <c:pt idx="9">
                  <c:v>706.17647058823525</c:v>
                </c:pt>
                <c:pt idx="10">
                  <c:v>706.17647058823525</c:v>
                </c:pt>
                <c:pt idx="11">
                  <c:v>706.17647058823525</c:v>
                </c:pt>
                <c:pt idx="12">
                  <c:v>706.17647058823525</c:v>
                </c:pt>
                <c:pt idx="13">
                  <c:v>706.17647058823525</c:v>
                </c:pt>
                <c:pt idx="14">
                  <c:v>706.17647058823525</c:v>
                </c:pt>
                <c:pt idx="15">
                  <c:v>706.17647058823525</c:v>
                </c:pt>
                <c:pt idx="16">
                  <c:v>706.17647058823525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5D-4C6C-A15F-3000A97F3A3D}"/>
            </c:ext>
          </c:extLst>
        </c:ser>
        <c:ser>
          <c:idx val="2"/>
          <c:order val="2"/>
          <c:tx>
            <c:strRef>
              <c:f>'SISTEMA 02 SINTAM 90 GIALLO'!$A$16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GIALLO'!$B$16:$R$16</c:f>
              <c:numCache>
                <c:formatCode>0.0</c:formatCode>
                <c:ptCount val="17"/>
                <c:pt idx="0">
                  <c:v>635.55882352941171</c:v>
                </c:pt>
                <c:pt idx="1">
                  <c:v>635.55882352941171</c:v>
                </c:pt>
                <c:pt idx="2">
                  <c:v>635.55882352941171</c:v>
                </c:pt>
                <c:pt idx="3">
                  <c:v>635.55882352941171</c:v>
                </c:pt>
                <c:pt idx="4">
                  <c:v>635.55882352941171</c:v>
                </c:pt>
                <c:pt idx="5">
                  <c:v>635.55882352941171</c:v>
                </c:pt>
                <c:pt idx="6">
                  <c:v>635.55882352941171</c:v>
                </c:pt>
                <c:pt idx="7">
                  <c:v>635.55882352941171</c:v>
                </c:pt>
                <c:pt idx="8">
                  <c:v>635.55882352941171</c:v>
                </c:pt>
                <c:pt idx="9">
                  <c:v>635.55882352941171</c:v>
                </c:pt>
                <c:pt idx="10">
                  <c:v>635.55882352941171</c:v>
                </c:pt>
                <c:pt idx="11">
                  <c:v>635.55882352941171</c:v>
                </c:pt>
                <c:pt idx="12">
                  <c:v>635.55882352941171</c:v>
                </c:pt>
                <c:pt idx="13">
                  <c:v>635.55882352941171</c:v>
                </c:pt>
                <c:pt idx="14">
                  <c:v>635.55882352941171</c:v>
                </c:pt>
                <c:pt idx="15">
                  <c:v>635.55882352941171</c:v>
                </c:pt>
                <c:pt idx="16">
                  <c:v>635.55882352941171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5D-4C6C-A15F-3000A97F3A3D}"/>
            </c:ext>
          </c:extLst>
        </c:ser>
        <c:ser>
          <c:idx val="3"/>
          <c:order val="3"/>
          <c:tx>
            <c:strRef>
              <c:f>'SISTEMA 02 SINTAM 90 GIALLO'!$A$17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GIALLO'!$B$17:$R$17</c:f>
              <c:numCache>
                <c:formatCode>0.0</c:formatCode>
                <c:ptCount val="17"/>
                <c:pt idx="0">
                  <c:v>564.94117647058818</c:v>
                </c:pt>
                <c:pt idx="1">
                  <c:v>564.94117647058818</c:v>
                </c:pt>
                <c:pt idx="2">
                  <c:v>564.94117647058818</c:v>
                </c:pt>
                <c:pt idx="3">
                  <c:v>564.94117647058818</c:v>
                </c:pt>
                <c:pt idx="4">
                  <c:v>564.94117647058818</c:v>
                </c:pt>
                <c:pt idx="5">
                  <c:v>564.94117647058818</c:v>
                </c:pt>
                <c:pt idx="6">
                  <c:v>564.94117647058818</c:v>
                </c:pt>
                <c:pt idx="7">
                  <c:v>564.94117647058818</c:v>
                </c:pt>
                <c:pt idx="8">
                  <c:v>564.94117647058818</c:v>
                </c:pt>
                <c:pt idx="9">
                  <c:v>564.94117647058818</c:v>
                </c:pt>
                <c:pt idx="10">
                  <c:v>564.94117647058818</c:v>
                </c:pt>
                <c:pt idx="11">
                  <c:v>564.94117647058818</c:v>
                </c:pt>
                <c:pt idx="12">
                  <c:v>564.94117647058818</c:v>
                </c:pt>
                <c:pt idx="13">
                  <c:v>564.94117647058818</c:v>
                </c:pt>
                <c:pt idx="14">
                  <c:v>564.94117647058818</c:v>
                </c:pt>
                <c:pt idx="15">
                  <c:v>564.94117647058818</c:v>
                </c:pt>
                <c:pt idx="16">
                  <c:v>564.94117647058818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5D-4C6C-A15F-3000A97F3A3D}"/>
            </c:ext>
          </c:extLst>
        </c:ser>
        <c:ser>
          <c:idx val="4"/>
          <c:order val="4"/>
          <c:tx>
            <c:strRef>
              <c:f>'SISTEMA 02 SINTAM 90 GIALLO'!$A$18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GIALLO'!$B$18:$R$18</c:f>
              <c:numCache>
                <c:formatCode>0.0</c:formatCode>
                <c:ptCount val="17"/>
                <c:pt idx="0">
                  <c:v>776.79411764705878</c:v>
                </c:pt>
                <c:pt idx="1">
                  <c:v>776.79411764705878</c:v>
                </c:pt>
                <c:pt idx="2">
                  <c:v>776.79411764705878</c:v>
                </c:pt>
                <c:pt idx="3">
                  <c:v>776.79411764705878</c:v>
                </c:pt>
                <c:pt idx="4">
                  <c:v>776.79411764705878</c:v>
                </c:pt>
                <c:pt idx="5">
                  <c:v>776.79411764705878</c:v>
                </c:pt>
                <c:pt idx="6">
                  <c:v>776.79411764705878</c:v>
                </c:pt>
                <c:pt idx="7">
                  <c:v>776.79411764705878</c:v>
                </c:pt>
                <c:pt idx="8">
                  <c:v>776.79411764705878</c:v>
                </c:pt>
                <c:pt idx="9">
                  <c:v>776.79411764705878</c:v>
                </c:pt>
                <c:pt idx="10">
                  <c:v>776.79411764705878</c:v>
                </c:pt>
                <c:pt idx="11">
                  <c:v>776.79411764705878</c:v>
                </c:pt>
                <c:pt idx="12">
                  <c:v>776.79411764705878</c:v>
                </c:pt>
                <c:pt idx="13">
                  <c:v>776.79411764705878</c:v>
                </c:pt>
                <c:pt idx="14">
                  <c:v>776.79411764705878</c:v>
                </c:pt>
                <c:pt idx="15">
                  <c:v>776.79411764705878</c:v>
                </c:pt>
                <c:pt idx="16">
                  <c:v>776.79411764705878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D5D-4C6C-A15F-3000A97F3A3D}"/>
            </c:ext>
          </c:extLst>
        </c:ser>
        <c:ser>
          <c:idx val="5"/>
          <c:order val="5"/>
          <c:tx>
            <c:strRef>
              <c:f>'SISTEMA 02 SINTAM 90 GIALLO'!$A$19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GIALLO'!$B$19:$R$19</c:f>
              <c:numCache>
                <c:formatCode>0.0</c:formatCode>
                <c:ptCount val="17"/>
                <c:pt idx="0">
                  <c:v>847.41176470588232</c:v>
                </c:pt>
                <c:pt idx="1">
                  <c:v>847.41176470588232</c:v>
                </c:pt>
                <c:pt idx="2">
                  <c:v>847.41176470588232</c:v>
                </c:pt>
                <c:pt idx="3">
                  <c:v>847.41176470588232</c:v>
                </c:pt>
                <c:pt idx="4">
                  <c:v>847.41176470588232</c:v>
                </c:pt>
                <c:pt idx="5">
                  <c:v>847.41176470588232</c:v>
                </c:pt>
                <c:pt idx="6">
                  <c:v>847.41176470588232</c:v>
                </c:pt>
                <c:pt idx="7">
                  <c:v>847.41176470588232</c:v>
                </c:pt>
                <c:pt idx="8">
                  <c:v>847.41176470588232</c:v>
                </c:pt>
                <c:pt idx="9">
                  <c:v>847.41176470588232</c:v>
                </c:pt>
                <c:pt idx="10">
                  <c:v>847.41176470588232</c:v>
                </c:pt>
                <c:pt idx="11">
                  <c:v>847.41176470588232</c:v>
                </c:pt>
                <c:pt idx="12">
                  <c:v>847.41176470588232</c:v>
                </c:pt>
                <c:pt idx="13">
                  <c:v>847.41176470588232</c:v>
                </c:pt>
                <c:pt idx="14">
                  <c:v>847.41176470588232</c:v>
                </c:pt>
                <c:pt idx="15">
                  <c:v>847.41176470588232</c:v>
                </c:pt>
                <c:pt idx="16">
                  <c:v>847.41176470588232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D5D-4C6C-A15F-3000A97F3A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795648"/>
        <c:axId val="180883456"/>
      </c:lineChart>
      <c:catAx>
        <c:axId val="18079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883456"/>
        <c:crosses val="autoZero"/>
        <c:auto val="1"/>
        <c:lblAlgn val="ctr"/>
        <c:lblOffset val="100"/>
        <c:noMultiLvlLbl val="0"/>
      </c:catAx>
      <c:valAx>
        <c:axId val="180883456"/>
        <c:scaling>
          <c:orientation val="minMax"/>
          <c:min val="3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79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B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GIALLO'!$B$21:$R$21</c:f>
              <c:numCache>
                <c:formatCode>General</c:formatCode>
                <c:ptCount val="17"/>
                <c:pt idx="0">
                  <c:v>79</c:v>
                </c:pt>
                <c:pt idx="1">
                  <c:v>83</c:v>
                </c:pt>
                <c:pt idx="2">
                  <c:v>77</c:v>
                </c:pt>
                <c:pt idx="3">
                  <c:v>83</c:v>
                </c:pt>
                <c:pt idx="4">
                  <c:v>80</c:v>
                </c:pt>
                <c:pt idx="5">
                  <c:v>80</c:v>
                </c:pt>
                <c:pt idx="6">
                  <c:v>82</c:v>
                </c:pt>
                <c:pt idx="7">
                  <c:v>86</c:v>
                </c:pt>
                <c:pt idx="8">
                  <c:v>83</c:v>
                </c:pt>
                <c:pt idx="9">
                  <c:v>84</c:v>
                </c:pt>
                <c:pt idx="10">
                  <c:v>73</c:v>
                </c:pt>
                <c:pt idx="11">
                  <c:v>74</c:v>
                </c:pt>
                <c:pt idx="12">
                  <c:v>77</c:v>
                </c:pt>
                <c:pt idx="13">
                  <c:v>69</c:v>
                </c:pt>
                <c:pt idx="14">
                  <c:v>70</c:v>
                </c:pt>
                <c:pt idx="15">
                  <c:v>83</c:v>
                </c:pt>
                <c:pt idx="16">
                  <c:v>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D5B-4BF5-9E3D-7463DC298376}"/>
            </c:ext>
          </c:extLst>
        </c:ser>
        <c:ser>
          <c:idx val="1"/>
          <c:order val="1"/>
          <c:tx>
            <c:strRef>
              <c:f>'SISTEMA 02 SINTAM 90 GIALLO'!$A$22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GIALLO'!$B$22:$R$22</c:f>
              <c:numCache>
                <c:formatCode>0.0</c:formatCode>
                <c:ptCount val="17"/>
                <c:pt idx="0">
                  <c:v>78.941176470588232</c:v>
                </c:pt>
                <c:pt idx="1">
                  <c:v>78.941176470588232</c:v>
                </c:pt>
                <c:pt idx="2">
                  <c:v>78.941176470588232</c:v>
                </c:pt>
                <c:pt idx="3">
                  <c:v>78.941176470588232</c:v>
                </c:pt>
                <c:pt idx="4">
                  <c:v>78.941176470588232</c:v>
                </c:pt>
                <c:pt idx="5">
                  <c:v>78.941176470588232</c:v>
                </c:pt>
                <c:pt idx="6">
                  <c:v>78.941176470588232</c:v>
                </c:pt>
                <c:pt idx="7">
                  <c:v>78.941176470588232</c:v>
                </c:pt>
                <c:pt idx="8">
                  <c:v>78.941176470588232</c:v>
                </c:pt>
                <c:pt idx="9">
                  <c:v>78.941176470588232</c:v>
                </c:pt>
                <c:pt idx="10">
                  <c:v>78.941176470588232</c:v>
                </c:pt>
                <c:pt idx="11">
                  <c:v>78.941176470588232</c:v>
                </c:pt>
                <c:pt idx="12">
                  <c:v>78.941176470588232</c:v>
                </c:pt>
                <c:pt idx="13">
                  <c:v>78.941176470588232</c:v>
                </c:pt>
                <c:pt idx="14">
                  <c:v>78.941176470588232</c:v>
                </c:pt>
                <c:pt idx="15">
                  <c:v>78.941176470588232</c:v>
                </c:pt>
                <c:pt idx="16">
                  <c:v>78.941176470588232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C2-452C-AC43-48EF254C9225}"/>
            </c:ext>
          </c:extLst>
        </c:ser>
        <c:ser>
          <c:idx val="2"/>
          <c:order val="2"/>
          <c:tx>
            <c:strRef>
              <c:f>'SISTEMA 02 SINTAM 90 GIALLO'!$A$23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GIALLO'!$B$23:$R$23</c:f>
              <c:numCache>
                <c:formatCode>0.0</c:formatCode>
                <c:ptCount val="17"/>
                <c:pt idx="0">
                  <c:v>71.047058823529412</c:v>
                </c:pt>
                <c:pt idx="1">
                  <c:v>71.047058823529412</c:v>
                </c:pt>
                <c:pt idx="2">
                  <c:v>71.047058823529412</c:v>
                </c:pt>
                <c:pt idx="3">
                  <c:v>71.047058823529412</c:v>
                </c:pt>
                <c:pt idx="4">
                  <c:v>71.047058823529412</c:v>
                </c:pt>
                <c:pt idx="5">
                  <c:v>71.047058823529412</c:v>
                </c:pt>
                <c:pt idx="6">
                  <c:v>71.047058823529412</c:v>
                </c:pt>
                <c:pt idx="7">
                  <c:v>71.047058823529412</c:v>
                </c:pt>
                <c:pt idx="8">
                  <c:v>71.047058823529412</c:v>
                </c:pt>
                <c:pt idx="9">
                  <c:v>71.047058823529412</c:v>
                </c:pt>
                <c:pt idx="10">
                  <c:v>71.047058823529412</c:v>
                </c:pt>
                <c:pt idx="11">
                  <c:v>71.047058823529412</c:v>
                </c:pt>
                <c:pt idx="12">
                  <c:v>71.047058823529412</c:v>
                </c:pt>
                <c:pt idx="13">
                  <c:v>71.047058823529412</c:v>
                </c:pt>
                <c:pt idx="14">
                  <c:v>71.047058823529412</c:v>
                </c:pt>
                <c:pt idx="15">
                  <c:v>71.047058823529412</c:v>
                </c:pt>
                <c:pt idx="16">
                  <c:v>71.047058823529412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FC2-452C-AC43-48EF254C9225}"/>
            </c:ext>
          </c:extLst>
        </c:ser>
        <c:ser>
          <c:idx val="3"/>
          <c:order val="3"/>
          <c:tx>
            <c:strRef>
              <c:f>'SISTEMA 02 SINTAM 90 GIALLO'!$A$24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GIALLO'!$B$24:$R$24</c:f>
              <c:numCache>
                <c:formatCode>0.0</c:formatCode>
                <c:ptCount val="17"/>
                <c:pt idx="0">
                  <c:v>86.834926470588229</c:v>
                </c:pt>
                <c:pt idx="1">
                  <c:v>86.834926470588229</c:v>
                </c:pt>
                <c:pt idx="2">
                  <c:v>86.834926470588229</c:v>
                </c:pt>
                <c:pt idx="3">
                  <c:v>86.834926470588229</c:v>
                </c:pt>
                <c:pt idx="4">
                  <c:v>86.834926470588229</c:v>
                </c:pt>
                <c:pt idx="5">
                  <c:v>86.834926470588229</c:v>
                </c:pt>
                <c:pt idx="6">
                  <c:v>86.834926470588229</c:v>
                </c:pt>
                <c:pt idx="7">
                  <c:v>86.834926470588229</c:v>
                </c:pt>
                <c:pt idx="8">
                  <c:v>86.834926470588229</c:v>
                </c:pt>
                <c:pt idx="9">
                  <c:v>86.834926470588229</c:v>
                </c:pt>
                <c:pt idx="10">
                  <c:v>86.834926470588229</c:v>
                </c:pt>
                <c:pt idx="11">
                  <c:v>86.834926470588229</c:v>
                </c:pt>
                <c:pt idx="12">
                  <c:v>86.834926470588229</c:v>
                </c:pt>
                <c:pt idx="13">
                  <c:v>86.834926470588229</c:v>
                </c:pt>
                <c:pt idx="14">
                  <c:v>86.834926470588229</c:v>
                </c:pt>
                <c:pt idx="15">
                  <c:v>86.834926470588229</c:v>
                </c:pt>
                <c:pt idx="16">
                  <c:v>86.834926470588229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FC2-452C-AC43-48EF254C9225}"/>
            </c:ext>
          </c:extLst>
        </c:ser>
        <c:ser>
          <c:idx val="4"/>
          <c:order val="4"/>
          <c:tx>
            <c:strRef>
              <c:f>'SISTEMA 02 SINTAM 90 GIALLO'!$A$25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GIALLO'!$B$25:$R$25</c:f>
              <c:numCache>
                <c:formatCode>0.0</c:formatCode>
                <c:ptCount val="17"/>
                <c:pt idx="0">
                  <c:v>63.152941176470591</c:v>
                </c:pt>
                <c:pt idx="1">
                  <c:v>63.152941176470591</c:v>
                </c:pt>
                <c:pt idx="2">
                  <c:v>63.152941176470591</c:v>
                </c:pt>
                <c:pt idx="3">
                  <c:v>63.152941176470591</c:v>
                </c:pt>
                <c:pt idx="4">
                  <c:v>63.152941176470591</c:v>
                </c:pt>
                <c:pt idx="5">
                  <c:v>63.152941176470591</c:v>
                </c:pt>
                <c:pt idx="6">
                  <c:v>63.152941176470591</c:v>
                </c:pt>
                <c:pt idx="7">
                  <c:v>63.152941176470591</c:v>
                </c:pt>
                <c:pt idx="8">
                  <c:v>63.152941176470591</c:v>
                </c:pt>
                <c:pt idx="9">
                  <c:v>63.152941176470591</c:v>
                </c:pt>
                <c:pt idx="10">
                  <c:v>63.152941176470591</c:v>
                </c:pt>
                <c:pt idx="11">
                  <c:v>63.152941176470591</c:v>
                </c:pt>
                <c:pt idx="12">
                  <c:v>63.152941176470591</c:v>
                </c:pt>
                <c:pt idx="13">
                  <c:v>63.152941176470591</c:v>
                </c:pt>
                <c:pt idx="14">
                  <c:v>63.152941176470591</c:v>
                </c:pt>
                <c:pt idx="15">
                  <c:v>63.152941176470591</c:v>
                </c:pt>
                <c:pt idx="16">
                  <c:v>63.152941176470591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A2-4C19-ABCD-756D3ED861A4}"/>
            </c:ext>
          </c:extLst>
        </c:ser>
        <c:ser>
          <c:idx val="5"/>
          <c:order val="5"/>
          <c:tx>
            <c:strRef>
              <c:f>'SISTEMA 02 SINTAM 90 GIALLO'!$A$26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GIALLO'!$B$26:$R$26</c:f>
              <c:numCache>
                <c:formatCode>0.0</c:formatCode>
                <c:ptCount val="17"/>
                <c:pt idx="0">
                  <c:v>94.728676470588226</c:v>
                </c:pt>
                <c:pt idx="1">
                  <c:v>94.728676470588226</c:v>
                </c:pt>
                <c:pt idx="2">
                  <c:v>94.728676470588226</c:v>
                </c:pt>
                <c:pt idx="3">
                  <c:v>94.728676470588226</c:v>
                </c:pt>
                <c:pt idx="4">
                  <c:v>94.728676470588226</c:v>
                </c:pt>
                <c:pt idx="5">
                  <c:v>94.728676470588226</c:v>
                </c:pt>
                <c:pt idx="6">
                  <c:v>94.728676470588226</c:v>
                </c:pt>
                <c:pt idx="7">
                  <c:v>94.728676470588226</c:v>
                </c:pt>
                <c:pt idx="8">
                  <c:v>94.728676470588226</c:v>
                </c:pt>
                <c:pt idx="9">
                  <c:v>94.728676470588226</c:v>
                </c:pt>
                <c:pt idx="10">
                  <c:v>94.728676470588226</c:v>
                </c:pt>
                <c:pt idx="11">
                  <c:v>94.728676470588226</c:v>
                </c:pt>
                <c:pt idx="12">
                  <c:v>94.728676470588226</c:v>
                </c:pt>
                <c:pt idx="13">
                  <c:v>94.728676470588226</c:v>
                </c:pt>
                <c:pt idx="14">
                  <c:v>94.728676470588226</c:v>
                </c:pt>
                <c:pt idx="15">
                  <c:v>94.728676470588226</c:v>
                </c:pt>
                <c:pt idx="16">
                  <c:v>94.728676470588226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A2-4C19-ABCD-756D3ED861A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957184"/>
        <c:axId val="180958720"/>
      </c:lineChart>
      <c:catAx>
        <c:axId val="180957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58720"/>
        <c:crosses val="autoZero"/>
        <c:auto val="1"/>
        <c:lblAlgn val="ctr"/>
        <c:lblOffset val="100"/>
        <c:noMultiLvlLbl val="0"/>
      </c:catAx>
      <c:valAx>
        <c:axId val="1809587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957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C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GIALLO'!$B$28:$R$28</c:f>
              <c:numCache>
                <c:formatCode>General</c:formatCode>
                <c:ptCount val="17"/>
                <c:pt idx="0">
                  <c:v>99</c:v>
                </c:pt>
                <c:pt idx="1">
                  <c:v>102</c:v>
                </c:pt>
                <c:pt idx="2">
                  <c:v>97</c:v>
                </c:pt>
                <c:pt idx="3">
                  <c:v>109</c:v>
                </c:pt>
                <c:pt idx="4">
                  <c:v>99</c:v>
                </c:pt>
                <c:pt idx="5">
                  <c:v>95</c:v>
                </c:pt>
                <c:pt idx="6">
                  <c:v>100</c:v>
                </c:pt>
                <c:pt idx="7">
                  <c:v>107</c:v>
                </c:pt>
                <c:pt idx="8">
                  <c:v>102</c:v>
                </c:pt>
                <c:pt idx="9">
                  <c:v>99</c:v>
                </c:pt>
                <c:pt idx="10">
                  <c:v>94</c:v>
                </c:pt>
                <c:pt idx="11">
                  <c:v>90</c:v>
                </c:pt>
                <c:pt idx="12">
                  <c:v>87</c:v>
                </c:pt>
                <c:pt idx="13">
                  <c:v>95</c:v>
                </c:pt>
                <c:pt idx="14">
                  <c:v>96</c:v>
                </c:pt>
                <c:pt idx="15">
                  <c:v>109</c:v>
                </c:pt>
                <c:pt idx="16">
                  <c:v>112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BE4-409D-B687-CF323B1F11D3}"/>
            </c:ext>
          </c:extLst>
        </c:ser>
        <c:ser>
          <c:idx val="1"/>
          <c:order val="1"/>
          <c:tx>
            <c:strRef>
              <c:f>'SISTEMA 02 SINTAM 90 GIALLO'!$A$29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GIALLO'!$B$29:$R$29</c:f>
              <c:numCache>
                <c:formatCode>0.0</c:formatCode>
                <c:ptCount val="17"/>
                <c:pt idx="0">
                  <c:v>99.529411764705884</c:v>
                </c:pt>
                <c:pt idx="1">
                  <c:v>99.529411764705884</c:v>
                </c:pt>
                <c:pt idx="2">
                  <c:v>99.529411764705884</c:v>
                </c:pt>
                <c:pt idx="3">
                  <c:v>99.529411764705884</c:v>
                </c:pt>
                <c:pt idx="4">
                  <c:v>99.529411764705884</c:v>
                </c:pt>
                <c:pt idx="5">
                  <c:v>99.529411764705884</c:v>
                </c:pt>
                <c:pt idx="6">
                  <c:v>99.529411764705884</c:v>
                </c:pt>
                <c:pt idx="7">
                  <c:v>99.529411764705884</c:v>
                </c:pt>
                <c:pt idx="8">
                  <c:v>99.529411764705884</c:v>
                </c:pt>
                <c:pt idx="9">
                  <c:v>99.529411764705884</c:v>
                </c:pt>
                <c:pt idx="10">
                  <c:v>99.529411764705884</c:v>
                </c:pt>
                <c:pt idx="11">
                  <c:v>99.529411764705884</c:v>
                </c:pt>
                <c:pt idx="12">
                  <c:v>99.529411764705884</c:v>
                </c:pt>
                <c:pt idx="13">
                  <c:v>99.529411764705884</c:v>
                </c:pt>
                <c:pt idx="14">
                  <c:v>99.529411764705884</c:v>
                </c:pt>
                <c:pt idx="15">
                  <c:v>99.529411764705884</c:v>
                </c:pt>
                <c:pt idx="16">
                  <c:v>99.529411764705884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8F-4A43-88E4-33AF66B12F57}"/>
            </c:ext>
          </c:extLst>
        </c:ser>
        <c:ser>
          <c:idx val="2"/>
          <c:order val="2"/>
          <c:tx>
            <c:strRef>
              <c:f>'SISTEMA 02 SINTAM 90 GIALLO'!$A$30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GIALLO'!$B$30:$R$30</c:f>
              <c:numCache>
                <c:formatCode>0.0</c:formatCode>
                <c:ptCount val="17"/>
                <c:pt idx="0">
                  <c:v>89.576470588235296</c:v>
                </c:pt>
                <c:pt idx="1">
                  <c:v>89.576470588235296</c:v>
                </c:pt>
                <c:pt idx="2">
                  <c:v>89.576470588235296</c:v>
                </c:pt>
                <c:pt idx="3">
                  <c:v>89.576470588235296</c:v>
                </c:pt>
                <c:pt idx="4">
                  <c:v>89.576470588235296</c:v>
                </c:pt>
                <c:pt idx="5">
                  <c:v>89.576470588235296</c:v>
                </c:pt>
                <c:pt idx="6">
                  <c:v>89.576470588235296</c:v>
                </c:pt>
                <c:pt idx="7">
                  <c:v>89.576470588235296</c:v>
                </c:pt>
                <c:pt idx="8">
                  <c:v>89.576470588235296</c:v>
                </c:pt>
                <c:pt idx="9">
                  <c:v>89.576470588235296</c:v>
                </c:pt>
                <c:pt idx="10">
                  <c:v>89.576470588235296</c:v>
                </c:pt>
                <c:pt idx="11">
                  <c:v>89.576470588235296</c:v>
                </c:pt>
                <c:pt idx="12">
                  <c:v>89.576470588235296</c:v>
                </c:pt>
                <c:pt idx="13">
                  <c:v>89.576470588235296</c:v>
                </c:pt>
                <c:pt idx="14">
                  <c:v>89.576470588235296</c:v>
                </c:pt>
                <c:pt idx="15">
                  <c:v>89.576470588235296</c:v>
                </c:pt>
                <c:pt idx="16">
                  <c:v>89.576470588235296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8F-4A43-88E4-33AF66B12F57}"/>
            </c:ext>
          </c:extLst>
        </c:ser>
        <c:ser>
          <c:idx val="3"/>
          <c:order val="3"/>
          <c:tx>
            <c:strRef>
              <c:f>'SISTEMA 02 SINTAM 90 GIALLO'!$A$31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GIALLO'!$B$31:$R$31</c:f>
              <c:numCache>
                <c:formatCode>0.0</c:formatCode>
                <c:ptCount val="17"/>
                <c:pt idx="0">
                  <c:v>109.40441176470588</c:v>
                </c:pt>
                <c:pt idx="1">
                  <c:v>109.40441176470588</c:v>
                </c:pt>
                <c:pt idx="2">
                  <c:v>109.40441176470588</c:v>
                </c:pt>
                <c:pt idx="3">
                  <c:v>109.40441176470588</c:v>
                </c:pt>
                <c:pt idx="4">
                  <c:v>109.40441176470588</c:v>
                </c:pt>
                <c:pt idx="5">
                  <c:v>109.40441176470588</c:v>
                </c:pt>
                <c:pt idx="6">
                  <c:v>109.40441176470588</c:v>
                </c:pt>
                <c:pt idx="7">
                  <c:v>109.40441176470588</c:v>
                </c:pt>
                <c:pt idx="8">
                  <c:v>109.40441176470588</c:v>
                </c:pt>
                <c:pt idx="9">
                  <c:v>109.40441176470588</c:v>
                </c:pt>
                <c:pt idx="10">
                  <c:v>109.40441176470588</c:v>
                </c:pt>
                <c:pt idx="11">
                  <c:v>109.40441176470588</c:v>
                </c:pt>
                <c:pt idx="12">
                  <c:v>109.40441176470588</c:v>
                </c:pt>
                <c:pt idx="13">
                  <c:v>109.40441176470588</c:v>
                </c:pt>
                <c:pt idx="14">
                  <c:v>109.40441176470588</c:v>
                </c:pt>
                <c:pt idx="15">
                  <c:v>109.40441176470588</c:v>
                </c:pt>
                <c:pt idx="16">
                  <c:v>109.40441176470588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8F-4A43-88E4-33AF66B12F57}"/>
            </c:ext>
          </c:extLst>
        </c:ser>
        <c:ser>
          <c:idx val="4"/>
          <c:order val="4"/>
          <c:tx>
            <c:strRef>
              <c:f>'SISTEMA 02 SINTAM 90 GIALLO'!$A$32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GIALLO'!$B$32:$R$32</c:f>
              <c:numCache>
                <c:formatCode>0.0</c:formatCode>
                <c:ptCount val="17"/>
                <c:pt idx="0">
                  <c:v>79.623529411764707</c:v>
                </c:pt>
                <c:pt idx="1">
                  <c:v>79.623529411764707</c:v>
                </c:pt>
                <c:pt idx="2">
                  <c:v>79.623529411764707</c:v>
                </c:pt>
                <c:pt idx="3">
                  <c:v>79.623529411764707</c:v>
                </c:pt>
                <c:pt idx="4">
                  <c:v>79.623529411764707</c:v>
                </c:pt>
                <c:pt idx="5">
                  <c:v>79.623529411764707</c:v>
                </c:pt>
                <c:pt idx="6">
                  <c:v>79.623529411764707</c:v>
                </c:pt>
                <c:pt idx="7">
                  <c:v>79.623529411764707</c:v>
                </c:pt>
                <c:pt idx="8">
                  <c:v>79.623529411764707</c:v>
                </c:pt>
                <c:pt idx="9">
                  <c:v>79.623529411764707</c:v>
                </c:pt>
                <c:pt idx="10">
                  <c:v>79.623529411764707</c:v>
                </c:pt>
                <c:pt idx="11">
                  <c:v>79.623529411764707</c:v>
                </c:pt>
                <c:pt idx="12">
                  <c:v>79.623529411764707</c:v>
                </c:pt>
                <c:pt idx="13">
                  <c:v>79.623529411764707</c:v>
                </c:pt>
                <c:pt idx="14">
                  <c:v>79.623529411764707</c:v>
                </c:pt>
                <c:pt idx="15">
                  <c:v>79.623529411764707</c:v>
                </c:pt>
                <c:pt idx="16">
                  <c:v>79.623529411764707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02-42C2-BFE6-67B5C11BAA78}"/>
            </c:ext>
          </c:extLst>
        </c:ser>
        <c:ser>
          <c:idx val="5"/>
          <c:order val="5"/>
          <c:tx>
            <c:strRef>
              <c:f>'SISTEMA 02 SINTAM 90 GIALLO'!$A$33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GIALLO'!$B$33:$R$33</c:f>
              <c:numCache>
                <c:formatCode>0.0</c:formatCode>
                <c:ptCount val="17"/>
                <c:pt idx="0">
                  <c:v>119.27941176470588</c:v>
                </c:pt>
                <c:pt idx="1">
                  <c:v>119.27941176470588</c:v>
                </c:pt>
                <c:pt idx="2">
                  <c:v>119.27941176470588</c:v>
                </c:pt>
                <c:pt idx="3">
                  <c:v>119.27941176470588</c:v>
                </c:pt>
                <c:pt idx="4">
                  <c:v>119.27941176470588</c:v>
                </c:pt>
                <c:pt idx="5">
                  <c:v>119.27941176470588</c:v>
                </c:pt>
                <c:pt idx="6">
                  <c:v>119.27941176470588</c:v>
                </c:pt>
                <c:pt idx="7">
                  <c:v>119.27941176470588</c:v>
                </c:pt>
                <c:pt idx="8">
                  <c:v>119.27941176470588</c:v>
                </c:pt>
                <c:pt idx="9">
                  <c:v>119.27941176470588</c:v>
                </c:pt>
                <c:pt idx="10">
                  <c:v>119.27941176470588</c:v>
                </c:pt>
                <c:pt idx="11">
                  <c:v>119.27941176470588</c:v>
                </c:pt>
                <c:pt idx="12">
                  <c:v>119.27941176470588</c:v>
                </c:pt>
                <c:pt idx="13">
                  <c:v>119.27941176470588</c:v>
                </c:pt>
                <c:pt idx="14">
                  <c:v>119.27941176470588</c:v>
                </c:pt>
                <c:pt idx="15">
                  <c:v>119.27941176470588</c:v>
                </c:pt>
                <c:pt idx="16">
                  <c:v>119.27941176470588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02-42C2-BFE6-67B5C11BAA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089024"/>
        <c:axId val="181090560"/>
      </c:lineChart>
      <c:catAx>
        <c:axId val="18108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90560"/>
        <c:crosses val="autoZero"/>
        <c:auto val="1"/>
        <c:lblAlgn val="ctr"/>
        <c:lblOffset val="100"/>
        <c:noMultiLvlLbl val="0"/>
      </c:catAx>
      <c:valAx>
        <c:axId val="181090560"/>
        <c:scaling>
          <c:orientation val="minMax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089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ABRASIONE [mg]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02 SINTAM 90 GIALLO'!$A$35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GIALLO'!$B$35:$R$35</c:f>
              <c:numCache>
                <c:formatCode>General</c:formatCode>
                <c:ptCount val="17"/>
                <c:pt idx="0">
                  <c:v>31</c:v>
                </c:pt>
                <c:pt idx="1">
                  <c:v>25</c:v>
                </c:pt>
                <c:pt idx="2">
                  <c:v>27</c:v>
                </c:pt>
                <c:pt idx="3">
                  <c:v>36</c:v>
                </c:pt>
                <c:pt idx="4">
                  <c:v>30</c:v>
                </c:pt>
                <c:pt idx="5">
                  <c:v>27</c:v>
                </c:pt>
                <c:pt idx="6">
                  <c:v>22</c:v>
                </c:pt>
                <c:pt idx="7">
                  <c:v>17</c:v>
                </c:pt>
                <c:pt idx="8">
                  <c:v>15</c:v>
                </c:pt>
                <c:pt idx="9">
                  <c:v>30</c:v>
                </c:pt>
                <c:pt idx="10">
                  <c:v>30</c:v>
                </c:pt>
                <c:pt idx="11">
                  <c:v>29</c:v>
                </c:pt>
                <c:pt idx="12">
                  <c:v>37</c:v>
                </c:pt>
                <c:pt idx="13">
                  <c:v>23</c:v>
                </c:pt>
                <c:pt idx="14">
                  <c:v>19</c:v>
                </c:pt>
                <c:pt idx="15">
                  <c:v>19</c:v>
                </c:pt>
                <c:pt idx="16">
                  <c:v>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765-418E-BF55-8C7CBEAFB462}"/>
            </c:ext>
          </c:extLst>
        </c:ser>
        <c:ser>
          <c:idx val="1"/>
          <c:order val="1"/>
          <c:tx>
            <c:strRef>
              <c:f>'SISTEMA 02 SINTAM 90 GIALLO'!$A$36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GIALLO'!$B$36:$R$36</c:f>
              <c:numCache>
                <c:formatCode>0.0</c:formatCode>
                <c:ptCount val="17"/>
                <c:pt idx="0">
                  <c:v>26.941176470588236</c:v>
                </c:pt>
                <c:pt idx="1">
                  <c:v>26.941176470588236</c:v>
                </c:pt>
                <c:pt idx="2">
                  <c:v>26.941176470588236</c:v>
                </c:pt>
                <c:pt idx="3">
                  <c:v>26.941176470588236</c:v>
                </c:pt>
                <c:pt idx="4">
                  <c:v>26.941176470588236</c:v>
                </c:pt>
                <c:pt idx="5">
                  <c:v>26.941176470588236</c:v>
                </c:pt>
                <c:pt idx="6">
                  <c:v>26.941176470588236</c:v>
                </c:pt>
                <c:pt idx="7">
                  <c:v>26.941176470588236</c:v>
                </c:pt>
                <c:pt idx="8">
                  <c:v>26.941176470588236</c:v>
                </c:pt>
                <c:pt idx="9">
                  <c:v>26.941176470588236</c:v>
                </c:pt>
                <c:pt idx="10">
                  <c:v>26.941176470588236</c:v>
                </c:pt>
                <c:pt idx="11">
                  <c:v>26.941176470588236</c:v>
                </c:pt>
                <c:pt idx="12">
                  <c:v>26.941176470588236</c:v>
                </c:pt>
                <c:pt idx="13">
                  <c:v>26.941176470588236</c:v>
                </c:pt>
                <c:pt idx="14">
                  <c:v>26.941176470588236</c:v>
                </c:pt>
                <c:pt idx="15">
                  <c:v>26.941176470588236</c:v>
                </c:pt>
                <c:pt idx="16">
                  <c:v>26.941176470588236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61-40FF-B6AA-37546C461AEC}"/>
            </c:ext>
          </c:extLst>
        </c:ser>
        <c:ser>
          <c:idx val="2"/>
          <c:order val="2"/>
          <c:tx>
            <c:strRef>
              <c:f>'SISTEMA 02 SINTAM 90 GIALLO'!$A$37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GIALLO'!$B$37:$R$37</c:f>
              <c:numCache>
                <c:formatCode>0.0</c:formatCode>
                <c:ptCount val="17"/>
                <c:pt idx="0">
                  <c:v>24.247058823529411</c:v>
                </c:pt>
                <c:pt idx="1">
                  <c:v>24.247058823529411</c:v>
                </c:pt>
                <c:pt idx="2">
                  <c:v>24.247058823529411</c:v>
                </c:pt>
                <c:pt idx="3">
                  <c:v>24.247058823529411</c:v>
                </c:pt>
                <c:pt idx="4">
                  <c:v>24.247058823529411</c:v>
                </c:pt>
                <c:pt idx="5">
                  <c:v>24.247058823529411</c:v>
                </c:pt>
                <c:pt idx="6">
                  <c:v>24.247058823529411</c:v>
                </c:pt>
                <c:pt idx="7">
                  <c:v>24.247058823529411</c:v>
                </c:pt>
                <c:pt idx="8">
                  <c:v>24.247058823529411</c:v>
                </c:pt>
                <c:pt idx="9">
                  <c:v>24.247058823529411</c:v>
                </c:pt>
                <c:pt idx="10">
                  <c:v>24.247058823529411</c:v>
                </c:pt>
                <c:pt idx="11">
                  <c:v>24.247058823529411</c:v>
                </c:pt>
                <c:pt idx="12">
                  <c:v>24.247058823529411</c:v>
                </c:pt>
                <c:pt idx="13">
                  <c:v>24.247058823529411</c:v>
                </c:pt>
                <c:pt idx="14">
                  <c:v>24.247058823529411</c:v>
                </c:pt>
                <c:pt idx="15">
                  <c:v>24.247058823529411</c:v>
                </c:pt>
                <c:pt idx="16">
                  <c:v>24.247058823529411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1-40FF-B6AA-37546C461AEC}"/>
            </c:ext>
          </c:extLst>
        </c:ser>
        <c:ser>
          <c:idx val="3"/>
          <c:order val="3"/>
          <c:tx>
            <c:strRef>
              <c:f>'SISTEMA 02 SINTAM 90 GIALLO'!$A$38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GIALLO'!$B$38:$R$38</c:f>
              <c:numCache>
                <c:formatCode>0.0</c:formatCode>
                <c:ptCount val="17"/>
                <c:pt idx="0">
                  <c:v>29.63529411764706</c:v>
                </c:pt>
                <c:pt idx="1">
                  <c:v>29.63529411764706</c:v>
                </c:pt>
                <c:pt idx="2">
                  <c:v>29.63529411764706</c:v>
                </c:pt>
                <c:pt idx="3">
                  <c:v>29.63529411764706</c:v>
                </c:pt>
                <c:pt idx="4">
                  <c:v>29.63529411764706</c:v>
                </c:pt>
                <c:pt idx="5">
                  <c:v>29.63529411764706</c:v>
                </c:pt>
                <c:pt idx="6">
                  <c:v>29.63529411764706</c:v>
                </c:pt>
                <c:pt idx="7">
                  <c:v>29.63529411764706</c:v>
                </c:pt>
                <c:pt idx="8">
                  <c:v>29.63529411764706</c:v>
                </c:pt>
                <c:pt idx="9">
                  <c:v>29.63529411764706</c:v>
                </c:pt>
                <c:pt idx="10">
                  <c:v>29.63529411764706</c:v>
                </c:pt>
                <c:pt idx="11">
                  <c:v>29.63529411764706</c:v>
                </c:pt>
                <c:pt idx="12">
                  <c:v>29.63529411764706</c:v>
                </c:pt>
                <c:pt idx="13">
                  <c:v>29.63529411764706</c:v>
                </c:pt>
                <c:pt idx="14">
                  <c:v>29.63529411764706</c:v>
                </c:pt>
                <c:pt idx="15">
                  <c:v>29.63529411764706</c:v>
                </c:pt>
                <c:pt idx="16">
                  <c:v>29.63529411764706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A61-40FF-B6AA-37546C461AEC}"/>
            </c:ext>
          </c:extLst>
        </c:ser>
        <c:ser>
          <c:idx val="4"/>
          <c:order val="4"/>
          <c:tx>
            <c:strRef>
              <c:f>'SISTEMA 02 SINTAM 90 GIALLO'!$A$39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GIALLO'!$B$39:$R$39</c:f>
              <c:numCache>
                <c:formatCode>0.0</c:formatCode>
                <c:ptCount val="17"/>
                <c:pt idx="0">
                  <c:v>21.55294117647059</c:v>
                </c:pt>
                <c:pt idx="1">
                  <c:v>21.55294117647059</c:v>
                </c:pt>
                <c:pt idx="2">
                  <c:v>21.55294117647059</c:v>
                </c:pt>
                <c:pt idx="3">
                  <c:v>21.55294117647059</c:v>
                </c:pt>
                <c:pt idx="4">
                  <c:v>21.55294117647059</c:v>
                </c:pt>
                <c:pt idx="5">
                  <c:v>21.55294117647059</c:v>
                </c:pt>
                <c:pt idx="6">
                  <c:v>21.55294117647059</c:v>
                </c:pt>
                <c:pt idx="7">
                  <c:v>21.55294117647059</c:v>
                </c:pt>
                <c:pt idx="8">
                  <c:v>21.55294117647059</c:v>
                </c:pt>
                <c:pt idx="9">
                  <c:v>21.55294117647059</c:v>
                </c:pt>
                <c:pt idx="10">
                  <c:v>21.55294117647059</c:v>
                </c:pt>
                <c:pt idx="11">
                  <c:v>21.55294117647059</c:v>
                </c:pt>
                <c:pt idx="12">
                  <c:v>21.55294117647059</c:v>
                </c:pt>
                <c:pt idx="13">
                  <c:v>21.55294117647059</c:v>
                </c:pt>
                <c:pt idx="14">
                  <c:v>21.55294117647059</c:v>
                </c:pt>
                <c:pt idx="15">
                  <c:v>21.55294117647059</c:v>
                </c:pt>
                <c:pt idx="16">
                  <c:v>21.55294117647059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DA-4E7E-9F6E-B6436C4066CE}"/>
            </c:ext>
          </c:extLst>
        </c:ser>
        <c:ser>
          <c:idx val="5"/>
          <c:order val="5"/>
          <c:tx>
            <c:strRef>
              <c:f>'SISTEMA 02 SINTAM 90 GIALLO'!$A$40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02 SINTAM 90 GIALLO'!$B$1:$R$1</c:f>
              <c:strCache>
                <c:ptCount val="17"/>
                <c:pt idx="0">
                  <c:v>22/01/2021</c:v>
                </c:pt>
                <c:pt idx="1">
                  <c:v>18/02/2021</c:v>
                </c:pt>
                <c:pt idx="2">
                  <c:v>19/04/2021</c:v>
                </c:pt>
                <c:pt idx="3">
                  <c:v>27/07/2021</c:v>
                </c:pt>
                <c:pt idx="4">
                  <c:v>02/11/2021</c:v>
                </c:pt>
                <c:pt idx="5">
                  <c:v>28/01/2022</c:v>
                </c:pt>
                <c:pt idx="6">
                  <c:v>19/09/2022</c:v>
                </c:pt>
                <c:pt idx="7">
                  <c:v>21/02/2023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02 SINTAM 90 GIALLO'!$B$40:$R$40</c:f>
              <c:numCache>
                <c:formatCode>0.0</c:formatCode>
                <c:ptCount val="17"/>
                <c:pt idx="0">
                  <c:v>32.329411764705881</c:v>
                </c:pt>
                <c:pt idx="1">
                  <c:v>32.329411764705881</c:v>
                </c:pt>
                <c:pt idx="2">
                  <c:v>32.329411764705881</c:v>
                </c:pt>
                <c:pt idx="3">
                  <c:v>32.329411764705881</c:v>
                </c:pt>
                <c:pt idx="4">
                  <c:v>32.329411764705881</c:v>
                </c:pt>
                <c:pt idx="5">
                  <c:v>32.329411764705881</c:v>
                </c:pt>
                <c:pt idx="6">
                  <c:v>32.329411764705881</c:v>
                </c:pt>
                <c:pt idx="7">
                  <c:v>32.329411764705881</c:v>
                </c:pt>
                <c:pt idx="8">
                  <c:v>32.329411764705881</c:v>
                </c:pt>
                <c:pt idx="9">
                  <c:v>32.329411764705881</c:v>
                </c:pt>
                <c:pt idx="10">
                  <c:v>32.329411764705881</c:v>
                </c:pt>
                <c:pt idx="11">
                  <c:v>32.329411764705881</c:v>
                </c:pt>
                <c:pt idx="12">
                  <c:v>32.329411764705881</c:v>
                </c:pt>
                <c:pt idx="13">
                  <c:v>32.329411764705881</c:v>
                </c:pt>
                <c:pt idx="14">
                  <c:v>32.329411764705881</c:v>
                </c:pt>
                <c:pt idx="15">
                  <c:v>32.329411764705881</c:v>
                </c:pt>
                <c:pt idx="16">
                  <c:v>32.329411764705881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DA-4E7E-9F6E-B6436C4066C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233920"/>
        <c:axId val="181243904"/>
      </c:lineChart>
      <c:catAx>
        <c:axId val="181233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43904"/>
        <c:crosses val="max"/>
        <c:auto val="1"/>
        <c:lblAlgn val="ctr"/>
        <c:lblOffset val="100"/>
        <c:noMultiLvlLbl val="0"/>
      </c:catAx>
      <c:valAx>
        <c:axId val="181243904"/>
        <c:scaling>
          <c:orientation val="maxMin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233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AS'!$B$2:$R$2</c:f>
              <c:numCache>
                <c:formatCode>General</c:formatCode>
                <c:ptCount val="17"/>
                <c:pt idx="0">
                  <c:v>76</c:v>
                </c:pt>
                <c:pt idx="1">
                  <c:v>71</c:v>
                </c:pt>
                <c:pt idx="2">
                  <c:v>73</c:v>
                </c:pt>
                <c:pt idx="3">
                  <c:v>72</c:v>
                </c:pt>
                <c:pt idx="4">
                  <c:v>73</c:v>
                </c:pt>
                <c:pt idx="5">
                  <c:v>74</c:v>
                </c:pt>
                <c:pt idx="6">
                  <c:v>71</c:v>
                </c:pt>
                <c:pt idx="7">
                  <c:v>72</c:v>
                </c:pt>
                <c:pt idx="8">
                  <c:v>73</c:v>
                </c:pt>
                <c:pt idx="9">
                  <c:v>72</c:v>
                </c:pt>
                <c:pt idx="10">
                  <c:v>65</c:v>
                </c:pt>
                <c:pt idx="11">
                  <c:v>70</c:v>
                </c:pt>
                <c:pt idx="12">
                  <c:v>74</c:v>
                </c:pt>
                <c:pt idx="13">
                  <c:v>75</c:v>
                </c:pt>
                <c:pt idx="14">
                  <c:v>72</c:v>
                </c:pt>
                <c:pt idx="15">
                  <c:v>70</c:v>
                </c:pt>
                <c:pt idx="16">
                  <c:v>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080-4796-B0A8-E396B5C1C140}"/>
            </c:ext>
          </c:extLst>
        </c:ser>
        <c:ser>
          <c:idx val="1"/>
          <c:order val="1"/>
          <c:tx>
            <c:strRef>
              <c:f>'SISTEMA 03 SINTAM 70 GIALLO AS'!$A$3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AS'!$B$3:$R$3</c:f>
              <c:numCache>
                <c:formatCode>0.00</c:formatCode>
                <c:ptCount val="17"/>
                <c:pt idx="0">
                  <c:v>72.117647058823536</c:v>
                </c:pt>
                <c:pt idx="1">
                  <c:v>72.117647058823536</c:v>
                </c:pt>
                <c:pt idx="2">
                  <c:v>72.117647058823536</c:v>
                </c:pt>
                <c:pt idx="3">
                  <c:v>72.117647058823536</c:v>
                </c:pt>
                <c:pt idx="4">
                  <c:v>72.117647058823536</c:v>
                </c:pt>
                <c:pt idx="5">
                  <c:v>72.117647058823536</c:v>
                </c:pt>
                <c:pt idx="6">
                  <c:v>72.117647058823536</c:v>
                </c:pt>
                <c:pt idx="7">
                  <c:v>72.117647058823536</c:v>
                </c:pt>
                <c:pt idx="8">
                  <c:v>72.117647058823536</c:v>
                </c:pt>
                <c:pt idx="9">
                  <c:v>72.117647058823536</c:v>
                </c:pt>
                <c:pt idx="10">
                  <c:v>72.117647058823536</c:v>
                </c:pt>
                <c:pt idx="11">
                  <c:v>72.117647058823536</c:v>
                </c:pt>
                <c:pt idx="12">
                  <c:v>72.117647058823536</c:v>
                </c:pt>
                <c:pt idx="13">
                  <c:v>72.117647058823536</c:v>
                </c:pt>
                <c:pt idx="14">
                  <c:v>72.117647058823536</c:v>
                </c:pt>
                <c:pt idx="15">
                  <c:v>72.117647058823536</c:v>
                </c:pt>
                <c:pt idx="16">
                  <c:v>72.117647058823536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08-4C5A-AE52-DE8723D2C5C0}"/>
            </c:ext>
          </c:extLst>
        </c:ser>
        <c:ser>
          <c:idx val="2"/>
          <c:order val="2"/>
          <c:tx>
            <c:strRef>
              <c:f>'SISTEMA 03 SINTAM 70 GIALLO AS'!$A$4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AS'!$B$4:$R$4</c:f>
              <c:numCache>
                <c:formatCode>0.00</c:formatCode>
                <c:ptCount val="17"/>
                <c:pt idx="0">
                  <c:v>70.117647058823536</c:v>
                </c:pt>
                <c:pt idx="1">
                  <c:v>70.117647058823536</c:v>
                </c:pt>
                <c:pt idx="2">
                  <c:v>70.117647058823536</c:v>
                </c:pt>
                <c:pt idx="3">
                  <c:v>70.117647058823536</c:v>
                </c:pt>
                <c:pt idx="4">
                  <c:v>70.117647058823536</c:v>
                </c:pt>
                <c:pt idx="5">
                  <c:v>70.117647058823536</c:v>
                </c:pt>
                <c:pt idx="6">
                  <c:v>70.117647058823536</c:v>
                </c:pt>
                <c:pt idx="7">
                  <c:v>70.117647058823536</c:v>
                </c:pt>
                <c:pt idx="8">
                  <c:v>70.117647058823536</c:v>
                </c:pt>
                <c:pt idx="9">
                  <c:v>70.117647058823536</c:v>
                </c:pt>
                <c:pt idx="10">
                  <c:v>70.117647058823536</c:v>
                </c:pt>
                <c:pt idx="11">
                  <c:v>70.117647058823536</c:v>
                </c:pt>
                <c:pt idx="12">
                  <c:v>70.117647058823536</c:v>
                </c:pt>
                <c:pt idx="13">
                  <c:v>70.117647058823536</c:v>
                </c:pt>
                <c:pt idx="14">
                  <c:v>70.117647058823536</c:v>
                </c:pt>
                <c:pt idx="15">
                  <c:v>70.117647058823536</c:v>
                </c:pt>
                <c:pt idx="16">
                  <c:v>70.117647058823536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F08-4C5A-AE52-DE8723D2C5C0}"/>
            </c:ext>
          </c:extLst>
        </c:ser>
        <c:ser>
          <c:idx val="3"/>
          <c:order val="3"/>
          <c:tx>
            <c:strRef>
              <c:f>'SISTEMA 03 SINTAM 70 GIALLO AS'!$A$5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AS'!$B$5:$R$5</c:f>
              <c:numCache>
                <c:formatCode>0.00</c:formatCode>
                <c:ptCount val="17"/>
                <c:pt idx="0">
                  <c:v>74.117647058823536</c:v>
                </c:pt>
                <c:pt idx="1">
                  <c:v>74.117647058823536</c:v>
                </c:pt>
                <c:pt idx="2">
                  <c:v>74.117647058823536</c:v>
                </c:pt>
                <c:pt idx="3">
                  <c:v>74.117647058823536</c:v>
                </c:pt>
                <c:pt idx="4">
                  <c:v>74.117647058823536</c:v>
                </c:pt>
                <c:pt idx="5">
                  <c:v>74.117647058823536</c:v>
                </c:pt>
                <c:pt idx="6">
                  <c:v>74.117647058823536</c:v>
                </c:pt>
                <c:pt idx="7">
                  <c:v>74.117647058823536</c:v>
                </c:pt>
                <c:pt idx="8">
                  <c:v>74.117647058823536</c:v>
                </c:pt>
                <c:pt idx="9">
                  <c:v>74.117647058823536</c:v>
                </c:pt>
                <c:pt idx="10">
                  <c:v>74.117647058823536</c:v>
                </c:pt>
                <c:pt idx="11">
                  <c:v>74.117647058823536</c:v>
                </c:pt>
                <c:pt idx="12">
                  <c:v>74.117647058823536</c:v>
                </c:pt>
                <c:pt idx="13">
                  <c:v>74.117647058823536</c:v>
                </c:pt>
                <c:pt idx="14">
                  <c:v>74.117647058823536</c:v>
                </c:pt>
                <c:pt idx="15">
                  <c:v>74.117647058823536</c:v>
                </c:pt>
                <c:pt idx="16">
                  <c:v>74.117647058823536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08-4C5A-AE52-DE8723D2C5C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340032"/>
        <c:axId val="181341568"/>
      </c:lineChart>
      <c:catAx>
        <c:axId val="181340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41568"/>
        <c:crosses val="autoZero"/>
        <c:auto val="1"/>
        <c:lblAlgn val="ctr"/>
        <c:lblOffset val="100"/>
        <c:noMultiLvlLbl val="0"/>
      </c:catAx>
      <c:valAx>
        <c:axId val="181341568"/>
        <c:scaling>
          <c:orientation val="minMax"/>
          <c:min val="6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4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CARICO DI ROTTURA [MPa]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AS'!$B$7:$R$7</c:f>
              <c:numCache>
                <c:formatCode>General</c:formatCode>
                <c:ptCount val="17"/>
                <c:pt idx="0">
                  <c:v>30</c:v>
                </c:pt>
                <c:pt idx="1">
                  <c:v>27</c:v>
                </c:pt>
                <c:pt idx="2">
                  <c:v>27</c:v>
                </c:pt>
                <c:pt idx="3">
                  <c:v>25</c:v>
                </c:pt>
                <c:pt idx="4">
                  <c:v>30</c:v>
                </c:pt>
                <c:pt idx="5">
                  <c:v>26</c:v>
                </c:pt>
                <c:pt idx="6">
                  <c:v>24</c:v>
                </c:pt>
                <c:pt idx="7">
                  <c:v>28</c:v>
                </c:pt>
                <c:pt idx="8">
                  <c:v>30</c:v>
                </c:pt>
                <c:pt idx="9">
                  <c:v>26</c:v>
                </c:pt>
                <c:pt idx="10">
                  <c:v>29</c:v>
                </c:pt>
                <c:pt idx="11">
                  <c:v>26</c:v>
                </c:pt>
                <c:pt idx="12">
                  <c:v>16</c:v>
                </c:pt>
                <c:pt idx="13">
                  <c:v>27</c:v>
                </c:pt>
                <c:pt idx="14">
                  <c:v>23</c:v>
                </c:pt>
                <c:pt idx="15">
                  <c:v>23</c:v>
                </c:pt>
                <c:pt idx="16">
                  <c:v>26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473-49F7-9EBD-717C3EEC88C0}"/>
            </c:ext>
          </c:extLst>
        </c:ser>
        <c:ser>
          <c:idx val="1"/>
          <c:order val="1"/>
          <c:tx>
            <c:strRef>
              <c:f>'SISTEMA 03 SINTAM 70 GIALLO AS'!$A$8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AS'!$B$8:$R$8</c:f>
              <c:numCache>
                <c:formatCode>0.00</c:formatCode>
                <c:ptCount val="17"/>
                <c:pt idx="0">
                  <c:v>26.058823529411764</c:v>
                </c:pt>
                <c:pt idx="1">
                  <c:v>26.058823529411764</c:v>
                </c:pt>
                <c:pt idx="2">
                  <c:v>26.058823529411764</c:v>
                </c:pt>
                <c:pt idx="3">
                  <c:v>26.058823529411764</c:v>
                </c:pt>
                <c:pt idx="4">
                  <c:v>26.058823529411764</c:v>
                </c:pt>
                <c:pt idx="5">
                  <c:v>26.058823529411764</c:v>
                </c:pt>
                <c:pt idx="6">
                  <c:v>26.058823529411764</c:v>
                </c:pt>
                <c:pt idx="7">
                  <c:v>26.058823529411764</c:v>
                </c:pt>
                <c:pt idx="8">
                  <c:v>26.058823529411764</c:v>
                </c:pt>
                <c:pt idx="9">
                  <c:v>26.058823529411764</c:v>
                </c:pt>
                <c:pt idx="10">
                  <c:v>26.058823529411764</c:v>
                </c:pt>
                <c:pt idx="11">
                  <c:v>26.058823529411764</c:v>
                </c:pt>
                <c:pt idx="12">
                  <c:v>26.058823529411764</c:v>
                </c:pt>
                <c:pt idx="13">
                  <c:v>26.058823529411764</c:v>
                </c:pt>
                <c:pt idx="14">
                  <c:v>26.058823529411764</c:v>
                </c:pt>
                <c:pt idx="15">
                  <c:v>26.058823529411764</c:v>
                </c:pt>
                <c:pt idx="16">
                  <c:v>26.058823529411764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FB-4451-B909-A3BE6CE2A265}"/>
            </c:ext>
          </c:extLst>
        </c:ser>
        <c:ser>
          <c:idx val="2"/>
          <c:order val="2"/>
          <c:tx>
            <c:strRef>
              <c:f>'SISTEMA 03 SINTAM 70 GIALLO AS'!$A$9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AS'!$B$9:$R$9</c:f>
              <c:numCache>
                <c:formatCode>0.00</c:formatCode>
                <c:ptCount val="17"/>
                <c:pt idx="0">
                  <c:v>23.452941176470585</c:v>
                </c:pt>
                <c:pt idx="1">
                  <c:v>23.452941176470585</c:v>
                </c:pt>
                <c:pt idx="2">
                  <c:v>23.452941176470585</c:v>
                </c:pt>
                <c:pt idx="3">
                  <c:v>23.452941176470585</c:v>
                </c:pt>
                <c:pt idx="4">
                  <c:v>23.452941176470585</c:v>
                </c:pt>
                <c:pt idx="5">
                  <c:v>23.452941176470585</c:v>
                </c:pt>
                <c:pt idx="6">
                  <c:v>23.452941176470585</c:v>
                </c:pt>
                <c:pt idx="7">
                  <c:v>23.452941176470585</c:v>
                </c:pt>
                <c:pt idx="8">
                  <c:v>23.452941176470585</c:v>
                </c:pt>
                <c:pt idx="9">
                  <c:v>23.452941176470585</c:v>
                </c:pt>
                <c:pt idx="10">
                  <c:v>23.452941176470585</c:v>
                </c:pt>
                <c:pt idx="11">
                  <c:v>23.452941176470585</c:v>
                </c:pt>
                <c:pt idx="12">
                  <c:v>23.452941176470585</c:v>
                </c:pt>
                <c:pt idx="13">
                  <c:v>23.452941176470585</c:v>
                </c:pt>
                <c:pt idx="14">
                  <c:v>23.452941176470585</c:v>
                </c:pt>
                <c:pt idx="15">
                  <c:v>23.452941176470585</c:v>
                </c:pt>
                <c:pt idx="16">
                  <c:v>23.452941176470585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2FB-4451-B909-A3BE6CE2A265}"/>
            </c:ext>
          </c:extLst>
        </c:ser>
        <c:ser>
          <c:idx val="3"/>
          <c:order val="3"/>
          <c:tx>
            <c:strRef>
              <c:f>'SISTEMA 03 SINTAM 70 GIALLO AS'!$A$10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AS'!$B$10:$R$10</c:f>
              <c:numCache>
                <c:formatCode>0.00</c:formatCode>
                <c:ptCount val="17"/>
                <c:pt idx="0">
                  <c:v>28.665073529411764</c:v>
                </c:pt>
                <c:pt idx="1">
                  <c:v>28.665073529411764</c:v>
                </c:pt>
                <c:pt idx="2">
                  <c:v>28.665073529411764</c:v>
                </c:pt>
                <c:pt idx="3">
                  <c:v>28.665073529411764</c:v>
                </c:pt>
                <c:pt idx="4">
                  <c:v>28.665073529411764</c:v>
                </c:pt>
                <c:pt idx="5">
                  <c:v>28.665073529411764</c:v>
                </c:pt>
                <c:pt idx="6">
                  <c:v>28.665073529411764</c:v>
                </c:pt>
                <c:pt idx="7">
                  <c:v>28.665073529411764</c:v>
                </c:pt>
                <c:pt idx="8">
                  <c:v>28.665073529411764</c:v>
                </c:pt>
                <c:pt idx="9">
                  <c:v>28.665073529411764</c:v>
                </c:pt>
                <c:pt idx="10">
                  <c:v>28.665073529411764</c:v>
                </c:pt>
                <c:pt idx="11">
                  <c:v>28.665073529411764</c:v>
                </c:pt>
                <c:pt idx="12">
                  <c:v>28.665073529411764</c:v>
                </c:pt>
                <c:pt idx="13">
                  <c:v>28.665073529411764</c:v>
                </c:pt>
                <c:pt idx="14">
                  <c:v>28.665073529411764</c:v>
                </c:pt>
                <c:pt idx="15">
                  <c:v>28.665073529411764</c:v>
                </c:pt>
                <c:pt idx="16">
                  <c:v>28.665073529411764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FB-4451-B909-A3BE6CE2A265}"/>
            </c:ext>
          </c:extLst>
        </c:ser>
        <c:ser>
          <c:idx val="4"/>
          <c:order val="4"/>
          <c:tx>
            <c:strRef>
              <c:f>'SISTEMA 03 SINTAM 70 GIALLO AS'!$A$11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AS'!$B$11:$R$11</c:f>
              <c:numCache>
                <c:formatCode>0.00</c:formatCode>
                <c:ptCount val="17"/>
                <c:pt idx="0">
                  <c:v>20.847058823529409</c:v>
                </c:pt>
                <c:pt idx="1">
                  <c:v>20.847058823529409</c:v>
                </c:pt>
                <c:pt idx="2">
                  <c:v>20.847058823529409</c:v>
                </c:pt>
                <c:pt idx="3">
                  <c:v>20.847058823529409</c:v>
                </c:pt>
                <c:pt idx="4">
                  <c:v>20.847058823529409</c:v>
                </c:pt>
                <c:pt idx="5">
                  <c:v>20.847058823529409</c:v>
                </c:pt>
                <c:pt idx="6">
                  <c:v>20.847058823529409</c:v>
                </c:pt>
                <c:pt idx="7">
                  <c:v>20.847058823529409</c:v>
                </c:pt>
                <c:pt idx="8">
                  <c:v>20.847058823529409</c:v>
                </c:pt>
                <c:pt idx="9">
                  <c:v>20.847058823529409</c:v>
                </c:pt>
                <c:pt idx="10">
                  <c:v>20.847058823529409</c:v>
                </c:pt>
                <c:pt idx="11">
                  <c:v>20.847058823529409</c:v>
                </c:pt>
                <c:pt idx="12">
                  <c:v>20.847058823529409</c:v>
                </c:pt>
                <c:pt idx="13">
                  <c:v>20.847058823529409</c:v>
                </c:pt>
                <c:pt idx="14">
                  <c:v>20.847058823529409</c:v>
                </c:pt>
                <c:pt idx="15">
                  <c:v>20.847058823529409</c:v>
                </c:pt>
                <c:pt idx="16">
                  <c:v>20.847058823529409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8-4425-B1CE-B621D2477DFC}"/>
            </c:ext>
          </c:extLst>
        </c:ser>
        <c:ser>
          <c:idx val="5"/>
          <c:order val="5"/>
          <c:tx>
            <c:strRef>
              <c:f>'SISTEMA 03 SINTAM 70 GIALLO AS'!$A$12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AS'!$B$12:$R$12</c:f>
              <c:numCache>
                <c:formatCode>0.00</c:formatCode>
                <c:ptCount val="17"/>
                <c:pt idx="0">
                  <c:v>31.271323529411767</c:v>
                </c:pt>
                <c:pt idx="1">
                  <c:v>31.271323529411767</c:v>
                </c:pt>
                <c:pt idx="2">
                  <c:v>31.271323529411767</c:v>
                </c:pt>
                <c:pt idx="3">
                  <c:v>31.271323529411767</c:v>
                </c:pt>
                <c:pt idx="4">
                  <c:v>31.271323529411767</c:v>
                </c:pt>
                <c:pt idx="5">
                  <c:v>31.271323529411767</c:v>
                </c:pt>
                <c:pt idx="6">
                  <c:v>31.271323529411767</c:v>
                </c:pt>
                <c:pt idx="7">
                  <c:v>31.271323529411767</c:v>
                </c:pt>
                <c:pt idx="8">
                  <c:v>31.271323529411767</c:v>
                </c:pt>
                <c:pt idx="9">
                  <c:v>31.271323529411767</c:v>
                </c:pt>
                <c:pt idx="10">
                  <c:v>31.271323529411767</c:v>
                </c:pt>
                <c:pt idx="11">
                  <c:v>31.271323529411767</c:v>
                </c:pt>
                <c:pt idx="12">
                  <c:v>31.271323529411767</c:v>
                </c:pt>
                <c:pt idx="13">
                  <c:v>31.271323529411767</c:v>
                </c:pt>
                <c:pt idx="14">
                  <c:v>31.271323529411767</c:v>
                </c:pt>
                <c:pt idx="15">
                  <c:v>31.271323529411767</c:v>
                </c:pt>
                <c:pt idx="16">
                  <c:v>31.271323529411767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8-4425-B1CE-B621D2477D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423104"/>
        <c:axId val="181449472"/>
      </c:lineChart>
      <c:catAx>
        <c:axId val="18142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49472"/>
        <c:crosses val="autoZero"/>
        <c:auto val="1"/>
        <c:lblAlgn val="ctr"/>
        <c:lblOffset val="100"/>
        <c:noMultiLvlLbl val="0"/>
      </c:catAx>
      <c:valAx>
        <c:axId val="18144947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2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AS'!$B$14:$R$14</c:f>
              <c:numCache>
                <c:formatCode>General</c:formatCode>
                <c:ptCount val="17"/>
                <c:pt idx="0">
                  <c:v>694</c:v>
                </c:pt>
                <c:pt idx="1">
                  <c:v>915</c:v>
                </c:pt>
                <c:pt idx="2">
                  <c:v>1016</c:v>
                </c:pt>
                <c:pt idx="3">
                  <c:v>649</c:v>
                </c:pt>
                <c:pt idx="4">
                  <c:v>561</c:v>
                </c:pt>
                <c:pt idx="5">
                  <c:v>640</c:v>
                </c:pt>
                <c:pt idx="6">
                  <c:v>595</c:v>
                </c:pt>
                <c:pt idx="7">
                  <c:v>671</c:v>
                </c:pt>
                <c:pt idx="8">
                  <c:v>924</c:v>
                </c:pt>
                <c:pt idx="9">
                  <c:v>924</c:v>
                </c:pt>
                <c:pt idx="10">
                  <c:v>1229</c:v>
                </c:pt>
                <c:pt idx="11">
                  <c:v>1052</c:v>
                </c:pt>
                <c:pt idx="12">
                  <c:v>648</c:v>
                </c:pt>
                <c:pt idx="13" formatCode="0.00">
                  <c:v>760</c:v>
                </c:pt>
                <c:pt idx="14">
                  <c:v>1002</c:v>
                </c:pt>
                <c:pt idx="15" formatCode="0.00">
                  <c:v>852</c:v>
                </c:pt>
                <c:pt idx="16">
                  <c:v>985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83A-42A5-8EB6-84AB146D937F}"/>
            </c:ext>
          </c:extLst>
        </c:ser>
        <c:ser>
          <c:idx val="1"/>
          <c:order val="1"/>
          <c:tx>
            <c:strRef>
              <c:f>'SISTEMA 03 SINTAM 70 GIALLO AS'!$A$15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AS'!$B$15:$R$15</c:f>
              <c:numCache>
                <c:formatCode>0.0</c:formatCode>
                <c:ptCount val="17"/>
                <c:pt idx="0">
                  <c:v>830.41176470588232</c:v>
                </c:pt>
                <c:pt idx="1">
                  <c:v>830.41176470588232</c:v>
                </c:pt>
                <c:pt idx="2">
                  <c:v>830.41176470588232</c:v>
                </c:pt>
                <c:pt idx="3">
                  <c:v>830.41176470588232</c:v>
                </c:pt>
                <c:pt idx="4">
                  <c:v>830.41176470588232</c:v>
                </c:pt>
                <c:pt idx="5">
                  <c:v>830.41176470588232</c:v>
                </c:pt>
                <c:pt idx="6">
                  <c:v>830.41176470588232</c:v>
                </c:pt>
                <c:pt idx="7">
                  <c:v>830.41176470588232</c:v>
                </c:pt>
                <c:pt idx="8">
                  <c:v>830.41176470588232</c:v>
                </c:pt>
                <c:pt idx="9">
                  <c:v>830.41176470588232</c:v>
                </c:pt>
                <c:pt idx="10">
                  <c:v>830.41176470588232</c:v>
                </c:pt>
                <c:pt idx="11">
                  <c:v>830.41176470588232</c:v>
                </c:pt>
                <c:pt idx="12">
                  <c:v>830.41176470588232</c:v>
                </c:pt>
                <c:pt idx="13">
                  <c:v>830.41176470588232</c:v>
                </c:pt>
                <c:pt idx="14">
                  <c:v>830.41176470588232</c:v>
                </c:pt>
                <c:pt idx="15">
                  <c:v>830.41176470588232</c:v>
                </c:pt>
                <c:pt idx="16">
                  <c:v>830.41176470588232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76-473C-A095-8FDE1CBCF062}"/>
            </c:ext>
          </c:extLst>
        </c:ser>
        <c:ser>
          <c:idx val="2"/>
          <c:order val="2"/>
          <c:tx>
            <c:strRef>
              <c:f>'SISTEMA 03 SINTAM 70 GIALLO AS'!$A$16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AS'!$B$16:$R$16</c:f>
              <c:numCache>
                <c:formatCode>0.0</c:formatCode>
                <c:ptCount val="17"/>
                <c:pt idx="0">
                  <c:v>747.37058823529412</c:v>
                </c:pt>
                <c:pt idx="1">
                  <c:v>747.37058823529412</c:v>
                </c:pt>
                <c:pt idx="2">
                  <c:v>747.37058823529412</c:v>
                </c:pt>
                <c:pt idx="3">
                  <c:v>747.37058823529412</c:v>
                </c:pt>
                <c:pt idx="4">
                  <c:v>747.37058823529412</c:v>
                </c:pt>
                <c:pt idx="5">
                  <c:v>747.37058823529412</c:v>
                </c:pt>
                <c:pt idx="6">
                  <c:v>747.37058823529412</c:v>
                </c:pt>
                <c:pt idx="7">
                  <c:v>747.37058823529412</c:v>
                </c:pt>
                <c:pt idx="8">
                  <c:v>747.37058823529412</c:v>
                </c:pt>
                <c:pt idx="9">
                  <c:v>747.37058823529412</c:v>
                </c:pt>
                <c:pt idx="10">
                  <c:v>747.37058823529412</c:v>
                </c:pt>
                <c:pt idx="11">
                  <c:v>747.37058823529412</c:v>
                </c:pt>
                <c:pt idx="12">
                  <c:v>747.37058823529412</c:v>
                </c:pt>
                <c:pt idx="13">
                  <c:v>747.37058823529412</c:v>
                </c:pt>
                <c:pt idx="14">
                  <c:v>747.37058823529412</c:v>
                </c:pt>
                <c:pt idx="15">
                  <c:v>747.37058823529412</c:v>
                </c:pt>
                <c:pt idx="16">
                  <c:v>747.37058823529412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76-473C-A095-8FDE1CBCF062}"/>
            </c:ext>
          </c:extLst>
        </c:ser>
        <c:ser>
          <c:idx val="3"/>
          <c:order val="3"/>
          <c:tx>
            <c:strRef>
              <c:f>'SISTEMA 03 SINTAM 70 GIALLO AS'!$A$17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AS'!$B$17:$R$17</c:f>
              <c:numCache>
                <c:formatCode>0.0</c:formatCode>
                <c:ptCount val="17"/>
                <c:pt idx="0">
                  <c:v>664.32941176470592</c:v>
                </c:pt>
                <c:pt idx="1">
                  <c:v>664.32941176470592</c:v>
                </c:pt>
                <c:pt idx="2">
                  <c:v>664.32941176470592</c:v>
                </c:pt>
                <c:pt idx="3">
                  <c:v>664.32941176470592</c:v>
                </c:pt>
                <c:pt idx="4">
                  <c:v>664.32941176470592</c:v>
                </c:pt>
                <c:pt idx="5">
                  <c:v>664.32941176470592</c:v>
                </c:pt>
                <c:pt idx="6">
                  <c:v>664.32941176470592</c:v>
                </c:pt>
                <c:pt idx="7">
                  <c:v>664.32941176470592</c:v>
                </c:pt>
                <c:pt idx="8">
                  <c:v>664.32941176470592</c:v>
                </c:pt>
                <c:pt idx="9">
                  <c:v>664.32941176470592</c:v>
                </c:pt>
                <c:pt idx="10">
                  <c:v>664.32941176470592</c:v>
                </c:pt>
                <c:pt idx="11">
                  <c:v>664.32941176470592</c:v>
                </c:pt>
                <c:pt idx="12">
                  <c:v>664.32941176470592</c:v>
                </c:pt>
                <c:pt idx="13">
                  <c:v>664.32941176470592</c:v>
                </c:pt>
                <c:pt idx="14">
                  <c:v>664.32941176470592</c:v>
                </c:pt>
                <c:pt idx="15">
                  <c:v>664.32941176470592</c:v>
                </c:pt>
                <c:pt idx="16">
                  <c:v>664.32941176470592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976-473C-A095-8FDE1CBCF062}"/>
            </c:ext>
          </c:extLst>
        </c:ser>
        <c:ser>
          <c:idx val="4"/>
          <c:order val="4"/>
          <c:tx>
            <c:strRef>
              <c:f>'SISTEMA 03 SINTAM 70 GIALLO AS'!$A$18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AS'!$B$18:$R$18</c:f>
              <c:numCache>
                <c:formatCode>0.0</c:formatCode>
                <c:ptCount val="17"/>
                <c:pt idx="0">
                  <c:v>913.45294117647063</c:v>
                </c:pt>
                <c:pt idx="1">
                  <c:v>913.45294117647063</c:v>
                </c:pt>
                <c:pt idx="2">
                  <c:v>913.45294117647063</c:v>
                </c:pt>
                <c:pt idx="3">
                  <c:v>913.45294117647063</c:v>
                </c:pt>
                <c:pt idx="4">
                  <c:v>913.45294117647063</c:v>
                </c:pt>
                <c:pt idx="5">
                  <c:v>913.45294117647063</c:v>
                </c:pt>
                <c:pt idx="6">
                  <c:v>913.45294117647063</c:v>
                </c:pt>
                <c:pt idx="7">
                  <c:v>913.45294117647063</c:v>
                </c:pt>
                <c:pt idx="8">
                  <c:v>913.45294117647063</c:v>
                </c:pt>
                <c:pt idx="9">
                  <c:v>913.45294117647063</c:v>
                </c:pt>
                <c:pt idx="10">
                  <c:v>913.45294117647063</c:v>
                </c:pt>
                <c:pt idx="11">
                  <c:v>913.45294117647063</c:v>
                </c:pt>
                <c:pt idx="12">
                  <c:v>913.45294117647063</c:v>
                </c:pt>
                <c:pt idx="13">
                  <c:v>913.45294117647063</c:v>
                </c:pt>
                <c:pt idx="14">
                  <c:v>913.45294117647063</c:v>
                </c:pt>
                <c:pt idx="15">
                  <c:v>913.45294117647063</c:v>
                </c:pt>
                <c:pt idx="16">
                  <c:v>913.45294117647063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76-473C-A095-8FDE1CBCF062}"/>
            </c:ext>
          </c:extLst>
        </c:ser>
        <c:ser>
          <c:idx val="5"/>
          <c:order val="5"/>
          <c:tx>
            <c:strRef>
              <c:f>'SISTEMA 03 SINTAM 70 GIALLO AS'!$A$19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AS'!$B$19:$R$19</c:f>
              <c:numCache>
                <c:formatCode>0.0</c:formatCode>
                <c:ptCount val="17"/>
                <c:pt idx="0">
                  <c:v>996.49411764705883</c:v>
                </c:pt>
                <c:pt idx="1">
                  <c:v>996.49411764705883</c:v>
                </c:pt>
                <c:pt idx="2">
                  <c:v>996.49411764705883</c:v>
                </c:pt>
                <c:pt idx="3">
                  <c:v>996.49411764705883</c:v>
                </c:pt>
                <c:pt idx="4">
                  <c:v>996.49411764705883</c:v>
                </c:pt>
                <c:pt idx="5">
                  <c:v>996.49411764705883</c:v>
                </c:pt>
                <c:pt idx="6">
                  <c:v>996.49411764705883</c:v>
                </c:pt>
                <c:pt idx="7">
                  <c:v>996.49411764705883</c:v>
                </c:pt>
                <c:pt idx="8">
                  <c:v>996.49411764705883</c:v>
                </c:pt>
                <c:pt idx="9">
                  <c:v>996.49411764705883</c:v>
                </c:pt>
                <c:pt idx="10">
                  <c:v>996.49411764705883</c:v>
                </c:pt>
                <c:pt idx="11">
                  <c:v>996.49411764705883</c:v>
                </c:pt>
                <c:pt idx="12">
                  <c:v>996.49411764705883</c:v>
                </c:pt>
                <c:pt idx="13">
                  <c:v>996.49411764705883</c:v>
                </c:pt>
                <c:pt idx="14">
                  <c:v>996.49411764705883</c:v>
                </c:pt>
                <c:pt idx="15">
                  <c:v>996.49411764705883</c:v>
                </c:pt>
                <c:pt idx="16">
                  <c:v>996.49411764705883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76-473C-A095-8FDE1CBCF06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563776"/>
        <c:axId val="181565312"/>
      </c:lineChart>
      <c:catAx>
        <c:axId val="181563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65312"/>
        <c:crosses val="autoZero"/>
        <c:auto val="1"/>
        <c:lblAlgn val="ctr"/>
        <c:lblOffset val="100"/>
        <c:noMultiLvlLbl val="0"/>
      </c:catAx>
      <c:valAx>
        <c:axId val="181565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56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B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AS'!$B$21:$R$21</c:f>
              <c:numCache>
                <c:formatCode>General</c:formatCode>
                <c:ptCount val="17"/>
                <c:pt idx="0">
                  <c:v>61</c:v>
                </c:pt>
                <c:pt idx="1">
                  <c:v>56</c:v>
                </c:pt>
                <c:pt idx="2">
                  <c:v>59</c:v>
                </c:pt>
                <c:pt idx="3">
                  <c:v>63</c:v>
                </c:pt>
                <c:pt idx="4">
                  <c:v>67</c:v>
                </c:pt>
                <c:pt idx="5">
                  <c:v>58</c:v>
                </c:pt>
                <c:pt idx="6">
                  <c:v>54</c:v>
                </c:pt>
                <c:pt idx="7">
                  <c:v>55</c:v>
                </c:pt>
                <c:pt idx="8">
                  <c:v>53</c:v>
                </c:pt>
                <c:pt idx="9">
                  <c:v>63</c:v>
                </c:pt>
                <c:pt idx="10">
                  <c:v>66</c:v>
                </c:pt>
                <c:pt idx="11">
                  <c:v>46</c:v>
                </c:pt>
                <c:pt idx="12">
                  <c:v>36</c:v>
                </c:pt>
                <c:pt idx="13">
                  <c:v>51</c:v>
                </c:pt>
                <c:pt idx="14">
                  <c:v>53</c:v>
                </c:pt>
                <c:pt idx="15">
                  <c:v>56</c:v>
                </c:pt>
                <c:pt idx="16">
                  <c:v>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0E5-4E32-ABE5-8BCC47DAA335}"/>
            </c:ext>
          </c:extLst>
        </c:ser>
        <c:ser>
          <c:idx val="1"/>
          <c:order val="1"/>
          <c:tx>
            <c:strRef>
              <c:f>'SISTEMA 03 SINTAM 70 GIALLO AS'!$A$22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AS'!$B$22:$R$22</c:f>
              <c:numCache>
                <c:formatCode>0.00</c:formatCode>
                <c:ptCount val="17"/>
                <c:pt idx="0">
                  <c:v>55.647058823529413</c:v>
                </c:pt>
                <c:pt idx="1">
                  <c:v>55.647058823529413</c:v>
                </c:pt>
                <c:pt idx="2">
                  <c:v>55.647058823529413</c:v>
                </c:pt>
                <c:pt idx="3">
                  <c:v>55.647058823529413</c:v>
                </c:pt>
                <c:pt idx="4">
                  <c:v>55.647058823529413</c:v>
                </c:pt>
                <c:pt idx="5">
                  <c:v>55.647058823529413</c:v>
                </c:pt>
                <c:pt idx="6">
                  <c:v>55.647058823529413</c:v>
                </c:pt>
                <c:pt idx="7">
                  <c:v>55.647058823529413</c:v>
                </c:pt>
                <c:pt idx="8">
                  <c:v>55.647058823529413</c:v>
                </c:pt>
                <c:pt idx="9">
                  <c:v>55.647058823529413</c:v>
                </c:pt>
                <c:pt idx="10">
                  <c:v>55.647058823529413</c:v>
                </c:pt>
                <c:pt idx="11">
                  <c:v>55.647058823529413</c:v>
                </c:pt>
                <c:pt idx="12">
                  <c:v>55.647058823529413</c:v>
                </c:pt>
                <c:pt idx="13">
                  <c:v>55.647058823529413</c:v>
                </c:pt>
                <c:pt idx="14">
                  <c:v>55.647058823529413</c:v>
                </c:pt>
                <c:pt idx="15">
                  <c:v>55.647058823529413</c:v>
                </c:pt>
                <c:pt idx="16">
                  <c:v>55.647058823529413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B1-416D-90A6-E62BE219E5BA}"/>
            </c:ext>
          </c:extLst>
        </c:ser>
        <c:ser>
          <c:idx val="2"/>
          <c:order val="2"/>
          <c:tx>
            <c:strRef>
              <c:f>'SISTEMA 03 SINTAM 70 GIALLO AS'!$A$23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AS'!$B$23:$R$23</c:f>
              <c:numCache>
                <c:formatCode>0.00</c:formatCode>
                <c:ptCount val="17"/>
                <c:pt idx="0">
                  <c:v>50.082352941176474</c:v>
                </c:pt>
                <c:pt idx="1">
                  <c:v>50.082352941176474</c:v>
                </c:pt>
                <c:pt idx="2">
                  <c:v>50.082352941176474</c:v>
                </c:pt>
                <c:pt idx="3">
                  <c:v>50.082352941176474</c:v>
                </c:pt>
                <c:pt idx="4">
                  <c:v>50.082352941176474</c:v>
                </c:pt>
                <c:pt idx="5">
                  <c:v>50.082352941176474</c:v>
                </c:pt>
                <c:pt idx="6">
                  <c:v>50.082352941176474</c:v>
                </c:pt>
                <c:pt idx="7">
                  <c:v>50.082352941176474</c:v>
                </c:pt>
                <c:pt idx="8">
                  <c:v>50.082352941176474</c:v>
                </c:pt>
                <c:pt idx="9">
                  <c:v>50.082352941176474</c:v>
                </c:pt>
                <c:pt idx="10">
                  <c:v>50.082352941176474</c:v>
                </c:pt>
                <c:pt idx="11">
                  <c:v>50.082352941176474</c:v>
                </c:pt>
                <c:pt idx="12">
                  <c:v>50.082352941176474</c:v>
                </c:pt>
                <c:pt idx="13">
                  <c:v>50.082352941176474</c:v>
                </c:pt>
                <c:pt idx="14">
                  <c:v>50.082352941176474</c:v>
                </c:pt>
                <c:pt idx="15">
                  <c:v>50.082352941176474</c:v>
                </c:pt>
                <c:pt idx="16">
                  <c:v>50.082352941176474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B1-416D-90A6-E62BE219E5BA}"/>
            </c:ext>
          </c:extLst>
        </c:ser>
        <c:ser>
          <c:idx val="3"/>
          <c:order val="3"/>
          <c:tx>
            <c:strRef>
              <c:f>'SISTEMA 03 SINTAM 70 GIALLO AS'!$A$24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AS'!$B$24:$R$24</c:f>
              <c:numCache>
                <c:formatCode>0.00</c:formatCode>
                <c:ptCount val="17"/>
                <c:pt idx="0">
                  <c:v>61.211764705882352</c:v>
                </c:pt>
                <c:pt idx="1">
                  <c:v>61.211764705882352</c:v>
                </c:pt>
                <c:pt idx="2">
                  <c:v>61.211764705882352</c:v>
                </c:pt>
                <c:pt idx="3">
                  <c:v>61.211764705882352</c:v>
                </c:pt>
                <c:pt idx="4">
                  <c:v>61.211764705882352</c:v>
                </c:pt>
                <c:pt idx="5">
                  <c:v>61.211764705882352</c:v>
                </c:pt>
                <c:pt idx="6">
                  <c:v>61.211764705882352</c:v>
                </c:pt>
                <c:pt idx="7">
                  <c:v>61.211764705882352</c:v>
                </c:pt>
                <c:pt idx="8">
                  <c:v>61.211764705882352</c:v>
                </c:pt>
                <c:pt idx="9">
                  <c:v>61.211764705882352</c:v>
                </c:pt>
                <c:pt idx="10">
                  <c:v>61.211764705882352</c:v>
                </c:pt>
                <c:pt idx="11">
                  <c:v>61.211764705882352</c:v>
                </c:pt>
                <c:pt idx="12">
                  <c:v>61.211764705882352</c:v>
                </c:pt>
                <c:pt idx="13">
                  <c:v>61.211764705882352</c:v>
                </c:pt>
                <c:pt idx="14">
                  <c:v>61.211764705882352</c:v>
                </c:pt>
                <c:pt idx="15">
                  <c:v>61.211764705882352</c:v>
                </c:pt>
                <c:pt idx="16">
                  <c:v>61.211764705882352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EB-4EBE-B229-FC23AED795A3}"/>
            </c:ext>
          </c:extLst>
        </c:ser>
        <c:ser>
          <c:idx val="4"/>
          <c:order val="4"/>
          <c:tx>
            <c:strRef>
              <c:f>'SISTEMA 03 SINTAM 70 GIALLO AS'!$A$25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AS'!$B$25:$R$25</c:f>
              <c:numCache>
                <c:formatCode>0.00</c:formatCode>
                <c:ptCount val="17"/>
                <c:pt idx="0">
                  <c:v>44.517647058823535</c:v>
                </c:pt>
                <c:pt idx="1">
                  <c:v>44.517647058823535</c:v>
                </c:pt>
                <c:pt idx="2">
                  <c:v>44.517647058823535</c:v>
                </c:pt>
                <c:pt idx="3">
                  <c:v>44.517647058823535</c:v>
                </c:pt>
                <c:pt idx="4">
                  <c:v>44.517647058823535</c:v>
                </c:pt>
                <c:pt idx="5">
                  <c:v>44.517647058823535</c:v>
                </c:pt>
                <c:pt idx="6">
                  <c:v>44.517647058823535</c:v>
                </c:pt>
                <c:pt idx="7">
                  <c:v>44.517647058823535</c:v>
                </c:pt>
                <c:pt idx="8">
                  <c:v>44.517647058823535</c:v>
                </c:pt>
                <c:pt idx="9">
                  <c:v>44.517647058823535</c:v>
                </c:pt>
                <c:pt idx="10">
                  <c:v>44.517647058823535</c:v>
                </c:pt>
                <c:pt idx="11">
                  <c:v>44.517647058823535</c:v>
                </c:pt>
                <c:pt idx="12">
                  <c:v>44.517647058823535</c:v>
                </c:pt>
                <c:pt idx="13">
                  <c:v>44.517647058823535</c:v>
                </c:pt>
                <c:pt idx="14">
                  <c:v>44.517647058823535</c:v>
                </c:pt>
                <c:pt idx="15">
                  <c:v>44.517647058823535</c:v>
                </c:pt>
                <c:pt idx="16">
                  <c:v>44.517647058823535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D4-42AA-AD08-CD639778F42B}"/>
            </c:ext>
          </c:extLst>
        </c:ser>
        <c:ser>
          <c:idx val="5"/>
          <c:order val="5"/>
          <c:tx>
            <c:strRef>
              <c:f>'SISTEMA 03 SINTAM 70 GIALLO AS'!$A$26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AS'!$B$26:$R$26</c:f>
              <c:numCache>
                <c:formatCode>0.00</c:formatCode>
                <c:ptCount val="17"/>
                <c:pt idx="0">
                  <c:v>66.776470588235298</c:v>
                </c:pt>
                <c:pt idx="1">
                  <c:v>66.776470588235298</c:v>
                </c:pt>
                <c:pt idx="2">
                  <c:v>66.776470588235298</c:v>
                </c:pt>
                <c:pt idx="3">
                  <c:v>66.776470588235298</c:v>
                </c:pt>
                <c:pt idx="4">
                  <c:v>66.776470588235298</c:v>
                </c:pt>
                <c:pt idx="5">
                  <c:v>66.776470588235298</c:v>
                </c:pt>
                <c:pt idx="6">
                  <c:v>66.776470588235298</c:v>
                </c:pt>
                <c:pt idx="7">
                  <c:v>66.776470588235298</c:v>
                </c:pt>
                <c:pt idx="8">
                  <c:v>66.776470588235298</c:v>
                </c:pt>
                <c:pt idx="9">
                  <c:v>66.776470588235298</c:v>
                </c:pt>
                <c:pt idx="10">
                  <c:v>66.776470588235298</c:v>
                </c:pt>
                <c:pt idx="11">
                  <c:v>66.776470588235298</c:v>
                </c:pt>
                <c:pt idx="12">
                  <c:v>66.776470588235298</c:v>
                </c:pt>
                <c:pt idx="13">
                  <c:v>66.776470588235298</c:v>
                </c:pt>
                <c:pt idx="14">
                  <c:v>66.776470588235298</c:v>
                </c:pt>
                <c:pt idx="15">
                  <c:v>66.776470588235298</c:v>
                </c:pt>
                <c:pt idx="16">
                  <c:v>66.776470588235298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D4-42AA-AD08-CD639778F4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491584"/>
        <c:axId val="181493120"/>
      </c:lineChart>
      <c:catAx>
        <c:axId val="181491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3120"/>
        <c:crosses val="autoZero"/>
        <c:auto val="1"/>
        <c:lblAlgn val="ctr"/>
        <c:lblOffset val="100"/>
        <c:noMultiLvlLbl val="0"/>
      </c:catAx>
      <c:valAx>
        <c:axId val="181493120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49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C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AS'!$B$28:$R$28</c:f>
              <c:numCache>
                <c:formatCode>General</c:formatCode>
                <c:ptCount val="17"/>
                <c:pt idx="0">
                  <c:v>60</c:v>
                </c:pt>
                <c:pt idx="1">
                  <c:v>56</c:v>
                </c:pt>
                <c:pt idx="2">
                  <c:v>57</c:v>
                </c:pt>
                <c:pt idx="3">
                  <c:v>60</c:v>
                </c:pt>
                <c:pt idx="4">
                  <c:v>62</c:v>
                </c:pt>
                <c:pt idx="5">
                  <c:v>57</c:v>
                </c:pt>
                <c:pt idx="6">
                  <c:v>57</c:v>
                </c:pt>
                <c:pt idx="7">
                  <c:v>62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54</c:v>
                </c:pt>
                <c:pt idx="12">
                  <c:v>52</c:v>
                </c:pt>
                <c:pt idx="13">
                  <c:v>60</c:v>
                </c:pt>
                <c:pt idx="14">
                  <c:v>60</c:v>
                </c:pt>
                <c:pt idx="15">
                  <c:v>54</c:v>
                </c:pt>
                <c:pt idx="16">
                  <c:v>61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31E-453E-8C2F-E39501CD879E}"/>
            </c:ext>
          </c:extLst>
        </c:ser>
        <c:ser>
          <c:idx val="1"/>
          <c:order val="1"/>
          <c:tx>
            <c:strRef>
              <c:f>'SISTEMA 03 SINTAM 70 GIALLO AS'!$A$29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AS'!$B$29:$R$29</c:f>
              <c:numCache>
                <c:formatCode>0.00</c:formatCode>
                <c:ptCount val="17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  <c:pt idx="14">
                  <c:v>58</c:v>
                </c:pt>
                <c:pt idx="15">
                  <c:v>58</c:v>
                </c:pt>
                <c:pt idx="1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8-42AE-9606-FBE86D2CA1B3}"/>
            </c:ext>
          </c:extLst>
        </c:ser>
        <c:ser>
          <c:idx val="2"/>
          <c:order val="2"/>
          <c:tx>
            <c:strRef>
              <c:f>'SISTEMA 03 SINTAM 70 GIALLO AS'!$A$30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AS'!$B$30:$R$30</c:f>
              <c:numCache>
                <c:formatCode>0.00</c:formatCode>
                <c:ptCount val="17"/>
                <c:pt idx="0">
                  <c:v>52.21875</c:v>
                </c:pt>
                <c:pt idx="1">
                  <c:v>52.21875</c:v>
                </c:pt>
                <c:pt idx="2">
                  <c:v>52.21875</c:v>
                </c:pt>
                <c:pt idx="3">
                  <c:v>52.21875</c:v>
                </c:pt>
                <c:pt idx="4">
                  <c:v>52.21875</c:v>
                </c:pt>
                <c:pt idx="5">
                  <c:v>52.21875</c:v>
                </c:pt>
                <c:pt idx="6">
                  <c:v>52.21875</c:v>
                </c:pt>
                <c:pt idx="7">
                  <c:v>52.21875</c:v>
                </c:pt>
                <c:pt idx="8">
                  <c:v>52.21875</c:v>
                </c:pt>
                <c:pt idx="9">
                  <c:v>52.21875</c:v>
                </c:pt>
                <c:pt idx="10">
                  <c:v>52.21875</c:v>
                </c:pt>
                <c:pt idx="11">
                  <c:v>52.21875</c:v>
                </c:pt>
                <c:pt idx="12">
                  <c:v>52.21875</c:v>
                </c:pt>
                <c:pt idx="13">
                  <c:v>52.21875</c:v>
                </c:pt>
                <c:pt idx="14">
                  <c:v>52.21875</c:v>
                </c:pt>
                <c:pt idx="15">
                  <c:v>52.21875</c:v>
                </c:pt>
                <c:pt idx="16">
                  <c:v>52.21875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78-42AE-9606-FBE86D2CA1B3}"/>
            </c:ext>
          </c:extLst>
        </c:ser>
        <c:ser>
          <c:idx val="3"/>
          <c:order val="3"/>
          <c:tx>
            <c:strRef>
              <c:f>'SISTEMA 03 SINTAM 70 GIALLO AS'!$A$31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AS'!$B$31:$R$31</c:f>
              <c:numCache>
                <c:formatCode>0.00</c:formatCode>
                <c:ptCount val="17"/>
                <c:pt idx="0">
                  <c:v>63.78125</c:v>
                </c:pt>
                <c:pt idx="1">
                  <c:v>63.78125</c:v>
                </c:pt>
                <c:pt idx="2">
                  <c:v>63.78125</c:v>
                </c:pt>
                <c:pt idx="3">
                  <c:v>63.78125</c:v>
                </c:pt>
                <c:pt idx="4">
                  <c:v>63.78125</c:v>
                </c:pt>
                <c:pt idx="5">
                  <c:v>63.78125</c:v>
                </c:pt>
                <c:pt idx="6">
                  <c:v>63.78125</c:v>
                </c:pt>
                <c:pt idx="7">
                  <c:v>63.78125</c:v>
                </c:pt>
                <c:pt idx="8">
                  <c:v>63.78125</c:v>
                </c:pt>
                <c:pt idx="9">
                  <c:v>63.78125</c:v>
                </c:pt>
                <c:pt idx="10">
                  <c:v>63.78125</c:v>
                </c:pt>
                <c:pt idx="11">
                  <c:v>63.78125</c:v>
                </c:pt>
                <c:pt idx="12">
                  <c:v>63.78125</c:v>
                </c:pt>
                <c:pt idx="13">
                  <c:v>63.78125</c:v>
                </c:pt>
                <c:pt idx="14">
                  <c:v>63.78125</c:v>
                </c:pt>
                <c:pt idx="15">
                  <c:v>63.78125</c:v>
                </c:pt>
                <c:pt idx="16">
                  <c:v>63.78125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578-42AE-9606-FBE86D2CA1B3}"/>
            </c:ext>
          </c:extLst>
        </c:ser>
        <c:ser>
          <c:idx val="4"/>
          <c:order val="4"/>
          <c:tx>
            <c:strRef>
              <c:f>'SISTEMA 03 SINTAM 70 GIALLO AS'!$A$32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AS'!$B$32:$R$32</c:f>
              <c:numCache>
                <c:formatCode>0.00</c:formatCode>
                <c:ptCount val="17"/>
                <c:pt idx="0">
                  <c:v>46.4375</c:v>
                </c:pt>
                <c:pt idx="1">
                  <c:v>46.4375</c:v>
                </c:pt>
                <c:pt idx="2">
                  <c:v>46.4375</c:v>
                </c:pt>
                <c:pt idx="3">
                  <c:v>46.4375</c:v>
                </c:pt>
                <c:pt idx="4">
                  <c:v>46.4375</c:v>
                </c:pt>
                <c:pt idx="5">
                  <c:v>46.4375</c:v>
                </c:pt>
                <c:pt idx="6">
                  <c:v>46.4375</c:v>
                </c:pt>
                <c:pt idx="7">
                  <c:v>46.4375</c:v>
                </c:pt>
                <c:pt idx="8">
                  <c:v>46.4375</c:v>
                </c:pt>
                <c:pt idx="9">
                  <c:v>46.4375</c:v>
                </c:pt>
                <c:pt idx="10">
                  <c:v>46.4375</c:v>
                </c:pt>
                <c:pt idx="11">
                  <c:v>46.4375</c:v>
                </c:pt>
                <c:pt idx="12">
                  <c:v>46.4375</c:v>
                </c:pt>
                <c:pt idx="13">
                  <c:v>46.4375</c:v>
                </c:pt>
                <c:pt idx="14">
                  <c:v>46.4375</c:v>
                </c:pt>
                <c:pt idx="15">
                  <c:v>46.4375</c:v>
                </c:pt>
                <c:pt idx="16">
                  <c:v>46.4375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2C-4F43-8122-6A1771B9A1E9}"/>
            </c:ext>
          </c:extLst>
        </c:ser>
        <c:ser>
          <c:idx val="5"/>
          <c:order val="5"/>
          <c:tx>
            <c:strRef>
              <c:f>'SISTEMA 03 SINTAM 70 GIALLO AS'!$A$33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AS'!$B$33:$R$33</c:f>
              <c:numCache>
                <c:formatCode>0.00</c:formatCode>
                <c:ptCount val="17"/>
                <c:pt idx="0">
                  <c:v>69.5625</c:v>
                </c:pt>
                <c:pt idx="1">
                  <c:v>69.5625</c:v>
                </c:pt>
                <c:pt idx="2">
                  <c:v>69.5625</c:v>
                </c:pt>
                <c:pt idx="3">
                  <c:v>69.5625</c:v>
                </c:pt>
                <c:pt idx="4">
                  <c:v>69.5625</c:v>
                </c:pt>
                <c:pt idx="5">
                  <c:v>69.5625</c:v>
                </c:pt>
                <c:pt idx="6">
                  <c:v>69.5625</c:v>
                </c:pt>
                <c:pt idx="7">
                  <c:v>69.5625</c:v>
                </c:pt>
                <c:pt idx="8">
                  <c:v>69.5625</c:v>
                </c:pt>
                <c:pt idx="9">
                  <c:v>69.5625</c:v>
                </c:pt>
                <c:pt idx="10">
                  <c:v>69.5625</c:v>
                </c:pt>
                <c:pt idx="11">
                  <c:v>69.5625</c:v>
                </c:pt>
                <c:pt idx="12">
                  <c:v>69.5625</c:v>
                </c:pt>
                <c:pt idx="13">
                  <c:v>69.5625</c:v>
                </c:pt>
                <c:pt idx="14">
                  <c:v>69.5625</c:v>
                </c:pt>
                <c:pt idx="15">
                  <c:v>69.5625</c:v>
                </c:pt>
                <c:pt idx="16">
                  <c:v>69.5625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2C-4F43-8122-6A1771B9A1E9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656192"/>
        <c:axId val="181662080"/>
      </c:lineChart>
      <c:catAx>
        <c:axId val="181656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62080"/>
        <c:crosses val="autoZero"/>
        <c:auto val="1"/>
        <c:lblAlgn val="ctr"/>
        <c:lblOffset val="100"/>
        <c:noMultiLvlLbl val="0"/>
      </c:catAx>
      <c:valAx>
        <c:axId val="18166208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65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ABRASIONE [mg]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03 SINTAM 70 GIALLO AS'!$A$35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AS'!$B$35:$R$35</c:f>
              <c:numCache>
                <c:formatCode>General</c:formatCode>
                <c:ptCount val="17"/>
                <c:pt idx="0">
                  <c:v>17</c:v>
                </c:pt>
                <c:pt idx="1">
                  <c:v>21</c:v>
                </c:pt>
                <c:pt idx="2">
                  <c:v>12</c:v>
                </c:pt>
                <c:pt idx="3">
                  <c:v>15</c:v>
                </c:pt>
                <c:pt idx="4">
                  <c:v>12</c:v>
                </c:pt>
                <c:pt idx="5">
                  <c:v>12</c:v>
                </c:pt>
                <c:pt idx="6">
                  <c:v>16</c:v>
                </c:pt>
                <c:pt idx="7">
                  <c:v>11</c:v>
                </c:pt>
                <c:pt idx="8">
                  <c:v>12</c:v>
                </c:pt>
                <c:pt idx="9">
                  <c:v>19</c:v>
                </c:pt>
                <c:pt idx="10">
                  <c:v>14</c:v>
                </c:pt>
                <c:pt idx="11">
                  <c:v>17</c:v>
                </c:pt>
                <c:pt idx="12">
                  <c:v>13</c:v>
                </c:pt>
                <c:pt idx="13">
                  <c:v>13</c:v>
                </c:pt>
                <c:pt idx="14">
                  <c:v>10</c:v>
                </c:pt>
                <c:pt idx="15">
                  <c:v>9</c:v>
                </c:pt>
                <c:pt idx="16">
                  <c:v>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C62-439E-A6BE-580662795293}"/>
            </c:ext>
          </c:extLst>
        </c:ser>
        <c:ser>
          <c:idx val="1"/>
          <c:order val="1"/>
          <c:tx>
            <c:strRef>
              <c:f>'SISTEMA 03 SINTAM 70 GIALLO AS'!$A$36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AS'!$B$36:$R$36</c:f>
              <c:numCache>
                <c:formatCode>0.00</c:formatCode>
                <c:ptCount val="17"/>
                <c:pt idx="0">
                  <c:v>14.294117647058824</c:v>
                </c:pt>
                <c:pt idx="1">
                  <c:v>14.294117647058824</c:v>
                </c:pt>
                <c:pt idx="2">
                  <c:v>14.294117647058824</c:v>
                </c:pt>
                <c:pt idx="3">
                  <c:v>14.294117647058824</c:v>
                </c:pt>
                <c:pt idx="4">
                  <c:v>14.294117647058824</c:v>
                </c:pt>
                <c:pt idx="5">
                  <c:v>14.294117647058824</c:v>
                </c:pt>
                <c:pt idx="6">
                  <c:v>14.294117647058824</c:v>
                </c:pt>
                <c:pt idx="7">
                  <c:v>14.294117647058824</c:v>
                </c:pt>
                <c:pt idx="8">
                  <c:v>14.294117647058824</c:v>
                </c:pt>
                <c:pt idx="9">
                  <c:v>14.294117647058824</c:v>
                </c:pt>
                <c:pt idx="10">
                  <c:v>14.294117647058824</c:v>
                </c:pt>
                <c:pt idx="11">
                  <c:v>14.294117647058824</c:v>
                </c:pt>
                <c:pt idx="12">
                  <c:v>14.294117647058824</c:v>
                </c:pt>
                <c:pt idx="13">
                  <c:v>14.294117647058824</c:v>
                </c:pt>
                <c:pt idx="14">
                  <c:v>14.294117647058824</c:v>
                </c:pt>
                <c:pt idx="15">
                  <c:v>14.294117647058824</c:v>
                </c:pt>
                <c:pt idx="16">
                  <c:v>14.294117647058824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F5-428F-943C-A5DBAD3C39A6}"/>
            </c:ext>
          </c:extLst>
        </c:ser>
        <c:ser>
          <c:idx val="2"/>
          <c:order val="2"/>
          <c:tx>
            <c:strRef>
              <c:f>'SISTEMA 03 SINTAM 70 GIALLO AS'!$A$37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AS'!$B$37:$R$37</c:f>
              <c:numCache>
                <c:formatCode>0.00</c:formatCode>
                <c:ptCount val="17"/>
                <c:pt idx="0">
                  <c:v>12.864705882352942</c:v>
                </c:pt>
                <c:pt idx="1">
                  <c:v>12.864705882352942</c:v>
                </c:pt>
                <c:pt idx="2">
                  <c:v>12.864705882352942</c:v>
                </c:pt>
                <c:pt idx="3">
                  <c:v>12.864705882352942</c:v>
                </c:pt>
                <c:pt idx="4">
                  <c:v>12.864705882352942</c:v>
                </c:pt>
                <c:pt idx="5">
                  <c:v>12.864705882352942</c:v>
                </c:pt>
                <c:pt idx="6">
                  <c:v>12.864705882352942</c:v>
                </c:pt>
                <c:pt idx="7">
                  <c:v>12.864705882352942</c:v>
                </c:pt>
                <c:pt idx="8">
                  <c:v>12.864705882352942</c:v>
                </c:pt>
                <c:pt idx="9">
                  <c:v>12.864705882352942</c:v>
                </c:pt>
                <c:pt idx="10">
                  <c:v>12.864705882352942</c:v>
                </c:pt>
                <c:pt idx="11">
                  <c:v>12.864705882352942</c:v>
                </c:pt>
                <c:pt idx="12">
                  <c:v>12.864705882352942</c:v>
                </c:pt>
                <c:pt idx="13">
                  <c:v>12.864705882352942</c:v>
                </c:pt>
                <c:pt idx="14">
                  <c:v>12.864705882352942</c:v>
                </c:pt>
                <c:pt idx="15">
                  <c:v>12.864705882352942</c:v>
                </c:pt>
                <c:pt idx="16">
                  <c:v>12.864705882352942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F5-428F-943C-A5DBAD3C39A6}"/>
            </c:ext>
          </c:extLst>
        </c:ser>
        <c:ser>
          <c:idx val="3"/>
          <c:order val="3"/>
          <c:tx>
            <c:strRef>
              <c:f>'SISTEMA 03 SINTAM 70 GIALLO AS'!$A$38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AS'!$B$38:$R$38</c:f>
              <c:numCache>
                <c:formatCode>0.00</c:formatCode>
                <c:ptCount val="17"/>
                <c:pt idx="0">
                  <c:v>15.723529411764707</c:v>
                </c:pt>
                <c:pt idx="1">
                  <c:v>15.723529411764707</c:v>
                </c:pt>
                <c:pt idx="2">
                  <c:v>15.723529411764707</c:v>
                </c:pt>
                <c:pt idx="3">
                  <c:v>15.723529411764707</c:v>
                </c:pt>
                <c:pt idx="4">
                  <c:v>15.723529411764707</c:v>
                </c:pt>
                <c:pt idx="5">
                  <c:v>15.723529411764707</c:v>
                </c:pt>
                <c:pt idx="6">
                  <c:v>15.723529411764707</c:v>
                </c:pt>
                <c:pt idx="7">
                  <c:v>15.723529411764707</c:v>
                </c:pt>
                <c:pt idx="8">
                  <c:v>15.723529411764707</c:v>
                </c:pt>
                <c:pt idx="9">
                  <c:v>15.723529411764707</c:v>
                </c:pt>
                <c:pt idx="10">
                  <c:v>15.723529411764707</c:v>
                </c:pt>
                <c:pt idx="11">
                  <c:v>15.723529411764707</c:v>
                </c:pt>
                <c:pt idx="12">
                  <c:v>15.723529411764707</c:v>
                </c:pt>
                <c:pt idx="13">
                  <c:v>15.723529411764707</c:v>
                </c:pt>
                <c:pt idx="14">
                  <c:v>15.723529411764707</c:v>
                </c:pt>
                <c:pt idx="15">
                  <c:v>15.723529411764707</c:v>
                </c:pt>
                <c:pt idx="16">
                  <c:v>15.723529411764707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EF5-428F-943C-A5DBAD3C39A6}"/>
            </c:ext>
          </c:extLst>
        </c:ser>
        <c:ser>
          <c:idx val="4"/>
          <c:order val="4"/>
          <c:tx>
            <c:strRef>
              <c:f>'SISTEMA 03 SINTAM 70 GIALLO AS'!$A$39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AS'!$B$39:$R$39</c:f>
              <c:numCache>
                <c:formatCode>0.00</c:formatCode>
                <c:ptCount val="17"/>
                <c:pt idx="0">
                  <c:v>11.435294117647059</c:v>
                </c:pt>
                <c:pt idx="1">
                  <c:v>11.435294117647059</c:v>
                </c:pt>
                <c:pt idx="2">
                  <c:v>11.435294117647059</c:v>
                </c:pt>
                <c:pt idx="3">
                  <c:v>11.435294117647059</c:v>
                </c:pt>
                <c:pt idx="4">
                  <c:v>11.435294117647059</c:v>
                </c:pt>
                <c:pt idx="5">
                  <c:v>11.435294117647059</c:v>
                </c:pt>
                <c:pt idx="6">
                  <c:v>11.435294117647059</c:v>
                </c:pt>
                <c:pt idx="7">
                  <c:v>11.435294117647059</c:v>
                </c:pt>
                <c:pt idx="8">
                  <c:v>11.435294117647059</c:v>
                </c:pt>
                <c:pt idx="9">
                  <c:v>11.435294117647059</c:v>
                </c:pt>
                <c:pt idx="10">
                  <c:v>11.435294117647059</c:v>
                </c:pt>
                <c:pt idx="11">
                  <c:v>11.435294117647059</c:v>
                </c:pt>
                <c:pt idx="12">
                  <c:v>11.435294117647059</c:v>
                </c:pt>
                <c:pt idx="13">
                  <c:v>11.435294117647059</c:v>
                </c:pt>
                <c:pt idx="14">
                  <c:v>11.435294117647059</c:v>
                </c:pt>
                <c:pt idx="15">
                  <c:v>11.435294117647059</c:v>
                </c:pt>
                <c:pt idx="16">
                  <c:v>11.435294117647059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0-461D-BFFE-6B71CB6D9D14}"/>
            </c:ext>
          </c:extLst>
        </c:ser>
        <c:ser>
          <c:idx val="5"/>
          <c:order val="5"/>
          <c:tx>
            <c:strRef>
              <c:f>'SISTEMA 03 SINTAM 70 GIALLO AS'!$A$40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03 SINTAM 70 GIALLO AS'!$B$1:$R$1</c:f>
              <c:strCache>
                <c:ptCount val="17"/>
                <c:pt idx="0">
                  <c:v>09/12/2020</c:v>
                </c:pt>
                <c:pt idx="1">
                  <c:v>23/02/2021</c:v>
                </c:pt>
                <c:pt idx="2">
                  <c:v>27/04/2021</c:v>
                </c:pt>
                <c:pt idx="3">
                  <c:v>23/07/2021</c:v>
                </c:pt>
                <c:pt idx="4">
                  <c:v>28/10/2021</c:v>
                </c:pt>
                <c:pt idx="5">
                  <c:v>03/02/2022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21/03/2023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03 SINTAM 70 GIALLO AS'!$B$40:$R$40</c:f>
              <c:numCache>
                <c:formatCode>0.00</c:formatCode>
                <c:ptCount val="17"/>
                <c:pt idx="0">
                  <c:v>17.152941176470588</c:v>
                </c:pt>
                <c:pt idx="1">
                  <c:v>17.152941176470588</c:v>
                </c:pt>
                <c:pt idx="2">
                  <c:v>17.152941176470588</c:v>
                </c:pt>
                <c:pt idx="3">
                  <c:v>17.152941176470588</c:v>
                </c:pt>
                <c:pt idx="4">
                  <c:v>17.152941176470588</c:v>
                </c:pt>
                <c:pt idx="5">
                  <c:v>17.152941176470588</c:v>
                </c:pt>
                <c:pt idx="6">
                  <c:v>17.152941176470588</c:v>
                </c:pt>
                <c:pt idx="7">
                  <c:v>17.152941176470588</c:v>
                </c:pt>
                <c:pt idx="8">
                  <c:v>17.152941176470588</c:v>
                </c:pt>
                <c:pt idx="9">
                  <c:v>17.152941176470588</c:v>
                </c:pt>
                <c:pt idx="10">
                  <c:v>17.152941176470588</c:v>
                </c:pt>
                <c:pt idx="11">
                  <c:v>17.152941176470588</c:v>
                </c:pt>
                <c:pt idx="12">
                  <c:v>17.152941176470588</c:v>
                </c:pt>
                <c:pt idx="13">
                  <c:v>17.152941176470588</c:v>
                </c:pt>
                <c:pt idx="14">
                  <c:v>17.152941176470588</c:v>
                </c:pt>
                <c:pt idx="15">
                  <c:v>17.152941176470588</c:v>
                </c:pt>
                <c:pt idx="16">
                  <c:v>17.152941176470588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F0-461D-BFFE-6B71CB6D9D1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805440"/>
        <c:axId val="181806976"/>
      </c:lineChart>
      <c:catAx>
        <c:axId val="181805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06976"/>
        <c:crosses val="max"/>
        <c:auto val="1"/>
        <c:lblAlgn val="ctr"/>
        <c:lblOffset val="100"/>
        <c:noMultiLvlLbl val="0"/>
      </c:catAx>
      <c:valAx>
        <c:axId val="181806976"/>
        <c:scaling>
          <c:orientation val="maxMin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805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04 SINTAL 70 BIANCO G'!$A$14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G'!$B$14:$BN$14</c:f>
              <c:numCache>
                <c:formatCode>General</c:formatCode>
                <c:ptCount val="65"/>
                <c:pt idx="0">
                  <c:v>401</c:v>
                </c:pt>
                <c:pt idx="1">
                  <c:v>298</c:v>
                </c:pt>
                <c:pt idx="2">
                  <c:v>175</c:v>
                </c:pt>
                <c:pt idx="3">
                  <c:v>334</c:v>
                </c:pt>
                <c:pt idx="4">
                  <c:v>392</c:v>
                </c:pt>
                <c:pt idx="5">
                  <c:v>386</c:v>
                </c:pt>
                <c:pt idx="6">
                  <c:v>349</c:v>
                </c:pt>
                <c:pt idx="7">
                  <c:v>411</c:v>
                </c:pt>
                <c:pt idx="8" formatCode="0.00">
                  <c:v>420</c:v>
                </c:pt>
                <c:pt idx="9" formatCode="0.00">
                  <c:v>282</c:v>
                </c:pt>
                <c:pt idx="10" formatCode="0.00">
                  <c:v>433</c:v>
                </c:pt>
                <c:pt idx="11" formatCode="0">
                  <c:v>400.7</c:v>
                </c:pt>
                <c:pt idx="12" formatCode="0">
                  <c:v>361.8</c:v>
                </c:pt>
                <c:pt idx="13" formatCode="0">
                  <c:v>401.2</c:v>
                </c:pt>
                <c:pt idx="14" formatCode="0">
                  <c:v>395</c:v>
                </c:pt>
                <c:pt idx="15" formatCode="0">
                  <c:v>446.7</c:v>
                </c:pt>
                <c:pt idx="16" formatCode="0">
                  <c:v>375.2</c:v>
                </c:pt>
                <c:pt idx="17" formatCode="0">
                  <c:v>427</c:v>
                </c:pt>
                <c:pt idx="18" formatCode="0">
                  <c:v>364.2</c:v>
                </c:pt>
                <c:pt idx="19" formatCode="0">
                  <c:v>399.6</c:v>
                </c:pt>
                <c:pt idx="20" formatCode="0">
                  <c:v>397.9</c:v>
                </c:pt>
                <c:pt idx="21" formatCode="0">
                  <c:v>395.1</c:v>
                </c:pt>
                <c:pt idx="22" formatCode="0">
                  <c:v>375.5</c:v>
                </c:pt>
                <c:pt idx="23" formatCode="0">
                  <c:v>460.2</c:v>
                </c:pt>
                <c:pt idx="24" formatCode="0">
                  <c:v>405.5</c:v>
                </c:pt>
                <c:pt idx="25" formatCode="0">
                  <c:v>446.2</c:v>
                </c:pt>
                <c:pt idx="26" formatCode="0">
                  <c:v>461.2</c:v>
                </c:pt>
                <c:pt idx="27">
                  <c:v>436</c:v>
                </c:pt>
                <c:pt idx="28" formatCode="0">
                  <c:v>405.5</c:v>
                </c:pt>
                <c:pt idx="29" formatCode="0">
                  <c:v>430.4</c:v>
                </c:pt>
                <c:pt idx="30" formatCode="0">
                  <c:v>401.8</c:v>
                </c:pt>
                <c:pt idx="31" formatCode="0">
                  <c:v>416</c:v>
                </c:pt>
                <c:pt idx="32" formatCode="0">
                  <c:v>435</c:v>
                </c:pt>
                <c:pt idx="33" formatCode="0">
                  <c:v>396.5</c:v>
                </c:pt>
                <c:pt idx="34" formatCode="0">
                  <c:v>450</c:v>
                </c:pt>
                <c:pt idx="35" formatCode="0">
                  <c:v>414.2</c:v>
                </c:pt>
                <c:pt idx="36" formatCode="0">
                  <c:v>435.3</c:v>
                </c:pt>
                <c:pt idx="37" formatCode="0">
                  <c:v>438.3</c:v>
                </c:pt>
                <c:pt idx="38" formatCode="0">
                  <c:v>460.7</c:v>
                </c:pt>
                <c:pt idx="39" formatCode="0">
                  <c:v>452.8</c:v>
                </c:pt>
                <c:pt idx="40" formatCode="0">
                  <c:v>451</c:v>
                </c:pt>
                <c:pt idx="41" formatCode="0">
                  <c:v>503.3</c:v>
                </c:pt>
                <c:pt idx="42" formatCode="0">
                  <c:v>386.1</c:v>
                </c:pt>
                <c:pt idx="43" formatCode="0">
                  <c:v>405.7</c:v>
                </c:pt>
                <c:pt idx="44" formatCode="0">
                  <c:v>407.9</c:v>
                </c:pt>
                <c:pt idx="45" formatCode="0">
                  <c:v>388</c:v>
                </c:pt>
                <c:pt idx="46" formatCode="0">
                  <c:v>345</c:v>
                </c:pt>
                <c:pt idx="47" formatCode="0">
                  <c:v>422.3</c:v>
                </c:pt>
                <c:pt idx="48" formatCode="0">
                  <c:v>417.5</c:v>
                </c:pt>
                <c:pt idx="49" formatCode="0">
                  <c:v>415.5</c:v>
                </c:pt>
                <c:pt idx="50" formatCode="0">
                  <c:v>386.3</c:v>
                </c:pt>
                <c:pt idx="51">
                  <c:v>434</c:v>
                </c:pt>
                <c:pt idx="52">
                  <c:v>424</c:v>
                </c:pt>
                <c:pt idx="53">
                  <c:v>420</c:v>
                </c:pt>
                <c:pt idx="54">
                  <c:v>438</c:v>
                </c:pt>
                <c:pt idx="55">
                  <c:v>419.3</c:v>
                </c:pt>
                <c:pt idx="56">
                  <c:v>438.6</c:v>
                </c:pt>
                <c:pt idx="57">
                  <c:v>457.1</c:v>
                </c:pt>
                <c:pt idx="58">
                  <c:v>475</c:v>
                </c:pt>
                <c:pt idx="59">
                  <c:v>440.2</c:v>
                </c:pt>
                <c:pt idx="60">
                  <c:v>433.1</c:v>
                </c:pt>
                <c:pt idx="61">
                  <c:v>438.6</c:v>
                </c:pt>
                <c:pt idx="62">
                  <c:v>418.1</c:v>
                </c:pt>
                <c:pt idx="63">
                  <c:v>394.9</c:v>
                </c:pt>
                <c:pt idx="64">
                  <c:v>370.9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7478-467C-97DA-3D766C0C9C2F}"/>
            </c:ext>
          </c:extLst>
        </c:ser>
        <c:ser>
          <c:idx val="1"/>
          <c:order val="1"/>
          <c:tx>
            <c:strRef>
              <c:f>'SISTEMA 04 SINTAL 70 BIANCO G'!$A$15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G'!$B$15:$BN$15</c:f>
              <c:numCache>
                <c:formatCode>0.0</c:formatCode>
                <c:ptCount val="65"/>
                <c:pt idx="0">
                  <c:v>407.64461538461529</c:v>
                </c:pt>
                <c:pt idx="1">
                  <c:v>407.64461538461529</c:v>
                </c:pt>
                <c:pt idx="2">
                  <c:v>407.64461538461529</c:v>
                </c:pt>
                <c:pt idx="3">
                  <c:v>407.64461538461529</c:v>
                </c:pt>
                <c:pt idx="4">
                  <c:v>407.64461538461529</c:v>
                </c:pt>
                <c:pt idx="5">
                  <c:v>407.64461538461529</c:v>
                </c:pt>
                <c:pt idx="6">
                  <c:v>407.64461538461529</c:v>
                </c:pt>
                <c:pt idx="7">
                  <c:v>407.64461538461529</c:v>
                </c:pt>
                <c:pt idx="8">
                  <c:v>407.64461538461529</c:v>
                </c:pt>
                <c:pt idx="9">
                  <c:v>407.64461538461529</c:v>
                </c:pt>
                <c:pt idx="10">
                  <c:v>407.64461538461529</c:v>
                </c:pt>
                <c:pt idx="11">
                  <c:v>407.64461538461529</c:v>
                </c:pt>
                <c:pt idx="12">
                  <c:v>407.64461538461529</c:v>
                </c:pt>
                <c:pt idx="13">
                  <c:v>407.64461538461529</c:v>
                </c:pt>
                <c:pt idx="14">
                  <c:v>407.64461538461529</c:v>
                </c:pt>
                <c:pt idx="15">
                  <c:v>407.64461538461529</c:v>
                </c:pt>
                <c:pt idx="16">
                  <c:v>407.64461538461529</c:v>
                </c:pt>
                <c:pt idx="17">
                  <c:v>407.64461538461529</c:v>
                </c:pt>
                <c:pt idx="18">
                  <c:v>407.64461538461529</c:v>
                </c:pt>
                <c:pt idx="19">
                  <c:v>407.64461538461529</c:v>
                </c:pt>
                <c:pt idx="20">
                  <c:v>407.64461538461529</c:v>
                </c:pt>
                <c:pt idx="21">
                  <c:v>407.64461538461529</c:v>
                </c:pt>
                <c:pt idx="22">
                  <c:v>407.64461538461529</c:v>
                </c:pt>
                <c:pt idx="23">
                  <c:v>407.64461538461529</c:v>
                </c:pt>
                <c:pt idx="24">
                  <c:v>407.64461538461529</c:v>
                </c:pt>
                <c:pt idx="25">
                  <c:v>407.64461538461529</c:v>
                </c:pt>
                <c:pt idx="26">
                  <c:v>407.64461538461529</c:v>
                </c:pt>
                <c:pt idx="27">
                  <c:v>407.64461538461529</c:v>
                </c:pt>
                <c:pt idx="28">
                  <c:v>407.64461538461529</c:v>
                </c:pt>
                <c:pt idx="29">
                  <c:v>407.64461538461529</c:v>
                </c:pt>
                <c:pt idx="30">
                  <c:v>407.64461538461529</c:v>
                </c:pt>
                <c:pt idx="31">
                  <c:v>407.64461538461529</c:v>
                </c:pt>
                <c:pt idx="32">
                  <c:v>407.64461538461529</c:v>
                </c:pt>
                <c:pt idx="33">
                  <c:v>407.64461538461529</c:v>
                </c:pt>
                <c:pt idx="34">
                  <c:v>407.64461538461529</c:v>
                </c:pt>
                <c:pt idx="35">
                  <c:v>407.64461538461529</c:v>
                </c:pt>
                <c:pt idx="36">
                  <c:v>407.64461538461529</c:v>
                </c:pt>
                <c:pt idx="37">
                  <c:v>407.64461538461529</c:v>
                </c:pt>
                <c:pt idx="38">
                  <c:v>407.64461538461529</c:v>
                </c:pt>
                <c:pt idx="39">
                  <c:v>407.64461538461529</c:v>
                </c:pt>
                <c:pt idx="40">
                  <c:v>407.64461538461529</c:v>
                </c:pt>
                <c:pt idx="41">
                  <c:v>407.64461538461529</c:v>
                </c:pt>
                <c:pt idx="42">
                  <c:v>407.64461538461529</c:v>
                </c:pt>
                <c:pt idx="43">
                  <c:v>407.64461538461529</c:v>
                </c:pt>
                <c:pt idx="44">
                  <c:v>407.64461538461529</c:v>
                </c:pt>
                <c:pt idx="45">
                  <c:v>407.64461538461529</c:v>
                </c:pt>
                <c:pt idx="46">
                  <c:v>407.64461538461529</c:v>
                </c:pt>
                <c:pt idx="47">
                  <c:v>407.64461538461529</c:v>
                </c:pt>
                <c:pt idx="48">
                  <c:v>407.64461538461529</c:v>
                </c:pt>
                <c:pt idx="49">
                  <c:v>407.64461538461529</c:v>
                </c:pt>
                <c:pt idx="50">
                  <c:v>407.64461538461529</c:v>
                </c:pt>
                <c:pt idx="51">
                  <c:v>407.64461538461529</c:v>
                </c:pt>
                <c:pt idx="52">
                  <c:v>407.64461538461529</c:v>
                </c:pt>
                <c:pt idx="53">
                  <c:v>407.64461538461529</c:v>
                </c:pt>
                <c:pt idx="54">
                  <c:v>407.64461538461529</c:v>
                </c:pt>
                <c:pt idx="55">
                  <c:v>407.64461538461529</c:v>
                </c:pt>
                <c:pt idx="56">
                  <c:v>407.64461538461529</c:v>
                </c:pt>
                <c:pt idx="57">
                  <c:v>407.64461538461529</c:v>
                </c:pt>
                <c:pt idx="58">
                  <c:v>407.64461538461529</c:v>
                </c:pt>
                <c:pt idx="59">
                  <c:v>407.64461538461529</c:v>
                </c:pt>
                <c:pt idx="60">
                  <c:v>407.64461538461529</c:v>
                </c:pt>
                <c:pt idx="61">
                  <c:v>407.64461538461529</c:v>
                </c:pt>
                <c:pt idx="62">
                  <c:v>407.64461538461529</c:v>
                </c:pt>
                <c:pt idx="63">
                  <c:v>407.64461538461529</c:v>
                </c:pt>
                <c:pt idx="64">
                  <c:v>407.64461538461529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9F-4FAD-8FC5-F8A55BE33BCB}"/>
            </c:ext>
          </c:extLst>
        </c:ser>
        <c:ser>
          <c:idx val="2"/>
          <c:order val="2"/>
          <c:tx>
            <c:strRef>
              <c:f>'SISTEMA 04 SINTAL 70 BIANCO G'!$A$16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G'!$B$16:$BN$16</c:f>
              <c:numCache>
                <c:formatCode>0.0</c:formatCode>
                <c:ptCount val="65"/>
                <c:pt idx="0">
                  <c:v>366.88015384615375</c:v>
                </c:pt>
                <c:pt idx="1">
                  <c:v>366.88015384615375</c:v>
                </c:pt>
                <c:pt idx="2">
                  <c:v>366.88015384615375</c:v>
                </c:pt>
                <c:pt idx="3">
                  <c:v>366.88015384615375</c:v>
                </c:pt>
                <c:pt idx="4">
                  <c:v>366.88015384615375</c:v>
                </c:pt>
                <c:pt idx="5">
                  <c:v>366.88015384615375</c:v>
                </c:pt>
                <c:pt idx="6">
                  <c:v>366.88015384615375</c:v>
                </c:pt>
                <c:pt idx="7">
                  <c:v>366.88015384615375</c:v>
                </c:pt>
                <c:pt idx="8">
                  <c:v>366.88015384615375</c:v>
                </c:pt>
                <c:pt idx="9">
                  <c:v>366.88015384615375</c:v>
                </c:pt>
                <c:pt idx="10">
                  <c:v>366.88015384615375</c:v>
                </c:pt>
                <c:pt idx="11">
                  <c:v>366.88015384615375</c:v>
                </c:pt>
                <c:pt idx="12">
                  <c:v>366.88015384615375</c:v>
                </c:pt>
                <c:pt idx="13">
                  <c:v>366.88015384615375</c:v>
                </c:pt>
                <c:pt idx="14">
                  <c:v>366.88015384615375</c:v>
                </c:pt>
                <c:pt idx="15">
                  <c:v>366.88015384615375</c:v>
                </c:pt>
                <c:pt idx="16">
                  <c:v>366.88015384615375</c:v>
                </c:pt>
                <c:pt idx="17">
                  <c:v>366.88015384615375</c:v>
                </c:pt>
                <c:pt idx="18">
                  <c:v>366.88015384615375</c:v>
                </c:pt>
                <c:pt idx="19">
                  <c:v>366.88015384615375</c:v>
                </c:pt>
                <c:pt idx="20">
                  <c:v>366.88015384615375</c:v>
                </c:pt>
                <c:pt idx="21">
                  <c:v>366.88015384615375</c:v>
                </c:pt>
                <c:pt idx="22">
                  <c:v>366.88015384615375</c:v>
                </c:pt>
                <c:pt idx="23">
                  <c:v>366.88015384615375</c:v>
                </c:pt>
                <c:pt idx="24">
                  <c:v>366.88015384615375</c:v>
                </c:pt>
                <c:pt idx="25">
                  <c:v>366.88015384615375</c:v>
                </c:pt>
                <c:pt idx="26">
                  <c:v>366.88015384615375</c:v>
                </c:pt>
                <c:pt idx="27">
                  <c:v>366.88015384615375</c:v>
                </c:pt>
                <c:pt idx="28">
                  <c:v>366.88015384615375</c:v>
                </c:pt>
                <c:pt idx="29">
                  <c:v>366.88015384615375</c:v>
                </c:pt>
                <c:pt idx="30">
                  <c:v>366.88015384615375</c:v>
                </c:pt>
                <c:pt idx="31">
                  <c:v>366.88015384615375</c:v>
                </c:pt>
                <c:pt idx="32">
                  <c:v>366.88015384615375</c:v>
                </c:pt>
                <c:pt idx="33">
                  <c:v>366.88015384615375</c:v>
                </c:pt>
                <c:pt idx="34">
                  <c:v>366.88015384615375</c:v>
                </c:pt>
                <c:pt idx="35">
                  <c:v>366.88015384615375</c:v>
                </c:pt>
                <c:pt idx="36">
                  <c:v>366.88015384615375</c:v>
                </c:pt>
                <c:pt idx="37">
                  <c:v>366.88015384615375</c:v>
                </c:pt>
                <c:pt idx="38">
                  <c:v>366.88015384615375</c:v>
                </c:pt>
                <c:pt idx="39">
                  <c:v>366.88015384615375</c:v>
                </c:pt>
                <c:pt idx="40">
                  <c:v>366.88015384615375</c:v>
                </c:pt>
                <c:pt idx="41">
                  <c:v>366.88015384615375</c:v>
                </c:pt>
                <c:pt idx="42">
                  <c:v>366.88015384615375</c:v>
                </c:pt>
                <c:pt idx="43">
                  <c:v>366.88015384615375</c:v>
                </c:pt>
                <c:pt idx="44">
                  <c:v>366.88015384615375</c:v>
                </c:pt>
                <c:pt idx="45">
                  <c:v>366.88015384615375</c:v>
                </c:pt>
                <c:pt idx="46">
                  <c:v>366.88015384615375</c:v>
                </c:pt>
                <c:pt idx="47">
                  <c:v>366.88015384615375</c:v>
                </c:pt>
                <c:pt idx="48">
                  <c:v>366.88015384615375</c:v>
                </c:pt>
                <c:pt idx="49">
                  <c:v>366.88015384615375</c:v>
                </c:pt>
                <c:pt idx="50">
                  <c:v>366.88015384615375</c:v>
                </c:pt>
                <c:pt idx="51">
                  <c:v>366.88015384615375</c:v>
                </c:pt>
                <c:pt idx="52">
                  <c:v>366.88015384615375</c:v>
                </c:pt>
                <c:pt idx="53">
                  <c:v>366.88015384615375</c:v>
                </c:pt>
                <c:pt idx="54">
                  <c:v>366.88015384615375</c:v>
                </c:pt>
                <c:pt idx="55">
                  <c:v>366.88015384615375</c:v>
                </c:pt>
                <c:pt idx="56">
                  <c:v>366.88015384615375</c:v>
                </c:pt>
                <c:pt idx="57">
                  <c:v>366.88015384615375</c:v>
                </c:pt>
                <c:pt idx="58">
                  <c:v>366.88015384615375</c:v>
                </c:pt>
                <c:pt idx="59">
                  <c:v>366.88015384615375</c:v>
                </c:pt>
                <c:pt idx="60">
                  <c:v>366.88015384615375</c:v>
                </c:pt>
                <c:pt idx="61">
                  <c:v>366.88015384615375</c:v>
                </c:pt>
                <c:pt idx="62">
                  <c:v>366.88015384615375</c:v>
                </c:pt>
                <c:pt idx="63">
                  <c:v>366.88015384615375</c:v>
                </c:pt>
                <c:pt idx="64">
                  <c:v>366.88015384615375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9F-4FAD-8FC5-F8A55BE33BCB}"/>
            </c:ext>
          </c:extLst>
        </c:ser>
        <c:ser>
          <c:idx val="3"/>
          <c:order val="3"/>
          <c:tx>
            <c:strRef>
              <c:f>'SISTEMA 04 SINTAL 70 BIANCO G'!$A$17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G'!$B$17:$BN$17</c:f>
              <c:numCache>
                <c:formatCode>0.0</c:formatCode>
                <c:ptCount val="65"/>
                <c:pt idx="0">
                  <c:v>326.1156923076922</c:v>
                </c:pt>
                <c:pt idx="1">
                  <c:v>326.1156923076922</c:v>
                </c:pt>
                <c:pt idx="2">
                  <c:v>326.1156923076922</c:v>
                </c:pt>
                <c:pt idx="3">
                  <c:v>326.1156923076922</c:v>
                </c:pt>
                <c:pt idx="4">
                  <c:v>326.1156923076922</c:v>
                </c:pt>
                <c:pt idx="5">
                  <c:v>326.1156923076922</c:v>
                </c:pt>
                <c:pt idx="6">
                  <c:v>326.1156923076922</c:v>
                </c:pt>
                <c:pt idx="7">
                  <c:v>326.1156923076922</c:v>
                </c:pt>
                <c:pt idx="8">
                  <c:v>326.1156923076922</c:v>
                </c:pt>
                <c:pt idx="9">
                  <c:v>326.1156923076922</c:v>
                </c:pt>
                <c:pt idx="10">
                  <c:v>326.1156923076922</c:v>
                </c:pt>
                <c:pt idx="11">
                  <c:v>326.1156923076922</c:v>
                </c:pt>
                <c:pt idx="12">
                  <c:v>326.1156923076922</c:v>
                </c:pt>
                <c:pt idx="13">
                  <c:v>326.1156923076922</c:v>
                </c:pt>
                <c:pt idx="14">
                  <c:v>326.1156923076922</c:v>
                </c:pt>
                <c:pt idx="15">
                  <c:v>326.1156923076922</c:v>
                </c:pt>
                <c:pt idx="16">
                  <c:v>326.1156923076922</c:v>
                </c:pt>
                <c:pt idx="17">
                  <c:v>326.1156923076922</c:v>
                </c:pt>
                <c:pt idx="18">
                  <c:v>326.1156923076922</c:v>
                </c:pt>
                <c:pt idx="19">
                  <c:v>326.1156923076922</c:v>
                </c:pt>
                <c:pt idx="20">
                  <c:v>326.1156923076922</c:v>
                </c:pt>
                <c:pt idx="21">
                  <c:v>326.1156923076922</c:v>
                </c:pt>
                <c:pt idx="22">
                  <c:v>326.1156923076922</c:v>
                </c:pt>
                <c:pt idx="23">
                  <c:v>326.1156923076922</c:v>
                </c:pt>
                <c:pt idx="24">
                  <c:v>326.1156923076922</c:v>
                </c:pt>
                <c:pt idx="25">
                  <c:v>326.1156923076922</c:v>
                </c:pt>
                <c:pt idx="26">
                  <c:v>326.1156923076922</c:v>
                </c:pt>
                <c:pt idx="27">
                  <c:v>326.1156923076922</c:v>
                </c:pt>
                <c:pt idx="28">
                  <c:v>326.1156923076922</c:v>
                </c:pt>
                <c:pt idx="29">
                  <c:v>326.1156923076922</c:v>
                </c:pt>
                <c:pt idx="30">
                  <c:v>326.1156923076922</c:v>
                </c:pt>
                <c:pt idx="31">
                  <c:v>326.1156923076922</c:v>
                </c:pt>
                <c:pt idx="32">
                  <c:v>326.1156923076922</c:v>
                </c:pt>
                <c:pt idx="33">
                  <c:v>326.1156923076922</c:v>
                </c:pt>
                <c:pt idx="34">
                  <c:v>326.1156923076922</c:v>
                </c:pt>
                <c:pt idx="35">
                  <c:v>326.1156923076922</c:v>
                </c:pt>
                <c:pt idx="36">
                  <c:v>326.1156923076922</c:v>
                </c:pt>
                <c:pt idx="37">
                  <c:v>326.1156923076922</c:v>
                </c:pt>
                <c:pt idx="38">
                  <c:v>326.1156923076922</c:v>
                </c:pt>
                <c:pt idx="39">
                  <c:v>326.1156923076922</c:v>
                </c:pt>
                <c:pt idx="40">
                  <c:v>326.1156923076922</c:v>
                </c:pt>
                <c:pt idx="41">
                  <c:v>326.1156923076922</c:v>
                </c:pt>
                <c:pt idx="42">
                  <c:v>326.1156923076922</c:v>
                </c:pt>
                <c:pt idx="43">
                  <c:v>326.1156923076922</c:v>
                </c:pt>
                <c:pt idx="44">
                  <c:v>326.1156923076922</c:v>
                </c:pt>
                <c:pt idx="45">
                  <c:v>326.1156923076922</c:v>
                </c:pt>
                <c:pt idx="46">
                  <c:v>326.1156923076922</c:v>
                </c:pt>
                <c:pt idx="47">
                  <c:v>326.1156923076922</c:v>
                </c:pt>
                <c:pt idx="48">
                  <c:v>326.1156923076922</c:v>
                </c:pt>
                <c:pt idx="49">
                  <c:v>326.1156923076922</c:v>
                </c:pt>
                <c:pt idx="50">
                  <c:v>326.1156923076922</c:v>
                </c:pt>
                <c:pt idx="51">
                  <c:v>326.1156923076922</c:v>
                </c:pt>
                <c:pt idx="52">
                  <c:v>326.1156923076922</c:v>
                </c:pt>
                <c:pt idx="53">
                  <c:v>326.1156923076922</c:v>
                </c:pt>
                <c:pt idx="54">
                  <c:v>326.1156923076922</c:v>
                </c:pt>
                <c:pt idx="55">
                  <c:v>326.1156923076922</c:v>
                </c:pt>
                <c:pt idx="56">
                  <c:v>326.1156923076922</c:v>
                </c:pt>
                <c:pt idx="57">
                  <c:v>326.1156923076922</c:v>
                </c:pt>
                <c:pt idx="58">
                  <c:v>326.1156923076922</c:v>
                </c:pt>
                <c:pt idx="59">
                  <c:v>326.1156923076922</c:v>
                </c:pt>
                <c:pt idx="60">
                  <c:v>326.1156923076922</c:v>
                </c:pt>
                <c:pt idx="61">
                  <c:v>326.1156923076922</c:v>
                </c:pt>
                <c:pt idx="62">
                  <c:v>326.1156923076922</c:v>
                </c:pt>
                <c:pt idx="63">
                  <c:v>326.1156923076922</c:v>
                </c:pt>
                <c:pt idx="64">
                  <c:v>326.1156923076922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9F-4FAD-8FC5-F8A55BE33BCB}"/>
            </c:ext>
          </c:extLst>
        </c:ser>
        <c:ser>
          <c:idx val="4"/>
          <c:order val="4"/>
          <c:tx>
            <c:strRef>
              <c:f>'SISTEMA 04 SINTAL 70 BIANCO G'!$A$18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G'!$B$18:$BN$18</c:f>
              <c:numCache>
                <c:formatCode>0.0</c:formatCode>
                <c:ptCount val="65"/>
                <c:pt idx="0">
                  <c:v>448.40907692307678</c:v>
                </c:pt>
                <c:pt idx="1">
                  <c:v>448.40907692307678</c:v>
                </c:pt>
                <c:pt idx="2">
                  <c:v>448.40907692307678</c:v>
                </c:pt>
                <c:pt idx="3">
                  <c:v>448.40907692307678</c:v>
                </c:pt>
                <c:pt idx="4">
                  <c:v>448.40907692307678</c:v>
                </c:pt>
                <c:pt idx="5">
                  <c:v>448.40907692307678</c:v>
                </c:pt>
                <c:pt idx="6">
                  <c:v>448.40907692307678</c:v>
                </c:pt>
                <c:pt idx="7">
                  <c:v>448.40907692307678</c:v>
                </c:pt>
                <c:pt idx="8">
                  <c:v>448.40907692307678</c:v>
                </c:pt>
                <c:pt idx="9">
                  <c:v>448.40907692307678</c:v>
                </c:pt>
                <c:pt idx="10">
                  <c:v>448.40907692307678</c:v>
                </c:pt>
                <c:pt idx="11">
                  <c:v>448.40907692307678</c:v>
                </c:pt>
                <c:pt idx="12">
                  <c:v>448.40907692307678</c:v>
                </c:pt>
                <c:pt idx="13">
                  <c:v>448.40907692307678</c:v>
                </c:pt>
                <c:pt idx="14">
                  <c:v>448.40907692307678</c:v>
                </c:pt>
                <c:pt idx="15">
                  <c:v>448.40907692307678</c:v>
                </c:pt>
                <c:pt idx="16">
                  <c:v>448.40907692307678</c:v>
                </c:pt>
                <c:pt idx="17">
                  <c:v>448.40907692307678</c:v>
                </c:pt>
                <c:pt idx="18">
                  <c:v>448.40907692307678</c:v>
                </c:pt>
                <c:pt idx="19">
                  <c:v>448.40907692307678</c:v>
                </c:pt>
                <c:pt idx="20">
                  <c:v>448.40907692307678</c:v>
                </c:pt>
                <c:pt idx="21">
                  <c:v>448.40907692307678</c:v>
                </c:pt>
                <c:pt idx="22">
                  <c:v>448.40907692307678</c:v>
                </c:pt>
                <c:pt idx="23">
                  <c:v>448.40907692307678</c:v>
                </c:pt>
                <c:pt idx="24">
                  <c:v>448.40907692307678</c:v>
                </c:pt>
                <c:pt idx="25">
                  <c:v>448.40907692307678</c:v>
                </c:pt>
                <c:pt idx="26">
                  <c:v>448.40907692307678</c:v>
                </c:pt>
                <c:pt idx="27">
                  <c:v>448.40907692307678</c:v>
                </c:pt>
                <c:pt idx="28">
                  <c:v>448.40907692307678</c:v>
                </c:pt>
                <c:pt idx="29">
                  <c:v>448.40907692307678</c:v>
                </c:pt>
                <c:pt idx="30">
                  <c:v>448.40907692307678</c:v>
                </c:pt>
                <c:pt idx="31">
                  <c:v>448.40907692307678</c:v>
                </c:pt>
                <c:pt idx="32">
                  <c:v>448.40907692307678</c:v>
                </c:pt>
                <c:pt idx="33">
                  <c:v>448.40907692307678</c:v>
                </c:pt>
                <c:pt idx="34">
                  <c:v>448.40907692307678</c:v>
                </c:pt>
                <c:pt idx="35">
                  <c:v>448.40907692307678</c:v>
                </c:pt>
                <c:pt idx="36">
                  <c:v>448.40907692307678</c:v>
                </c:pt>
                <c:pt idx="37">
                  <c:v>448.40907692307678</c:v>
                </c:pt>
                <c:pt idx="38">
                  <c:v>448.40907692307678</c:v>
                </c:pt>
                <c:pt idx="39">
                  <c:v>448.40907692307678</c:v>
                </c:pt>
                <c:pt idx="40">
                  <c:v>448.40907692307678</c:v>
                </c:pt>
                <c:pt idx="41">
                  <c:v>448.40907692307678</c:v>
                </c:pt>
                <c:pt idx="42">
                  <c:v>448.40907692307678</c:v>
                </c:pt>
                <c:pt idx="43">
                  <c:v>448.40907692307678</c:v>
                </c:pt>
                <c:pt idx="44">
                  <c:v>448.40907692307678</c:v>
                </c:pt>
                <c:pt idx="45">
                  <c:v>448.40907692307678</c:v>
                </c:pt>
                <c:pt idx="46">
                  <c:v>448.40907692307678</c:v>
                </c:pt>
                <c:pt idx="47">
                  <c:v>448.40907692307678</c:v>
                </c:pt>
                <c:pt idx="48">
                  <c:v>448.40907692307678</c:v>
                </c:pt>
                <c:pt idx="49">
                  <c:v>448.40907692307678</c:v>
                </c:pt>
                <c:pt idx="50">
                  <c:v>448.40907692307678</c:v>
                </c:pt>
                <c:pt idx="51">
                  <c:v>448.40907692307678</c:v>
                </c:pt>
                <c:pt idx="52">
                  <c:v>448.40907692307678</c:v>
                </c:pt>
                <c:pt idx="53">
                  <c:v>448.40907692307678</c:v>
                </c:pt>
                <c:pt idx="54">
                  <c:v>448.40907692307678</c:v>
                </c:pt>
                <c:pt idx="55">
                  <c:v>448.40907692307678</c:v>
                </c:pt>
                <c:pt idx="56">
                  <c:v>448.40907692307678</c:v>
                </c:pt>
                <c:pt idx="57">
                  <c:v>448.40907692307678</c:v>
                </c:pt>
                <c:pt idx="58">
                  <c:v>448.40907692307678</c:v>
                </c:pt>
                <c:pt idx="59">
                  <c:v>448.40907692307678</c:v>
                </c:pt>
                <c:pt idx="60">
                  <c:v>448.40907692307678</c:v>
                </c:pt>
                <c:pt idx="61">
                  <c:v>448.40907692307678</c:v>
                </c:pt>
                <c:pt idx="62">
                  <c:v>448.40907692307678</c:v>
                </c:pt>
                <c:pt idx="63">
                  <c:v>448.40907692307678</c:v>
                </c:pt>
                <c:pt idx="64">
                  <c:v>448.40907692307678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49F-4FAD-8FC5-F8A55BE33BCB}"/>
            </c:ext>
          </c:extLst>
        </c:ser>
        <c:ser>
          <c:idx val="5"/>
          <c:order val="5"/>
          <c:tx>
            <c:strRef>
              <c:f>'SISTEMA 04 SINTAL 70 BIANCO G'!$A$19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G'!$B$19:$BN$19</c:f>
              <c:numCache>
                <c:formatCode>0.0</c:formatCode>
                <c:ptCount val="65"/>
                <c:pt idx="0">
                  <c:v>489.17353846153833</c:v>
                </c:pt>
                <c:pt idx="1">
                  <c:v>489.17353846153833</c:v>
                </c:pt>
                <c:pt idx="2">
                  <c:v>489.17353846153833</c:v>
                </c:pt>
                <c:pt idx="3">
                  <c:v>489.17353846153833</c:v>
                </c:pt>
                <c:pt idx="4">
                  <c:v>489.17353846153833</c:v>
                </c:pt>
                <c:pt idx="5">
                  <c:v>489.17353846153833</c:v>
                </c:pt>
                <c:pt idx="6">
                  <c:v>489.17353846153833</c:v>
                </c:pt>
                <c:pt idx="7">
                  <c:v>489.17353846153833</c:v>
                </c:pt>
                <c:pt idx="8">
                  <c:v>489.17353846153833</c:v>
                </c:pt>
                <c:pt idx="9">
                  <c:v>489.17353846153833</c:v>
                </c:pt>
                <c:pt idx="10">
                  <c:v>489.17353846153833</c:v>
                </c:pt>
                <c:pt idx="11">
                  <c:v>489.17353846153833</c:v>
                </c:pt>
                <c:pt idx="12">
                  <c:v>489.17353846153833</c:v>
                </c:pt>
                <c:pt idx="13">
                  <c:v>489.17353846153833</c:v>
                </c:pt>
                <c:pt idx="14">
                  <c:v>489.17353846153833</c:v>
                </c:pt>
                <c:pt idx="15">
                  <c:v>489.17353846153833</c:v>
                </c:pt>
                <c:pt idx="16">
                  <c:v>489.17353846153833</c:v>
                </c:pt>
                <c:pt idx="17">
                  <c:v>489.17353846153833</c:v>
                </c:pt>
                <c:pt idx="18">
                  <c:v>489.17353846153833</c:v>
                </c:pt>
                <c:pt idx="19">
                  <c:v>489.17353846153833</c:v>
                </c:pt>
                <c:pt idx="20">
                  <c:v>489.17353846153833</c:v>
                </c:pt>
                <c:pt idx="21">
                  <c:v>489.17353846153833</c:v>
                </c:pt>
                <c:pt idx="22">
                  <c:v>489.17353846153833</c:v>
                </c:pt>
                <c:pt idx="23">
                  <c:v>489.17353846153833</c:v>
                </c:pt>
                <c:pt idx="24">
                  <c:v>489.17353846153833</c:v>
                </c:pt>
                <c:pt idx="25">
                  <c:v>489.17353846153833</c:v>
                </c:pt>
                <c:pt idx="26">
                  <c:v>489.17353846153833</c:v>
                </c:pt>
                <c:pt idx="27">
                  <c:v>489.17353846153833</c:v>
                </c:pt>
                <c:pt idx="28">
                  <c:v>489.17353846153833</c:v>
                </c:pt>
                <c:pt idx="29">
                  <c:v>489.17353846153833</c:v>
                </c:pt>
                <c:pt idx="30">
                  <c:v>489.17353846153833</c:v>
                </c:pt>
                <c:pt idx="31">
                  <c:v>489.17353846153833</c:v>
                </c:pt>
                <c:pt idx="32">
                  <c:v>489.17353846153833</c:v>
                </c:pt>
                <c:pt idx="33">
                  <c:v>489.17353846153833</c:v>
                </c:pt>
                <c:pt idx="34">
                  <c:v>489.17353846153833</c:v>
                </c:pt>
                <c:pt idx="35">
                  <c:v>489.17353846153833</c:v>
                </c:pt>
                <c:pt idx="36">
                  <c:v>489.17353846153833</c:v>
                </c:pt>
                <c:pt idx="37">
                  <c:v>489.17353846153833</c:v>
                </c:pt>
                <c:pt idx="38">
                  <c:v>489.17353846153833</c:v>
                </c:pt>
                <c:pt idx="39">
                  <c:v>489.17353846153833</c:v>
                </c:pt>
                <c:pt idx="40">
                  <c:v>489.17353846153833</c:v>
                </c:pt>
                <c:pt idx="41">
                  <c:v>489.17353846153833</c:v>
                </c:pt>
                <c:pt idx="42">
                  <c:v>489.17353846153833</c:v>
                </c:pt>
                <c:pt idx="43">
                  <c:v>489.17353846153833</c:v>
                </c:pt>
                <c:pt idx="44">
                  <c:v>489.17353846153833</c:v>
                </c:pt>
                <c:pt idx="45">
                  <c:v>489.17353846153833</c:v>
                </c:pt>
                <c:pt idx="46">
                  <c:v>489.17353846153833</c:v>
                </c:pt>
                <c:pt idx="47">
                  <c:v>489.17353846153833</c:v>
                </c:pt>
                <c:pt idx="48">
                  <c:v>489.17353846153833</c:v>
                </c:pt>
                <c:pt idx="49">
                  <c:v>489.17353846153833</c:v>
                </c:pt>
                <c:pt idx="50">
                  <c:v>489.17353846153833</c:v>
                </c:pt>
                <c:pt idx="51">
                  <c:v>489.17353846153833</c:v>
                </c:pt>
                <c:pt idx="52">
                  <c:v>489.17353846153833</c:v>
                </c:pt>
                <c:pt idx="53">
                  <c:v>489.17353846153833</c:v>
                </c:pt>
                <c:pt idx="54">
                  <c:v>489.17353846153833</c:v>
                </c:pt>
                <c:pt idx="55">
                  <c:v>489.17353846153833</c:v>
                </c:pt>
                <c:pt idx="56">
                  <c:v>489.17353846153833</c:v>
                </c:pt>
                <c:pt idx="57">
                  <c:v>489.17353846153833</c:v>
                </c:pt>
                <c:pt idx="58">
                  <c:v>489.17353846153833</c:v>
                </c:pt>
                <c:pt idx="59">
                  <c:v>489.17353846153833</c:v>
                </c:pt>
                <c:pt idx="60">
                  <c:v>489.17353846153833</c:v>
                </c:pt>
                <c:pt idx="61">
                  <c:v>489.17353846153833</c:v>
                </c:pt>
                <c:pt idx="62">
                  <c:v>489.17353846153833</c:v>
                </c:pt>
                <c:pt idx="63">
                  <c:v>489.17353846153833</c:v>
                </c:pt>
                <c:pt idx="64">
                  <c:v>489.17353846153833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9F-4FAD-8FC5-F8A55BE33BC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068736"/>
        <c:axId val="182070272"/>
      </c:lineChart>
      <c:catAx>
        <c:axId val="18206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70272"/>
        <c:crosses val="autoZero"/>
        <c:auto val="1"/>
        <c:lblAlgn val="ctr"/>
        <c:lblOffset val="100"/>
        <c:noMultiLvlLbl val="0"/>
      </c:catAx>
      <c:valAx>
        <c:axId val="18207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06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B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04 SINTAL 70 BIANCO G'!$A$21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G'!$B$21:$BN$21</c:f>
              <c:numCache>
                <c:formatCode>0.0</c:formatCode>
                <c:ptCount val="65"/>
                <c:pt idx="0">
                  <c:v>26.320000000000004</c:v>
                </c:pt>
                <c:pt idx="1">
                  <c:v>26.320000000000004</c:v>
                </c:pt>
                <c:pt idx="2">
                  <c:v>26.320000000000004</c:v>
                </c:pt>
                <c:pt idx="3">
                  <c:v>26.320000000000004</c:v>
                </c:pt>
                <c:pt idx="4">
                  <c:v>26.320000000000004</c:v>
                </c:pt>
                <c:pt idx="5">
                  <c:v>26.320000000000004</c:v>
                </c:pt>
                <c:pt idx="6">
                  <c:v>26.320000000000004</c:v>
                </c:pt>
                <c:pt idx="7">
                  <c:v>26.320000000000004</c:v>
                </c:pt>
                <c:pt idx="8">
                  <c:v>26.320000000000004</c:v>
                </c:pt>
                <c:pt idx="9">
                  <c:v>26.320000000000004</c:v>
                </c:pt>
                <c:pt idx="10">
                  <c:v>26.320000000000004</c:v>
                </c:pt>
                <c:pt idx="11">
                  <c:v>26.320000000000004</c:v>
                </c:pt>
                <c:pt idx="12">
                  <c:v>26.320000000000004</c:v>
                </c:pt>
                <c:pt idx="13">
                  <c:v>26.320000000000004</c:v>
                </c:pt>
                <c:pt idx="14">
                  <c:v>26.320000000000004</c:v>
                </c:pt>
                <c:pt idx="15">
                  <c:v>26.320000000000004</c:v>
                </c:pt>
                <c:pt idx="16">
                  <c:v>26.320000000000004</c:v>
                </c:pt>
                <c:pt idx="17">
                  <c:v>26.320000000000004</c:v>
                </c:pt>
                <c:pt idx="18">
                  <c:v>26.320000000000004</c:v>
                </c:pt>
                <c:pt idx="19">
                  <c:v>26.320000000000004</c:v>
                </c:pt>
                <c:pt idx="20">
                  <c:v>26.320000000000004</c:v>
                </c:pt>
                <c:pt idx="21">
                  <c:v>26.320000000000004</c:v>
                </c:pt>
                <c:pt idx="22">
                  <c:v>26.320000000000004</c:v>
                </c:pt>
                <c:pt idx="23">
                  <c:v>26.320000000000004</c:v>
                </c:pt>
                <c:pt idx="24">
                  <c:v>26.320000000000004</c:v>
                </c:pt>
                <c:pt idx="25">
                  <c:v>26.320000000000004</c:v>
                </c:pt>
                <c:pt idx="26">
                  <c:v>26.320000000000004</c:v>
                </c:pt>
                <c:pt idx="27">
                  <c:v>26.320000000000004</c:v>
                </c:pt>
                <c:pt idx="28">
                  <c:v>26.320000000000004</c:v>
                </c:pt>
                <c:pt idx="29">
                  <c:v>26.320000000000004</c:v>
                </c:pt>
                <c:pt idx="30">
                  <c:v>26.320000000000004</c:v>
                </c:pt>
                <c:pt idx="31">
                  <c:v>26.320000000000004</c:v>
                </c:pt>
                <c:pt idx="32">
                  <c:v>26.320000000000004</c:v>
                </c:pt>
                <c:pt idx="33">
                  <c:v>26.320000000000004</c:v>
                </c:pt>
                <c:pt idx="34">
                  <c:v>26.320000000000004</c:v>
                </c:pt>
                <c:pt idx="35">
                  <c:v>26.320000000000004</c:v>
                </c:pt>
                <c:pt idx="36">
                  <c:v>26.320000000000004</c:v>
                </c:pt>
                <c:pt idx="37">
                  <c:v>26.320000000000004</c:v>
                </c:pt>
                <c:pt idx="38">
                  <c:v>26.320000000000004</c:v>
                </c:pt>
                <c:pt idx="39">
                  <c:v>26.320000000000004</c:v>
                </c:pt>
                <c:pt idx="40">
                  <c:v>26.320000000000004</c:v>
                </c:pt>
                <c:pt idx="41">
                  <c:v>26.320000000000004</c:v>
                </c:pt>
                <c:pt idx="42">
                  <c:v>26.320000000000004</c:v>
                </c:pt>
                <c:pt idx="43">
                  <c:v>26.320000000000004</c:v>
                </c:pt>
                <c:pt idx="44">
                  <c:v>26.320000000000004</c:v>
                </c:pt>
                <c:pt idx="45">
                  <c:v>26.320000000000004</c:v>
                </c:pt>
                <c:pt idx="46">
                  <c:v>26.320000000000004</c:v>
                </c:pt>
                <c:pt idx="47">
                  <c:v>26.320000000000004</c:v>
                </c:pt>
                <c:pt idx="48">
                  <c:v>26.320000000000004</c:v>
                </c:pt>
                <c:pt idx="49">
                  <c:v>26.320000000000004</c:v>
                </c:pt>
                <c:pt idx="50">
                  <c:v>26.320000000000004</c:v>
                </c:pt>
                <c:pt idx="51">
                  <c:v>26.320000000000004</c:v>
                </c:pt>
                <c:pt idx="52">
                  <c:v>26.320000000000004</c:v>
                </c:pt>
                <c:pt idx="53">
                  <c:v>26.320000000000004</c:v>
                </c:pt>
                <c:pt idx="54">
                  <c:v>26.320000000000004</c:v>
                </c:pt>
                <c:pt idx="55">
                  <c:v>26.320000000000004</c:v>
                </c:pt>
                <c:pt idx="56">
                  <c:v>26.320000000000004</c:v>
                </c:pt>
                <c:pt idx="57">
                  <c:v>26.320000000000004</c:v>
                </c:pt>
                <c:pt idx="58">
                  <c:v>26.320000000000004</c:v>
                </c:pt>
                <c:pt idx="59">
                  <c:v>26.320000000000004</c:v>
                </c:pt>
                <c:pt idx="60">
                  <c:v>26.320000000000004</c:v>
                </c:pt>
                <c:pt idx="61">
                  <c:v>26.320000000000004</c:v>
                </c:pt>
                <c:pt idx="62">
                  <c:v>26.320000000000004</c:v>
                </c:pt>
                <c:pt idx="63">
                  <c:v>26.320000000000004</c:v>
                </c:pt>
                <c:pt idx="64">
                  <c:v>26.320000000000004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E-4AE2-B5F3-C3BD9F351546}"/>
            </c:ext>
          </c:extLst>
        </c:ser>
        <c:ser>
          <c:idx val="1"/>
          <c:order val="1"/>
          <c:tx>
            <c:strRef>
              <c:f>'SISTEMA 04 SINTAL 70 BIANCO G'!$A$22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G'!$B$22:$BN$22</c:f>
              <c:numCache>
                <c:formatCode>0.00</c:formatCode>
                <c:ptCount val="65"/>
                <c:pt idx="0">
                  <c:v>23.688000000000002</c:v>
                </c:pt>
                <c:pt idx="1">
                  <c:v>23.688000000000002</c:v>
                </c:pt>
                <c:pt idx="2">
                  <c:v>23.688000000000002</c:v>
                </c:pt>
                <c:pt idx="3">
                  <c:v>23.688000000000002</c:v>
                </c:pt>
                <c:pt idx="4">
                  <c:v>23.688000000000002</c:v>
                </c:pt>
                <c:pt idx="5">
                  <c:v>23.688000000000002</c:v>
                </c:pt>
                <c:pt idx="6">
                  <c:v>23.688000000000002</c:v>
                </c:pt>
                <c:pt idx="7">
                  <c:v>23.688000000000002</c:v>
                </c:pt>
                <c:pt idx="8">
                  <c:v>23.688000000000002</c:v>
                </c:pt>
                <c:pt idx="9">
                  <c:v>23.688000000000002</c:v>
                </c:pt>
                <c:pt idx="10">
                  <c:v>23.688000000000002</c:v>
                </c:pt>
                <c:pt idx="11">
                  <c:v>23.688000000000002</c:v>
                </c:pt>
                <c:pt idx="12">
                  <c:v>23.688000000000002</c:v>
                </c:pt>
                <c:pt idx="13">
                  <c:v>23.688000000000002</c:v>
                </c:pt>
                <c:pt idx="14">
                  <c:v>23.688000000000002</c:v>
                </c:pt>
                <c:pt idx="15">
                  <c:v>23.688000000000002</c:v>
                </c:pt>
                <c:pt idx="16">
                  <c:v>23.688000000000002</c:v>
                </c:pt>
                <c:pt idx="17">
                  <c:v>23.688000000000002</c:v>
                </c:pt>
                <c:pt idx="18">
                  <c:v>23.688000000000002</c:v>
                </c:pt>
                <c:pt idx="19">
                  <c:v>23.688000000000002</c:v>
                </c:pt>
                <c:pt idx="20">
                  <c:v>23.688000000000002</c:v>
                </c:pt>
                <c:pt idx="21">
                  <c:v>23.688000000000002</c:v>
                </c:pt>
                <c:pt idx="22">
                  <c:v>23.688000000000002</c:v>
                </c:pt>
                <c:pt idx="23">
                  <c:v>23.688000000000002</c:v>
                </c:pt>
                <c:pt idx="24">
                  <c:v>23.688000000000002</c:v>
                </c:pt>
                <c:pt idx="25">
                  <c:v>23.688000000000002</c:v>
                </c:pt>
                <c:pt idx="26">
                  <c:v>23.688000000000002</c:v>
                </c:pt>
                <c:pt idx="27">
                  <c:v>23.688000000000002</c:v>
                </c:pt>
                <c:pt idx="28">
                  <c:v>23.688000000000002</c:v>
                </c:pt>
                <c:pt idx="29">
                  <c:v>23.688000000000002</c:v>
                </c:pt>
                <c:pt idx="30">
                  <c:v>23.688000000000002</c:v>
                </c:pt>
                <c:pt idx="31">
                  <c:v>23.688000000000002</c:v>
                </c:pt>
                <c:pt idx="32">
                  <c:v>23.688000000000002</c:v>
                </c:pt>
                <c:pt idx="33">
                  <c:v>23.688000000000002</c:v>
                </c:pt>
                <c:pt idx="34">
                  <c:v>23.688000000000002</c:v>
                </c:pt>
                <c:pt idx="35">
                  <c:v>23.688000000000002</c:v>
                </c:pt>
                <c:pt idx="36">
                  <c:v>23.688000000000002</c:v>
                </c:pt>
                <c:pt idx="37">
                  <c:v>23.688000000000002</c:v>
                </c:pt>
                <c:pt idx="38">
                  <c:v>23.688000000000002</c:v>
                </c:pt>
                <c:pt idx="39">
                  <c:v>23.688000000000002</c:v>
                </c:pt>
                <c:pt idx="40">
                  <c:v>23.688000000000002</c:v>
                </c:pt>
                <c:pt idx="41">
                  <c:v>23.688000000000002</c:v>
                </c:pt>
                <c:pt idx="42">
                  <c:v>23.688000000000002</c:v>
                </c:pt>
                <c:pt idx="43">
                  <c:v>23.688000000000002</c:v>
                </c:pt>
                <c:pt idx="44">
                  <c:v>23.688000000000002</c:v>
                </c:pt>
                <c:pt idx="45">
                  <c:v>23.688000000000002</c:v>
                </c:pt>
                <c:pt idx="46">
                  <c:v>23.688000000000002</c:v>
                </c:pt>
                <c:pt idx="47">
                  <c:v>23.688000000000002</c:v>
                </c:pt>
                <c:pt idx="48">
                  <c:v>23.688000000000002</c:v>
                </c:pt>
                <c:pt idx="49">
                  <c:v>23.688000000000002</c:v>
                </c:pt>
                <c:pt idx="50">
                  <c:v>23.688000000000002</c:v>
                </c:pt>
                <c:pt idx="51">
                  <c:v>23.688000000000002</c:v>
                </c:pt>
                <c:pt idx="52">
                  <c:v>23.688000000000002</c:v>
                </c:pt>
                <c:pt idx="53">
                  <c:v>23.688000000000002</c:v>
                </c:pt>
                <c:pt idx="54">
                  <c:v>23.688000000000002</c:v>
                </c:pt>
                <c:pt idx="55">
                  <c:v>23.688000000000002</c:v>
                </c:pt>
                <c:pt idx="56">
                  <c:v>23.688000000000002</c:v>
                </c:pt>
                <c:pt idx="57">
                  <c:v>23.688000000000002</c:v>
                </c:pt>
                <c:pt idx="58">
                  <c:v>23.688000000000002</c:v>
                </c:pt>
                <c:pt idx="59">
                  <c:v>23.688000000000002</c:v>
                </c:pt>
                <c:pt idx="60">
                  <c:v>23.688000000000002</c:v>
                </c:pt>
                <c:pt idx="61">
                  <c:v>23.688000000000002</c:v>
                </c:pt>
                <c:pt idx="62">
                  <c:v>23.688000000000002</c:v>
                </c:pt>
                <c:pt idx="63">
                  <c:v>23.688000000000002</c:v>
                </c:pt>
                <c:pt idx="64">
                  <c:v>23.688000000000002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F3-483B-B929-32F508777063}"/>
            </c:ext>
          </c:extLst>
        </c:ser>
        <c:ser>
          <c:idx val="2"/>
          <c:order val="2"/>
          <c:tx>
            <c:strRef>
              <c:f>'SISTEMA 04 SINTAL 70 BIANCO G'!$A$23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G'!$B$23:$BN$23</c:f>
              <c:numCache>
                <c:formatCode>0.00</c:formatCode>
                <c:ptCount val="65"/>
                <c:pt idx="0">
                  <c:v>28.952000000000005</c:v>
                </c:pt>
                <c:pt idx="1">
                  <c:v>28.952000000000005</c:v>
                </c:pt>
                <c:pt idx="2">
                  <c:v>28.952000000000005</c:v>
                </c:pt>
                <c:pt idx="3">
                  <c:v>28.952000000000005</c:v>
                </c:pt>
                <c:pt idx="4">
                  <c:v>28.952000000000005</c:v>
                </c:pt>
                <c:pt idx="5">
                  <c:v>28.952000000000005</c:v>
                </c:pt>
                <c:pt idx="6">
                  <c:v>28.952000000000005</c:v>
                </c:pt>
                <c:pt idx="7">
                  <c:v>28.952000000000005</c:v>
                </c:pt>
                <c:pt idx="8">
                  <c:v>28.952000000000005</c:v>
                </c:pt>
                <c:pt idx="9">
                  <c:v>28.952000000000005</c:v>
                </c:pt>
                <c:pt idx="10">
                  <c:v>28.952000000000005</c:v>
                </c:pt>
                <c:pt idx="11">
                  <c:v>28.952000000000005</c:v>
                </c:pt>
                <c:pt idx="12">
                  <c:v>28.952000000000005</c:v>
                </c:pt>
                <c:pt idx="13">
                  <c:v>28.952000000000005</c:v>
                </c:pt>
                <c:pt idx="14">
                  <c:v>28.952000000000005</c:v>
                </c:pt>
                <c:pt idx="15">
                  <c:v>28.952000000000005</c:v>
                </c:pt>
                <c:pt idx="16">
                  <c:v>28.952000000000005</c:v>
                </c:pt>
                <c:pt idx="17">
                  <c:v>28.952000000000005</c:v>
                </c:pt>
                <c:pt idx="18">
                  <c:v>28.952000000000005</c:v>
                </c:pt>
                <c:pt idx="19">
                  <c:v>28.952000000000005</c:v>
                </c:pt>
                <c:pt idx="20">
                  <c:v>28.952000000000005</c:v>
                </c:pt>
                <c:pt idx="21">
                  <c:v>28.952000000000005</c:v>
                </c:pt>
                <c:pt idx="22">
                  <c:v>28.952000000000005</c:v>
                </c:pt>
                <c:pt idx="23">
                  <c:v>28.952000000000005</c:v>
                </c:pt>
                <c:pt idx="24">
                  <c:v>28.952000000000005</c:v>
                </c:pt>
                <c:pt idx="25">
                  <c:v>28.952000000000005</c:v>
                </c:pt>
                <c:pt idx="26">
                  <c:v>28.952000000000005</c:v>
                </c:pt>
                <c:pt idx="27">
                  <c:v>28.952000000000005</c:v>
                </c:pt>
                <c:pt idx="28">
                  <c:v>28.952000000000005</c:v>
                </c:pt>
                <c:pt idx="29">
                  <c:v>28.952000000000005</c:v>
                </c:pt>
                <c:pt idx="30">
                  <c:v>28.952000000000005</c:v>
                </c:pt>
                <c:pt idx="31">
                  <c:v>28.952000000000005</c:v>
                </c:pt>
                <c:pt idx="32">
                  <c:v>28.952000000000005</c:v>
                </c:pt>
                <c:pt idx="33">
                  <c:v>28.952000000000005</c:v>
                </c:pt>
                <c:pt idx="34">
                  <c:v>28.952000000000005</c:v>
                </c:pt>
                <c:pt idx="35">
                  <c:v>28.952000000000005</c:v>
                </c:pt>
                <c:pt idx="36">
                  <c:v>28.952000000000005</c:v>
                </c:pt>
                <c:pt idx="37">
                  <c:v>28.952000000000005</c:v>
                </c:pt>
                <c:pt idx="38">
                  <c:v>28.952000000000005</c:v>
                </c:pt>
                <c:pt idx="39">
                  <c:v>28.952000000000005</c:v>
                </c:pt>
                <c:pt idx="40">
                  <c:v>28.952000000000005</c:v>
                </c:pt>
                <c:pt idx="41">
                  <c:v>28.952000000000005</c:v>
                </c:pt>
                <c:pt idx="42">
                  <c:v>28.952000000000005</c:v>
                </c:pt>
                <c:pt idx="43">
                  <c:v>28.952000000000005</c:v>
                </c:pt>
                <c:pt idx="44">
                  <c:v>28.952000000000005</c:v>
                </c:pt>
                <c:pt idx="45">
                  <c:v>28.952000000000005</c:v>
                </c:pt>
                <c:pt idx="46">
                  <c:v>28.952000000000005</c:v>
                </c:pt>
                <c:pt idx="47">
                  <c:v>28.952000000000005</c:v>
                </c:pt>
                <c:pt idx="48">
                  <c:v>28.952000000000005</c:v>
                </c:pt>
                <c:pt idx="49">
                  <c:v>28.952000000000005</c:v>
                </c:pt>
                <c:pt idx="50">
                  <c:v>28.952000000000005</c:v>
                </c:pt>
                <c:pt idx="51">
                  <c:v>28.952000000000005</c:v>
                </c:pt>
                <c:pt idx="52">
                  <c:v>28.952000000000005</c:v>
                </c:pt>
                <c:pt idx="53">
                  <c:v>28.952000000000005</c:v>
                </c:pt>
                <c:pt idx="54">
                  <c:v>28.952000000000005</c:v>
                </c:pt>
                <c:pt idx="55">
                  <c:v>28.952000000000005</c:v>
                </c:pt>
                <c:pt idx="56">
                  <c:v>28.952000000000005</c:v>
                </c:pt>
                <c:pt idx="57">
                  <c:v>28.952000000000005</c:v>
                </c:pt>
                <c:pt idx="58">
                  <c:v>28.952000000000005</c:v>
                </c:pt>
                <c:pt idx="59">
                  <c:v>28.952000000000005</c:v>
                </c:pt>
                <c:pt idx="60">
                  <c:v>28.952000000000005</c:v>
                </c:pt>
                <c:pt idx="61">
                  <c:v>28.952000000000005</c:v>
                </c:pt>
                <c:pt idx="62">
                  <c:v>28.952000000000005</c:v>
                </c:pt>
                <c:pt idx="63">
                  <c:v>28.952000000000005</c:v>
                </c:pt>
                <c:pt idx="64">
                  <c:v>28.952000000000005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F3-483B-B929-32F508777063}"/>
            </c:ext>
          </c:extLst>
        </c:ser>
        <c:ser>
          <c:idx val="3"/>
          <c:order val="3"/>
          <c:tx>
            <c:strRef>
              <c:f>'SISTEMA 04 SINTAL 70 BIANCO G'!$A$24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shade val="90000"/>
                </a:schemeClr>
              </a:solidFill>
              <a:round/>
            </a:ln>
            <a:effectLst>
              <a:softEdge rad="0"/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G'!$B$24:$BN$24</c:f>
              <c:numCache>
                <c:formatCode>General</c:formatCode>
                <c:ptCount val="65"/>
                <c:pt idx="0">
                  <c:v>28</c:v>
                </c:pt>
                <c:pt idx="1">
                  <c:v>29</c:v>
                </c:pt>
                <c:pt idx="2">
                  <c:v>26</c:v>
                </c:pt>
                <c:pt idx="3">
                  <c:v>26</c:v>
                </c:pt>
                <c:pt idx="4">
                  <c:v>24</c:v>
                </c:pt>
                <c:pt idx="5">
                  <c:v>25</c:v>
                </c:pt>
                <c:pt idx="6">
                  <c:v>21</c:v>
                </c:pt>
                <c:pt idx="7">
                  <c:v>28</c:v>
                </c:pt>
                <c:pt idx="8">
                  <c:v>26</c:v>
                </c:pt>
                <c:pt idx="9">
                  <c:v>23</c:v>
                </c:pt>
                <c:pt idx="10">
                  <c:v>23</c:v>
                </c:pt>
                <c:pt idx="11" formatCode="0">
                  <c:v>27.7</c:v>
                </c:pt>
                <c:pt idx="12" formatCode="0">
                  <c:v>25.6</c:v>
                </c:pt>
                <c:pt idx="13" formatCode="0">
                  <c:v>26</c:v>
                </c:pt>
                <c:pt idx="14" formatCode="0">
                  <c:v>26.5</c:v>
                </c:pt>
                <c:pt idx="15" formatCode="0">
                  <c:v>31.6</c:v>
                </c:pt>
                <c:pt idx="16" formatCode="0">
                  <c:v>26.5</c:v>
                </c:pt>
                <c:pt idx="17" formatCode="0">
                  <c:v>26.4</c:v>
                </c:pt>
                <c:pt idx="18" formatCode="0">
                  <c:v>28.5</c:v>
                </c:pt>
                <c:pt idx="19" formatCode="0">
                  <c:v>32</c:v>
                </c:pt>
                <c:pt idx="20" formatCode="0">
                  <c:v>26.4</c:v>
                </c:pt>
                <c:pt idx="21" formatCode="0">
                  <c:v>29.4</c:v>
                </c:pt>
                <c:pt idx="22" formatCode="0">
                  <c:v>28</c:v>
                </c:pt>
                <c:pt idx="23" formatCode="0">
                  <c:v>26.5</c:v>
                </c:pt>
                <c:pt idx="24" formatCode="0">
                  <c:v>24.3</c:v>
                </c:pt>
                <c:pt idx="25" formatCode="0">
                  <c:v>24.4</c:v>
                </c:pt>
                <c:pt idx="26" formatCode="0">
                  <c:v>26</c:v>
                </c:pt>
                <c:pt idx="27">
                  <c:v>26</c:v>
                </c:pt>
                <c:pt idx="28" formatCode="0">
                  <c:v>26.3</c:v>
                </c:pt>
                <c:pt idx="29" formatCode="0">
                  <c:v>35.200000000000003</c:v>
                </c:pt>
                <c:pt idx="30" formatCode="0">
                  <c:v>26.9</c:v>
                </c:pt>
                <c:pt idx="31" formatCode="0">
                  <c:v>27</c:v>
                </c:pt>
                <c:pt idx="32" formatCode="0">
                  <c:v>26</c:v>
                </c:pt>
                <c:pt idx="33" formatCode="0">
                  <c:v>24.6</c:v>
                </c:pt>
                <c:pt idx="34" formatCode="0">
                  <c:v>24</c:v>
                </c:pt>
                <c:pt idx="35" formatCode="0">
                  <c:v>25.9</c:v>
                </c:pt>
                <c:pt idx="36" formatCode="0">
                  <c:v>24.8</c:v>
                </c:pt>
                <c:pt idx="37" formatCode="0">
                  <c:v>26.3</c:v>
                </c:pt>
                <c:pt idx="38" formatCode="0">
                  <c:v>25.7</c:v>
                </c:pt>
                <c:pt idx="39" formatCode="0">
                  <c:v>24.7</c:v>
                </c:pt>
                <c:pt idx="40" formatCode="0">
                  <c:v>26.7</c:v>
                </c:pt>
                <c:pt idx="41" formatCode="0">
                  <c:v>26</c:v>
                </c:pt>
                <c:pt idx="42" formatCode="0">
                  <c:v>25.2</c:v>
                </c:pt>
                <c:pt idx="43" formatCode="0">
                  <c:v>25.5</c:v>
                </c:pt>
                <c:pt idx="44" formatCode="0">
                  <c:v>22.5</c:v>
                </c:pt>
                <c:pt idx="45" formatCode="0">
                  <c:v>25</c:v>
                </c:pt>
                <c:pt idx="46" formatCode="0">
                  <c:v>24.7</c:v>
                </c:pt>
                <c:pt idx="47" formatCode="0">
                  <c:v>25</c:v>
                </c:pt>
                <c:pt idx="48" formatCode="0">
                  <c:v>25.9</c:v>
                </c:pt>
                <c:pt idx="49" formatCode="0">
                  <c:v>27.2</c:v>
                </c:pt>
                <c:pt idx="50" formatCode="0">
                  <c:v>25.4</c:v>
                </c:pt>
                <c:pt idx="51">
                  <c:v>22</c:v>
                </c:pt>
                <c:pt idx="52">
                  <c:v>23</c:v>
                </c:pt>
                <c:pt idx="53">
                  <c:v>25</c:v>
                </c:pt>
                <c:pt idx="54">
                  <c:v>25</c:v>
                </c:pt>
                <c:pt idx="55">
                  <c:v>28.3</c:v>
                </c:pt>
                <c:pt idx="56">
                  <c:v>28.2</c:v>
                </c:pt>
                <c:pt idx="57">
                  <c:v>23.1</c:v>
                </c:pt>
                <c:pt idx="58">
                  <c:v>26</c:v>
                </c:pt>
                <c:pt idx="59">
                  <c:v>26.7</c:v>
                </c:pt>
                <c:pt idx="60">
                  <c:v>32.700000000000003</c:v>
                </c:pt>
                <c:pt idx="61">
                  <c:v>28.2</c:v>
                </c:pt>
                <c:pt idx="62">
                  <c:v>29.4</c:v>
                </c:pt>
                <c:pt idx="63">
                  <c:v>28.6</c:v>
                </c:pt>
                <c:pt idx="64">
                  <c:v>27.3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311-44E9-BA8A-827749F667FB}"/>
            </c:ext>
          </c:extLst>
        </c:ser>
        <c:ser>
          <c:idx val="4"/>
          <c:order val="4"/>
          <c:tx>
            <c:strRef>
              <c:f>'SISTEMA 04 SINTAL 70 BIANCO G'!$A$25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G'!$B$25:$BN$25</c:f>
              <c:numCache>
                <c:formatCode>0.00</c:formatCode>
                <c:ptCount val="65"/>
                <c:pt idx="0">
                  <c:v>21.056000000000004</c:v>
                </c:pt>
                <c:pt idx="1">
                  <c:v>21.056000000000004</c:v>
                </c:pt>
                <c:pt idx="2">
                  <c:v>21.056000000000004</c:v>
                </c:pt>
                <c:pt idx="3">
                  <c:v>21.056000000000004</c:v>
                </c:pt>
                <c:pt idx="4">
                  <c:v>21.056000000000004</c:v>
                </c:pt>
                <c:pt idx="5">
                  <c:v>21.056000000000004</c:v>
                </c:pt>
                <c:pt idx="6">
                  <c:v>21.056000000000004</c:v>
                </c:pt>
                <c:pt idx="7">
                  <c:v>21.056000000000004</c:v>
                </c:pt>
                <c:pt idx="8">
                  <c:v>21.056000000000004</c:v>
                </c:pt>
                <c:pt idx="9">
                  <c:v>21.056000000000004</c:v>
                </c:pt>
                <c:pt idx="10">
                  <c:v>21.056000000000004</c:v>
                </c:pt>
                <c:pt idx="11">
                  <c:v>21.056000000000004</c:v>
                </c:pt>
                <c:pt idx="12">
                  <c:v>21.056000000000004</c:v>
                </c:pt>
                <c:pt idx="13">
                  <c:v>21.056000000000004</c:v>
                </c:pt>
                <c:pt idx="14">
                  <c:v>21.056000000000004</c:v>
                </c:pt>
                <c:pt idx="15">
                  <c:v>21.056000000000004</c:v>
                </c:pt>
                <c:pt idx="16">
                  <c:v>21.056000000000004</c:v>
                </c:pt>
                <c:pt idx="17">
                  <c:v>21.056000000000004</c:v>
                </c:pt>
                <c:pt idx="18">
                  <c:v>21.056000000000004</c:v>
                </c:pt>
                <c:pt idx="19">
                  <c:v>21.056000000000004</c:v>
                </c:pt>
                <c:pt idx="20">
                  <c:v>21.056000000000004</c:v>
                </c:pt>
                <c:pt idx="21">
                  <c:v>21.056000000000004</c:v>
                </c:pt>
                <c:pt idx="22">
                  <c:v>21.056000000000004</c:v>
                </c:pt>
                <c:pt idx="23">
                  <c:v>21.056000000000004</c:v>
                </c:pt>
                <c:pt idx="24">
                  <c:v>21.056000000000004</c:v>
                </c:pt>
                <c:pt idx="25">
                  <c:v>21.056000000000004</c:v>
                </c:pt>
                <c:pt idx="26">
                  <c:v>21.056000000000004</c:v>
                </c:pt>
                <c:pt idx="27">
                  <c:v>21.056000000000004</c:v>
                </c:pt>
                <c:pt idx="28">
                  <c:v>21.056000000000004</c:v>
                </c:pt>
                <c:pt idx="29">
                  <c:v>21.056000000000004</c:v>
                </c:pt>
                <c:pt idx="30">
                  <c:v>21.056000000000004</c:v>
                </c:pt>
                <c:pt idx="31">
                  <c:v>21.056000000000004</c:v>
                </c:pt>
                <c:pt idx="32">
                  <c:v>21.056000000000004</c:v>
                </c:pt>
                <c:pt idx="33">
                  <c:v>21.056000000000004</c:v>
                </c:pt>
                <c:pt idx="34">
                  <c:v>21.056000000000004</c:v>
                </c:pt>
                <c:pt idx="35">
                  <c:v>21.056000000000004</c:v>
                </c:pt>
                <c:pt idx="36">
                  <c:v>21.056000000000004</c:v>
                </c:pt>
                <c:pt idx="37">
                  <c:v>21.056000000000004</c:v>
                </c:pt>
                <c:pt idx="38">
                  <c:v>21.056000000000004</c:v>
                </c:pt>
                <c:pt idx="39">
                  <c:v>21.056000000000004</c:v>
                </c:pt>
                <c:pt idx="40">
                  <c:v>21.056000000000004</c:v>
                </c:pt>
                <c:pt idx="41">
                  <c:v>21.056000000000004</c:v>
                </c:pt>
                <c:pt idx="42">
                  <c:v>21.056000000000004</c:v>
                </c:pt>
                <c:pt idx="43">
                  <c:v>21.056000000000004</c:v>
                </c:pt>
                <c:pt idx="44">
                  <c:v>21.056000000000004</c:v>
                </c:pt>
                <c:pt idx="45">
                  <c:v>21.056000000000004</c:v>
                </c:pt>
                <c:pt idx="46">
                  <c:v>21.056000000000004</c:v>
                </c:pt>
                <c:pt idx="47">
                  <c:v>21.056000000000004</c:v>
                </c:pt>
                <c:pt idx="48">
                  <c:v>21.056000000000004</c:v>
                </c:pt>
                <c:pt idx="49">
                  <c:v>21.056000000000004</c:v>
                </c:pt>
                <c:pt idx="50">
                  <c:v>21.056000000000004</c:v>
                </c:pt>
                <c:pt idx="51">
                  <c:v>21.056000000000004</c:v>
                </c:pt>
                <c:pt idx="52">
                  <c:v>21.056000000000004</c:v>
                </c:pt>
                <c:pt idx="53">
                  <c:v>21.056000000000004</c:v>
                </c:pt>
                <c:pt idx="54">
                  <c:v>21.056000000000004</c:v>
                </c:pt>
                <c:pt idx="55">
                  <c:v>21.056000000000004</c:v>
                </c:pt>
                <c:pt idx="56">
                  <c:v>21.056000000000004</c:v>
                </c:pt>
                <c:pt idx="57">
                  <c:v>21.056000000000004</c:v>
                </c:pt>
                <c:pt idx="58">
                  <c:v>21.056000000000004</c:v>
                </c:pt>
                <c:pt idx="59">
                  <c:v>21.056000000000004</c:v>
                </c:pt>
                <c:pt idx="60">
                  <c:v>21.056000000000004</c:v>
                </c:pt>
                <c:pt idx="61">
                  <c:v>21.056000000000004</c:v>
                </c:pt>
                <c:pt idx="62">
                  <c:v>21.056000000000004</c:v>
                </c:pt>
                <c:pt idx="63">
                  <c:v>21.056000000000004</c:v>
                </c:pt>
                <c:pt idx="64">
                  <c:v>21.056000000000004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44-48B1-986A-23ED02ECBBFF}"/>
            </c:ext>
          </c:extLst>
        </c:ser>
        <c:ser>
          <c:idx val="5"/>
          <c:order val="5"/>
          <c:tx>
            <c:strRef>
              <c:f>'SISTEMA 04 SINTAL 70 BIANCO G'!$A$26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G'!$B$20:$BN$20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G'!$B$26:$BN$26</c:f>
              <c:numCache>
                <c:formatCode>0.00</c:formatCode>
                <c:ptCount val="65"/>
                <c:pt idx="0">
                  <c:v>31.584000000000003</c:v>
                </c:pt>
                <c:pt idx="1">
                  <c:v>31.584000000000003</c:v>
                </c:pt>
                <c:pt idx="2">
                  <c:v>31.584000000000003</c:v>
                </c:pt>
                <c:pt idx="3">
                  <c:v>31.584000000000003</c:v>
                </c:pt>
                <c:pt idx="4">
                  <c:v>31.584000000000003</c:v>
                </c:pt>
                <c:pt idx="5">
                  <c:v>31.584000000000003</c:v>
                </c:pt>
                <c:pt idx="6">
                  <c:v>31.584000000000003</c:v>
                </c:pt>
                <c:pt idx="7">
                  <c:v>31.584000000000003</c:v>
                </c:pt>
                <c:pt idx="8">
                  <c:v>31.584000000000003</c:v>
                </c:pt>
                <c:pt idx="9">
                  <c:v>31.584000000000003</c:v>
                </c:pt>
                <c:pt idx="10">
                  <c:v>31.584000000000003</c:v>
                </c:pt>
                <c:pt idx="11">
                  <c:v>31.584000000000003</c:v>
                </c:pt>
                <c:pt idx="12">
                  <c:v>31.584000000000003</c:v>
                </c:pt>
                <c:pt idx="13">
                  <c:v>31.584000000000003</c:v>
                </c:pt>
                <c:pt idx="14">
                  <c:v>31.584000000000003</c:v>
                </c:pt>
                <c:pt idx="15">
                  <c:v>31.584000000000003</c:v>
                </c:pt>
                <c:pt idx="16">
                  <c:v>31.584000000000003</c:v>
                </c:pt>
                <c:pt idx="17">
                  <c:v>31.584000000000003</c:v>
                </c:pt>
                <c:pt idx="18">
                  <c:v>31.584000000000003</c:v>
                </c:pt>
                <c:pt idx="19">
                  <c:v>31.584000000000003</c:v>
                </c:pt>
                <c:pt idx="20">
                  <c:v>31.584000000000003</c:v>
                </c:pt>
                <c:pt idx="21">
                  <c:v>31.584000000000003</c:v>
                </c:pt>
                <c:pt idx="22">
                  <c:v>31.584000000000003</c:v>
                </c:pt>
                <c:pt idx="23">
                  <c:v>31.584000000000003</c:v>
                </c:pt>
                <c:pt idx="24">
                  <c:v>31.584000000000003</c:v>
                </c:pt>
                <c:pt idx="25">
                  <c:v>31.584000000000003</c:v>
                </c:pt>
                <c:pt idx="26">
                  <c:v>31.584000000000003</c:v>
                </c:pt>
                <c:pt idx="27">
                  <c:v>31.584000000000003</c:v>
                </c:pt>
                <c:pt idx="28">
                  <c:v>31.584000000000003</c:v>
                </c:pt>
                <c:pt idx="29">
                  <c:v>31.584000000000003</c:v>
                </c:pt>
                <c:pt idx="30">
                  <c:v>31.584000000000003</c:v>
                </c:pt>
                <c:pt idx="31">
                  <c:v>31.584000000000003</c:v>
                </c:pt>
                <c:pt idx="32">
                  <c:v>31.584000000000003</c:v>
                </c:pt>
                <c:pt idx="33">
                  <c:v>31.584000000000003</c:v>
                </c:pt>
                <c:pt idx="34">
                  <c:v>31.584000000000003</c:v>
                </c:pt>
                <c:pt idx="35">
                  <c:v>31.584000000000003</c:v>
                </c:pt>
                <c:pt idx="36">
                  <c:v>31.584000000000003</c:v>
                </c:pt>
                <c:pt idx="37">
                  <c:v>31.584000000000003</c:v>
                </c:pt>
                <c:pt idx="38">
                  <c:v>31.584000000000003</c:v>
                </c:pt>
                <c:pt idx="39">
                  <c:v>31.584000000000003</c:v>
                </c:pt>
                <c:pt idx="40">
                  <c:v>31.584000000000003</c:v>
                </c:pt>
                <c:pt idx="41">
                  <c:v>31.584000000000003</c:v>
                </c:pt>
                <c:pt idx="42">
                  <c:v>31.584000000000003</c:v>
                </c:pt>
                <c:pt idx="43">
                  <c:v>31.584000000000003</c:v>
                </c:pt>
                <c:pt idx="44">
                  <c:v>31.584000000000003</c:v>
                </c:pt>
                <c:pt idx="45">
                  <c:v>31.584000000000003</c:v>
                </c:pt>
                <c:pt idx="46">
                  <c:v>31.584000000000003</c:v>
                </c:pt>
                <c:pt idx="47">
                  <c:v>31.584000000000003</c:v>
                </c:pt>
                <c:pt idx="48">
                  <c:v>31.584000000000003</c:v>
                </c:pt>
                <c:pt idx="49">
                  <c:v>31.584000000000003</c:v>
                </c:pt>
                <c:pt idx="50">
                  <c:v>31.584000000000003</c:v>
                </c:pt>
                <c:pt idx="51">
                  <c:v>31.584000000000003</c:v>
                </c:pt>
                <c:pt idx="52">
                  <c:v>31.584000000000003</c:v>
                </c:pt>
                <c:pt idx="53">
                  <c:v>31.584000000000003</c:v>
                </c:pt>
                <c:pt idx="54">
                  <c:v>31.584000000000003</c:v>
                </c:pt>
                <c:pt idx="55">
                  <c:v>31.584000000000003</c:v>
                </c:pt>
                <c:pt idx="56">
                  <c:v>31.584000000000003</c:v>
                </c:pt>
                <c:pt idx="57">
                  <c:v>31.584000000000003</c:v>
                </c:pt>
                <c:pt idx="58">
                  <c:v>31.584000000000003</c:v>
                </c:pt>
                <c:pt idx="59">
                  <c:v>31.584000000000003</c:v>
                </c:pt>
                <c:pt idx="60">
                  <c:v>31.584000000000003</c:v>
                </c:pt>
                <c:pt idx="61">
                  <c:v>31.584000000000003</c:v>
                </c:pt>
                <c:pt idx="62">
                  <c:v>31.584000000000003</c:v>
                </c:pt>
                <c:pt idx="63">
                  <c:v>31.584000000000003</c:v>
                </c:pt>
                <c:pt idx="64">
                  <c:v>31.584000000000003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44-48B1-986A-23ED02ECBB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1361280"/>
        <c:axId val="182292864"/>
      </c:lineChart>
      <c:catAx>
        <c:axId val="181361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292864"/>
        <c:crosses val="autoZero"/>
        <c:auto val="1"/>
        <c:lblAlgn val="ctr"/>
        <c:lblOffset val="100"/>
        <c:noMultiLvlLbl val="0"/>
      </c:catAx>
      <c:valAx>
        <c:axId val="182292864"/>
        <c:scaling>
          <c:orientation val="minMax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36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C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04 SINTAL 70 BIANCO G'!$A$28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G'!$B$28:$BN$28</c:f>
              <c:numCache>
                <c:formatCode>0.0</c:formatCode>
                <c:ptCount val="65"/>
                <c:pt idx="0">
                  <c:v>40.476923076923079</c:v>
                </c:pt>
                <c:pt idx="1">
                  <c:v>40.476923076923079</c:v>
                </c:pt>
                <c:pt idx="2">
                  <c:v>40.476923076923079</c:v>
                </c:pt>
                <c:pt idx="3">
                  <c:v>40.476923076923079</c:v>
                </c:pt>
                <c:pt idx="4">
                  <c:v>40.476923076923079</c:v>
                </c:pt>
                <c:pt idx="5">
                  <c:v>40.476923076923079</c:v>
                </c:pt>
                <c:pt idx="6">
                  <c:v>40.476923076923079</c:v>
                </c:pt>
                <c:pt idx="7">
                  <c:v>40.476923076923079</c:v>
                </c:pt>
                <c:pt idx="8">
                  <c:v>40.476923076923079</c:v>
                </c:pt>
                <c:pt idx="9">
                  <c:v>40.476923076923079</c:v>
                </c:pt>
                <c:pt idx="10">
                  <c:v>40.476923076923079</c:v>
                </c:pt>
                <c:pt idx="11">
                  <c:v>40.476923076923079</c:v>
                </c:pt>
                <c:pt idx="12">
                  <c:v>40.476923076923079</c:v>
                </c:pt>
                <c:pt idx="13">
                  <c:v>40.476923076923079</c:v>
                </c:pt>
                <c:pt idx="14">
                  <c:v>40.476923076923079</c:v>
                </c:pt>
                <c:pt idx="15">
                  <c:v>40.476923076923079</c:v>
                </c:pt>
                <c:pt idx="16">
                  <c:v>40.476923076923079</c:v>
                </c:pt>
                <c:pt idx="17">
                  <c:v>40.476923076923079</c:v>
                </c:pt>
                <c:pt idx="18">
                  <c:v>40.476923076923079</c:v>
                </c:pt>
                <c:pt idx="19">
                  <c:v>40.476923076923079</c:v>
                </c:pt>
                <c:pt idx="20">
                  <c:v>40.476923076923079</c:v>
                </c:pt>
                <c:pt idx="21">
                  <c:v>40.476923076923079</c:v>
                </c:pt>
                <c:pt idx="22">
                  <c:v>40.476923076923079</c:v>
                </c:pt>
                <c:pt idx="23">
                  <c:v>40.476923076923079</c:v>
                </c:pt>
                <c:pt idx="24">
                  <c:v>40.476923076923079</c:v>
                </c:pt>
                <c:pt idx="25">
                  <c:v>40.476923076923079</c:v>
                </c:pt>
                <c:pt idx="26">
                  <c:v>40.476923076923079</c:v>
                </c:pt>
                <c:pt idx="27">
                  <c:v>40.476923076923079</c:v>
                </c:pt>
                <c:pt idx="28">
                  <c:v>40.476923076923079</c:v>
                </c:pt>
                <c:pt idx="29">
                  <c:v>40.476923076923079</c:v>
                </c:pt>
                <c:pt idx="30">
                  <c:v>40.476923076923079</c:v>
                </c:pt>
                <c:pt idx="31">
                  <c:v>40.476923076923079</c:v>
                </c:pt>
                <c:pt idx="32">
                  <c:v>40.476923076923079</c:v>
                </c:pt>
                <c:pt idx="33">
                  <c:v>40.476923076923079</c:v>
                </c:pt>
                <c:pt idx="34">
                  <c:v>40.476923076923079</c:v>
                </c:pt>
                <c:pt idx="35">
                  <c:v>40.476923076923079</c:v>
                </c:pt>
                <c:pt idx="36">
                  <c:v>40.476923076923079</c:v>
                </c:pt>
                <c:pt idx="37">
                  <c:v>40.476923076923079</c:v>
                </c:pt>
                <c:pt idx="38">
                  <c:v>40.476923076923079</c:v>
                </c:pt>
                <c:pt idx="39">
                  <c:v>40.476923076923079</c:v>
                </c:pt>
                <c:pt idx="40">
                  <c:v>40.476923076923079</c:v>
                </c:pt>
                <c:pt idx="41">
                  <c:v>40.476923076923079</c:v>
                </c:pt>
                <c:pt idx="42">
                  <c:v>40.476923076923079</c:v>
                </c:pt>
                <c:pt idx="43">
                  <c:v>40.476923076923079</c:v>
                </c:pt>
                <c:pt idx="44">
                  <c:v>40.476923076923079</c:v>
                </c:pt>
                <c:pt idx="45">
                  <c:v>40.476923076923079</c:v>
                </c:pt>
                <c:pt idx="46">
                  <c:v>40.476923076923079</c:v>
                </c:pt>
                <c:pt idx="47">
                  <c:v>40.476923076923079</c:v>
                </c:pt>
                <c:pt idx="48">
                  <c:v>40.476923076923079</c:v>
                </c:pt>
                <c:pt idx="49">
                  <c:v>40.476923076923079</c:v>
                </c:pt>
                <c:pt idx="50">
                  <c:v>40.476923076923079</c:v>
                </c:pt>
                <c:pt idx="51">
                  <c:v>40.476923076923079</c:v>
                </c:pt>
                <c:pt idx="52">
                  <c:v>40.476923076923079</c:v>
                </c:pt>
                <c:pt idx="53">
                  <c:v>40.476923076923079</c:v>
                </c:pt>
                <c:pt idx="54">
                  <c:v>40.476923076923079</c:v>
                </c:pt>
                <c:pt idx="55">
                  <c:v>40.476923076923079</c:v>
                </c:pt>
                <c:pt idx="56">
                  <c:v>40.476923076923079</c:v>
                </c:pt>
                <c:pt idx="57">
                  <c:v>40.476923076923079</c:v>
                </c:pt>
                <c:pt idx="58">
                  <c:v>40.476923076923079</c:v>
                </c:pt>
                <c:pt idx="59">
                  <c:v>40.476923076923079</c:v>
                </c:pt>
                <c:pt idx="60">
                  <c:v>40.476923076923079</c:v>
                </c:pt>
                <c:pt idx="61">
                  <c:v>40.476923076923079</c:v>
                </c:pt>
                <c:pt idx="62">
                  <c:v>40.476923076923079</c:v>
                </c:pt>
                <c:pt idx="63">
                  <c:v>40.476923076923079</c:v>
                </c:pt>
                <c:pt idx="64">
                  <c:v>40.476923076923079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BAD-43D1-B513-F013257CD2BD}"/>
            </c:ext>
          </c:extLst>
        </c:ser>
        <c:ser>
          <c:idx val="1"/>
          <c:order val="1"/>
          <c:tx>
            <c:strRef>
              <c:f>'SISTEMA 04 SINTAL 70 BIANCO G'!$A$29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G'!$B$29:$BN$29</c:f>
              <c:numCache>
                <c:formatCode>0.00</c:formatCode>
                <c:ptCount val="65"/>
                <c:pt idx="0">
                  <c:v>36.42923076923077</c:v>
                </c:pt>
                <c:pt idx="1">
                  <c:v>36.42923076923077</c:v>
                </c:pt>
                <c:pt idx="2">
                  <c:v>36.42923076923077</c:v>
                </c:pt>
                <c:pt idx="3">
                  <c:v>36.42923076923077</c:v>
                </c:pt>
                <c:pt idx="4">
                  <c:v>36.42923076923077</c:v>
                </c:pt>
                <c:pt idx="5">
                  <c:v>36.42923076923077</c:v>
                </c:pt>
                <c:pt idx="6">
                  <c:v>36.42923076923077</c:v>
                </c:pt>
                <c:pt idx="7">
                  <c:v>36.42923076923077</c:v>
                </c:pt>
                <c:pt idx="8">
                  <c:v>36.42923076923077</c:v>
                </c:pt>
                <c:pt idx="9">
                  <c:v>36.42923076923077</c:v>
                </c:pt>
                <c:pt idx="10">
                  <c:v>36.42923076923077</c:v>
                </c:pt>
                <c:pt idx="11">
                  <c:v>36.42923076923077</c:v>
                </c:pt>
                <c:pt idx="12">
                  <c:v>36.42923076923077</c:v>
                </c:pt>
                <c:pt idx="13">
                  <c:v>36.42923076923077</c:v>
                </c:pt>
                <c:pt idx="14">
                  <c:v>36.42923076923077</c:v>
                </c:pt>
                <c:pt idx="15">
                  <c:v>36.42923076923077</c:v>
                </c:pt>
                <c:pt idx="16">
                  <c:v>36.42923076923077</c:v>
                </c:pt>
                <c:pt idx="17">
                  <c:v>36.42923076923077</c:v>
                </c:pt>
                <c:pt idx="18">
                  <c:v>36.42923076923077</c:v>
                </c:pt>
                <c:pt idx="19">
                  <c:v>36.42923076923077</c:v>
                </c:pt>
                <c:pt idx="20">
                  <c:v>36.42923076923077</c:v>
                </c:pt>
                <c:pt idx="21">
                  <c:v>36.42923076923077</c:v>
                </c:pt>
                <c:pt idx="22">
                  <c:v>36.42923076923077</c:v>
                </c:pt>
                <c:pt idx="23">
                  <c:v>36.42923076923077</c:v>
                </c:pt>
                <c:pt idx="24">
                  <c:v>36.42923076923077</c:v>
                </c:pt>
                <c:pt idx="25">
                  <c:v>36.42923076923077</c:v>
                </c:pt>
                <c:pt idx="26">
                  <c:v>36.42923076923077</c:v>
                </c:pt>
                <c:pt idx="27">
                  <c:v>36.42923076923077</c:v>
                </c:pt>
                <c:pt idx="28">
                  <c:v>36.42923076923077</c:v>
                </c:pt>
                <c:pt idx="29">
                  <c:v>36.42923076923077</c:v>
                </c:pt>
                <c:pt idx="30">
                  <c:v>36.42923076923077</c:v>
                </c:pt>
                <c:pt idx="31">
                  <c:v>36.42923076923077</c:v>
                </c:pt>
                <c:pt idx="32">
                  <c:v>36.42923076923077</c:v>
                </c:pt>
                <c:pt idx="33">
                  <c:v>36.42923076923077</c:v>
                </c:pt>
                <c:pt idx="34">
                  <c:v>36.42923076923077</c:v>
                </c:pt>
                <c:pt idx="35">
                  <c:v>36.42923076923077</c:v>
                </c:pt>
                <c:pt idx="36">
                  <c:v>36.42923076923077</c:v>
                </c:pt>
                <c:pt idx="37">
                  <c:v>36.42923076923077</c:v>
                </c:pt>
                <c:pt idx="38">
                  <c:v>36.42923076923077</c:v>
                </c:pt>
                <c:pt idx="39">
                  <c:v>36.42923076923077</c:v>
                </c:pt>
                <c:pt idx="40">
                  <c:v>36.42923076923077</c:v>
                </c:pt>
                <c:pt idx="41">
                  <c:v>36.42923076923077</c:v>
                </c:pt>
                <c:pt idx="42">
                  <c:v>36.42923076923077</c:v>
                </c:pt>
                <c:pt idx="43">
                  <c:v>36.42923076923077</c:v>
                </c:pt>
                <c:pt idx="44">
                  <c:v>36.42923076923077</c:v>
                </c:pt>
                <c:pt idx="45">
                  <c:v>36.42923076923077</c:v>
                </c:pt>
                <c:pt idx="46">
                  <c:v>36.42923076923077</c:v>
                </c:pt>
                <c:pt idx="47">
                  <c:v>36.42923076923077</c:v>
                </c:pt>
                <c:pt idx="48">
                  <c:v>36.42923076923077</c:v>
                </c:pt>
                <c:pt idx="49">
                  <c:v>36.42923076923077</c:v>
                </c:pt>
                <c:pt idx="50">
                  <c:v>36.42923076923077</c:v>
                </c:pt>
                <c:pt idx="51">
                  <c:v>36.42923076923077</c:v>
                </c:pt>
                <c:pt idx="52">
                  <c:v>36.42923076923077</c:v>
                </c:pt>
                <c:pt idx="53">
                  <c:v>36.42923076923077</c:v>
                </c:pt>
                <c:pt idx="54">
                  <c:v>36.42923076923077</c:v>
                </c:pt>
                <c:pt idx="55">
                  <c:v>36.42923076923077</c:v>
                </c:pt>
                <c:pt idx="56">
                  <c:v>36.42923076923077</c:v>
                </c:pt>
                <c:pt idx="57">
                  <c:v>36.42923076923077</c:v>
                </c:pt>
                <c:pt idx="58">
                  <c:v>36.42923076923077</c:v>
                </c:pt>
                <c:pt idx="59">
                  <c:v>36.42923076923077</c:v>
                </c:pt>
                <c:pt idx="60">
                  <c:v>36.42923076923077</c:v>
                </c:pt>
                <c:pt idx="61">
                  <c:v>36.42923076923077</c:v>
                </c:pt>
                <c:pt idx="62">
                  <c:v>36.42923076923077</c:v>
                </c:pt>
                <c:pt idx="63">
                  <c:v>36.42923076923077</c:v>
                </c:pt>
                <c:pt idx="64">
                  <c:v>36.42923076923077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A1-4107-B800-794A85E7E13F}"/>
            </c:ext>
          </c:extLst>
        </c:ser>
        <c:ser>
          <c:idx val="2"/>
          <c:order val="2"/>
          <c:tx>
            <c:strRef>
              <c:f>'SISTEMA 04 SINTAL 70 BIANCO G'!$A$30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G'!$B$30:$BN$30</c:f>
              <c:numCache>
                <c:formatCode>0.00</c:formatCode>
                <c:ptCount val="65"/>
                <c:pt idx="0">
                  <c:v>44.524615384615387</c:v>
                </c:pt>
                <c:pt idx="1">
                  <c:v>44.524615384615387</c:v>
                </c:pt>
                <c:pt idx="2">
                  <c:v>44.524615384615387</c:v>
                </c:pt>
                <c:pt idx="3">
                  <c:v>44.524615384615387</c:v>
                </c:pt>
                <c:pt idx="4">
                  <c:v>44.524615384615387</c:v>
                </c:pt>
                <c:pt idx="5">
                  <c:v>44.524615384615387</c:v>
                </c:pt>
                <c:pt idx="6">
                  <c:v>44.524615384615387</c:v>
                </c:pt>
                <c:pt idx="7">
                  <c:v>44.524615384615387</c:v>
                </c:pt>
                <c:pt idx="8">
                  <c:v>44.524615384615387</c:v>
                </c:pt>
                <c:pt idx="9">
                  <c:v>44.524615384615387</c:v>
                </c:pt>
                <c:pt idx="10">
                  <c:v>44.524615384615387</c:v>
                </c:pt>
                <c:pt idx="11">
                  <c:v>44.524615384615387</c:v>
                </c:pt>
                <c:pt idx="12">
                  <c:v>44.524615384615387</c:v>
                </c:pt>
                <c:pt idx="13">
                  <c:v>44.524615384615387</c:v>
                </c:pt>
                <c:pt idx="14">
                  <c:v>44.524615384615387</c:v>
                </c:pt>
                <c:pt idx="15">
                  <c:v>44.524615384615387</c:v>
                </c:pt>
                <c:pt idx="16">
                  <c:v>44.524615384615387</c:v>
                </c:pt>
                <c:pt idx="17">
                  <c:v>44.524615384615387</c:v>
                </c:pt>
                <c:pt idx="18">
                  <c:v>44.524615384615387</c:v>
                </c:pt>
                <c:pt idx="19">
                  <c:v>44.524615384615387</c:v>
                </c:pt>
                <c:pt idx="20">
                  <c:v>44.524615384615387</c:v>
                </c:pt>
                <c:pt idx="21">
                  <c:v>44.524615384615387</c:v>
                </c:pt>
                <c:pt idx="22">
                  <c:v>44.524615384615387</c:v>
                </c:pt>
                <c:pt idx="23">
                  <c:v>44.524615384615387</c:v>
                </c:pt>
                <c:pt idx="24">
                  <c:v>44.524615384615387</c:v>
                </c:pt>
                <c:pt idx="25">
                  <c:v>44.524615384615387</c:v>
                </c:pt>
                <c:pt idx="26">
                  <c:v>44.524615384615387</c:v>
                </c:pt>
                <c:pt idx="27">
                  <c:v>44.524615384615387</c:v>
                </c:pt>
                <c:pt idx="28">
                  <c:v>44.524615384615387</c:v>
                </c:pt>
                <c:pt idx="29">
                  <c:v>44.524615384615387</c:v>
                </c:pt>
                <c:pt idx="30">
                  <c:v>44.524615384615387</c:v>
                </c:pt>
                <c:pt idx="31">
                  <c:v>44.524615384615387</c:v>
                </c:pt>
                <c:pt idx="32">
                  <c:v>44.524615384615387</c:v>
                </c:pt>
                <c:pt idx="33">
                  <c:v>44.524615384615387</c:v>
                </c:pt>
                <c:pt idx="34">
                  <c:v>44.524615384615387</c:v>
                </c:pt>
                <c:pt idx="35">
                  <c:v>44.524615384615387</c:v>
                </c:pt>
                <c:pt idx="36">
                  <c:v>44.524615384615387</c:v>
                </c:pt>
                <c:pt idx="37">
                  <c:v>44.524615384615387</c:v>
                </c:pt>
                <c:pt idx="38">
                  <c:v>44.524615384615387</c:v>
                </c:pt>
                <c:pt idx="39">
                  <c:v>44.524615384615387</c:v>
                </c:pt>
                <c:pt idx="40">
                  <c:v>44.524615384615387</c:v>
                </c:pt>
                <c:pt idx="41">
                  <c:v>44.524615384615387</c:v>
                </c:pt>
                <c:pt idx="42">
                  <c:v>44.524615384615387</c:v>
                </c:pt>
                <c:pt idx="43">
                  <c:v>44.524615384615387</c:v>
                </c:pt>
                <c:pt idx="44">
                  <c:v>44.524615384615387</c:v>
                </c:pt>
                <c:pt idx="45">
                  <c:v>44.524615384615387</c:v>
                </c:pt>
                <c:pt idx="46">
                  <c:v>44.524615384615387</c:v>
                </c:pt>
                <c:pt idx="47">
                  <c:v>44.524615384615387</c:v>
                </c:pt>
                <c:pt idx="48">
                  <c:v>44.524615384615387</c:v>
                </c:pt>
                <c:pt idx="49">
                  <c:v>44.524615384615387</c:v>
                </c:pt>
                <c:pt idx="50">
                  <c:v>44.524615384615387</c:v>
                </c:pt>
                <c:pt idx="51">
                  <c:v>44.524615384615387</c:v>
                </c:pt>
                <c:pt idx="52">
                  <c:v>44.524615384615387</c:v>
                </c:pt>
                <c:pt idx="53">
                  <c:v>44.524615384615387</c:v>
                </c:pt>
                <c:pt idx="54">
                  <c:v>44.524615384615387</c:v>
                </c:pt>
                <c:pt idx="55">
                  <c:v>44.524615384615387</c:v>
                </c:pt>
                <c:pt idx="56">
                  <c:v>44.524615384615387</c:v>
                </c:pt>
                <c:pt idx="57">
                  <c:v>44.524615384615387</c:v>
                </c:pt>
                <c:pt idx="58">
                  <c:v>44.524615384615387</c:v>
                </c:pt>
                <c:pt idx="59">
                  <c:v>44.524615384615387</c:v>
                </c:pt>
                <c:pt idx="60">
                  <c:v>44.524615384615387</c:v>
                </c:pt>
                <c:pt idx="61">
                  <c:v>44.524615384615387</c:v>
                </c:pt>
                <c:pt idx="62">
                  <c:v>44.524615384615387</c:v>
                </c:pt>
                <c:pt idx="63">
                  <c:v>44.524615384615387</c:v>
                </c:pt>
                <c:pt idx="64">
                  <c:v>44.524615384615387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A1-4107-B800-794A85E7E13F}"/>
            </c:ext>
          </c:extLst>
        </c:ser>
        <c:ser>
          <c:idx val="3"/>
          <c:order val="3"/>
          <c:tx>
            <c:strRef>
              <c:f>'SISTEMA 04 SINTAL 70 BIANCO G'!$A$31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G'!$B$31:$BN$31</c:f>
              <c:numCache>
                <c:formatCode>General</c:formatCode>
                <c:ptCount val="65"/>
                <c:pt idx="0">
                  <c:v>36</c:v>
                </c:pt>
                <c:pt idx="1">
                  <c:v>38</c:v>
                </c:pt>
                <c:pt idx="2">
                  <c:v>37</c:v>
                </c:pt>
                <c:pt idx="3">
                  <c:v>34</c:v>
                </c:pt>
                <c:pt idx="4">
                  <c:v>31</c:v>
                </c:pt>
                <c:pt idx="5">
                  <c:v>32</c:v>
                </c:pt>
                <c:pt idx="6">
                  <c:v>35</c:v>
                </c:pt>
                <c:pt idx="7">
                  <c:v>40</c:v>
                </c:pt>
                <c:pt idx="8">
                  <c:v>40</c:v>
                </c:pt>
                <c:pt idx="9">
                  <c:v>31</c:v>
                </c:pt>
                <c:pt idx="10">
                  <c:v>40</c:v>
                </c:pt>
                <c:pt idx="11" formatCode="0">
                  <c:v>43.6</c:v>
                </c:pt>
                <c:pt idx="12" formatCode="0">
                  <c:v>36.9</c:v>
                </c:pt>
                <c:pt idx="13" formatCode="0">
                  <c:v>36.6</c:v>
                </c:pt>
                <c:pt idx="14" formatCode="0">
                  <c:v>45.6</c:v>
                </c:pt>
                <c:pt idx="15" formatCode="0">
                  <c:v>49.8</c:v>
                </c:pt>
                <c:pt idx="16" formatCode="0">
                  <c:v>36.9</c:v>
                </c:pt>
                <c:pt idx="17" formatCode="0">
                  <c:v>40.299999999999997</c:v>
                </c:pt>
                <c:pt idx="18" formatCode="0">
                  <c:v>45.5</c:v>
                </c:pt>
                <c:pt idx="19" formatCode="0">
                  <c:v>48</c:v>
                </c:pt>
                <c:pt idx="20" formatCode="0">
                  <c:v>42.4</c:v>
                </c:pt>
                <c:pt idx="21" formatCode="0">
                  <c:v>43.1</c:v>
                </c:pt>
                <c:pt idx="22" formatCode="0">
                  <c:v>38.6</c:v>
                </c:pt>
                <c:pt idx="23" formatCode="0">
                  <c:v>38</c:v>
                </c:pt>
                <c:pt idx="24" formatCode="0">
                  <c:v>37.299999999999997</c:v>
                </c:pt>
                <c:pt idx="25" formatCode="0">
                  <c:v>38</c:v>
                </c:pt>
                <c:pt idx="26" formatCode="0">
                  <c:v>44.5</c:v>
                </c:pt>
                <c:pt idx="27">
                  <c:v>41</c:v>
                </c:pt>
                <c:pt idx="28" formatCode="0">
                  <c:v>40.6</c:v>
                </c:pt>
                <c:pt idx="29" formatCode="0">
                  <c:v>39.9</c:v>
                </c:pt>
                <c:pt idx="30" formatCode="0">
                  <c:v>41.7</c:v>
                </c:pt>
                <c:pt idx="31" formatCode="0">
                  <c:v>44</c:v>
                </c:pt>
                <c:pt idx="32" formatCode="0">
                  <c:v>42</c:v>
                </c:pt>
                <c:pt idx="33" formatCode="0">
                  <c:v>37.700000000000003</c:v>
                </c:pt>
                <c:pt idx="34" formatCode="0">
                  <c:v>50</c:v>
                </c:pt>
                <c:pt idx="35" formatCode="0">
                  <c:v>42.2</c:v>
                </c:pt>
                <c:pt idx="36" formatCode="0">
                  <c:v>36.5</c:v>
                </c:pt>
                <c:pt idx="37" formatCode="0">
                  <c:v>37.299999999999997</c:v>
                </c:pt>
                <c:pt idx="38" formatCode="0">
                  <c:v>41.5</c:v>
                </c:pt>
                <c:pt idx="39" formatCode="0">
                  <c:v>40</c:v>
                </c:pt>
                <c:pt idx="40" formatCode="0">
                  <c:v>41.7</c:v>
                </c:pt>
                <c:pt idx="41" formatCode="0">
                  <c:v>40.6</c:v>
                </c:pt>
                <c:pt idx="42" formatCode="0">
                  <c:v>38.299999999999997</c:v>
                </c:pt>
                <c:pt idx="43" formatCode="0">
                  <c:v>36.700000000000003</c:v>
                </c:pt>
                <c:pt idx="44" formatCode="0">
                  <c:v>34.4</c:v>
                </c:pt>
                <c:pt idx="45" formatCode="0">
                  <c:v>36</c:v>
                </c:pt>
                <c:pt idx="46" formatCode="0">
                  <c:v>37.700000000000003</c:v>
                </c:pt>
                <c:pt idx="47" formatCode="0">
                  <c:v>37.9</c:v>
                </c:pt>
                <c:pt idx="48" formatCode="0">
                  <c:v>39.700000000000003</c:v>
                </c:pt>
                <c:pt idx="49" formatCode="0">
                  <c:v>37.5</c:v>
                </c:pt>
                <c:pt idx="50" formatCode="0">
                  <c:v>37.6</c:v>
                </c:pt>
                <c:pt idx="51">
                  <c:v>45</c:v>
                </c:pt>
                <c:pt idx="52">
                  <c:v>44</c:v>
                </c:pt>
                <c:pt idx="53">
                  <c:v>43</c:v>
                </c:pt>
                <c:pt idx="54">
                  <c:v>44</c:v>
                </c:pt>
                <c:pt idx="55">
                  <c:v>47</c:v>
                </c:pt>
                <c:pt idx="56">
                  <c:v>41.2</c:v>
                </c:pt>
                <c:pt idx="57">
                  <c:v>42.3</c:v>
                </c:pt>
                <c:pt idx="58">
                  <c:v>42</c:v>
                </c:pt>
                <c:pt idx="59">
                  <c:v>45.7</c:v>
                </c:pt>
                <c:pt idx="60">
                  <c:v>50</c:v>
                </c:pt>
                <c:pt idx="61">
                  <c:v>41.2</c:v>
                </c:pt>
                <c:pt idx="62">
                  <c:v>44.7</c:v>
                </c:pt>
                <c:pt idx="63">
                  <c:v>46.8</c:v>
                </c:pt>
                <c:pt idx="64">
                  <c:v>42.5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B91-4AF6-A6AE-8193226C9F06}"/>
            </c:ext>
          </c:extLst>
        </c:ser>
        <c:ser>
          <c:idx val="4"/>
          <c:order val="4"/>
          <c:tx>
            <c:strRef>
              <c:f>'SISTEMA 04 SINTAL 70 BIANCO G'!$A$32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G'!$B$32:$BN$32</c:f>
              <c:numCache>
                <c:formatCode>0.00</c:formatCode>
                <c:ptCount val="65"/>
                <c:pt idx="0">
                  <c:v>32.381538461538462</c:v>
                </c:pt>
                <c:pt idx="1">
                  <c:v>32.381538461538462</c:v>
                </c:pt>
                <c:pt idx="2">
                  <c:v>32.381538461538462</c:v>
                </c:pt>
                <c:pt idx="3">
                  <c:v>32.381538461538462</c:v>
                </c:pt>
                <c:pt idx="4">
                  <c:v>32.381538461538462</c:v>
                </c:pt>
                <c:pt idx="5">
                  <c:v>32.381538461538462</c:v>
                </c:pt>
                <c:pt idx="6">
                  <c:v>32.381538461538462</c:v>
                </c:pt>
                <c:pt idx="7">
                  <c:v>32.381538461538462</c:v>
                </c:pt>
                <c:pt idx="8">
                  <c:v>32.381538461538462</c:v>
                </c:pt>
                <c:pt idx="9">
                  <c:v>32.381538461538462</c:v>
                </c:pt>
                <c:pt idx="10">
                  <c:v>32.381538461538462</c:v>
                </c:pt>
                <c:pt idx="11">
                  <c:v>32.381538461538462</c:v>
                </c:pt>
                <c:pt idx="12">
                  <c:v>32.381538461538462</c:v>
                </c:pt>
                <c:pt idx="13">
                  <c:v>32.381538461538462</c:v>
                </c:pt>
                <c:pt idx="14">
                  <c:v>32.381538461538462</c:v>
                </c:pt>
                <c:pt idx="15">
                  <c:v>32.381538461538462</c:v>
                </c:pt>
                <c:pt idx="16">
                  <c:v>32.381538461538462</c:v>
                </c:pt>
                <c:pt idx="17">
                  <c:v>32.381538461538462</c:v>
                </c:pt>
                <c:pt idx="18">
                  <c:v>32.381538461538462</c:v>
                </c:pt>
                <c:pt idx="19">
                  <c:v>32.381538461538462</c:v>
                </c:pt>
                <c:pt idx="20">
                  <c:v>32.381538461538462</c:v>
                </c:pt>
                <c:pt idx="21">
                  <c:v>32.381538461538462</c:v>
                </c:pt>
                <c:pt idx="22">
                  <c:v>32.381538461538462</c:v>
                </c:pt>
                <c:pt idx="23">
                  <c:v>32.381538461538462</c:v>
                </c:pt>
                <c:pt idx="24">
                  <c:v>32.381538461538462</c:v>
                </c:pt>
                <c:pt idx="25">
                  <c:v>32.381538461538462</c:v>
                </c:pt>
                <c:pt idx="26">
                  <c:v>32.381538461538462</c:v>
                </c:pt>
                <c:pt idx="27">
                  <c:v>32.381538461538462</c:v>
                </c:pt>
                <c:pt idx="28">
                  <c:v>32.381538461538462</c:v>
                </c:pt>
                <c:pt idx="29">
                  <c:v>32.381538461538462</c:v>
                </c:pt>
                <c:pt idx="30">
                  <c:v>32.381538461538462</c:v>
                </c:pt>
                <c:pt idx="31">
                  <c:v>32.381538461538462</c:v>
                </c:pt>
                <c:pt idx="32">
                  <c:v>32.381538461538462</c:v>
                </c:pt>
                <c:pt idx="33">
                  <c:v>32.381538461538462</c:v>
                </c:pt>
                <c:pt idx="34">
                  <c:v>32.381538461538462</c:v>
                </c:pt>
                <c:pt idx="35">
                  <c:v>32.381538461538462</c:v>
                </c:pt>
                <c:pt idx="36">
                  <c:v>32.381538461538462</c:v>
                </c:pt>
                <c:pt idx="37">
                  <c:v>32.381538461538462</c:v>
                </c:pt>
                <c:pt idx="38">
                  <c:v>32.381538461538462</c:v>
                </c:pt>
                <c:pt idx="39">
                  <c:v>32.381538461538462</c:v>
                </c:pt>
                <c:pt idx="40">
                  <c:v>32.381538461538462</c:v>
                </c:pt>
                <c:pt idx="41">
                  <c:v>32.381538461538462</c:v>
                </c:pt>
                <c:pt idx="42">
                  <c:v>32.381538461538462</c:v>
                </c:pt>
                <c:pt idx="43">
                  <c:v>32.381538461538462</c:v>
                </c:pt>
                <c:pt idx="44">
                  <c:v>32.381538461538462</c:v>
                </c:pt>
                <c:pt idx="45">
                  <c:v>32.381538461538462</c:v>
                </c:pt>
                <c:pt idx="46">
                  <c:v>32.381538461538462</c:v>
                </c:pt>
                <c:pt idx="47">
                  <c:v>32.381538461538462</c:v>
                </c:pt>
                <c:pt idx="48">
                  <c:v>32.381538461538462</c:v>
                </c:pt>
                <c:pt idx="49">
                  <c:v>32.381538461538462</c:v>
                </c:pt>
                <c:pt idx="50">
                  <c:v>32.381538461538462</c:v>
                </c:pt>
                <c:pt idx="51">
                  <c:v>32.381538461538462</c:v>
                </c:pt>
                <c:pt idx="52">
                  <c:v>32.381538461538462</c:v>
                </c:pt>
                <c:pt idx="53">
                  <c:v>32.381538461538462</c:v>
                </c:pt>
                <c:pt idx="54">
                  <c:v>32.381538461538462</c:v>
                </c:pt>
                <c:pt idx="55">
                  <c:v>32.381538461538462</c:v>
                </c:pt>
                <c:pt idx="56">
                  <c:v>32.381538461538462</c:v>
                </c:pt>
                <c:pt idx="57">
                  <c:v>32.381538461538462</c:v>
                </c:pt>
                <c:pt idx="58">
                  <c:v>32.381538461538462</c:v>
                </c:pt>
                <c:pt idx="59">
                  <c:v>32.381538461538462</c:v>
                </c:pt>
                <c:pt idx="60">
                  <c:v>32.381538461538462</c:v>
                </c:pt>
                <c:pt idx="61">
                  <c:v>32.381538461538462</c:v>
                </c:pt>
                <c:pt idx="62">
                  <c:v>32.381538461538462</c:v>
                </c:pt>
                <c:pt idx="63">
                  <c:v>32.381538461538462</c:v>
                </c:pt>
                <c:pt idx="64">
                  <c:v>32.381538461538462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AC-4146-8FC8-790118138BF5}"/>
            </c:ext>
          </c:extLst>
        </c:ser>
        <c:ser>
          <c:idx val="5"/>
          <c:order val="5"/>
          <c:tx>
            <c:strRef>
              <c:f>'SISTEMA 04 SINTAL 70 BIANCO G'!$A$33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G'!$B$27:$BN$27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G'!$B$33:$BN$33</c:f>
              <c:numCache>
                <c:formatCode>0.00</c:formatCode>
                <c:ptCount val="65"/>
                <c:pt idx="0">
                  <c:v>48.572307692307696</c:v>
                </c:pt>
                <c:pt idx="1">
                  <c:v>48.572307692307696</c:v>
                </c:pt>
                <c:pt idx="2">
                  <c:v>48.572307692307696</c:v>
                </c:pt>
                <c:pt idx="3">
                  <c:v>48.572307692307696</c:v>
                </c:pt>
                <c:pt idx="4">
                  <c:v>48.572307692307696</c:v>
                </c:pt>
                <c:pt idx="5">
                  <c:v>48.572307692307696</c:v>
                </c:pt>
                <c:pt idx="6">
                  <c:v>48.572307692307696</c:v>
                </c:pt>
                <c:pt idx="7">
                  <c:v>48.572307692307696</c:v>
                </c:pt>
                <c:pt idx="8">
                  <c:v>48.572307692307696</c:v>
                </c:pt>
                <c:pt idx="9">
                  <c:v>48.572307692307696</c:v>
                </c:pt>
                <c:pt idx="10">
                  <c:v>48.572307692307696</c:v>
                </c:pt>
                <c:pt idx="11">
                  <c:v>48.572307692307696</c:v>
                </c:pt>
                <c:pt idx="12">
                  <c:v>48.572307692307696</c:v>
                </c:pt>
                <c:pt idx="13">
                  <c:v>48.572307692307696</c:v>
                </c:pt>
                <c:pt idx="14">
                  <c:v>48.572307692307696</c:v>
                </c:pt>
                <c:pt idx="15">
                  <c:v>48.572307692307696</c:v>
                </c:pt>
                <c:pt idx="16">
                  <c:v>48.572307692307696</c:v>
                </c:pt>
                <c:pt idx="17">
                  <c:v>48.572307692307696</c:v>
                </c:pt>
                <c:pt idx="18">
                  <c:v>48.572307692307696</c:v>
                </c:pt>
                <c:pt idx="19">
                  <c:v>48.572307692307696</c:v>
                </c:pt>
                <c:pt idx="20">
                  <c:v>48.572307692307696</c:v>
                </c:pt>
                <c:pt idx="21">
                  <c:v>48.572307692307696</c:v>
                </c:pt>
                <c:pt idx="22">
                  <c:v>48.572307692307696</c:v>
                </c:pt>
                <c:pt idx="23">
                  <c:v>48.572307692307696</c:v>
                </c:pt>
                <c:pt idx="24">
                  <c:v>48.572307692307696</c:v>
                </c:pt>
                <c:pt idx="25">
                  <c:v>48.572307692307696</c:v>
                </c:pt>
                <c:pt idx="26">
                  <c:v>48.572307692307696</c:v>
                </c:pt>
                <c:pt idx="27">
                  <c:v>48.572307692307696</c:v>
                </c:pt>
                <c:pt idx="28">
                  <c:v>48.572307692307696</c:v>
                </c:pt>
                <c:pt idx="29">
                  <c:v>48.572307692307696</c:v>
                </c:pt>
                <c:pt idx="30">
                  <c:v>48.572307692307696</c:v>
                </c:pt>
                <c:pt idx="31">
                  <c:v>48.572307692307696</c:v>
                </c:pt>
                <c:pt idx="32">
                  <c:v>48.572307692307696</c:v>
                </c:pt>
                <c:pt idx="33">
                  <c:v>48.572307692307696</c:v>
                </c:pt>
                <c:pt idx="34">
                  <c:v>48.572307692307696</c:v>
                </c:pt>
                <c:pt idx="35">
                  <c:v>48.572307692307696</c:v>
                </c:pt>
                <c:pt idx="36">
                  <c:v>48.572307692307696</c:v>
                </c:pt>
                <c:pt idx="37">
                  <c:v>48.572307692307696</c:v>
                </c:pt>
                <c:pt idx="38">
                  <c:v>48.572307692307696</c:v>
                </c:pt>
                <c:pt idx="39">
                  <c:v>48.572307692307696</c:v>
                </c:pt>
                <c:pt idx="40">
                  <c:v>48.572307692307696</c:v>
                </c:pt>
                <c:pt idx="41">
                  <c:v>48.572307692307696</c:v>
                </c:pt>
                <c:pt idx="42">
                  <c:v>48.572307692307696</c:v>
                </c:pt>
                <c:pt idx="43">
                  <c:v>48.572307692307696</c:v>
                </c:pt>
                <c:pt idx="44">
                  <c:v>48.572307692307696</c:v>
                </c:pt>
                <c:pt idx="45">
                  <c:v>48.572307692307696</c:v>
                </c:pt>
                <c:pt idx="46">
                  <c:v>48.572307692307696</c:v>
                </c:pt>
                <c:pt idx="47">
                  <c:v>48.572307692307696</c:v>
                </c:pt>
                <c:pt idx="48">
                  <c:v>48.572307692307696</c:v>
                </c:pt>
                <c:pt idx="49">
                  <c:v>48.572307692307696</c:v>
                </c:pt>
                <c:pt idx="50">
                  <c:v>48.572307692307696</c:v>
                </c:pt>
                <c:pt idx="51">
                  <c:v>48.572307692307696</c:v>
                </c:pt>
                <c:pt idx="52">
                  <c:v>48.572307692307696</c:v>
                </c:pt>
                <c:pt idx="53">
                  <c:v>48.572307692307696</c:v>
                </c:pt>
                <c:pt idx="54">
                  <c:v>48.572307692307696</c:v>
                </c:pt>
                <c:pt idx="55">
                  <c:v>48.572307692307696</c:v>
                </c:pt>
                <c:pt idx="56">
                  <c:v>48.572307692307696</c:v>
                </c:pt>
                <c:pt idx="57">
                  <c:v>48.572307692307696</c:v>
                </c:pt>
                <c:pt idx="58">
                  <c:v>48.572307692307696</c:v>
                </c:pt>
                <c:pt idx="59">
                  <c:v>48.572307692307696</c:v>
                </c:pt>
                <c:pt idx="60">
                  <c:v>48.572307692307696</c:v>
                </c:pt>
                <c:pt idx="61">
                  <c:v>48.572307692307696</c:v>
                </c:pt>
                <c:pt idx="62">
                  <c:v>48.572307692307696</c:v>
                </c:pt>
                <c:pt idx="63">
                  <c:v>48.572307692307696</c:v>
                </c:pt>
                <c:pt idx="64">
                  <c:v>48.572307692307696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AC-4146-8FC8-790118138BF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427648"/>
        <c:axId val="182429184"/>
      </c:lineChart>
      <c:catAx>
        <c:axId val="18242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29184"/>
        <c:crosses val="autoZero"/>
        <c:auto val="1"/>
        <c:lblAlgn val="ctr"/>
        <c:lblOffset val="100"/>
        <c:noMultiLvlLbl val="0"/>
      </c:catAx>
      <c:valAx>
        <c:axId val="1824291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42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ABRASIONE [mg]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04 SINTAL 70 BIANCO G'!$A$35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G'!$B$35:$BN$35</c:f>
              <c:numCache>
                <c:formatCode>0.0</c:formatCode>
                <c:ptCount val="65"/>
                <c:pt idx="0">
                  <c:v>64.892307692307696</c:v>
                </c:pt>
                <c:pt idx="1">
                  <c:v>64.892307692307696</c:v>
                </c:pt>
                <c:pt idx="2">
                  <c:v>64.892307692307696</c:v>
                </c:pt>
                <c:pt idx="3">
                  <c:v>64.892307692307696</c:v>
                </c:pt>
                <c:pt idx="4">
                  <c:v>64.892307692307696</c:v>
                </c:pt>
                <c:pt idx="5">
                  <c:v>64.892307692307696</c:v>
                </c:pt>
                <c:pt idx="6">
                  <c:v>64.892307692307696</c:v>
                </c:pt>
                <c:pt idx="7">
                  <c:v>64.892307692307696</c:v>
                </c:pt>
                <c:pt idx="8">
                  <c:v>64.892307692307696</c:v>
                </c:pt>
                <c:pt idx="9">
                  <c:v>64.892307692307696</c:v>
                </c:pt>
                <c:pt idx="10">
                  <c:v>64.892307692307696</c:v>
                </c:pt>
                <c:pt idx="11">
                  <c:v>64.892307692307696</c:v>
                </c:pt>
                <c:pt idx="12">
                  <c:v>64.892307692307696</c:v>
                </c:pt>
                <c:pt idx="13">
                  <c:v>64.892307692307696</c:v>
                </c:pt>
                <c:pt idx="14">
                  <c:v>64.892307692307696</c:v>
                </c:pt>
                <c:pt idx="15">
                  <c:v>64.892307692307696</c:v>
                </c:pt>
                <c:pt idx="16">
                  <c:v>64.892307692307696</c:v>
                </c:pt>
                <c:pt idx="17">
                  <c:v>64.892307692307696</c:v>
                </c:pt>
                <c:pt idx="18">
                  <c:v>64.892307692307696</c:v>
                </c:pt>
                <c:pt idx="19">
                  <c:v>64.892307692307696</c:v>
                </c:pt>
                <c:pt idx="20">
                  <c:v>64.892307692307696</c:v>
                </c:pt>
                <c:pt idx="21">
                  <c:v>64.892307692307696</c:v>
                </c:pt>
                <c:pt idx="22">
                  <c:v>64.892307692307696</c:v>
                </c:pt>
                <c:pt idx="23">
                  <c:v>64.892307692307696</c:v>
                </c:pt>
                <c:pt idx="24">
                  <c:v>64.892307692307696</c:v>
                </c:pt>
                <c:pt idx="25">
                  <c:v>64.892307692307696</c:v>
                </c:pt>
                <c:pt idx="26">
                  <c:v>64.892307692307696</c:v>
                </c:pt>
                <c:pt idx="27">
                  <c:v>64.892307692307696</c:v>
                </c:pt>
                <c:pt idx="28">
                  <c:v>64.892307692307696</c:v>
                </c:pt>
                <c:pt idx="29">
                  <c:v>64.892307692307696</c:v>
                </c:pt>
                <c:pt idx="30">
                  <c:v>64.892307692307696</c:v>
                </c:pt>
                <c:pt idx="31">
                  <c:v>64.892307692307696</c:v>
                </c:pt>
                <c:pt idx="32">
                  <c:v>64.892307692307696</c:v>
                </c:pt>
                <c:pt idx="33">
                  <c:v>64.892307692307696</c:v>
                </c:pt>
                <c:pt idx="34">
                  <c:v>64.892307692307696</c:v>
                </c:pt>
                <c:pt idx="35">
                  <c:v>64.892307692307696</c:v>
                </c:pt>
                <c:pt idx="36">
                  <c:v>64.892307692307696</c:v>
                </c:pt>
                <c:pt idx="37">
                  <c:v>64.892307692307696</c:v>
                </c:pt>
                <c:pt idx="38">
                  <c:v>64.892307692307696</c:v>
                </c:pt>
                <c:pt idx="39">
                  <c:v>64.892307692307696</c:v>
                </c:pt>
                <c:pt idx="40">
                  <c:v>64.892307692307696</c:v>
                </c:pt>
                <c:pt idx="41">
                  <c:v>64.892307692307696</c:v>
                </c:pt>
                <c:pt idx="42">
                  <c:v>64.892307692307696</c:v>
                </c:pt>
                <c:pt idx="43">
                  <c:v>64.892307692307696</c:v>
                </c:pt>
                <c:pt idx="44">
                  <c:v>64.892307692307696</c:v>
                </c:pt>
                <c:pt idx="45">
                  <c:v>64.892307692307696</c:v>
                </c:pt>
                <c:pt idx="46">
                  <c:v>64.892307692307696</c:v>
                </c:pt>
                <c:pt idx="47">
                  <c:v>64.892307692307696</c:v>
                </c:pt>
                <c:pt idx="48">
                  <c:v>64.892307692307696</c:v>
                </c:pt>
                <c:pt idx="49">
                  <c:v>64.892307692307696</c:v>
                </c:pt>
                <c:pt idx="50">
                  <c:v>64.892307692307696</c:v>
                </c:pt>
                <c:pt idx="51">
                  <c:v>64.892307692307696</c:v>
                </c:pt>
                <c:pt idx="52">
                  <c:v>64.892307692307696</c:v>
                </c:pt>
                <c:pt idx="53">
                  <c:v>64.892307692307696</c:v>
                </c:pt>
                <c:pt idx="54">
                  <c:v>64.892307692307696</c:v>
                </c:pt>
                <c:pt idx="55">
                  <c:v>64.892307692307696</c:v>
                </c:pt>
                <c:pt idx="56">
                  <c:v>64.892307692307696</c:v>
                </c:pt>
                <c:pt idx="57">
                  <c:v>64.892307692307696</c:v>
                </c:pt>
                <c:pt idx="58">
                  <c:v>64.892307692307696</c:v>
                </c:pt>
                <c:pt idx="59">
                  <c:v>64.892307692307696</c:v>
                </c:pt>
                <c:pt idx="60">
                  <c:v>64.892307692307696</c:v>
                </c:pt>
                <c:pt idx="61">
                  <c:v>64.892307692307696</c:v>
                </c:pt>
                <c:pt idx="62">
                  <c:v>64.892307692307696</c:v>
                </c:pt>
                <c:pt idx="63">
                  <c:v>64.892307692307696</c:v>
                </c:pt>
                <c:pt idx="64">
                  <c:v>64.892307692307696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CA3-4674-97C3-1DF6E0EEA0D4}"/>
            </c:ext>
          </c:extLst>
        </c:ser>
        <c:ser>
          <c:idx val="1"/>
          <c:order val="1"/>
          <c:tx>
            <c:strRef>
              <c:f>'SISTEMA 04 SINTAL 70 BIANCO G'!$A$36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G'!$B$36:$BN$36</c:f>
              <c:numCache>
                <c:formatCode>0.00</c:formatCode>
                <c:ptCount val="65"/>
                <c:pt idx="0">
                  <c:v>58.403076923076924</c:v>
                </c:pt>
                <c:pt idx="1">
                  <c:v>58.403076923076924</c:v>
                </c:pt>
                <c:pt idx="2">
                  <c:v>58.403076923076924</c:v>
                </c:pt>
                <c:pt idx="3">
                  <c:v>58.403076923076924</c:v>
                </c:pt>
                <c:pt idx="4">
                  <c:v>58.403076923076924</c:v>
                </c:pt>
                <c:pt idx="5">
                  <c:v>58.403076923076924</c:v>
                </c:pt>
                <c:pt idx="6">
                  <c:v>58.403076923076924</c:v>
                </c:pt>
                <c:pt idx="7">
                  <c:v>58.403076923076924</c:v>
                </c:pt>
                <c:pt idx="8">
                  <c:v>58.403076923076924</c:v>
                </c:pt>
                <c:pt idx="9">
                  <c:v>58.403076923076924</c:v>
                </c:pt>
                <c:pt idx="10">
                  <c:v>58.403076923076924</c:v>
                </c:pt>
                <c:pt idx="11">
                  <c:v>58.403076923076924</c:v>
                </c:pt>
                <c:pt idx="12">
                  <c:v>58.403076923076924</c:v>
                </c:pt>
                <c:pt idx="13">
                  <c:v>58.403076923076924</c:v>
                </c:pt>
                <c:pt idx="14">
                  <c:v>58.403076923076924</c:v>
                </c:pt>
                <c:pt idx="15">
                  <c:v>58.403076923076924</c:v>
                </c:pt>
                <c:pt idx="16">
                  <c:v>58.403076923076924</c:v>
                </c:pt>
                <c:pt idx="17">
                  <c:v>58.403076923076924</c:v>
                </c:pt>
                <c:pt idx="18">
                  <c:v>58.403076923076924</c:v>
                </c:pt>
                <c:pt idx="19">
                  <c:v>58.403076923076924</c:v>
                </c:pt>
                <c:pt idx="20">
                  <c:v>58.403076923076924</c:v>
                </c:pt>
                <c:pt idx="21">
                  <c:v>58.403076923076924</c:v>
                </c:pt>
                <c:pt idx="22">
                  <c:v>58.403076923076924</c:v>
                </c:pt>
                <c:pt idx="23">
                  <c:v>58.403076923076924</c:v>
                </c:pt>
                <c:pt idx="24">
                  <c:v>58.403076923076924</c:v>
                </c:pt>
                <c:pt idx="25">
                  <c:v>58.403076923076924</c:v>
                </c:pt>
                <c:pt idx="26">
                  <c:v>58.403076923076924</c:v>
                </c:pt>
                <c:pt idx="27">
                  <c:v>58.403076923076924</c:v>
                </c:pt>
                <c:pt idx="28">
                  <c:v>58.403076923076924</c:v>
                </c:pt>
                <c:pt idx="29">
                  <c:v>58.403076923076924</c:v>
                </c:pt>
                <c:pt idx="30">
                  <c:v>58.403076923076924</c:v>
                </c:pt>
                <c:pt idx="31">
                  <c:v>58.403076923076924</c:v>
                </c:pt>
                <c:pt idx="32">
                  <c:v>58.403076923076924</c:v>
                </c:pt>
                <c:pt idx="33">
                  <c:v>58.403076923076924</c:v>
                </c:pt>
                <c:pt idx="34">
                  <c:v>58.403076923076924</c:v>
                </c:pt>
                <c:pt idx="35">
                  <c:v>58.403076923076924</c:v>
                </c:pt>
                <c:pt idx="36">
                  <c:v>58.403076923076924</c:v>
                </c:pt>
                <c:pt idx="37">
                  <c:v>58.403076923076924</c:v>
                </c:pt>
                <c:pt idx="38">
                  <c:v>58.403076923076924</c:v>
                </c:pt>
                <c:pt idx="39">
                  <c:v>58.403076923076924</c:v>
                </c:pt>
                <c:pt idx="40">
                  <c:v>58.403076923076924</c:v>
                </c:pt>
                <c:pt idx="41">
                  <c:v>58.403076923076924</c:v>
                </c:pt>
                <c:pt idx="42">
                  <c:v>58.403076923076924</c:v>
                </c:pt>
                <c:pt idx="43">
                  <c:v>58.403076923076924</c:v>
                </c:pt>
                <c:pt idx="44">
                  <c:v>58.403076923076924</c:v>
                </c:pt>
                <c:pt idx="45">
                  <c:v>58.403076923076924</c:v>
                </c:pt>
                <c:pt idx="46">
                  <c:v>58.403076923076924</c:v>
                </c:pt>
                <c:pt idx="47">
                  <c:v>58.403076923076924</c:v>
                </c:pt>
                <c:pt idx="48">
                  <c:v>58.403076923076924</c:v>
                </c:pt>
                <c:pt idx="49">
                  <c:v>58.403076923076924</c:v>
                </c:pt>
                <c:pt idx="50">
                  <c:v>58.403076923076924</c:v>
                </c:pt>
                <c:pt idx="51">
                  <c:v>58.403076923076924</c:v>
                </c:pt>
                <c:pt idx="52">
                  <c:v>58.403076923076924</c:v>
                </c:pt>
                <c:pt idx="53">
                  <c:v>58.403076923076924</c:v>
                </c:pt>
                <c:pt idx="54">
                  <c:v>58.403076923076924</c:v>
                </c:pt>
                <c:pt idx="55">
                  <c:v>58.403076923076924</c:v>
                </c:pt>
                <c:pt idx="56">
                  <c:v>58.403076923076924</c:v>
                </c:pt>
                <c:pt idx="57">
                  <c:v>58.403076923076924</c:v>
                </c:pt>
                <c:pt idx="58">
                  <c:v>58.403076923076924</c:v>
                </c:pt>
                <c:pt idx="59">
                  <c:v>58.403076923076924</c:v>
                </c:pt>
                <c:pt idx="60">
                  <c:v>58.403076923076924</c:v>
                </c:pt>
                <c:pt idx="61">
                  <c:v>58.403076923076924</c:v>
                </c:pt>
                <c:pt idx="62">
                  <c:v>58.403076923076924</c:v>
                </c:pt>
                <c:pt idx="63">
                  <c:v>58.403076923076924</c:v>
                </c:pt>
                <c:pt idx="64">
                  <c:v>58.403076923076924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DC-47A0-A412-CF7B77893366}"/>
            </c:ext>
          </c:extLst>
        </c:ser>
        <c:ser>
          <c:idx val="2"/>
          <c:order val="2"/>
          <c:tx>
            <c:strRef>
              <c:f>'SISTEMA 04 SINTAL 70 BIANCO G'!$A$37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G'!$B$37:$BN$37</c:f>
              <c:numCache>
                <c:formatCode>0.00</c:formatCode>
                <c:ptCount val="65"/>
                <c:pt idx="0">
                  <c:v>71.381538461538469</c:v>
                </c:pt>
                <c:pt idx="1">
                  <c:v>71.381538461538469</c:v>
                </c:pt>
                <c:pt idx="2">
                  <c:v>71.381538461538469</c:v>
                </c:pt>
                <c:pt idx="3">
                  <c:v>71.381538461538469</c:v>
                </c:pt>
                <c:pt idx="4">
                  <c:v>71.381538461538469</c:v>
                </c:pt>
                <c:pt idx="5">
                  <c:v>71.381538461538469</c:v>
                </c:pt>
                <c:pt idx="6">
                  <c:v>71.381538461538469</c:v>
                </c:pt>
                <c:pt idx="7">
                  <c:v>71.381538461538469</c:v>
                </c:pt>
                <c:pt idx="8">
                  <c:v>71.381538461538469</c:v>
                </c:pt>
                <c:pt idx="9">
                  <c:v>71.381538461538469</c:v>
                </c:pt>
                <c:pt idx="10">
                  <c:v>71.381538461538469</c:v>
                </c:pt>
                <c:pt idx="11">
                  <c:v>71.381538461538469</c:v>
                </c:pt>
                <c:pt idx="12">
                  <c:v>71.381538461538469</c:v>
                </c:pt>
                <c:pt idx="13">
                  <c:v>71.381538461538469</c:v>
                </c:pt>
                <c:pt idx="14">
                  <c:v>71.381538461538469</c:v>
                </c:pt>
                <c:pt idx="15">
                  <c:v>71.381538461538469</c:v>
                </c:pt>
                <c:pt idx="16">
                  <c:v>71.381538461538469</c:v>
                </c:pt>
                <c:pt idx="17">
                  <c:v>71.381538461538469</c:v>
                </c:pt>
                <c:pt idx="18">
                  <c:v>71.381538461538469</c:v>
                </c:pt>
                <c:pt idx="19">
                  <c:v>71.381538461538469</c:v>
                </c:pt>
                <c:pt idx="20">
                  <c:v>71.381538461538469</c:v>
                </c:pt>
                <c:pt idx="21">
                  <c:v>71.381538461538469</c:v>
                </c:pt>
                <c:pt idx="22">
                  <c:v>71.381538461538469</c:v>
                </c:pt>
                <c:pt idx="23">
                  <c:v>71.381538461538469</c:v>
                </c:pt>
                <c:pt idx="24">
                  <c:v>71.381538461538469</c:v>
                </c:pt>
                <c:pt idx="25">
                  <c:v>71.381538461538469</c:v>
                </c:pt>
                <c:pt idx="26">
                  <c:v>71.381538461538469</c:v>
                </c:pt>
                <c:pt idx="27">
                  <c:v>71.381538461538469</c:v>
                </c:pt>
                <c:pt idx="28">
                  <c:v>71.381538461538469</c:v>
                </c:pt>
                <c:pt idx="29">
                  <c:v>71.381538461538469</c:v>
                </c:pt>
                <c:pt idx="30">
                  <c:v>71.381538461538469</c:v>
                </c:pt>
                <c:pt idx="31">
                  <c:v>71.381538461538469</c:v>
                </c:pt>
                <c:pt idx="32">
                  <c:v>71.381538461538469</c:v>
                </c:pt>
                <c:pt idx="33">
                  <c:v>71.381538461538469</c:v>
                </c:pt>
                <c:pt idx="34">
                  <c:v>71.381538461538469</c:v>
                </c:pt>
                <c:pt idx="35">
                  <c:v>71.381538461538469</c:v>
                </c:pt>
                <c:pt idx="36">
                  <c:v>71.381538461538469</c:v>
                </c:pt>
                <c:pt idx="37">
                  <c:v>71.381538461538469</c:v>
                </c:pt>
                <c:pt idx="38">
                  <c:v>71.381538461538469</c:v>
                </c:pt>
                <c:pt idx="39">
                  <c:v>71.381538461538469</c:v>
                </c:pt>
                <c:pt idx="40">
                  <c:v>71.381538461538469</c:v>
                </c:pt>
                <c:pt idx="41">
                  <c:v>71.381538461538469</c:v>
                </c:pt>
                <c:pt idx="42">
                  <c:v>71.381538461538469</c:v>
                </c:pt>
                <c:pt idx="43">
                  <c:v>71.381538461538469</c:v>
                </c:pt>
                <c:pt idx="44">
                  <c:v>71.381538461538469</c:v>
                </c:pt>
                <c:pt idx="45">
                  <c:v>71.381538461538469</c:v>
                </c:pt>
                <c:pt idx="46">
                  <c:v>71.381538461538469</c:v>
                </c:pt>
                <c:pt idx="47">
                  <c:v>71.381538461538469</c:v>
                </c:pt>
                <c:pt idx="48">
                  <c:v>71.381538461538469</c:v>
                </c:pt>
                <c:pt idx="49">
                  <c:v>71.381538461538469</c:v>
                </c:pt>
                <c:pt idx="50">
                  <c:v>71.381538461538469</c:v>
                </c:pt>
                <c:pt idx="51">
                  <c:v>71.381538461538469</c:v>
                </c:pt>
                <c:pt idx="52">
                  <c:v>71.381538461538469</c:v>
                </c:pt>
                <c:pt idx="53">
                  <c:v>71.381538461538469</c:v>
                </c:pt>
                <c:pt idx="54">
                  <c:v>71.381538461538469</c:v>
                </c:pt>
                <c:pt idx="55">
                  <c:v>71.381538461538469</c:v>
                </c:pt>
                <c:pt idx="56">
                  <c:v>71.381538461538469</c:v>
                </c:pt>
                <c:pt idx="57">
                  <c:v>71.381538461538469</c:v>
                </c:pt>
                <c:pt idx="58">
                  <c:v>71.381538461538469</c:v>
                </c:pt>
                <c:pt idx="59">
                  <c:v>71.381538461538469</c:v>
                </c:pt>
                <c:pt idx="60">
                  <c:v>71.381538461538469</c:v>
                </c:pt>
                <c:pt idx="61">
                  <c:v>71.381538461538469</c:v>
                </c:pt>
                <c:pt idx="62">
                  <c:v>71.381538461538469</c:v>
                </c:pt>
                <c:pt idx="63">
                  <c:v>71.381538461538469</c:v>
                </c:pt>
                <c:pt idx="64">
                  <c:v>71.381538461538469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DC-47A0-A412-CF7B77893366}"/>
            </c:ext>
          </c:extLst>
        </c:ser>
        <c:ser>
          <c:idx val="3"/>
          <c:order val="3"/>
          <c:tx>
            <c:strRef>
              <c:f>'SISTEMA 04 SINTAL 70 BIANCO G'!$A$38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shade val="9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G'!$B$38:$BN$38</c:f>
              <c:numCache>
                <c:formatCode>General</c:formatCode>
                <c:ptCount val="65"/>
                <c:pt idx="0">
                  <c:v>83</c:v>
                </c:pt>
                <c:pt idx="1">
                  <c:v>15</c:v>
                </c:pt>
                <c:pt idx="2">
                  <c:v>51</c:v>
                </c:pt>
                <c:pt idx="3">
                  <c:v>65</c:v>
                </c:pt>
                <c:pt idx="4">
                  <c:v>58</c:v>
                </c:pt>
                <c:pt idx="5">
                  <c:v>60</c:v>
                </c:pt>
                <c:pt idx="6">
                  <c:v>52</c:v>
                </c:pt>
                <c:pt idx="7">
                  <c:v>50</c:v>
                </c:pt>
                <c:pt idx="8">
                  <c:v>51</c:v>
                </c:pt>
                <c:pt idx="9">
                  <c:v>38</c:v>
                </c:pt>
                <c:pt idx="10">
                  <c:v>75</c:v>
                </c:pt>
                <c:pt idx="11">
                  <c:v>47</c:v>
                </c:pt>
                <c:pt idx="12">
                  <c:v>60</c:v>
                </c:pt>
                <c:pt idx="13">
                  <c:v>55</c:v>
                </c:pt>
                <c:pt idx="14">
                  <c:v>52</c:v>
                </c:pt>
                <c:pt idx="15">
                  <c:v>59</c:v>
                </c:pt>
                <c:pt idx="16">
                  <c:v>62</c:v>
                </c:pt>
                <c:pt idx="17">
                  <c:v>45</c:v>
                </c:pt>
                <c:pt idx="18">
                  <c:v>55</c:v>
                </c:pt>
                <c:pt idx="19">
                  <c:v>59</c:v>
                </c:pt>
                <c:pt idx="20">
                  <c:v>57</c:v>
                </c:pt>
                <c:pt idx="21">
                  <c:v>49</c:v>
                </c:pt>
                <c:pt idx="22">
                  <c:v>47</c:v>
                </c:pt>
                <c:pt idx="23">
                  <c:v>59</c:v>
                </c:pt>
                <c:pt idx="24">
                  <c:v>62</c:v>
                </c:pt>
                <c:pt idx="25">
                  <c:v>60</c:v>
                </c:pt>
                <c:pt idx="26">
                  <c:v>48</c:v>
                </c:pt>
                <c:pt idx="27">
                  <c:v>60</c:v>
                </c:pt>
                <c:pt idx="28" formatCode="0">
                  <c:v>68</c:v>
                </c:pt>
                <c:pt idx="29" formatCode="0">
                  <c:v>59</c:v>
                </c:pt>
                <c:pt idx="30" formatCode="0">
                  <c:v>60</c:v>
                </c:pt>
                <c:pt idx="31" formatCode="0">
                  <c:v>65</c:v>
                </c:pt>
                <c:pt idx="32" formatCode="0">
                  <c:v>66</c:v>
                </c:pt>
                <c:pt idx="33" formatCode="0">
                  <c:v>52</c:v>
                </c:pt>
                <c:pt idx="34" formatCode="0">
                  <c:v>67</c:v>
                </c:pt>
                <c:pt idx="35" formatCode="0">
                  <c:v>64</c:v>
                </c:pt>
                <c:pt idx="36" formatCode="0">
                  <c:v>70</c:v>
                </c:pt>
                <c:pt idx="37" formatCode="0">
                  <c:v>60</c:v>
                </c:pt>
                <c:pt idx="38" formatCode="0">
                  <c:v>58</c:v>
                </c:pt>
                <c:pt idx="39" formatCode="0">
                  <c:v>68</c:v>
                </c:pt>
                <c:pt idx="40" formatCode="0">
                  <c:v>73</c:v>
                </c:pt>
                <c:pt idx="41" formatCode="0">
                  <c:v>61</c:v>
                </c:pt>
                <c:pt idx="42" formatCode="0">
                  <c:v>69</c:v>
                </c:pt>
                <c:pt idx="43" formatCode="0">
                  <c:v>67</c:v>
                </c:pt>
                <c:pt idx="44" formatCode="0">
                  <c:v>68</c:v>
                </c:pt>
                <c:pt idx="45" formatCode="0">
                  <c:v>70</c:v>
                </c:pt>
                <c:pt idx="46" formatCode="0">
                  <c:v>69</c:v>
                </c:pt>
                <c:pt idx="47" formatCode="0">
                  <c:v>67</c:v>
                </c:pt>
                <c:pt idx="48" formatCode="0">
                  <c:v>63</c:v>
                </c:pt>
                <c:pt idx="49" formatCode="0">
                  <c:v>57</c:v>
                </c:pt>
                <c:pt idx="50" formatCode="0">
                  <c:v>65</c:v>
                </c:pt>
                <c:pt idx="51">
                  <c:v>78</c:v>
                </c:pt>
                <c:pt idx="52">
                  <c:v>87</c:v>
                </c:pt>
                <c:pt idx="53">
                  <c:v>76</c:v>
                </c:pt>
                <c:pt idx="54">
                  <c:v>75</c:v>
                </c:pt>
                <c:pt idx="55">
                  <c:v>93</c:v>
                </c:pt>
                <c:pt idx="56">
                  <c:v>82</c:v>
                </c:pt>
                <c:pt idx="57">
                  <c:v>86</c:v>
                </c:pt>
                <c:pt idx="58">
                  <c:v>96</c:v>
                </c:pt>
                <c:pt idx="59">
                  <c:v>51</c:v>
                </c:pt>
                <c:pt idx="60">
                  <c:v>77</c:v>
                </c:pt>
                <c:pt idx="61">
                  <c:v>93</c:v>
                </c:pt>
                <c:pt idx="62">
                  <c:v>99</c:v>
                </c:pt>
                <c:pt idx="63">
                  <c:v>99</c:v>
                </c:pt>
                <c:pt idx="64">
                  <c:v>106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D5-4C30-92BF-155846252924}"/>
            </c:ext>
          </c:extLst>
        </c:ser>
        <c:ser>
          <c:idx val="4"/>
          <c:order val="4"/>
          <c:tx>
            <c:strRef>
              <c:f>'SISTEMA 04 SINTAL 70 BIANCO G'!$A$39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G'!$B$39:$BN$39</c:f>
              <c:numCache>
                <c:formatCode>0.00</c:formatCode>
                <c:ptCount val="65"/>
                <c:pt idx="0">
                  <c:v>51.913846153846151</c:v>
                </c:pt>
                <c:pt idx="1">
                  <c:v>51.913846153846151</c:v>
                </c:pt>
                <c:pt idx="2">
                  <c:v>51.913846153846151</c:v>
                </c:pt>
                <c:pt idx="3">
                  <c:v>51.913846153846151</c:v>
                </c:pt>
                <c:pt idx="4">
                  <c:v>51.913846153846151</c:v>
                </c:pt>
                <c:pt idx="5">
                  <c:v>51.913846153846151</c:v>
                </c:pt>
                <c:pt idx="6">
                  <c:v>51.913846153846151</c:v>
                </c:pt>
                <c:pt idx="7">
                  <c:v>51.913846153846151</c:v>
                </c:pt>
                <c:pt idx="8">
                  <c:v>51.913846153846151</c:v>
                </c:pt>
                <c:pt idx="9">
                  <c:v>51.913846153846151</c:v>
                </c:pt>
                <c:pt idx="10">
                  <c:v>51.913846153846151</c:v>
                </c:pt>
                <c:pt idx="11">
                  <c:v>51.913846153846151</c:v>
                </c:pt>
                <c:pt idx="12">
                  <c:v>51.913846153846151</c:v>
                </c:pt>
                <c:pt idx="13">
                  <c:v>51.913846153846151</c:v>
                </c:pt>
                <c:pt idx="14">
                  <c:v>51.913846153846151</c:v>
                </c:pt>
                <c:pt idx="15">
                  <c:v>51.913846153846151</c:v>
                </c:pt>
                <c:pt idx="16">
                  <c:v>51.913846153846151</c:v>
                </c:pt>
                <c:pt idx="17">
                  <c:v>51.913846153846151</c:v>
                </c:pt>
                <c:pt idx="18">
                  <c:v>51.913846153846151</c:v>
                </c:pt>
                <c:pt idx="19">
                  <c:v>51.913846153846151</c:v>
                </c:pt>
                <c:pt idx="20">
                  <c:v>51.913846153846151</c:v>
                </c:pt>
                <c:pt idx="21">
                  <c:v>51.913846153846151</c:v>
                </c:pt>
                <c:pt idx="22">
                  <c:v>51.913846153846151</c:v>
                </c:pt>
                <c:pt idx="23">
                  <c:v>51.913846153846151</c:v>
                </c:pt>
                <c:pt idx="24">
                  <c:v>51.913846153846151</c:v>
                </c:pt>
                <c:pt idx="25">
                  <c:v>51.913846153846151</c:v>
                </c:pt>
                <c:pt idx="26">
                  <c:v>51.913846153846151</c:v>
                </c:pt>
                <c:pt idx="27">
                  <c:v>51.913846153846151</c:v>
                </c:pt>
                <c:pt idx="28">
                  <c:v>51.913846153846151</c:v>
                </c:pt>
                <c:pt idx="29">
                  <c:v>51.913846153846151</c:v>
                </c:pt>
                <c:pt idx="30">
                  <c:v>51.913846153846151</c:v>
                </c:pt>
                <c:pt idx="31">
                  <c:v>51.913846153846151</c:v>
                </c:pt>
                <c:pt idx="32">
                  <c:v>51.913846153846151</c:v>
                </c:pt>
                <c:pt idx="33">
                  <c:v>51.913846153846151</c:v>
                </c:pt>
                <c:pt idx="34">
                  <c:v>51.913846153846151</c:v>
                </c:pt>
                <c:pt idx="35">
                  <c:v>51.913846153846151</c:v>
                </c:pt>
                <c:pt idx="36">
                  <c:v>51.913846153846151</c:v>
                </c:pt>
                <c:pt idx="37">
                  <c:v>51.913846153846151</c:v>
                </c:pt>
                <c:pt idx="38">
                  <c:v>51.913846153846151</c:v>
                </c:pt>
                <c:pt idx="39">
                  <c:v>51.913846153846151</c:v>
                </c:pt>
                <c:pt idx="40">
                  <c:v>51.913846153846151</c:v>
                </c:pt>
                <c:pt idx="41">
                  <c:v>51.913846153846151</c:v>
                </c:pt>
                <c:pt idx="42">
                  <c:v>51.913846153846151</c:v>
                </c:pt>
                <c:pt idx="43">
                  <c:v>51.913846153846151</c:v>
                </c:pt>
                <c:pt idx="44">
                  <c:v>51.913846153846151</c:v>
                </c:pt>
                <c:pt idx="45">
                  <c:v>51.913846153846151</c:v>
                </c:pt>
                <c:pt idx="46">
                  <c:v>51.913846153846151</c:v>
                </c:pt>
                <c:pt idx="47">
                  <c:v>51.913846153846151</c:v>
                </c:pt>
                <c:pt idx="48">
                  <c:v>51.913846153846151</c:v>
                </c:pt>
                <c:pt idx="49">
                  <c:v>51.913846153846151</c:v>
                </c:pt>
                <c:pt idx="50">
                  <c:v>51.913846153846151</c:v>
                </c:pt>
                <c:pt idx="51">
                  <c:v>51.913846153846151</c:v>
                </c:pt>
                <c:pt idx="52">
                  <c:v>51.913846153846151</c:v>
                </c:pt>
                <c:pt idx="53">
                  <c:v>51.913846153846151</c:v>
                </c:pt>
                <c:pt idx="54">
                  <c:v>51.913846153846151</c:v>
                </c:pt>
                <c:pt idx="55">
                  <c:v>51.913846153846151</c:v>
                </c:pt>
                <c:pt idx="56">
                  <c:v>51.913846153846151</c:v>
                </c:pt>
                <c:pt idx="57">
                  <c:v>51.913846153846151</c:v>
                </c:pt>
                <c:pt idx="58">
                  <c:v>51.913846153846151</c:v>
                </c:pt>
                <c:pt idx="59">
                  <c:v>51.913846153846151</c:v>
                </c:pt>
                <c:pt idx="60">
                  <c:v>51.913846153846151</c:v>
                </c:pt>
                <c:pt idx="61">
                  <c:v>51.913846153846151</c:v>
                </c:pt>
                <c:pt idx="62">
                  <c:v>51.913846153846151</c:v>
                </c:pt>
                <c:pt idx="63">
                  <c:v>51.913846153846151</c:v>
                </c:pt>
                <c:pt idx="64">
                  <c:v>51.913846153846151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9-4513-AF50-A719D8587B5F}"/>
            </c:ext>
          </c:extLst>
        </c:ser>
        <c:ser>
          <c:idx val="5"/>
          <c:order val="5"/>
          <c:tx>
            <c:strRef>
              <c:f>'SISTEMA 04 SINTAL 70 BIANCO G'!$A$40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04 SINTAL 70 BIANCO G'!$B$34:$BN$34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G'!$B$40:$BN$40</c:f>
              <c:numCache>
                <c:formatCode>0.00</c:formatCode>
                <c:ptCount val="65"/>
                <c:pt idx="0">
                  <c:v>77.870769230769241</c:v>
                </c:pt>
                <c:pt idx="1">
                  <c:v>77.870769230769241</c:v>
                </c:pt>
                <c:pt idx="2">
                  <c:v>77.870769230769241</c:v>
                </c:pt>
                <c:pt idx="3">
                  <c:v>77.870769230769241</c:v>
                </c:pt>
                <c:pt idx="4">
                  <c:v>77.870769230769241</c:v>
                </c:pt>
                <c:pt idx="5">
                  <c:v>77.870769230769241</c:v>
                </c:pt>
                <c:pt idx="6">
                  <c:v>77.870769230769241</c:v>
                </c:pt>
                <c:pt idx="7">
                  <c:v>77.870769230769241</c:v>
                </c:pt>
                <c:pt idx="8">
                  <c:v>77.870769230769241</c:v>
                </c:pt>
                <c:pt idx="9">
                  <c:v>77.870769230769241</c:v>
                </c:pt>
                <c:pt idx="10">
                  <c:v>77.870769230769241</c:v>
                </c:pt>
                <c:pt idx="11">
                  <c:v>77.870769230769241</c:v>
                </c:pt>
                <c:pt idx="12">
                  <c:v>77.870769230769241</c:v>
                </c:pt>
                <c:pt idx="13">
                  <c:v>77.870769230769241</c:v>
                </c:pt>
                <c:pt idx="14">
                  <c:v>77.870769230769241</c:v>
                </c:pt>
                <c:pt idx="15">
                  <c:v>77.870769230769241</c:v>
                </c:pt>
                <c:pt idx="16">
                  <c:v>77.870769230769241</c:v>
                </c:pt>
                <c:pt idx="17">
                  <c:v>77.870769230769241</c:v>
                </c:pt>
                <c:pt idx="18">
                  <c:v>77.870769230769241</c:v>
                </c:pt>
                <c:pt idx="19">
                  <c:v>77.870769230769241</c:v>
                </c:pt>
                <c:pt idx="20">
                  <c:v>77.870769230769241</c:v>
                </c:pt>
                <c:pt idx="21">
                  <c:v>77.870769230769241</c:v>
                </c:pt>
                <c:pt idx="22">
                  <c:v>77.870769230769241</c:v>
                </c:pt>
                <c:pt idx="23">
                  <c:v>77.870769230769241</c:v>
                </c:pt>
                <c:pt idx="24">
                  <c:v>77.870769230769241</c:v>
                </c:pt>
                <c:pt idx="25">
                  <c:v>77.870769230769241</c:v>
                </c:pt>
                <c:pt idx="26">
                  <c:v>77.870769230769241</c:v>
                </c:pt>
                <c:pt idx="27">
                  <c:v>77.870769230769241</c:v>
                </c:pt>
                <c:pt idx="28">
                  <c:v>77.870769230769241</c:v>
                </c:pt>
                <c:pt idx="29">
                  <c:v>77.870769230769241</c:v>
                </c:pt>
                <c:pt idx="30">
                  <c:v>77.870769230769241</c:v>
                </c:pt>
                <c:pt idx="31">
                  <c:v>77.870769230769241</c:v>
                </c:pt>
                <c:pt idx="32">
                  <c:v>77.870769230769241</c:v>
                </c:pt>
                <c:pt idx="33">
                  <c:v>77.870769230769241</c:v>
                </c:pt>
                <c:pt idx="34">
                  <c:v>77.870769230769241</c:v>
                </c:pt>
                <c:pt idx="35">
                  <c:v>77.870769230769241</c:v>
                </c:pt>
                <c:pt idx="36">
                  <c:v>77.870769230769241</c:v>
                </c:pt>
                <c:pt idx="37">
                  <c:v>77.870769230769241</c:v>
                </c:pt>
                <c:pt idx="38">
                  <c:v>77.870769230769241</c:v>
                </c:pt>
                <c:pt idx="39">
                  <c:v>77.870769230769241</c:v>
                </c:pt>
                <c:pt idx="40">
                  <c:v>77.870769230769241</c:v>
                </c:pt>
                <c:pt idx="41">
                  <c:v>77.870769230769241</c:v>
                </c:pt>
                <c:pt idx="42">
                  <c:v>77.870769230769241</c:v>
                </c:pt>
                <c:pt idx="43">
                  <c:v>77.870769230769241</c:v>
                </c:pt>
                <c:pt idx="44">
                  <c:v>77.870769230769241</c:v>
                </c:pt>
                <c:pt idx="45">
                  <c:v>77.870769230769241</c:v>
                </c:pt>
                <c:pt idx="46">
                  <c:v>77.870769230769241</c:v>
                </c:pt>
                <c:pt idx="47">
                  <c:v>77.870769230769241</c:v>
                </c:pt>
                <c:pt idx="48">
                  <c:v>77.870769230769241</c:v>
                </c:pt>
                <c:pt idx="49">
                  <c:v>77.870769230769241</c:v>
                </c:pt>
                <c:pt idx="50">
                  <c:v>77.870769230769241</c:v>
                </c:pt>
                <c:pt idx="51">
                  <c:v>77.870769230769241</c:v>
                </c:pt>
                <c:pt idx="52">
                  <c:v>77.870769230769241</c:v>
                </c:pt>
                <c:pt idx="53">
                  <c:v>77.870769230769241</c:v>
                </c:pt>
                <c:pt idx="54">
                  <c:v>77.870769230769241</c:v>
                </c:pt>
                <c:pt idx="55">
                  <c:v>77.870769230769241</c:v>
                </c:pt>
                <c:pt idx="56">
                  <c:v>77.870769230769241</c:v>
                </c:pt>
                <c:pt idx="57">
                  <c:v>77.870769230769241</c:v>
                </c:pt>
                <c:pt idx="58">
                  <c:v>77.870769230769241</c:v>
                </c:pt>
                <c:pt idx="59">
                  <c:v>77.870769230769241</c:v>
                </c:pt>
                <c:pt idx="60">
                  <c:v>77.870769230769241</c:v>
                </c:pt>
                <c:pt idx="61">
                  <c:v>77.870769230769241</c:v>
                </c:pt>
                <c:pt idx="62">
                  <c:v>77.870769230769241</c:v>
                </c:pt>
                <c:pt idx="63">
                  <c:v>77.870769230769241</c:v>
                </c:pt>
                <c:pt idx="64">
                  <c:v>77.870769230769241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9-4513-AF50-A719D8587B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510720"/>
        <c:axId val="182512256"/>
      </c:lineChart>
      <c:catAx>
        <c:axId val="182510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12256"/>
        <c:crosses val="max"/>
        <c:auto val="1"/>
        <c:lblAlgn val="ctr"/>
        <c:lblOffset val="100"/>
        <c:noMultiLvlLbl val="0"/>
      </c:catAx>
      <c:valAx>
        <c:axId val="182512256"/>
        <c:scaling>
          <c:orientation val="maxMin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DUREZZA [ShA]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04 SINTAL 70 BIANCO G'!$A$2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G'!$B$2:$BN$2</c:f>
              <c:numCache>
                <c:formatCode>0.0</c:formatCode>
                <c:ptCount val="65"/>
                <c:pt idx="0">
                  <c:v>70.276923076923083</c:v>
                </c:pt>
                <c:pt idx="1">
                  <c:v>70.276923076923083</c:v>
                </c:pt>
                <c:pt idx="2">
                  <c:v>70.276923076923083</c:v>
                </c:pt>
                <c:pt idx="3">
                  <c:v>70.276923076923083</c:v>
                </c:pt>
                <c:pt idx="4">
                  <c:v>70.276923076923083</c:v>
                </c:pt>
                <c:pt idx="5">
                  <c:v>70.276923076923083</c:v>
                </c:pt>
                <c:pt idx="6">
                  <c:v>70.276923076923083</c:v>
                </c:pt>
                <c:pt idx="7">
                  <c:v>70.276923076923083</c:v>
                </c:pt>
                <c:pt idx="8">
                  <c:v>70.276923076923083</c:v>
                </c:pt>
                <c:pt idx="9">
                  <c:v>70.276923076923083</c:v>
                </c:pt>
                <c:pt idx="10">
                  <c:v>70.276923076923083</c:v>
                </c:pt>
                <c:pt idx="11">
                  <c:v>70.276923076923083</c:v>
                </c:pt>
                <c:pt idx="12">
                  <c:v>70.276923076923083</c:v>
                </c:pt>
                <c:pt idx="13">
                  <c:v>70.276923076923083</c:v>
                </c:pt>
                <c:pt idx="14">
                  <c:v>70.276923076923083</c:v>
                </c:pt>
                <c:pt idx="15">
                  <c:v>70.276923076923083</c:v>
                </c:pt>
                <c:pt idx="16">
                  <c:v>70.276923076923083</c:v>
                </c:pt>
                <c:pt idx="17">
                  <c:v>70.276923076923083</c:v>
                </c:pt>
                <c:pt idx="18">
                  <c:v>70.276923076923083</c:v>
                </c:pt>
                <c:pt idx="19">
                  <c:v>70.276923076923083</c:v>
                </c:pt>
                <c:pt idx="20">
                  <c:v>70.276923076923083</c:v>
                </c:pt>
                <c:pt idx="21">
                  <c:v>70.276923076923083</c:v>
                </c:pt>
                <c:pt idx="22">
                  <c:v>70.276923076923083</c:v>
                </c:pt>
                <c:pt idx="23">
                  <c:v>70.276923076923083</c:v>
                </c:pt>
                <c:pt idx="24">
                  <c:v>70.276923076923083</c:v>
                </c:pt>
                <c:pt idx="25">
                  <c:v>70.276923076923083</c:v>
                </c:pt>
                <c:pt idx="26">
                  <c:v>70.276923076923083</c:v>
                </c:pt>
                <c:pt idx="27">
                  <c:v>70.276923076923083</c:v>
                </c:pt>
                <c:pt idx="28">
                  <c:v>70.276923076923083</c:v>
                </c:pt>
                <c:pt idx="29">
                  <c:v>70.276923076923083</c:v>
                </c:pt>
                <c:pt idx="30">
                  <c:v>70.276923076923083</c:v>
                </c:pt>
                <c:pt idx="31">
                  <c:v>70.276923076923083</c:v>
                </c:pt>
                <c:pt idx="32">
                  <c:v>70.276923076923083</c:v>
                </c:pt>
                <c:pt idx="33">
                  <c:v>70.276923076923083</c:v>
                </c:pt>
                <c:pt idx="34">
                  <c:v>70.276923076923083</c:v>
                </c:pt>
                <c:pt idx="35">
                  <c:v>70.276923076923083</c:v>
                </c:pt>
                <c:pt idx="36">
                  <c:v>70.276923076923083</c:v>
                </c:pt>
                <c:pt idx="37">
                  <c:v>70.276923076923083</c:v>
                </c:pt>
                <c:pt idx="38">
                  <c:v>70.276923076923083</c:v>
                </c:pt>
                <c:pt idx="39">
                  <c:v>70.276923076923083</c:v>
                </c:pt>
                <c:pt idx="40">
                  <c:v>70.276923076923083</c:v>
                </c:pt>
                <c:pt idx="41">
                  <c:v>70.276923076923083</c:v>
                </c:pt>
                <c:pt idx="42">
                  <c:v>70.276923076923083</c:v>
                </c:pt>
                <c:pt idx="43">
                  <c:v>70.276923076923083</c:v>
                </c:pt>
                <c:pt idx="44">
                  <c:v>70.276923076923083</c:v>
                </c:pt>
                <c:pt idx="45">
                  <c:v>70.276923076923083</c:v>
                </c:pt>
                <c:pt idx="46">
                  <c:v>70.276923076923083</c:v>
                </c:pt>
                <c:pt idx="47">
                  <c:v>70.276923076923083</c:v>
                </c:pt>
                <c:pt idx="48">
                  <c:v>70.276923076923083</c:v>
                </c:pt>
                <c:pt idx="49">
                  <c:v>70.276923076923083</c:v>
                </c:pt>
                <c:pt idx="50">
                  <c:v>70.276923076923083</c:v>
                </c:pt>
                <c:pt idx="51">
                  <c:v>70.276923076923083</c:v>
                </c:pt>
                <c:pt idx="52">
                  <c:v>70.276923076923083</c:v>
                </c:pt>
                <c:pt idx="53">
                  <c:v>70.276923076923083</c:v>
                </c:pt>
                <c:pt idx="54">
                  <c:v>70.276923076923083</c:v>
                </c:pt>
                <c:pt idx="55">
                  <c:v>70.276923076923083</c:v>
                </c:pt>
                <c:pt idx="56">
                  <c:v>70.276923076923083</c:v>
                </c:pt>
                <c:pt idx="57">
                  <c:v>70.276923076923083</c:v>
                </c:pt>
                <c:pt idx="58">
                  <c:v>70.276923076923083</c:v>
                </c:pt>
                <c:pt idx="59">
                  <c:v>70.276923076923083</c:v>
                </c:pt>
                <c:pt idx="60">
                  <c:v>70.276923076923083</c:v>
                </c:pt>
                <c:pt idx="61">
                  <c:v>70.276923076923083</c:v>
                </c:pt>
                <c:pt idx="62">
                  <c:v>70.276923076923083</c:v>
                </c:pt>
                <c:pt idx="63">
                  <c:v>70.276923076923083</c:v>
                </c:pt>
                <c:pt idx="64">
                  <c:v>70.276923076923083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2-4DFA-9E4F-167AC21FA813}"/>
            </c:ext>
          </c:extLst>
        </c:ser>
        <c:ser>
          <c:idx val="1"/>
          <c:order val="1"/>
          <c:tx>
            <c:strRef>
              <c:f>'SISTEMA 04 SINTAL 70 BIANCO G'!$A$3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G'!$B$3:$BN$3</c:f>
              <c:numCache>
                <c:formatCode>0.0</c:formatCode>
                <c:ptCount val="65"/>
                <c:pt idx="0">
                  <c:v>68.276923076923083</c:v>
                </c:pt>
                <c:pt idx="1">
                  <c:v>68.276923076923083</c:v>
                </c:pt>
                <c:pt idx="2">
                  <c:v>68.276923076923083</c:v>
                </c:pt>
                <c:pt idx="3">
                  <c:v>68.276923076923083</c:v>
                </c:pt>
                <c:pt idx="4">
                  <c:v>68.276923076923083</c:v>
                </c:pt>
                <c:pt idx="5">
                  <c:v>68.276923076923083</c:v>
                </c:pt>
                <c:pt idx="6">
                  <c:v>68.276923076923083</c:v>
                </c:pt>
                <c:pt idx="7">
                  <c:v>68.276923076923083</c:v>
                </c:pt>
                <c:pt idx="8">
                  <c:v>68.276923076923083</c:v>
                </c:pt>
                <c:pt idx="9">
                  <c:v>68.276923076923083</c:v>
                </c:pt>
                <c:pt idx="10">
                  <c:v>68.276923076923083</c:v>
                </c:pt>
                <c:pt idx="11">
                  <c:v>68.276923076923083</c:v>
                </c:pt>
                <c:pt idx="12">
                  <c:v>68.276923076923083</c:v>
                </c:pt>
                <c:pt idx="13">
                  <c:v>68.276923076923083</c:v>
                </c:pt>
                <c:pt idx="14">
                  <c:v>68.276923076923083</c:v>
                </c:pt>
                <c:pt idx="15">
                  <c:v>68.276923076923083</c:v>
                </c:pt>
                <c:pt idx="16">
                  <c:v>68.276923076923083</c:v>
                </c:pt>
                <c:pt idx="17">
                  <c:v>68.276923076923083</c:v>
                </c:pt>
                <c:pt idx="18">
                  <c:v>68.276923076923083</c:v>
                </c:pt>
                <c:pt idx="19">
                  <c:v>68.276923076923083</c:v>
                </c:pt>
                <c:pt idx="20">
                  <c:v>68.276923076923083</c:v>
                </c:pt>
                <c:pt idx="21">
                  <c:v>68.276923076923083</c:v>
                </c:pt>
                <c:pt idx="22">
                  <c:v>68.276923076923083</c:v>
                </c:pt>
                <c:pt idx="23">
                  <c:v>68.276923076923083</c:v>
                </c:pt>
                <c:pt idx="24">
                  <c:v>68.276923076923083</c:v>
                </c:pt>
                <c:pt idx="25">
                  <c:v>68.276923076923083</c:v>
                </c:pt>
                <c:pt idx="26">
                  <c:v>68.276923076923083</c:v>
                </c:pt>
                <c:pt idx="27">
                  <c:v>68.276923076923083</c:v>
                </c:pt>
                <c:pt idx="28">
                  <c:v>68.276923076923083</c:v>
                </c:pt>
                <c:pt idx="29">
                  <c:v>68.276923076923083</c:v>
                </c:pt>
                <c:pt idx="30">
                  <c:v>68.276923076923083</c:v>
                </c:pt>
                <c:pt idx="31">
                  <c:v>68.276923076923083</c:v>
                </c:pt>
                <c:pt idx="32">
                  <c:v>68.276923076923083</c:v>
                </c:pt>
                <c:pt idx="33">
                  <c:v>68.276923076923083</c:v>
                </c:pt>
                <c:pt idx="34">
                  <c:v>68.276923076923083</c:v>
                </c:pt>
                <c:pt idx="35">
                  <c:v>68.276923076923083</c:v>
                </c:pt>
                <c:pt idx="36">
                  <c:v>68.276923076923083</c:v>
                </c:pt>
                <c:pt idx="37">
                  <c:v>68.276923076923083</c:v>
                </c:pt>
                <c:pt idx="38">
                  <c:v>68.276923076923083</c:v>
                </c:pt>
                <c:pt idx="39">
                  <c:v>68.276923076923083</c:v>
                </c:pt>
                <c:pt idx="40">
                  <c:v>68.276923076923083</c:v>
                </c:pt>
                <c:pt idx="41">
                  <c:v>68.276923076923083</c:v>
                </c:pt>
                <c:pt idx="42">
                  <c:v>68.276923076923083</c:v>
                </c:pt>
                <c:pt idx="43">
                  <c:v>68.276923076923083</c:v>
                </c:pt>
                <c:pt idx="44">
                  <c:v>68.276923076923083</c:v>
                </c:pt>
                <c:pt idx="45">
                  <c:v>68.276923076923083</c:v>
                </c:pt>
                <c:pt idx="46">
                  <c:v>68.276923076923083</c:v>
                </c:pt>
                <c:pt idx="47">
                  <c:v>68.276923076923083</c:v>
                </c:pt>
                <c:pt idx="48">
                  <c:v>68.276923076923083</c:v>
                </c:pt>
                <c:pt idx="49">
                  <c:v>68.276923076923083</c:v>
                </c:pt>
                <c:pt idx="50">
                  <c:v>68.276923076923083</c:v>
                </c:pt>
                <c:pt idx="51">
                  <c:v>68.276923076923083</c:v>
                </c:pt>
                <c:pt idx="52">
                  <c:v>68.276923076923083</c:v>
                </c:pt>
                <c:pt idx="53">
                  <c:v>68.276923076923083</c:v>
                </c:pt>
                <c:pt idx="54">
                  <c:v>68.276923076923083</c:v>
                </c:pt>
                <c:pt idx="55">
                  <c:v>68.276923076923083</c:v>
                </c:pt>
                <c:pt idx="56">
                  <c:v>68.276923076923083</c:v>
                </c:pt>
                <c:pt idx="57">
                  <c:v>68.276923076923083</c:v>
                </c:pt>
                <c:pt idx="58">
                  <c:v>68.276923076923083</c:v>
                </c:pt>
                <c:pt idx="59">
                  <c:v>68.276923076923083</c:v>
                </c:pt>
                <c:pt idx="60">
                  <c:v>68.276923076923083</c:v>
                </c:pt>
                <c:pt idx="61">
                  <c:v>68.276923076923083</c:v>
                </c:pt>
                <c:pt idx="62">
                  <c:v>68.276923076923083</c:v>
                </c:pt>
                <c:pt idx="63">
                  <c:v>68.276923076923083</c:v>
                </c:pt>
                <c:pt idx="64">
                  <c:v>68.276923076923083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2-4DFA-9E4F-167AC21FA813}"/>
            </c:ext>
          </c:extLst>
        </c:ser>
        <c:ser>
          <c:idx val="2"/>
          <c:order val="2"/>
          <c:tx>
            <c:strRef>
              <c:f>'SISTEMA 04 SINTAL 70 BIANCO G'!$A$4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G'!$B$4:$BN$4</c:f>
              <c:numCache>
                <c:formatCode>0.0</c:formatCode>
                <c:ptCount val="65"/>
                <c:pt idx="0">
                  <c:v>72.276923076923083</c:v>
                </c:pt>
                <c:pt idx="1">
                  <c:v>72.276923076923083</c:v>
                </c:pt>
                <c:pt idx="2">
                  <c:v>72.276923076923083</c:v>
                </c:pt>
                <c:pt idx="3">
                  <c:v>72.276923076923083</c:v>
                </c:pt>
                <c:pt idx="4">
                  <c:v>72.276923076923083</c:v>
                </c:pt>
                <c:pt idx="5">
                  <c:v>72.276923076923083</c:v>
                </c:pt>
                <c:pt idx="6">
                  <c:v>72.276923076923083</c:v>
                </c:pt>
                <c:pt idx="7">
                  <c:v>72.276923076923083</c:v>
                </c:pt>
                <c:pt idx="8">
                  <c:v>72.276923076923083</c:v>
                </c:pt>
                <c:pt idx="9">
                  <c:v>72.276923076923083</c:v>
                </c:pt>
                <c:pt idx="10">
                  <c:v>72.276923076923083</c:v>
                </c:pt>
                <c:pt idx="11">
                  <c:v>72.276923076923083</c:v>
                </c:pt>
                <c:pt idx="12">
                  <c:v>72.276923076923083</c:v>
                </c:pt>
                <c:pt idx="13">
                  <c:v>72.276923076923083</c:v>
                </c:pt>
                <c:pt idx="14">
                  <c:v>72.276923076923083</c:v>
                </c:pt>
                <c:pt idx="15">
                  <c:v>72.276923076923083</c:v>
                </c:pt>
                <c:pt idx="16">
                  <c:v>72.276923076923083</c:v>
                </c:pt>
                <c:pt idx="17">
                  <c:v>72.276923076923083</c:v>
                </c:pt>
                <c:pt idx="18">
                  <c:v>72.276923076923083</c:v>
                </c:pt>
                <c:pt idx="19">
                  <c:v>72.276923076923083</c:v>
                </c:pt>
                <c:pt idx="20">
                  <c:v>72.276923076923083</c:v>
                </c:pt>
                <c:pt idx="21">
                  <c:v>72.276923076923083</c:v>
                </c:pt>
                <c:pt idx="22">
                  <c:v>72.276923076923083</c:v>
                </c:pt>
                <c:pt idx="23">
                  <c:v>72.276923076923083</c:v>
                </c:pt>
                <c:pt idx="24">
                  <c:v>72.276923076923083</c:v>
                </c:pt>
                <c:pt idx="25">
                  <c:v>72.276923076923083</c:v>
                </c:pt>
                <c:pt idx="26">
                  <c:v>72.276923076923083</c:v>
                </c:pt>
                <c:pt idx="27">
                  <c:v>72.276923076923083</c:v>
                </c:pt>
                <c:pt idx="28">
                  <c:v>72.276923076923083</c:v>
                </c:pt>
                <c:pt idx="29">
                  <c:v>72.276923076923083</c:v>
                </c:pt>
                <c:pt idx="30">
                  <c:v>72.276923076923083</c:v>
                </c:pt>
                <c:pt idx="31">
                  <c:v>72.276923076923083</c:v>
                </c:pt>
                <c:pt idx="32">
                  <c:v>72.276923076923083</c:v>
                </c:pt>
                <c:pt idx="33">
                  <c:v>72.276923076923083</c:v>
                </c:pt>
                <c:pt idx="34">
                  <c:v>72.276923076923083</c:v>
                </c:pt>
                <c:pt idx="35">
                  <c:v>72.276923076923083</c:v>
                </c:pt>
                <c:pt idx="36">
                  <c:v>72.276923076923083</c:v>
                </c:pt>
                <c:pt idx="37">
                  <c:v>72.276923076923083</c:v>
                </c:pt>
                <c:pt idx="38">
                  <c:v>72.276923076923083</c:v>
                </c:pt>
                <c:pt idx="39">
                  <c:v>72.276923076923083</c:v>
                </c:pt>
                <c:pt idx="40">
                  <c:v>72.276923076923083</c:v>
                </c:pt>
                <c:pt idx="41">
                  <c:v>72.276923076923083</c:v>
                </c:pt>
                <c:pt idx="42">
                  <c:v>72.276923076923083</c:v>
                </c:pt>
                <c:pt idx="43">
                  <c:v>72.276923076923083</c:v>
                </c:pt>
                <c:pt idx="44">
                  <c:v>72.276923076923083</c:v>
                </c:pt>
                <c:pt idx="45">
                  <c:v>72.276923076923083</c:v>
                </c:pt>
                <c:pt idx="46">
                  <c:v>72.276923076923083</c:v>
                </c:pt>
                <c:pt idx="47">
                  <c:v>72.276923076923083</c:v>
                </c:pt>
                <c:pt idx="48">
                  <c:v>72.276923076923083</c:v>
                </c:pt>
                <c:pt idx="49">
                  <c:v>72.276923076923083</c:v>
                </c:pt>
                <c:pt idx="50">
                  <c:v>72.276923076923083</c:v>
                </c:pt>
                <c:pt idx="51">
                  <c:v>72.276923076923083</c:v>
                </c:pt>
                <c:pt idx="52">
                  <c:v>72.276923076923083</c:v>
                </c:pt>
                <c:pt idx="53">
                  <c:v>72.276923076923083</c:v>
                </c:pt>
                <c:pt idx="54">
                  <c:v>72.276923076923083</c:v>
                </c:pt>
                <c:pt idx="55">
                  <c:v>72.276923076923083</c:v>
                </c:pt>
                <c:pt idx="56">
                  <c:v>72.276923076923083</c:v>
                </c:pt>
                <c:pt idx="57">
                  <c:v>72.276923076923083</c:v>
                </c:pt>
                <c:pt idx="58">
                  <c:v>72.276923076923083</c:v>
                </c:pt>
                <c:pt idx="59">
                  <c:v>72.276923076923083</c:v>
                </c:pt>
                <c:pt idx="60">
                  <c:v>72.276923076923083</c:v>
                </c:pt>
                <c:pt idx="61">
                  <c:v>72.276923076923083</c:v>
                </c:pt>
                <c:pt idx="62">
                  <c:v>72.276923076923083</c:v>
                </c:pt>
                <c:pt idx="63">
                  <c:v>72.276923076923083</c:v>
                </c:pt>
                <c:pt idx="64">
                  <c:v>72.276923076923083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32-4DFA-9E4F-167AC21FA813}"/>
            </c:ext>
          </c:extLst>
        </c:ser>
        <c:ser>
          <c:idx val="3"/>
          <c:order val="3"/>
          <c:tx>
            <c:strRef>
              <c:f>'SISTEMA 04 SINTAL 70 BIANCO G'!$A$5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G'!$B$1:$BN$1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G'!$B$5:$BN$5</c:f>
              <c:numCache>
                <c:formatCode>General</c:formatCode>
                <c:ptCount val="65"/>
                <c:pt idx="0">
                  <c:v>70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68</c:v>
                </c:pt>
                <c:pt idx="5">
                  <c:v>67</c:v>
                </c:pt>
                <c:pt idx="6">
                  <c:v>69</c:v>
                </c:pt>
                <c:pt idx="7">
                  <c:v>76</c:v>
                </c:pt>
                <c:pt idx="8">
                  <c:v>72</c:v>
                </c:pt>
                <c:pt idx="9">
                  <c:v>73</c:v>
                </c:pt>
                <c:pt idx="10">
                  <c:v>68</c:v>
                </c:pt>
                <c:pt idx="11">
                  <c:v>72</c:v>
                </c:pt>
                <c:pt idx="12">
                  <c:v>72</c:v>
                </c:pt>
                <c:pt idx="13">
                  <c:v>68</c:v>
                </c:pt>
                <c:pt idx="14">
                  <c:v>72</c:v>
                </c:pt>
                <c:pt idx="15">
                  <c:v>72</c:v>
                </c:pt>
                <c:pt idx="16">
                  <c:v>71</c:v>
                </c:pt>
                <c:pt idx="17">
                  <c:v>68</c:v>
                </c:pt>
                <c:pt idx="18">
                  <c:v>73</c:v>
                </c:pt>
                <c:pt idx="19">
                  <c:v>75</c:v>
                </c:pt>
                <c:pt idx="20">
                  <c:v>72</c:v>
                </c:pt>
                <c:pt idx="21">
                  <c:v>72</c:v>
                </c:pt>
                <c:pt idx="22">
                  <c:v>68</c:v>
                </c:pt>
                <c:pt idx="23">
                  <c:v>68</c:v>
                </c:pt>
                <c:pt idx="24">
                  <c:v>68</c:v>
                </c:pt>
                <c:pt idx="25">
                  <c:v>65</c:v>
                </c:pt>
                <c:pt idx="26">
                  <c:v>65</c:v>
                </c:pt>
                <c:pt idx="27">
                  <c:v>70</c:v>
                </c:pt>
                <c:pt idx="28" formatCode="0">
                  <c:v>68</c:v>
                </c:pt>
                <c:pt idx="29" formatCode="0">
                  <c:v>69</c:v>
                </c:pt>
                <c:pt idx="30" formatCode="0">
                  <c:v>70</c:v>
                </c:pt>
                <c:pt idx="31" formatCode="0">
                  <c:v>69</c:v>
                </c:pt>
                <c:pt idx="32" formatCode="0">
                  <c:v>69</c:v>
                </c:pt>
                <c:pt idx="33" formatCode="0">
                  <c:v>69</c:v>
                </c:pt>
                <c:pt idx="34" formatCode="0">
                  <c:v>68</c:v>
                </c:pt>
                <c:pt idx="35" formatCode="0">
                  <c:v>70</c:v>
                </c:pt>
                <c:pt idx="36" formatCode="0">
                  <c:v>69</c:v>
                </c:pt>
                <c:pt idx="37" formatCode="0">
                  <c:v>69</c:v>
                </c:pt>
                <c:pt idx="38" formatCode="0">
                  <c:v>68</c:v>
                </c:pt>
                <c:pt idx="39" formatCode="0">
                  <c:v>69</c:v>
                </c:pt>
                <c:pt idx="40" formatCode="0">
                  <c:v>68</c:v>
                </c:pt>
                <c:pt idx="41" formatCode="0">
                  <c:v>68</c:v>
                </c:pt>
                <c:pt idx="42" formatCode="0">
                  <c:v>69</c:v>
                </c:pt>
                <c:pt idx="43" formatCode="0">
                  <c:v>68</c:v>
                </c:pt>
                <c:pt idx="44" formatCode="0">
                  <c:v>68</c:v>
                </c:pt>
                <c:pt idx="45" formatCode="0">
                  <c:v>69</c:v>
                </c:pt>
                <c:pt idx="46" formatCode="0">
                  <c:v>69</c:v>
                </c:pt>
                <c:pt idx="47" formatCode="0">
                  <c:v>68</c:v>
                </c:pt>
                <c:pt idx="48" formatCode="0">
                  <c:v>70</c:v>
                </c:pt>
                <c:pt idx="49" formatCode="0">
                  <c:v>71</c:v>
                </c:pt>
                <c:pt idx="50" formatCode="0">
                  <c:v>70</c:v>
                </c:pt>
                <c:pt idx="51">
                  <c:v>72</c:v>
                </c:pt>
                <c:pt idx="52">
                  <c:v>75</c:v>
                </c:pt>
                <c:pt idx="53">
                  <c:v>74</c:v>
                </c:pt>
                <c:pt idx="54">
                  <c:v>75</c:v>
                </c:pt>
                <c:pt idx="55">
                  <c:v>70</c:v>
                </c:pt>
                <c:pt idx="56">
                  <c:v>71</c:v>
                </c:pt>
                <c:pt idx="57">
                  <c:v>72</c:v>
                </c:pt>
                <c:pt idx="58">
                  <c:v>75</c:v>
                </c:pt>
                <c:pt idx="59">
                  <c:v>71</c:v>
                </c:pt>
                <c:pt idx="60">
                  <c:v>76</c:v>
                </c:pt>
                <c:pt idx="61">
                  <c:v>71</c:v>
                </c:pt>
                <c:pt idx="62">
                  <c:v>74</c:v>
                </c:pt>
                <c:pt idx="63">
                  <c:v>72</c:v>
                </c:pt>
                <c:pt idx="64">
                  <c:v>71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0932-4DFA-9E4F-167AC21FA8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544256"/>
        <c:axId val="182545792"/>
      </c:lineChart>
      <c:catAx>
        <c:axId val="1825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45792"/>
        <c:crosses val="autoZero"/>
        <c:auto val="1"/>
        <c:lblAlgn val="ctr"/>
        <c:lblOffset val="100"/>
        <c:noMultiLvlLbl val="0"/>
      </c:catAx>
      <c:valAx>
        <c:axId val="182545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544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CARICO</a:t>
            </a:r>
            <a:r>
              <a:rPr lang="it-IT" baseline="0"/>
              <a:t> DI ROTTURA [MPa]</a:t>
            </a:r>
            <a:endParaRPr lang="it-IT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04 SINTAL 70 BIANCO G'!$A$7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G'!$B$7:$BN$7</c:f>
              <c:numCache>
                <c:formatCode>0.0</c:formatCode>
                <c:ptCount val="65"/>
                <c:pt idx="0">
                  <c:v>7.7370769230769234</c:v>
                </c:pt>
                <c:pt idx="1">
                  <c:v>7.7370769230769234</c:v>
                </c:pt>
                <c:pt idx="2">
                  <c:v>7.7370769230769234</c:v>
                </c:pt>
                <c:pt idx="3">
                  <c:v>7.7370769230769234</c:v>
                </c:pt>
                <c:pt idx="4">
                  <c:v>7.7370769230769234</c:v>
                </c:pt>
                <c:pt idx="5">
                  <c:v>7.7370769230769234</c:v>
                </c:pt>
                <c:pt idx="6">
                  <c:v>7.7370769230769234</c:v>
                </c:pt>
                <c:pt idx="7">
                  <c:v>7.7370769230769234</c:v>
                </c:pt>
                <c:pt idx="8">
                  <c:v>7.7370769230769234</c:v>
                </c:pt>
                <c:pt idx="9">
                  <c:v>7.7370769230769234</c:v>
                </c:pt>
                <c:pt idx="10">
                  <c:v>7.7370769230769234</c:v>
                </c:pt>
                <c:pt idx="11">
                  <c:v>7.7370769230769234</c:v>
                </c:pt>
                <c:pt idx="12">
                  <c:v>7.7370769230769234</c:v>
                </c:pt>
                <c:pt idx="13">
                  <c:v>7.7370769230769234</c:v>
                </c:pt>
                <c:pt idx="14">
                  <c:v>7.7370769230769234</c:v>
                </c:pt>
                <c:pt idx="15">
                  <c:v>7.7370769230769234</c:v>
                </c:pt>
                <c:pt idx="16">
                  <c:v>7.7370769230769234</c:v>
                </c:pt>
                <c:pt idx="17">
                  <c:v>7.7370769230769234</c:v>
                </c:pt>
                <c:pt idx="18">
                  <c:v>7.7370769230769234</c:v>
                </c:pt>
                <c:pt idx="19">
                  <c:v>7.7370769230769234</c:v>
                </c:pt>
                <c:pt idx="20">
                  <c:v>7.7370769230769234</c:v>
                </c:pt>
                <c:pt idx="21">
                  <c:v>7.7370769230769234</c:v>
                </c:pt>
                <c:pt idx="22">
                  <c:v>7.7370769230769234</c:v>
                </c:pt>
                <c:pt idx="23">
                  <c:v>7.7370769230769234</c:v>
                </c:pt>
                <c:pt idx="24">
                  <c:v>7.7370769230769234</c:v>
                </c:pt>
                <c:pt idx="25">
                  <c:v>7.7370769230769234</c:v>
                </c:pt>
                <c:pt idx="26">
                  <c:v>7.7370769230769234</c:v>
                </c:pt>
                <c:pt idx="27">
                  <c:v>7.7370769230769234</c:v>
                </c:pt>
                <c:pt idx="28">
                  <c:v>7.7370769230769234</c:v>
                </c:pt>
                <c:pt idx="29">
                  <c:v>7.7370769230769234</c:v>
                </c:pt>
                <c:pt idx="30">
                  <c:v>7.7370769230769234</c:v>
                </c:pt>
                <c:pt idx="31">
                  <c:v>7.7370769230769234</c:v>
                </c:pt>
                <c:pt idx="32">
                  <c:v>7.7370769230769234</c:v>
                </c:pt>
                <c:pt idx="33">
                  <c:v>7.7370769230769234</c:v>
                </c:pt>
                <c:pt idx="34">
                  <c:v>7.7370769230769234</c:v>
                </c:pt>
                <c:pt idx="35">
                  <c:v>7.7370769230769234</c:v>
                </c:pt>
                <c:pt idx="36">
                  <c:v>7.7370769230769234</c:v>
                </c:pt>
                <c:pt idx="37">
                  <c:v>7.7370769230769234</c:v>
                </c:pt>
                <c:pt idx="38">
                  <c:v>7.7370769230769234</c:v>
                </c:pt>
                <c:pt idx="39">
                  <c:v>7.7370769230769234</c:v>
                </c:pt>
                <c:pt idx="40">
                  <c:v>7.7370769230769234</c:v>
                </c:pt>
                <c:pt idx="41">
                  <c:v>7.7370769230769234</c:v>
                </c:pt>
                <c:pt idx="42">
                  <c:v>7.7370769230769234</c:v>
                </c:pt>
                <c:pt idx="43">
                  <c:v>7.7370769230769234</c:v>
                </c:pt>
                <c:pt idx="44">
                  <c:v>7.7370769230769234</c:v>
                </c:pt>
                <c:pt idx="45">
                  <c:v>7.7370769230769234</c:v>
                </c:pt>
                <c:pt idx="46">
                  <c:v>7.7370769230769234</c:v>
                </c:pt>
                <c:pt idx="47">
                  <c:v>7.7370769230769234</c:v>
                </c:pt>
                <c:pt idx="48">
                  <c:v>7.7370769230769234</c:v>
                </c:pt>
                <c:pt idx="49">
                  <c:v>7.7370769230769234</c:v>
                </c:pt>
                <c:pt idx="50">
                  <c:v>7.7370769230769234</c:v>
                </c:pt>
                <c:pt idx="51">
                  <c:v>7.7370769230769234</c:v>
                </c:pt>
                <c:pt idx="52">
                  <c:v>7.7370769230769234</c:v>
                </c:pt>
                <c:pt idx="53">
                  <c:v>7.7370769230769234</c:v>
                </c:pt>
                <c:pt idx="54">
                  <c:v>7.7370769230769234</c:v>
                </c:pt>
                <c:pt idx="55">
                  <c:v>7.7370769230769234</c:v>
                </c:pt>
                <c:pt idx="56">
                  <c:v>7.7370769230769234</c:v>
                </c:pt>
                <c:pt idx="57">
                  <c:v>7.7370769230769234</c:v>
                </c:pt>
                <c:pt idx="58">
                  <c:v>7.7370769230769234</c:v>
                </c:pt>
                <c:pt idx="59">
                  <c:v>7.7370769230769234</c:v>
                </c:pt>
                <c:pt idx="60">
                  <c:v>7.7370769230769234</c:v>
                </c:pt>
                <c:pt idx="61">
                  <c:v>7.7370769230769234</c:v>
                </c:pt>
                <c:pt idx="62">
                  <c:v>7.7370769230769234</c:v>
                </c:pt>
                <c:pt idx="63">
                  <c:v>7.7370769230769234</c:v>
                </c:pt>
                <c:pt idx="64">
                  <c:v>7.7370769230769234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97-479C-99D3-3F4E302DBEE4}"/>
            </c:ext>
          </c:extLst>
        </c:ser>
        <c:ser>
          <c:idx val="1"/>
          <c:order val="1"/>
          <c:tx>
            <c:strRef>
              <c:f>'SISTEMA 04 SINTAL 70 BIANCO G'!$A$8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G'!$B$8:$BN$8</c:f>
              <c:numCache>
                <c:formatCode>0.00</c:formatCode>
                <c:ptCount val="65"/>
                <c:pt idx="0">
                  <c:v>6.9633692307692305</c:v>
                </c:pt>
                <c:pt idx="1">
                  <c:v>6.9633692307692305</c:v>
                </c:pt>
                <c:pt idx="2">
                  <c:v>6.9633692307692305</c:v>
                </c:pt>
                <c:pt idx="3">
                  <c:v>6.9633692307692305</c:v>
                </c:pt>
                <c:pt idx="4">
                  <c:v>6.9633692307692305</c:v>
                </c:pt>
                <c:pt idx="5">
                  <c:v>6.9633692307692305</c:v>
                </c:pt>
                <c:pt idx="6">
                  <c:v>6.9633692307692305</c:v>
                </c:pt>
                <c:pt idx="7">
                  <c:v>6.9633692307692305</c:v>
                </c:pt>
                <c:pt idx="8">
                  <c:v>6.9633692307692305</c:v>
                </c:pt>
                <c:pt idx="9">
                  <c:v>6.9633692307692305</c:v>
                </c:pt>
                <c:pt idx="10">
                  <c:v>6.9633692307692305</c:v>
                </c:pt>
                <c:pt idx="11">
                  <c:v>6.9633692307692305</c:v>
                </c:pt>
                <c:pt idx="12">
                  <c:v>6.9633692307692305</c:v>
                </c:pt>
                <c:pt idx="13">
                  <c:v>6.9633692307692305</c:v>
                </c:pt>
                <c:pt idx="14">
                  <c:v>6.9633692307692305</c:v>
                </c:pt>
                <c:pt idx="15">
                  <c:v>6.9633692307692305</c:v>
                </c:pt>
                <c:pt idx="16">
                  <c:v>6.9633692307692305</c:v>
                </c:pt>
                <c:pt idx="17">
                  <c:v>6.9633692307692305</c:v>
                </c:pt>
                <c:pt idx="18">
                  <c:v>6.9633692307692305</c:v>
                </c:pt>
                <c:pt idx="19">
                  <c:v>6.9633692307692305</c:v>
                </c:pt>
                <c:pt idx="20">
                  <c:v>6.9633692307692305</c:v>
                </c:pt>
                <c:pt idx="21">
                  <c:v>6.9633692307692305</c:v>
                </c:pt>
                <c:pt idx="22">
                  <c:v>6.9633692307692305</c:v>
                </c:pt>
                <c:pt idx="23">
                  <c:v>6.9633692307692305</c:v>
                </c:pt>
                <c:pt idx="24">
                  <c:v>6.9633692307692305</c:v>
                </c:pt>
                <c:pt idx="25">
                  <c:v>6.9633692307692305</c:v>
                </c:pt>
                <c:pt idx="26">
                  <c:v>6.9633692307692305</c:v>
                </c:pt>
                <c:pt idx="27">
                  <c:v>6.9633692307692305</c:v>
                </c:pt>
                <c:pt idx="28">
                  <c:v>6.9633692307692305</c:v>
                </c:pt>
                <c:pt idx="29">
                  <c:v>6.9633692307692305</c:v>
                </c:pt>
                <c:pt idx="30">
                  <c:v>6.9633692307692305</c:v>
                </c:pt>
                <c:pt idx="31">
                  <c:v>6.9633692307692305</c:v>
                </c:pt>
                <c:pt idx="32">
                  <c:v>6.9633692307692305</c:v>
                </c:pt>
                <c:pt idx="33">
                  <c:v>6.9633692307692305</c:v>
                </c:pt>
                <c:pt idx="34">
                  <c:v>6.9633692307692305</c:v>
                </c:pt>
                <c:pt idx="35">
                  <c:v>6.9633692307692305</c:v>
                </c:pt>
                <c:pt idx="36">
                  <c:v>6.9633692307692305</c:v>
                </c:pt>
                <c:pt idx="37">
                  <c:v>6.9633692307692305</c:v>
                </c:pt>
                <c:pt idx="38">
                  <c:v>6.9633692307692305</c:v>
                </c:pt>
                <c:pt idx="39">
                  <c:v>6.9633692307692305</c:v>
                </c:pt>
                <c:pt idx="40">
                  <c:v>6.9633692307692305</c:v>
                </c:pt>
                <c:pt idx="41">
                  <c:v>6.9633692307692305</c:v>
                </c:pt>
                <c:pt idx="42">
                  <c:v>6.9633692307692305</c:v>
                </c:pt>
                <c:pt idx="43">
                  <c:v>6.9633692307692305</c:v>
                </c:pt>
                <c:pt idx="44">
                  <c:v>6.9633692307692305</c:v>
                </c:pt>
                <c:pt idx="45">
                  <c:v>6.9633692307692305</c:v>
                </c:pt>
                <c:pt idx="46">
                  <c:v>6.9633692307692305</c:v>
                </c:pt>
                <c:pt idx="47">
                  <c:v>6.9633692307692305</c:v>
                </c:pt>
                <c:pt idx="48">
                  <c:v>6.9633692307692305</c:v>
                </c:pt>
                <c:pt idx="49">
                  <c:v>6.9633692307692305</c:v>
                </c:pt>
                <c:pt idx="50">
                  <c:v>6.9633692307692305</c:v>
                </c:pt>
                <c:pt idx="51">
                  <c:v>6.9633692307692305</c:v>
                </c:pt>
                <c:pt idx="52">
                  <c:v>6.9633692307692305</c:v>
                </c:pt>
                <c:pt idx="53">
                  <c:v>6.9633692307692305</c:v>
                </c:pt>
                <c:pt idx="54">
                  <c:v>6.9633692307692305</c:v>
                </c:pt>
                <c:pt idx="55">
                  <c:v>6.9633692307692305</c:v>
                </c:pt>
                <c:pt idx="56">
                  <c:v>6.9633692307692305</c:v>
                </c:pt>
                <c:pt idx="57">
                  <c:v>6.9633692307692305</c:v>
                </c:pt>
                <c:pt idx="58">
                  <c:v>6.9633692307692305</c:v>
                </c:pt>
                <c:pt idx="59">
                  <c:v>6.9633692307692305</c:v>
                </c:pt>
                <c:pt idx="60">
                  <c:v>6.9633692307692305</c:v>
                </c:pt>
                <c:pt idx="61">
                  <c:v>6.9633692307692305</c:v>
                </c:pt>
                <c:pt idx="62">
                  <c:v>6.9633692307692305</c:v>
                </c:pt>
                <c:pt idx="63">
                  <c:v>6.9633692307692305</c:v>
                </c:pt>
                <c:pt idx="64">
                  <c:v>6.9633692307692305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97-479C-99D3-3F4E302DBEE4}"/>
            </c:ext>
          </c:extLst>
        </c:ser>
        <c:ser>
          <c:idx val="2"/>
          <c:order val="2"/>
          <c:tx>
            <c:strRef>
              <c:f>'SISTEMA 04 SINTAL 70 BIANCO G'!$A$9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G'!$B$9:$BN$9</c:f>
              <c:numCache>
                <c:formatCode>0.00</c:formatCode>
                <c:ptCount val="65"/>
                <c:pt idx="0">
                  <c:v>8.5107846153846154</c:v>
                </c:pt>
                <c:pt idx="1">
                  <c:v>8.5107846153846154</c:v>
                </c:pt>
                <c:pt idx="2">
                  <c:v>8.5107846153846154</c:v>
                </c:pt>
                <c:pt idx="3">
                  <c:v>8.5107846153846154</c:v>
                </c:pt>
                <c:pt idx="4">
                  <c:v>8.5107846153846154</c:v>
                </c:pt>
                <c:pt idx="5">
                  <c:v>8.5107846153846154</c:v>
                </c:pt>
                <c:pt idx="6">
                  <c:v>8.5107846153846154</c:v>
                </c:pt>
                <c:pt idx="7">
                  <c:v>8.5107846153846154</c:v>
                </c:pt>
                <c:pt idx="8">
                  <c:v>8.5107846153846154</c:v>
                </c:pt>
                <c:pt idx="9">
                  <c:v>8.5107846153846154</c:v>
                </c:pt>
                <c:pt idx="10">
                  <c:v>8.5107846153846154</c:v>
                </c:pt>
                <c:pt idx="11">
                  <c:v>8.5107846153846154</c:v>
                </c:pt>
                <c:pt idx="12">
                  <c:v>8.5107846153846154</c:v>
                </c:pt>
                <c:pt idx="13">
                  <c:v>8.5107846153846154</c:v>
                </c:pt>
                <c:pt idx="14">
                  <c:v>8.5107846153846154</c:v>
                </c:pt>
                <c:pt idx="15">
                  <c:v>8.5107846153846154</c:v>
                </c:pt>
                <c:pt idx="16">
                  <c:v>8.5107846153846154</c:v>
                </c:pt>
                <c:pt idx="17">
                  <c:v>8.5107846153846154</c:v>
                </c:pt>
                <c:pt idx="18">
                  <c:v>8.5107846153846154</c:v>
                </c:pt>
                <c:pt idx="19">
                  <c:v>8.5107846153846154</c:v>
                </c:pt>
                <c:pt idx="20">
                  <c:v>8.5107846153846154</c:v>
                </c:pt>
                <c:pt idx="21">
                  <c:v>8.5107846153846154</c:v>
                </c:pt>
                <c:pt idx="22">
                  <c:v>8.5107846153846154</c:v>
                </c:pt>
                <c:pt idx="23">
                  <c:v>8.5107846153846154</c:v>
                </c:pt>
                <c:pt idx="24">
                  <c:v>8.5107846153846154</c:v>
                </c:pt>
                <c:pt idx="25">
                  <c:v>8.5107846153846154</c:v>
                </c:pt>
                <c:pt idx="26">
                  <c:v>8.5107846153846154</c:v>
                </c:pt>
                <c:pt idx="27">
                  <c:v>8.5107846153846154</c:v>
                </c:pt>
                <c:pt idx="28">
                  <c:v>8.5107846153846154</c:v>
                </c:pt>
                <c:pt idx="29">
                  <c:v>8.5107846153846154</c:v>
                </c:pt>
                <c:pt idx="30">
                  <c:v>8.5107846153846154</c:v>
                </c:pt>
                <c:pt idx="31">
                  <c:v>8.5107846153846154</c:v>
                </c:pt>
                <c:pt idx="32">
                  <c:v>8.5107846153846154</c:v>
                </c:pt>
                <c:pt idx="33">
                  <c:v>8.5107846153846154</c:v>
                </c:pt>
                <c:pt idx="34">
                  <c:v>8.5107846153846154</c:v>
                </c:pt>
                <c:pt idx="35">
                  <c:v>8.5107846153846154</c:v>
                </c:pt>
                <c:pt idx="36">
                  <c:v>8.5107846153846154</c:v>
                </c:pt>
                <c:pt idx="37">
                  <c:v>8.5107846153846154</c:v>
                </c:pt>
                <c:pt idx="38">
                  <c:v>8.5107846153846154</c:v>
                </c:pt>
                <c:pt idx="39">
                  <c:v>8.5107846153846154</c:v>
                </c:pt>
                <c:pt idx="40">
                  <c:v>8.5107846153846154</c:v>
                </c:pt>
                <c:pt idx="41">
                  <c:v>8.5107846153846154</c:v>
                </c:pt>
                <c:pt idx="42">
                  <c:v>8.5107846153846154</c:v>
                </c:pt>
                <c:pt idx="43">
                  <c:v>8.5107846153846154</c:v>
                </c:pt>
                <c:pt idx="44">
                  <c:v>8.5107846153846154</c:v>
                </c:pt>
                <c:pt idx="45">
                  <c:v>8.5107846153846154</c:v>
                </c:pt>
                <c:pt idx="46">
                  <c:v>8.5107846153846154</c:v>
                </c:pt>
                <c:pt idx="47">
                  <c:v>8.5107846153846154</c:v>
                </c:pt>
                <c:pt idx="48">
                  <c:v>8.5107846153846154</c:v>
                </c:pt>
                <c:pt idx="49">
                  <c:v>8.5107846153846154</c:v>
                </c:pt>
                <c:pt idx="50">
                  <c:v>8.5107846153846154</c:v>
                </c:pt>
                <c:pt idx="51">
                  <c:v>8.5107846153846154</c:v>
                </c:pt>
                <c:pt idx="52">
                  <c:v>8.5107846153846154</c:v>
                </c:pt>
                <c:pt idx="53">
                  <c:v>8.5107846153846154</c:v>
                </c:pt>
                <c:pt idx="54">
                  <c:v>8.5107846153846154</c:v>
                </c:pt>
                <c:pt idx="55">
                  <c:v>8.5107846153846154</c:v>
                </c:pt>
                <c:pt idx="56">
                  <c:v>8.5107846153846154</c:v>
                </c:pt>
                <c:pt idx="57">
                  <c:v>8.5107846153846154</c:v>
                </c:pt>
                <c:pt idx="58">
                  <c:v>8.5107846153846154</c:v>
                </c:pt>
                <c:pt idx="59">
                  <c:v>8.5107846153846154</c:v>
                </c:pt>
                <c:pt idx="60">
                  <c:v>8.5107846153846154</c:v>
                </c:pt>
                <c:pt idx="61">
                  <c:v>8.5107846153846154</c:v>
                </c:pt>
                <c:pt idx="62">
                  <c:v>8.5107846153846154</c:v>
                </c:pt>
                <c:pt idx="63">
                  <c:v>8.5107846153846154</c:v>
                </c:pt>
                <c:pt idx="64">
                  <c:v>8.5107846153846154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E97-479C-99D3-3F4E302DBEE4}"/>
            </c:ext>
          </c:extLst>
        </c:ser>
        <c:ser>
          <c:idx val="3"/>
          <c:order val="3"/>
          <c:tx>
            <c:strRef>
              <c:f>'SISTEMA 04 SINTAL 70 BIANCO G'!$A$10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G'!$B$10:$BN$10</c:f>
              <c:numCache>
                <c:formatCode>0</c:formatCode>
                <c:ptCount val="65"/>
                <c:pt idx="0">
                  <c:v>7</c:v>
                </c:pt>
                <c:pt idx="1">
                  <c:v>7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6</c:v>
                </c:pt>
                <c:pt idx="6">
                  <c:v>6</c:v>
                </c:pt>
                <c:pt idx="7">
                  <c:v>9</c:v>
                </c:pt>
                <c:pt idx="8">
                  <c:v>8</c:v>
                </c:pt>
                <c:pt idx="9" formatCode="General">
                  <c:v>5</c:v>
                </c:pt>
                <c:pt idx="10">
                  <c:v>7</c:v>
                </c:pt>
                <c:pt idx="11">
                  <c:v>8.43</c:v>
                </c:pt>
                <c:pt idx="12">
                  <c:v>7.23</c:v>
                </c:pt>
                <c:pt idx="13">
                  <c:v>7.89</c:v>
                </c:pt>
                <c:pt idx="14">
                  <c:v>7.78</c:v>
                </c:pt>
                <c:pt idx="15">
                  <c:v>10.1</c:v>
                </c:pt>
                <c:pt idx="16">
                  <c:v>7.27</c:v>
                </c:pt>
                <c:pt idx="17">
                  <c:v>7.95</c:v>
                </c:pt>
                <c:pt idx="18">
                  <c:v>7.65</c:v>
                </c:pt>
                <c:pt idx="19">
                  <c:v>8.89</c:v>
                </c:pt>
                <c:pt idx="20">
                  <c:v>7.8</c:v>
                </c:pt>
                <c:pt idx="21">
                  <c:v>8.0500000000000007</c:v>
                </c:pt>
                <c:pt idx="22">
                  <c:v>6.9</c:v>
                </c:pt>
                <c:pt idx="23">
                  <c:v>8.39</c:v>
                </c:pt>
                <c:pt idx="24">
                  <c:v>7.29</c:v>
                </c:pt>
                <c:pt idx="25">
                  <c:v>8.0299999999999994</c:v>
                </c:pt>
                <c:pt idx="26">
                  <c:v>8.2899999999999991</c:v>
                </c:pt>
                <c:pt idx="27">
                  <c:v>9</c:v>
                </c:pt>
                <c:pt idx="28">
                  <c:v>7.94</c:v>
                </c:pt>
                <c:pt idx="29">
                  <c:v>8.33</c:v>
                </c:pt>
                <c:pt idx="30">
                  <c:v>7.49</c:v>
                </c:pt>
                <c:pt idx="31">
                  <c:v>8</c:v>
                </c:pt>
                <c:pt idx="32">
                  <c:v>8</c:v>
                </c:pt>
                <c:pt idx="33">
                  <c:v>7.14</c:v>
                </c:pt>
                <c:pt idx="34">
                  <c:v>8</c:v>
                </c:pt>
                <c:pt idx="35">
                  <c:v>8.02</c:v>
                </c:pt>
                <c:pt idx="36">
                  <c:v>8.43</c:v>
                </c:pt>
                <c:pt idx="37">
                  <c:v>7.24</c:v>
                </c:pt>
                <c:pt idx="38">
                  <c:v>8.7100000000000009</c:v>
                </c:pt>
                <c:pt idx="39">
                  <c:v>8.42</c:v>
                </c:pt>
                <c:pt idx="40">
                  <c:v>8.19</c:v>
                </c:pt>
                <c:pt idx="41">
                  <c:v>8.4700000000000006</c:v>
                </c:pt>
                <c:pt idx="42">
                  <c:v>7.09</c:v>
                </c:pt>
                <c:pt idx="43">
                  <c:v>7.73</c:v>
                </c:pt>
                <c:pt idx="44">
                  <c:v>5.98</c:v>
                </c:pt>
                <c:pt idx="45">
                  <c:v>7</c:v>
                </c:pt>
                <c:pt idx="46">
                  <c:v>6.25</c:v>
                </c:pt>
                <c:pt idx="47">
                  <c:v>6.75</c:v>
                </c:pt>
                <c:pt idx="48">
                  <c:v>8.39</c:v>
                </c:pt>
                <c:pt idx="49">
                  <c:v>8.3000000000000007</c:v>
                </c:pt>
                <c:pt idx="50">
                  <c:v>7.15</c:v>
                </c:pt>
                <c:pt idx="51" formatCode="General">
                  <c:v>9</c:v>
                </c:pt>
                <c:pt idx="52" formatCode="General">
                  <c:v>8</c:v>
                </c:pt>
                <c:pt idx="53" formatCode="General">
                  <c:v>8</c:v>
                </c:pt>
                <c:pt idx="54" formatCode="General">
                  <c:v>8</c:v>
                </c:pt>
                <c:pt idx="55" formatCode="General">
                  <c:v>8.14</c:v>
                </c:pt>
                <c:pt idx="56" formatCode="General">
                  <c:v>8.5</c:v>
                </c:pt>
                <c:pt idx="57" formatCode="General">
                  <c:v>9.19</c:v>
                </c:pt>
                <c:pt idx="58" formatCode="General">
                  <c:v>10</c:v>
                </c:pt>
                <c:pt idx="59" formatCode="General">
                  <c:v>8.68</c:v>
                </c:pt>
                <c:pt idx="60" formatCode="General">
                  <c:v>8.68</c:v>
                </c:pt>
                <c:pt idx="61" formatCode="General">
                  <c:v>8.5</c:v>
                </c:pt>
                <c:pt idx="62" formatCode="General">
                  <c:v>6.61</c:v>
                </c:pt>
                <c:pt idx="63" formatCode="General">
                  <c:v>7.56</c:v>
                </c:pt>
                <c:pt idx="64" formatCode="General">
                  <c:v>7.09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6E97-479C-99D3-3F4E302DBEE4}"/>
            </c:ext>
          </c:extLst>
        </c:ser>
        <c:ser>
          <c:idx val="4"/>
          <c:order val="4"/>
          <c:tx>
            <c:strRef>
              <c:f>'SISTEMA 04 SINTAL 70 BIANCO G'!$A$11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G'!$B$11:$BN$11</c:f>
              <c:numCache>
                <c:formatCode>0.00</c:formatCode>
                <c:ptCount val="65"/>
                <c:pt idx="0">
                  <c:v>6.1896615384615385</c:v>
                </c:pt>
                <c:pt idx="1">
                  <c:v>6.1896615384615385</c:v>
                </c:pt>
                <c:pt idx="2">
                  <c:v>6.1896615384615385</c:v>
                </c:pt>
                <c:pt idx="3">
                  <c:v>6.1896615384615385</c:v>
                </c:pt>
                <c:pt idx="4">
                  <c:v>6.1896615384615385</c:v>
                </c:pt>
                <c:pt idx="5">
                  <c:v>6.1896615384615385</c:v>
                </c:pt>
                <c:pt idx="6">
                  <c:v>6.1896615384615385</c:v>
                </c:pt>
                <c:pt idx="7">
                  <c:v>6.1896615384615385</c:v>
                </c:pt>
                <c:pt idx="8">
                  <c:v>6.1896615384615385</c:v>
                </c:pt>
                <c:pt idx="9">
                  <c:v>6.1896615384615385</c:v>
                </c:pt>
                <c:pt idx="10">
                  <c:v>6.1896615384615385</c:v>
                </c:pt>
                <c:pt idx="11">
                  <c:v>6.1896615384615385</c:v>
                </c:pt>
                <c:pt idx="12">
                  <c:v>6.1896615384615385</c:v>
                </c:pt>
                <c:pt idx="13">
                  <c:v>6.1896615384615385</c:v>
                </c:pt>
                <c:pt idx="14">
                  <c:v>6.1896615384615385</c:v>
                </c:pt>
                <c:pt idx="15">
                  <c:v>6.1896615384615385</c:v>
                </c:pt>
                <c:pt idx="16">
                  <c:v>6.1896615384615385</c:v>
                </c:pt>
                <c:pt idx="17">
                  <c:v>6.1896615384615385</c:v>
                </c:pt>
                <c:pt idx="18">
                  <c:v>6.1896615384615385</c:v>
                </c:pt>
                <c:pt idx="19">
                  <c:v>6.1896615384615385</c:v>
                </c:pt>
                <c:pt idx="20">
                  <c:v>6.1896615384615385</c:v>
                </c:pt>
                <c:pt idx="21">
                  <c:v>6.1896615384615385</c:v>
                </c:pt>
                <c:pt idx="22">
                  <c:v>6.1896615384615385</c:v>
                </c:pt>
                <c:pt idx="23">
                  <c:v>6.1896615384615385</c:v>
                </c:pt>
                <c:pt idx="24">
                  <c:v>6.1896615384615385</c:v>
                </c:pt>
                <c:pt idx="25">
                  <c:v>6.1896615384615385</c:v>
                </c:pt>
                <c:pt idx="26">
                  <c:v>6.1896615384615385</c:v>
                </c:pt>
                <c:pt idx="27">
                  <c:v>6.1896615384615385</c:v>
                </c:pt>
                <c:pt idx="28">
                  <c:v>6.1896615384615385</c:v>
                </c:pt>
                <c:pt idx="29">
                  <c:v>6.1896615384615385</c:v>
                </c:pt>
                <c:pt idx="30">
                  <c:v>6.1896615384615385</c:v>
                </c:pt>
                <c:pt idx="31">
                  <c:v>6.1896615384615385</c:v>
                </c:pt>
                <c:pt idx="32">
                  <c:v>6.1896615384615385</c:v>
                </c:pt>
                <c:pt idx="33">
                  <c:v>6.1896615384615385</c:v>
                </c:pt>
                <c:pt idx="34">
                  <c:v>6.1896615384615385</c:v>
                </c:pt>
                <c:pt idx="35">
                  <c:v>6.1896615384615385</c:v>
                </c:pt>
                <c:pt idx="36">
                  <c:v>6.1896615384615385</c:v>
                </c:pt>
                <c:pt idx="37">
                  <c:v>6.1896615384615385</c:v>
                </c:pt>
                <c:pt idx="38">
                  <c:v>6.1896615384615385</c:v>
                </c:pt>
                <c:pt idx="39">
                  <c:v>6.1896615384615385</c:v>
                </c:pt>
                <c:pt idx="40">
                  <c:v>6.1896615384615385</c:v>
                </c:pt>
                <c:pt idx="41">
                  <c:v>6.1896615384615385</c:v>
                </c:pt>
                <c:pt idx="42">
                  <c:v>6.1896615384615385</c:v>
                </c:pt>
                <c:pt idx="43">
                  <c:v>6.1896615384615385</c:v>
                </c:pt>
                <c:pt idx="44">
                  <c:v>6.1896615384615385</c:v>
                </c:pt>
                <c:pt idx="45">
                  <c:v>6.1896615384615385</c:v>
                </c:pt>
                <c:pt idx="46">
                  <c:v>6.1896615384615385</c:v>
                </c:pt>
                <c:pt idx="47">
                  <c:v>6.1896615384615385</c:v>
                </c:pt>
                <c:pt idx="48">
                  <c:v>6.1896615384615385</c:v>
                </c:pt>
                <c:pt idx="49">
                  <c:v>6.1896615384615385</c:v>
                </c:pt>
                <c:pt idx="50">
                  <c:v>6.1896615384615385</c:v>
                </c:pt>
                <c:pt idx="51">
                  <c:v>6.1896615384615385</c:v>
                </c:pt>
                <c:pt idx="52">
                  <c:v>6.1896615384615385</c:v>
                </c:pt>
                <c:pt idx="53">
                  <c:v>6.1896615384615385</c:v>
                </c:pt>
                <c:pt idx="54">
                  <c:v>6.1896615384615385</c:v>
                </c:pt>
                <c:pt idx="55">
                  <c:v>6.1896615384615385</c:v>
                </c:pt>
                <c:pt idx="56">
                  <c:v>6.1896615384615385</c:v>
                </c:pt>
                <c:pt idx="57">
                  <c:v>6.1896615384615385</c:v>
                </c:pt>
                <c:pt idx="58">
                  <c:v>6.1896615384615385</c:v>
                </c:pt>
                <c:pt idx="59">
                  <c:v>6.1896615384615385</c:v>
                </c:pt>
                <c:pt idx="60">
                  <c:v>6.1896615384615385</c:v>
                </c:pt>
                <c:pt idx="61">
                  <c:v>6.1896615384615385</c:v>
                </c:pt>
                <c:pt idx="62">
                  <c:v>6.1896615384615385</c:v>
                </c:pt>
                <c:pt idx="63">
                  <c:v>6.1896615384615385</c:v>
                </c:pt>
                <c:pt idx="64">
                  <c:v>6.1896615384615385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72-41F5-9613-8F746E3EFAE2}"/>
            </c:ext>
          </c:extLst>
        </c:ser>
        <c:ser>
          <c:idx val="5"/>
          <c:order val="5"/>
          <c:tx>
            <c:strRef>
              <c:f>'SISTEMA 04 SINTAL 70 BIANCO G'!$A$12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'SISTEMA 04 SINTAL 70 BIANCO G'!$B$6:$BN$6</c:f>
              <c:strCache>
                <c:ptCount val="65"/>
                <c:pt idx="0">
                  <c:v>03/11/2021</c:v>
                </c:pt>
                <c:pt idx="1">
                  <c:v>22/09/2022</c:v>
                </c:pt>
                <c:pt idx="2">
                  <c:v>22/02/2023</c:v>
                </c:pt>
                <c:pt idx="3">
                  <c:v>22/03/2023</c:v>
                </c:pt>
                <c:pt idx="4">
                  <c:v>12/12/2023</c:v>
                </c:pt>
                <c:pt idx="5">
                  <c:v>20/05/2024</c:v>
                </c:pt>
                <c:pt idx="6">
                  <c:v>20/07/2024</c:v>
                </c:pt>
                <c:pt idx="7">
                  <c:v>22/09/2024</c:v>
                </c:pt>
                <c:pt idx="8">
                  <c:v>14/02/2025</c:v>
                </c:pt>
                <c:pt idx="9">
                  <c:v>21/07/2025</c:v>
                </c:pt>
                <c:pt idx="10">
                  <c:v>10/09/2025</c:v>
                </c:pt>
                <c:pt idx="11">
                  <c:v>02/10/2025</c:v>
                </c:pt>
                <c:pt idx="12">
                  <c:v>03/10/2025</c:v>
                </c:pt>
                <c:pt idx="13">
                  <c:v>09/10/2025</c:v>
                </c:pt>
                <c:pt idx="14">
                  <c:v>10/10/2025</c:v>
                </c:pt>
                <c:pt idx="15">
                  <c:v>13/10/2025</c:v>
                </c:pt>
                <c:pt idx="16">
                  <c:v>14/10/2025</c:v>
                </c:pt>
                <c:pt idx="17">
                  <c:v>15/10/2025</c:v>
                </c:pt>
                <c:pt idx="18">
                  <c:v>16/10/2025</c:v>
                </c:pt>
                <c:pt idx="19">
                  <c:v>17/10/2025</c:v>
                </c:pt>
                <c:pt idx="20">
                  <c:v>20/10/2025</c:v>
                </c:pt>
                <c:pt idx="21">
                  <c:v>21/10/2025</c:v>
                </c:pt>
                <c:pt idx="22">
                  <c:v>22/10/2025</c:v>
                </c:pt>
                <c:pt idx="23">
                  <c:v>23/10/2025</c:v>
                </c:pt>
                <c:pt idx="24">
                  <c:v>28/10/2025</c:v>
                </c:pt>
                <c:pt idx="25">
                  <c:v>29/10/2025</c:v>
                </c:pt>
                <c:pt idx="26">
                  <c:v>30/10/2025</c:v>
                </c:pt>
                <c:pt idx="27">
                  <c:v>31/10/2025</c:v>
                </c:pt>
                <c:pt idx="28">
                  <c:v>03/11/2025</c:v>
                </c:pt>
                <c:pt idx="29">
                  <c:v>04/11/2025</c:v>
                </c:pt>
                <c:pt idx="30">
                  <c:v>05/11/2025</c:v>
                </c:pt>
                <c:pt idx="31">
                  <c:v>06/11/2025</c:v>
                </c:pt>
                <c:pt idx="32">
                  <c:v>07/11/2025</c:v>
                </c:pt>
                <c:pt idx="33">
                  <c:v>10/11/2025</c:v>
                </c:pt>
                <c:pt idx="34">
                  <c:v>11/11/2025</c:v>
                </c:pt>
                <c:pt idx="35">
                  <c:v>12/11/2025</c:v>
                </c:pt>
                <c:pt idx="36">
                  <c:v>13/11/2025</c:v>
                </c:pt>
                <c:pt idx="37">
                  <c:v>24/11/2025</c:v>
                </c:pt>
                <c:pt idx="38">
                  <c:v>25/11/2025</c:v>
                </c:pt>
                <c:pt idx="39">
                  <c:v>26/11/2025</c:v>
                </c:pt>
                <c:pt idx="40">
                  <c:v>27/11/2025</c:v>
                </c:pt>
                <c:pt idx="41">
                  <c:v>28/11/2025</c:v>
                </c:pt>
                <c:pt idx="42">
                  <c:v>01/12/2025</c:v>
                </c:pt>
                <c:pt idx="43">
                  <c:v>02/12/2025</c:v>
                </c:pt>
                <c:pt idx="44">
                  <c:v>03/12/2025</c:v>
                </c:pt>
                <c:pt idx="45">
                  <c:v>04/12/2025</c:v>
                </c:pt>
                <c:pt idx="46">
                  <c:v>05/12/2025</c:v>
                </c:pt>
                <c:pt idx="47">
                  <c:v>08/12/2025</c:v>
                </c:pt>
                <c:pt idx="48">
                  <c:v>09/12/2025</c:v>
                </c:pt>
                <c:pt idx="49">
                  <c:v>10/12/2025</c:v>
                </c:pt>
                <c:pt idx="50">
                  <c:v>11/12/2025</c:v>
                </c:pt>
                <c:pt idx="51">
                  <c:v>26/01/2026</c:v>
                </c:pt>
                <c:pt idx="52">
                  <c:v>27/01/20262</c:v>
                </c:pt>
                <c:pt idx="53">
                  <c:v>28/01/20263</c:v>
                </c:pt>
                <c:pt idx="54">
                  <c:v>29/01/20264</c:v>
                </c:pt>
                <c:pt idx="55">
                  <c:v>30/01/2026</c:v>
                </c:pt>
                <c:pt idx="56">
                  <c:v>02/02/2026</c:v>
                </c:pt>
                <c:pt idx="57">
                  <c:v>03/02/2026</c:v>
                </c:pt>
                <c:pt idx="58">
                  <c:v>04/02/2026</c:v>
                </c:pt>
                <c:pt idx="59">
                  <c:v>05/02/2026</c:v>
                </c:pt>
                <c:pt idx="60">
                  <c:v>23/02/2026</c:v>
                </c:pt>
                <c:pt idx="61">
                  <c:v>24/02/2026</c:v>
                </c:pt>
                <c:pt idx="62">
                  <c:v>25/02/2026</c:v>
                </c:pt>
                <c:pt idx="63">
                  <c:v>26/02/2026</c:v>
                </c:pt>
                <c:pt idx="64">
                  <c:v>02/03/2026</c:v>
                </c:pt>
              </c:strCache>
            </c:strRef>
          </c:cat>
          <c:val>
            <c:numRef>
              <c:f>'SISTEMA 04 SINTAL 70 BIANCO G'!$B$12:$BN$12</c:f>
              <c:numCache>
                <c:formatCode>0.00</c:formatCode>
                <c:ptCount val="65"/>
                <c:pt idx="0">
                  <c:v>9.2844923076923074</c:v>
                </c:pt>
                <c:pt idx="1">
                  <c:v>9.2844923076923074</c:v>
                </c:pt>
                <c:pt idx="2">
                  <c:v>9.2844923076923074</c:v>
                </c:pt>
                <c:pt idx="3">
                  <c:v>9.2844923076923074</c:v>
                </c:pt>
                <c:pt idx="4">
                  <c:v>9.2844923076923074</c:v>
                </c:pt>
                <c:pt idx="5">
                  <c:v>9.2844923076923074</c:v>
                </c:pt>
                <c:pt idx="6">
                  <c:v>9.2844923076923074</c:v>
                </c:pt>
                <c:pt idx="7">
                  <c:v>9.2844923076923074</c:v>
                </c:pt>
                <c:pt idx="8">
                  <c:v>9.2844923076923074</c:v>
                </c:pt>
                <c:pt idx="9">
                  <c:v>9.2844923076923074</c:v>
                </c:pt>
                <c:pt idx="10">
                  <c:v>9.2844923076923074</c:v>
                </c:pt>
                <c:pt idx="11">
                  <c:v>9.2844923076923074</c:v>
                </c:pt>
                <c:pt idx="12">
                  <c:v>9.2844923076923074</c:v>
                </c:pt>
                <c:pt idx="13">
                  <c:v>9.2844923076923074</c:v>
                </c:pt>
                <c:pt idx="14">
                  <c:v>9.2844923076923074</c:v>
                </c:pt>
                <c:pt idx="15">
                  <c:v>9.2844923076923074</c:v>
                </c:pt>
                <c:pt idx="16">
                  <c:v>9.2844923076923074</c:v>
                </c:pt>
                <c:pt idx="17">
                  <c:v>9.2844923076923074</c:v>
                </c:pt>
                <c:pt idx="18">
                  <c:v>9.2844923076923074</c:v>
                </c:pt>
                <c:pt idx="19">
                  <c:v>9.2844923076923074</c:v>
                </c:pt>
                <c:pt idx="20">
                  <c:v>9.2844923076923074</c:v>
                </c:pt>
                <c:pt idx="21">
                  <c:v>9.2844923076923074</c:v>
                </c:pt>
                <c:pt idx="22">
                  <c:v>9.2844923076923074</c:v>
                </c:pt>
                <c:pt idx="23">
                  <c:v>9.2844923076923074</c:v>
                </c:pt>
                <c:pt idx="24">
                  <c:v>9.2844923076923074</c:v>
                </c:pt>
                <c:pt idx="25">
                  <c:v>9.2844923076923074</c:v>
                </c:pt>
                <c:pt idx="26">
                  <c:v>9.2844923076923074</c:v>
                </c:pt>
                <c:pt idx="27">
                  <c:v>9.2844923076923074</c:v>
                </c:pt>
                <c:pt idx="28">
                  <c:v>9.2844923076923074</c:v>
                </c:pt>
                <c:pt idx="29">
                  <c:v>9.2844923076923074</c:v>
                </c:pt>
                <c:pt idx="30">
                  <c:v>9.2844923076923074</c:v>
                </c:pt>
                <c:pt idx="31">
                  <c:v>9.2844923076923074</c:v>
                </c:pt>
                <c:pt idx="32">
                  <c:v>9.2844923076923074</c:v>
                </c:pt>
                <c:pt idx="33">
                  <c:v>9.2844923076923074</c:v>
                </c:pt>
                <c:pt idx="34">
                  <c:v>9.2844923076923074</c:v>
                </c:pt>
                <c:pt idx="35">
                  <c:v>9.2844923076923074</c:v>
                </c:pt>
                <c:pt idx="36">
                  <c:v>9.2844923076923074</c:v>
                </c:pt>
                <c:pt idx="37">
                  <c:v>9.2844923076923074</c:v>
                </c:pt>
                <c:pt idx="38">
                  <c:v>9.2844923076923074</c:v>
                </c:pt>
                <c:pt idx="39">
                  <c:v>9.2844923076923074</c:v>
                </c:pt>
                <c:pt idx="40">
                  <c:v>9.2844923076923074</c:v>
                </c:pt>
                <c:pt idx="41">
                  <c:v>9.2844923076923074</c:v>
                </c:pt>
                <c:pt idx="42">
                  <c:v>9.2844923076923074</c:v>
                </c:pt>
                <c:pt idx="43">
                  <c:v>9.2844923076923074</c:v>
                </c:pt>
                <c:pt idx="44">
                  <c:v>9.2844923076923074</c:v>
                </c:pt>
                <c:pt idx="45">
                  <c:v>9.2844923076923074</c:v>
                </c:pt>
                <c:pt idx="46">
                  <c:v>9.2844923076923074</c:v>
                </c:pt>
                <c:pt idx="47">
                  <c:v>9.2844923076923074</c:v>
                </c:pt>
                <c:pt idx="48">
                  <c:v>9.2844923076923074</c:v>
                </c:pt>
                <c:pt idx="49">
                  <c:v>9.2844923076923074</c:v>
                </c:pt>
                <c:pt idx="50">
                  <c:v>9.2844923076923074</c:v>
                </c:pt>
                <c:pt idx="51">
                  <c:v>9.2844923076923074</c:v>
                </c:pt>
                <c:pt idx="52">
                  <c:v>9.2844923076923074</c:v>
                </c:pt>
                <c:pt idx="53">
                  <c:v>9.2844923076923074</c:v>
                </c:pt>
                <c:pt idx="54">
                  <c:v>9.2844923076923074</c:v>
                </c:pt>
                <c:pt idx="55">
                  <c:v>9.2844923076923074</c:v>
                </c:pt>
                <c:pt idx="56">
                  <c:v>9.2844923076923074</c:v>
                </c:pt>
                <c:pt idx="57">
                  <c:v>9.2844923076923074</c:v>
                </c:pt>
                <c:pt idx="58">
                  <c:v>9.2844923076923074</c:v>
                </c:pt>
                <c:pt idx="59">
                  <c:v>9.2844923076923074</c:v>
                </c:pt>
                <c:pt idx="60">
                  <c:v>9.2844923076923074</c:v>
                </c:pt>
                <c:pt idx="61">
                  <c:v>9.2844923076923074</c:v>
                </c:pt>
                <c:pt idx="62">
                  <c:v>9.2844923076923074</c:v>
                </c:pt>
                <c:pt idx="63">
                  <c:v>9.2844923076923074</c:v>
                </c:pt>
                <c:pt idx="64">
                  <c:v>9.2844923076923074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72-41F5-9613-8F746E3EF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2638080"/>
        <c:axId val="182639616"/>
      </c:lineChart>
      <c:catAx>
        <c:axId val="18263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39616"/>
        <c:crosses val="autoZero"/>
        <c:auto val="1"/>
        <c:lblAlgn val="ctr"/>
        <c:lblOffset val="100"/>
        <c:noMultiLvlLbl val="0"/>
      </c:catAx>
      <c:valAx>
        <c:axId val="18263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638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GIALLO'!$B$2:$R$2</c:f>
              <c:numCache>
                <c:formatCode>General</c:formatCode>
                <c:ptCount val="17"/>
                <c:pt idx="0">
                  <c:v>76</c:v>
                </c:pt>
                <c:pt idx="1">
                  <c:v>75</c:v>
                </c:pt>
                <c:pt idx="2">
                  <c:v>75</c:v>
                </c:pt>
                <c:pt idx="3">
                  <c:v>74</c:v>
                </c:pt>
                <c:pt idx="4">
                  <c:v>72</c:v>
                </c:pt>
                <c:pt idx="5">
                  <c:v>72</c:v>
                </c:pt>
                <c:pt idx="6">
                  <c:v>71</c:v>
                </c:pt>
                <c:pt idx="7">
                  <c:v>72</c:v>
                </c:pt>
                <c:pt idx="8">
                  <c:v>74</c:v>
                </c:pt>
                <c:pt idx="9">
                  <c:v>72</c:v>
                </c:pt>
                <c:pt idx="10">
                  <c:v>69</c:v>
                </c:pt>
                <c:pt idx="11">
                  <c:v>73</c:v>
                </c:pt>
                <c:pt idx="12">
                  <c:v>72</c:v>
                </c:pt>
                <c:pt idx="13">
                  <c:v>72</c:v>
                </c:pt>
                <c:pt idx="14">
                  <c:v>72</c:v>
                </c:pt>
                <c:pt idx="15">
                  <c:v>72</c:v>
                </c:pt>
                <c:pt idx="16">
                  <c:v>75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440-473C-9643-924729144350}"/>
            </c:ext>
          </c:extLst>
        </c:ser>
        <c:ser>
          <c:idx val="1"/>
          <c:order val="1"/>
          <c:tx>
            <c:strRef>
              <c:f>'SISTEMA 05 SINTAM 70 GIALLO'!$A$3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GIALLO'!$B$3:$R$3</c:f>
              <c:numCache>
                <c:formatCode>0.0</c:formatCode>
                <c:ptCount val="17"/>
                <c:pt idx="0">
                  <c:v>72.82352941176471</c:v>
                </c:pt>
                <c:pt idx="1">
                  <c:v>72.82352941176471</c:v>
                </c:pt>
                <c:pt idx="2">
                  <c:v>72.82352941176471</c:v>
                </c:pt>
                <c:pt idx="3">
                  <c:v>72.82352941176471</c:v>
                </c:pt>
                <c:pt idx="4">
                  <c:v>72.82352941176471</c:v>
                </c:pt>
                <c:pt idx="5">
                  <c:v>72.82352941176471</c:v>
                </c:pt>
                <c:pt idx="6">
                  <c:v>72.82352941176471</c:v>
                </c:pt>
                <c:pt idx="7">
                  <c:v>72.82352941176471</c:v>
                </c:pt>
                <c:pt idx="8">
                  <c:v>72.82352941176471</c:v>
                </c:pt>
                <c:pt idx="9">
                  <c:v>72.82352941176471</c:v>
                </c:pt>
                <c:pt idx="10">
                  <c:v>72.82352941176471</c:v>
                </c:pt>
                <c:pt idx="11">
                  <c:v>72.82352941176471</c:v>
                </c:pt>
                <c:pt idx="12">
                  <c:v>72.82352941176471</c:v>
                </c:pt>
                <c:pt idx="13">
                  <c:v>72.82352941176471</c:v>
                </c:pt>
                <c:pt idx="14">
                  <c:v>72.82352941176471</c:v>
                </c:pt>
                <c:pt idx="15">
                  <c:v>72.82352941176471</c:v>
                </c:pt>
                <c:pt idx="16">
                  <c:v>72.82352941176471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99-43E1-A386-03E072B358E4}"/>
            </c:ext>
          </c:extLst>
        </c:ser>
        <c:ser>
          <c:idx val="2"/>
          <c:order val="2"/>
          <c:tx>
            <c:strRef>
              <c:f>'SISTEMA 05 SINTAM 70 GIALLO'!$A$4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GIALLO'!$B$4:$R$4</c:f>
              <c:numCache>
                <c:formatCode>0.0</c:formatCode>
                <c:ptCount val="17"/>
                <c:pt idx="0">
                  <c:v>70.82352941176471</c:v>
                </c:pt>
                <c:pt idx="1">
                  <c:v>70.82352941176471</c:v>
                </c:pt>
                <c:pt idx="2">
                  <c:v>70.82352941176471</c:v>
                </c:pt>
                <c:pt idx="3">
                  <c:v>70.82352941176471</c:v>
                </c:pt>
                <c:pt idx="4">
                  <c:v>70.82352941176471</c:v>
                </c:pt>
                <c:pt idx="5">
                  <c:v>70.82352941176471</c:v>
                </c:pt>
                <c:pt idx="6">
                  <c:v>70.82352941176471</c:v>
                </c:pt>
                <c:pt idx="7">
                  <c:v>70.82352941176471</c:v>
                </c:pt>
                <c:pt idx="8">
                  <c:v>70.82352941176471</c:v>
                </c:pt>
                <c:pt idx="9">
                  <c:v>70.82352941176471</c:v>
                </c:pt>
                <c:pt idx="10">
                  <c:v>70.82352941176471</c:v>
                </c:pt>
                <c:pt idx="11">
                  <c:v>70.82352941176471</c:v>
                </c:pt>
                <c:pt idx="12">
                  <c:v>70.82352941176471</c:v>
                </c:pt>
                <c:pt idx="13">
                  <c:v>70.82352941176471</c:v>
                </c:pt>
                <c:pt idx="14">
                  <c:v>70.82352941176471</c:v>
                </c:pt>
                <c:pt idx="15">
                  <c:v>70.82352941176471</c:v>
                </c:pt>
                <c:pt idx="16">
                  <c:v>70.82352941176471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B99-43E1-A386-03E072B358E4}"/>
            </c:ext>
          </c:extLst>
        </c:ser>
        <c:ser>
          <c:idx val="3"/>
          <c:order val="3"/>
          <c:tx>
            <c:strRef>
              <c:f>'SISTEMA 05 SINTAM 70 GIALLO'!$A$5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GIALLO'!$B$5:$R$5</c:f>
              <c:numCache>
                <c:formatCode>0.0</c:formatCode>
                <c:ptCount val="17"/>
                <c:pt idx="0">
                  <c:v>74.82352941176471</c:v>
                </c:pt>
                <c:pt idx="1">
                  <c:v>74.82352941176471</c:v>
                </c:pt>
                <c:pt idx="2">
                  <c:v>74.82352941176471</c:v>
                </c:pt>
                <c:pt idx="3">
                  <c:v>74.82352941176471</c:v>
                </c:pt>
                <c:pt idx="4">
                  <c:v>74.82352941176471</c:v>
                </c:pt>
                <c:pt idx="5">
                  <c:v>74.82352941176471</c:v>
                </c:pt>
                <c:pt idx="6">
                  <c:v>74.82352941176471</c:v>
                </c:pt>
                <c:pt idx="7">
                  <c:v>74.82352941176471</c:v>
                </c:pt>
                <c:pt idx="8">
                  <c:v>74.82352941176471</c:v>
                </c:pt>
                <c:pt idx="9">
                  <c:v>74.82352941176471</c:v>
                </c:pt>
                <c:pt idx="10">
                  <c:v>74.82352941176471</c:v>
                </c:pt>
                <c:pt idx="11">
                  <c:v>74.82352941176471</c:v>
                </c:pt>
                <c:pt idx="12">
                  <c:v>74.82352941176471</c:v>
                </c:pt>
                <c:pt idx="13">
                  <c:v>74.82352941176471</c:v>
                </c:pt>
                <c:pt idx="14">
                  <c:v>74.82352941176471</c:v>
                </c:pt>
                <c:pt idx="15">
                  <c:v>74.82352941176471</c:v>
                </c:pt>
                <c:pt idx="16">
                  <c:v>74.82352941176471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B99-43E1-A386-03E072B358E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765056"/>
        <c:axId val="182766592"/>
      </c:lineChart>
      <c:catAx>
        <c:axId val="1827650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66592"/>
        <c:crosses val="autoZero"/>
        <c:auto val="1"/>
        <c:lblAlgn val="ctr"/>
        <c:lblOffset val="100"/>
        <c:noMultiLvlLbl val="0"/>
      </c:catAx>
      <c:valAx>
        <c:axId val="182766592"/>
        <c:scaling>
          <c:orientation val="minMax"/>
          <c:min val="6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7650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CARICO DI ROTTURA [MPa]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GIALLO'!$B$7:$R$7</c:f>
              <c:numCache>
                <c:formatCode>General</c:formatCode>
                <c:ptCount val="17"/>
                <c:pt idx="0">
                  <c:v>19</c:v>
                </c:pt>
                <c:pt idx="1">
                  <c:v>19</c:v>
                </c:pt>
                <c:pt idx="2">
                  <c:v>15</c:v>
                </c:pt>
                <c:pt idx="3">
                  <c:v>25</c:v>
                </c:pt>
                <c:pt idx="4">
                  <c:v>15</c:v>
                </c:pt>
                <c:pt idx="5">
                  <c:v>15</c:v>
                </c:pt>
                <c:pt idx="6">
                  <c:v>23</c:v>
                </c:pt>
                <c:pt idx="7">
                  <c:v>21</c:v>
                </c:pt>
                <c:pt idx="8">
                  <c:v>21</c:v>
                </c:pt>
                <c:pt idx="9">
                  <c:v>26</c:v>
                </c:pt>
                <c:pt idx="10">
                  <c:v>22</c:v>
                </c:pt>
                <c:pt idx="11">
                  <c:v>23</c:v>
                </c:pt>
                <c:pt idx="12">
                  <c:v>21</c:v>
                </c:pt>
                <c:pt idx="13">
                  <c:v>27</c:v>
                </c:pt>
                <c:pt idx="14">
                  <c:v>15</c:v>
                </c:pt>
                <c:pt idx="15">
                  <c:v>21</c:v>
                </c:pt>
                <c:pt idx="16">
                  <c:v>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D33-4BA7-8C6C-5D8F2F8F575A}"/>
            </c:ext>
          </c:extLst>
        </c:ser>
        <c:ser>
          <c:idx val="1"/>
          <c:order val="1"/>
          <c:tx>
            <c:strRef>
              <c:f>'SISTEMA 05 SINTAM 70 GIALLO'!$A$8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GIALLO'!$B$8:$R$8</c:f>
              <c:numCache>
                <c:formatCode>0.0</c:formatCode>
                <c:ptCount val="17"/>
                <c:pt idx="0">
                  <c:v>20.352941176470587</c:v>
                </c:pt>
                <c:pt idx="1">
                  <c:v>20.352941176470587</c:v>
                </c:pt>
                <c:pt idx="2">
                  <c:v>20.352941176470587</c:v>
                </c:pt>
                <c:pt idx="3">
                  <c:v>20.352941176470587</c:v>
                </c:pt>
                <c:pt idx="4">
                  <c:v>20.352941176470587</c:v>
                </c:pt>
                <c:pt idx="5">
                  <c:v>20.352941176470587</c:v>
                </c:pt>
                <c:pt idx="6">
                  <c:v>20.352941176470587</c:v>
                </c:pt>
                <c:pt idx="7">
                  <c:v>20.352941176470587</c:v>
                </c:pt>
                <c:pt idx="8">
                  <c:v>20.352941176470587</c:v>
                </c:pt>
                <c:pt idx="9">
                  <c:v>20.352941176470587</c:v>
                </c:pt>
                <c:pt idx="10">
                  <c:v>20.352941176470587</c:v>
                </c:pt>
                <c:pt idx="11">
                  <c:v>20.352941176470587</c:v>
                </c:pt>
                <c:pt idx="12">
                  <c:v>20.352941176470587</c:v>
                </c:pt>
                <c:pt idx="13">
                  <c:v>20.352941176470587</c:v>
                </c:pt>
                <c:pt idx="14">
                  <c:v>20.352941176470587</c:v>
                </c:pt>
                <c:pt idx="15">
                  <c:v>20.352941176470587</c:v>
                </c:pt>
                <c:pt idx="16">
                  <c:v>20.352941176470587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C41-4032-BB57-15664475DAFE}"/>
            </c:ext>
          </c:extLst>
        </c:ser>
        <c:ser>
          <c:idx val="2"/>
          <c:order val="2"/>
          <c:tx>
            <c:strRef>
              <c:f>'SISTEMA 05 SINTAM 70 GIALLO'!$A$9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GIALLO'!$B$9:$R$9</c:f>
              <c:numCache>
                <c:formatCode>0.0</c:formatCode>
                <c:ptCount val="17"/>
                <c:pt idx="0">
                  <c:v>18.317647058823528</c:v>
                </c:pt>
                <c:pt idx="1">
                  <c:v>18.317647058823528</c:v>
                </c:pt>
                <c:pt idx="2">
                  <c:v>18.317647058823528</c:v>
                </c:pt>
                <c:pt idx="3">
                  <c:v>18.317647058823528</c:v>
                </c:pt>
                <c:pt idx="4">
                  <c:v>18.317647058823528</c:v>
                </c:pt>
                <c:pt idx="5">
                  <c:v>18.317647058823528</c:v>
                </c:pt>
                <c:pt idx="6">
                  <c:v>18.317647058823528</c:v>
                </c:pt>
                <c:pt idx="7">
                  <c:v>18.317647058823528</c:v>
                </c:pt>
                <c:pt idx="8">
                  <c:v>18.317647058823528</c:v>
                </c:pt>
                <c:pt idx="9">
                  <c:v>18.317647058823528</c:v>
                </c:pt>
                <c:pt idx="10">
                  <c:v>18.317647058823528</c:v>
                </c:pt>
                <c:pt idx="11">
                  <c:v>18.317647058823528</c:v>
                </c:pt>
                <c:pt idx="12">
                  <c:v>18.317647058823528</c:v>
                </c:pt>
                <c:pt idx="13">
                  <c:v>18.317647058823528</c:v>
                </c:pt>
                <c:pt idx="14">
                  <c:v>18.317647058823528</c:v>
                </c:pt>
                <c:pt idx="15">
                  <c:v>18.317647058823528</c:v>
                </c:pt>
                <c:pt idx="16">
                  <c:v>18.317647058823528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41-4032-BB57-15664475DAFE}"/>
            </c:ext>
          </c:extLst>
        </c:ser>
        <c:ser>
          <c:idx val="3"/>
          <c:order val="3"/>
          <c:tx>
            <c:strRef>
              <c:f>'SISTEMA 05 SINTAM 70 GIALLO'!$A$10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GIALLO'!$B$10:$R$10</c:f>
              <c:numCache>
                <c:formatCode>0.0</c:formatCode>
                <c:ptCount val="17"/>
                <c:pt idx="0">
                  <c:v>22.402941176470588</c:v>
                </c:pt>
                <c:pt idx="1">
                  <c:v>22.402941176470588</c:v>
                </c:pt>
                <c:pt idx="2">
                  <c:v>22.402941176470588</c:v>
                </c:pt>
                <c:pt idx="3">
                  <c:v>22.402941176470588</c:v>
                </c:pt>
                <c:pt idx="4">
                  <c:v>22.402941176470588</c:v>
                </c:pt>
                <c:pt idx="5">
                  <c:v>22.402941176470588</c:v>
                </c:pt>
                <c:pt idx="6">
                  <c:v>22.402941176470588</c:v>
                </c:pt>
                <c:pt idx="7">
                  <c:v>22.402941176470588</c:v>
                </c:pt>
                <c:pt idx="8">
                  <c:v>22.402941176470588</c:v>
                </c:pt>
                <c:pt idx="9">
                  <c:v>22.402941176470588</c:v>
                </c:pt>
                <c:pt idx="10">
                  <c:v>22.402941176470588</c:v>
                </c:pt>
                <c:pt idx="11">
                  <c:v>22.402941176470588</c:v>
                </c:pt>
                <c:pt idx="12">
                  <c:v>22.402941176470588</c:v>
                </c:pt>
                <c:pt idx="13">
                  <c:v>22.402941176470588</c:v>
                </c:pt>
                <c:pt idx="14">
                  <c:v>22.402941176470588</c:v>
                </c:pt>
                <c:pt idx="15">
                  <c:v>22.402941176470588</c:v>
                </c:pt>
                <c:pt idx="16">
                  <c:v>22.402941176470588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C41-4032-BB57-15664475DAFE}"/>
            </c:ext>
          </c:extLst>
        </c:ser>
        <c:ser>
          <c:idx val="4"/>
          <c:order val="4"/>
          <c:tx>
            <c:strRef>
              <c:f>'SISTEMA 05 SINTAM 70 GIALLO'!$A$11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GIALLO'!$B$11:$R$11</c:f>
              <c:numCache>
                <c:formatCode>0.0</c:formatCode>
                <c:ptCount val="17"/>
                <c:pt idx="0">
                  <c:v>16.28235294117647</c:v>
                </c:pt>
                <c:pt idx="1">
                  <c:v>16.28235294117647</c:v>
                </c:pt>
                <c:pt idx="2">
                  <c:v>16.28235294117647</c:v>
                </c:pt>
                <c:pt idx="3">
                  <c:v>16.28235294117647</c:v>
                </c:pt>
                <c:pt idx="4">
                  <c:v>16.28235294117647</c:v>
                </c:pt>
                <c:pt idx="5">
                  <c:v>16.28235294117647</c:v>
                </c:pt>
                <c:pt idx="6">
                  <c:v>16.28235294117647</c:v>
                </c:pt>
                <c:pt idx="7">
                  <c:v>16.28235294117647</c:v>
                </c:pt>
                <c:pt idx="8">
                  <c:v>16.28235294117647</c:v>
                </c:pt>
                <c:pt idx="9">
                  <c:v>16.28235294117647</c:v>
                </c:pt>
                <c:pt idx="10">
                  <c:v>16.28235294117647</c:v>
                </c:pt>
                <c:pt idx="11">
                  <c:v>16.28235294117647</c:v>
                </c:pt>
                <c:pt idx="12">
                  <c:v>16.28235294117647</c:v>
                </c:pt>
                <c:pt idx="13">
                  <c:v>16.28235294117647</c:v>
                </c:pt>
                <c:pt idx="14">
                  <c:v>16.28235294117647</c:v>
                </c:pt>
                <c:pt idx="15">
                  <c:v>16.28235294117647</c:v>
                </c:pt>
                <c:pt idx="16">
                  <c:v>16.28235294117647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C3-4179-80EC-4628114FF123}"/>
            </c:ext>
          </c:extLst>
        </c:ser>
        <c:ser>
          <c:idx val="5"/>
          <c:order val="5"/>
          <c:tx>
            <c:strRef>
              <c:f>'SISTEMA 05 SINTAM 70 GIALLO'!$A$12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GIALLO'!$B$12:$R$12</c:f>
              <c:numCache>
                <c:formatCode>0.0</c:formatCode>
                <c:ptCount val="17"/>
                <c:pt idx="0">
                  <c:v>24.452941176470588</c:v>
                </c:pt>
                <c:pt idx="1">
                  <c:v>24.452941176470588</c:v>
                </c:pt>
                <c:pt idx="2">
                  <c:v>24.452941176470588</c:v>
                </c:pt>
                <c:pt idx="3">
                  <c:v>24.452941176470588</c:v>
                </c:pt>
                <c:pt idx="4">
                  <c:v>24.452941176470588</c:v>
                </c:pt>
                <c:pt idx="5">
                  <c:v>24.452941176470588</c:v>
                </c:pt>
                <c:pt idx="6">
                  <c:v>24.452941176470588</c:v>
                </c:pt>
                <c:pt idx="7">
                  <c:v>24.452941176470588</c:v>
                </c:pt>
                <c:pt idx="8">
                  <c:v>24.452941176470588</c:v>
                </c:pt>
                <c:pt idx="9">
                  <c:v>24.452941176470588</c:v>
                </c:pt>
                <c:pt idx="10">
                  <c:v>24.452941176470588</c:v>
                </c:pt>
                <c:pt idx="11">
                  <c:v>24.452941176470588</c:v>
                </c:pt>
                <c:pt idx="12">
                  <c:v>24.452941176470588</c:v>
                </c:pt>
                <c:pt idx="13">
                  <c:v>24.452941176470588</c:v>
                </c:pt>
                <c:pt idx="14">
                  <c:v>24.452941176470588</c:v>
                </c:pt>
                <c:pt idx="15">
                  <c:v>24.452941176470588</c:v>
                </c:pt>
                <c:pt idx="16">
                  <c:v>24.452941176470588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C3-4179-80EC-4628114FF12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897280"/>
        <c:axId val="182919552"/>
      </c:lineChart>
      <c:catAx>
        <c:axId val="182897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19552"/>
        <c:crosses val="autoZero"/>
        <c:auto val="1"/>
        <c:lblAlgn val="ctr"/>
        <c:lblOffset val="100"/>
        <c:noMultiLvlLbl val="0"/>
      </c:catAx>
      <c:valAx>
        <c:axId val="182919552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897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GIALLO'!$B$14:$R$14</c:f>
              <c:numCache>
                <c:formatCode>General</c:formatCode>
                <c:ptCount val="17"/>
                <c:pt idx="0">
                  <c:v>540</c:v>
                </c:pt>
                <c:pt idx="1">
                  <c:v>648</c:v>
                </c:pt>
                <c:pt idx="2">
                  <c:v>669</c:v>
                </c:pt>
                <c:pt idx="3">
                  <c:v>719</c:v>
                </c:pt>
                <c:pt idx="4">
                  <c:v>473</c:v>
                </c:pt>
                <c:pt idx="5">
                  <c:v>458</c:v>
                </c:pt>
                <c:pt idx="6">
                  <c:v>533</c:v>
                </c:pt>
                <c:pt idx="7">
                  <c:v>750</c:v>
                </c:pt>
                <c:pt idx="8">
                  <c:v>820</c:v>
                </c:pt>
                <c:pt idx="9">
                  <c:v>924</c:v>
                </c:pt>
                <c:pt idx="10">
                  <c:v>912</c:v>
                </c:pt>
                <c:pt idx="11">
                  <c:v>983</c:v>
                </c:pt>
                <c:pt idx="12">
                  <c:v>697</c:v>
                </c:pt>
                <c:pt idx="13">
                  <c:v>740</c:v>
                </c:pt>
                <c:pt idx="14">
                  <c:v>720</c:v>
                </c:pt>
                <c:pt idx="15">
                  <c:v>766</c:v>
                </c:pt>
                <c:pt idx="16">
                  <c:v>705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D0F-4C86-8A37-4DAF8A968A18}"/>
            </c:ext>
          </c:extLst>
        </c:ser>
        <c:ser>
          <c:idx val="1"/>
          <c:order val="1"/>
          <c:tx>
            <c:strRef>
              <c:f>'SISTEMA 05 SINTAM 70 GIALLO'!$A$15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GIALLO'!$B$15:$R$15</c:f>
              <c:numCache>
                <c:formatCode>0.0</c:formatCode>
                <c:ptCount val="17"/>
                <c:pt idx="0">
                  <c:v>709.23529411764707</c:v>
                </c:pt>
                <c:pt idx="1">
                  <c:v>709.23529411764707</c:v>
                </c:pt>
                <c:pt idx="2">
                  <c:v>709.23529411764707</c:v>
                </c:pt>
                <c:pt idx="3">
                  <c:v>709.23529411764707</c:v>
                </c:pt>
                <c:pt idx="4">
                  <c:v>709.23529411764707</c:v>
                </c:pt>
                <c:pt idx="5">
                  <c:v>709.23529411764707</c:v>
                </c:pt>
                <c:pt idx="6">
                  <c:v>709.23529411764707</c:v>
                </c:pt>
                <c:pt idx="7">
                  <c:v>709.23529411764707</c:v>
                </c:pt>
                <c:pt idx="8">
                  <c:v>709.23529411764707</c:v>
                </c:pt>
                <c:pt idx="9">
                  <c:v>709.23529411764707</c:v>
                </c:pt>
                <c:pt idx="10">
                  <c:v>709.23529411764707</c:v>
                </c:pt>
                <c:pt idx="11">
                  <c:v>709.23529411764707</c:v>
                </c:pt>
                <c:pt idx="12">
                  <c:v>709.23529411764707</c:v>
                </c:pt>
                <c:pt idx="13">
                  <c:v>709.23529411764707</c:v>
                </c:pt>
                <c:pt idx="14">
                  <c:v>709.23529411764707</c:v>
                </c:pt>
                <c:pt idx="15">
                  <c:v>709.23529411764707</c:v>
                </c:pt>
                <c:pt idx="16">
                  <c:v>709.23529411764707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556-4E74-8952-64F9D3852FF3}"/>
            </c:ext>
          </c:extLst>
        </c:ser>
        <c:ser>
          <c:idx val="2"/>
          <c:order val="2"/>
          <c:tx>
            <c:strRef>
              <c:f>'SISTEMA 05 SINTAM 70 GIALLO'!$A$16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GIALLO'!$B$16:$R$16</c:f>
              <c:numCache>
                <c:formatCode>0.0</c:formatCode>
                <c:ptCount val="17"/>
                <c:pt idx="0">
                  <c:v>638.31176470588241</c:v>
                </c:pt>
                <c:pt idx="1">
                  <c:v>638.31176470588241</c:v>
                </c:pt>
                <c:pt idx="2">
                  <c:v>638.31176470588241</c:v>
                </c:pt>
                <c:pt idx="3">
                  <c:v>638.31176470588241</c:v>
                </c:pt>
                <c:pt idx="4">
                  <c:v>638.31176470588241</c:v>
                </c:pt>
                <c:pt idx="5">
                  <c:v>638.31176470588241</c:v>
                </c:pt>
                <c:pt idx="6">
                  <c:v>638.31176470588241</c:v>
                </c:pt>
                <c:pt idx="7">
                  <c:v>638.31176470588241</c:v>
                </c:pt>
                <c:pt idx="8">
                  <c:v>638.31176470588241</c:v>
                </c:pt>
                <c:pt idx="9">
                  <c:v>638.31176470588241</c:v>
                </c:pt>
                <c:pt idx="10">
                  <c:v>638.31176470588241</c:v>
                </c:pt>
                <c:pt idx="11">
                  <c:v>638.31176470588241</c:v>
                </c:pt>
                <c:pt idx="12">
                  <c:v>638.31176470588241</c:v>
                </c:pt>
                <c:pt idx="13">
                  <c:v>638.31176470588241</c:v>
                </c:pt>
                <c:pt idx="14">
                  <c:v>638.31176470588241</c:v>
                </c:pt>
                <c:pt idx="15">
                  <c:v>638.31176470588241</c:v>
                </c:pt>
                <c:pt idx="16">
                  <c:v>638.31176470588241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556-4E74-8952-64F9D3852FF3}"/>
            </c:ext>
          </c:extLst>
        </c:ser>
        <c:ser>
          <c:idx val="3"/>
          <c:order val="3"/>
          <c:tx>
            <c:strRef>
              <c:f>'SISTEMA 05 SINTAM 70 GIALLO'!$A$17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GIALLO'!$B$17:$R$17</c:f>
              <c:numCache>
                <c:formatCode>0.0</c:formatCode>
                <c:ptCount val="17"/>
                <c:pt idx="0">
                  <c:v>567.38823529411764</c:v>
                </c:pt>
                <c:pt idx="1">
                  <c:v>567.38823529411764</c:v>
                </c:pt>
                <c:pt idx="2">
                  <c:v>567.38823529411764</c:v>
                </c:pt>
                <c:pt idx="3">
                  <c:v>567.38823529411764</c:v>
                </c:pt>
                <c:pt idx="4">
                  <c:v>567.38823529411764</c:v>
                </c:pt>
                <c:pt idx="5">
                  <c:v>567.38823529411764</c:v>
                </c:pt>
                <c:pt idx="6">
                  <c:v>567.38823529411764</c:v>
                </c:pt>
                <c:pt idx="7">
                  <c:v>567.38823529411764</c:v>
                </c:pt>
                <c:pt idx="8">
                  <c:v>567.38823529411764</c:v>
                </c:pt>
                <c:pt idx="9">
                  <c:v>567.38823529411764</c:v>
                </c:pt>
                <c:pt idx="10">
                  <c:v>567.38823529411764</c:v>
                </c:pt>
                <c:pt idx="11">
                  <c:v>567.38823529411764</c:v>
                </c:pt>
                <c:pt idx="12">
                  <c:v>567.38823529411764</c:v>
                </c:pt>
                <c:pt idx="13">
                  <c:v>567.38823529411764</c:v>
                </c:pt>
                <c:pt idx="14">
                  <c:v>567.38823529411764</c:v>
                </c:pt>
                <c:pt idx="15">
                  <c:v>567.38823529411764</c:v>
                </c:pt>
                <c:pt idx="16">
                  <c:v>567.38823529411764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556-4E74-8952-64F9D3852FF3}"/>
            </c:ext>
          </c:extLst>
        </c:ser>
        <c:ser>
          <c:idx val="4"/>
          <c:order val="4"/>
          <c:tx>
            <c:strRef>
              <c:f>'SISTEMA 05 SINTAM 70 GIALLO'!$A$18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GIALLO'!$B$18:$R$18</c:f>
              <c:numCache>
                <c:formatCode>0.0</c:formatCode>
                <c:ptCount val="17"/>
                <c:pt idx="0">
                  <c:v>780.15882352941185</c:v>
                </c:pt>
                <c:pt idx="1">
                  <c:v>780.15882352941185</c:v>
                </c:pt>
                <c:pt idx="2">
                  <c:v>780.15882352941185</c:v>
                </c:pt>
                <c:pt idx="3">
                  <c:v>780.15882352941185</c:v>
                </c:pt>
                <c:pt idx="4">
                  <c:v>780.15882352941185</c:v>
                </c:pt>
                <c:pt idx="5">
                  <c:v>780.15882352941185</c:v>
                </c:pt>
                <c:pt idx="6">
                  <c:v>780.15882352941185</c:v>
                </c:pt>
                <c:pt idx="7">
                  <c:v>780.15882352941185</c:v>
                </c:pt>
                <c:pt idx="8">
                  <c:v>780.15882352941185</c:v>
                </c:pt>
                <c:pt idx="9">
                  <c:v>780.15882352941185</c:v>
                </c:pt>
                <c:pt idx="10">
                  <c:v>780.15882352941185</c:v>
                </c:pt>
                <c:pt idx="11">
                  <c:v>780.15882352941185</c:v>
                </c:pt>
                <c:pt idx="12">
                  <c:v>780.15882352941185</c:v>
                </c:pt>
                <c:pt idx="13">
                  <c:v>780.15882352941185</c:v>
                </c:pt>
                <c:pt idx="14">
                  <c:v>780.15882352941185</c:v>
                </c:pt>
                <c:pt idx="15">
                  <c:v>780.15882352941185</c:v>
                </c:pt>
                <c:pt idx="16">
                  <c:v>780.15882352941185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556-4E74-8952-64F9D3852FF3}"/>
            </c:ext>
          </c:extLst>
        </c:ser>
        <c:ser>
          <c:idx val="5"/>
          <c:order val="5"/>
          <c:tx>
            <c:strRef>
              <c:f>'SISTEMA 05 SINTAM 70 GIALLO'!$A$19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GIALLO'!$B$19:$R$19</c:f>
              <c:numCache>
                <c:formatCode>0.0</c:formatCode>
                <c:ptCount val="17"/>
                <c:pt idx="0">
                  <c:v>851.08235294117651</c:v>
                </c:pt>
                <c:pt idx="1">
                  <c:v>851.08235294117651</c:v>
                </c:pt>
                <c:pt idx="2">
                  <c:v>851.08235294117651</c:v>
                </c:pt>
                <c:pt idx="3">
                  <c:v>851.08235294117651</c:v>
                </c:pt>
                <c:pt idx="4">
                  <c:v>851.08235294117651</c:v>
                </c:pt>
                <c:pt idx="5">
                  <c:v>851.08235294117651</c:v>
                </c:pt>
                <c:pt idx="6">
                  <c:v>851.08235294117651</c:v>
                </c:pt>
                <c:pt idx="7">
                  <c:v>851.08235294117651</c:v>
                </c:pt>
                <c:pt idx="8">
                  <c:v>851.08235294117651</c:v>
                </c:pt>
                <c:pt idx="9">
                  <c:v>851.08235294117651</c:v>
                </c:pt>
                <c:pt idx="10">
                  <c:v>851.08235294117651</c:v>
                </c:pt>
                <c:pt idx="11">
                  <c:v>851.08235294117651</c:v>
                </c:pt>
                <c:pt idx="12">
                  <c:v>851.08235294117651</c:v>
                </c:pt>
                <c:pt idx="13">
                  <c:v>851.08235294117651</c:v>
                </c:pt>
                <c:pt idx="14">
                  <c:v>851.08235294117651</c:v>
                </c:pt>
                <c:pt idx="15">
                  <c:v>851.08235294117651</c:v>
                </c:pt>
                <c:pt idx="16">
                  <c:v>851.08235294117651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556-4E74-8952-64F9D3852F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2984704"/>
        <c:axId val="182986240"/>
      </c:lineChart>
      <c:catAx>
        <c:axId val="18298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86240"/>
        <c:crosses val="autoZero"/>
        <c:auto val="1"/>
        <c:lblAlgn val="ctr"/>
        <c:lblOffset val="100"/>
        <c:noMultiLvlLbl val="0"/>
      </c:catAx>
      <c:valAx>
        <c:axId val="182986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2984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B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GIALLO'!$B$21:$R$21</c:f>
              <c:numCache>
                <c:formatCode>General</c:formatCode>
                <c:ptCount val="17"/>
                <c:pt idx="0">
                  <c:v>44</c:v>
                </c:pt>
                <c:pt idx="1">
                  <c:v>45</c:v>
                </c:pt>
                <c:pt idx="2">
                  <c:v>45</c:v>
                </c:pt>
                <c:pt idx="3">
                  <c:v>53</c:v>
                </c:pt>
                <c:pt idx="4">
                  <c:v>54</c:v>
                </c:pt>
                <c:pt idx="5">
                  <c:v>41</c:v>
                </c:pt>
                <c:pt idx="6">
                  <c:v>48</c:v>
                </c:pt>
                <c:pt idx="7">
                  <c:v>40</c:v>
                </c:pt>
                <c:pt idx="8">
                  <c:v>46</c:v>
                </c:pt>
                <c:pt idx="9">
                  <c:v>63</c:v>
                </c:pt>
                <c:pt idx="10">
                  <c:v>42</c:v>
                </c:pt>
                <c:pt idx="11">
                  <c:v>43</c:v>
                </c:pt>
                <c:pt idx="12">
                  <c:v>38</c:v>
                </c:pt>
                <c:pt idx="13">
                  <c:v>51</c:v>
                </c:pt>
                <c:pt idx="14">
                  <c:v>37</c:v>
                </c:pt>
                <c:pt idx="15">
                  <c:v>38</c:v>
                </c:pt>
                <c:pt idx="16">
                  <c:v>37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D1C-4B0A-B40A-FBF00133C393}"/>
            </c:ext>
          </c:extLst>
        </c:ser>
        <c:ser>
          <c:idx val="1"/>
          <c:order val="1"/>
          <c:tx>
            <c:strRef>
              <c:f>'SISTEMA 05 SINTAM 70 GIALLO'!$A$22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GIALLO'!$B$22:$R$22</c:f>
              <c:numCache>
                <c:formatCode>0.0</c:formatCode>
                <c:ptCount val="17"/>
                <c:pt idx="0">
                  <c:v>45</c:v>
                </c:pt>
                <c:pt idx="1">
                  <c:v>45</c:v>
                </c:pt>
                <c:pt idx="2">
                  <c:v>45</c:v>
                </c:pt>
                <c:pt idx="3">
                  <c:v>45</c:v>
                </c:pt>
                <c:pt idx="4">
                  <c:v>45</c:v>
                </c:pt>
                <c:pt idx="5">
                  <c:v>45</c:v>
                </c:pt>
                <c:pt idx="6">
                  <c:v>45</c:v>
                </c:pt>
                <c:pt idx="7">
                  <c:v>45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80-4664-8FCD-68DA534A4EA9}"/>
            </c:ext>
          </c:extLst>
        </c:ser>
        <c:ser>
          <c:idx val="2"/>
          <c:order val="2"/>
          <c:tx>
            <c:strRef>
              <c:f>'SISTEMA 05 SINTAM 70 GIALLO'!$A$23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GIALLO'!$B$23:$R$23</c:f>
              <c:numCache>
                <c:formatCode>0.0</c:formatCode>
                <c:ptCount val="17"/>
                <c:pt idx="0">
                  <c:v>40.5</c:v>
                </c:pt>
                <c:pt idx="1">
                  <c:v>40.5</c:v>
                </c:pt>
                <c:pt idx="2">
                  <c:v>40.5</c:v>
                </c:pt>
                <c:pt idx="3">
                  <c:v>40.5</c:v>
                </c:pt>
                <c:pt idx="4">
                  <c:v>40.5</c:v>
                </c:pt>
                <c:pt idx="5">
                  <c:v>40.5</c:v>
                </c:pt>
                <c:pt idx="6">
                  <c:v>40.5</c:v>
                </c:pt>
                <c:pt idx="7">
                  <c:v>40.5</c:v>
                </c:pt>
                <c:pt idx="8">
                  <c:v>40.5</c:v>
                </c:pt>
                <c:pt idx="9">
                  <c:v>40.5</c:v>
                </c:pt>
                <c:pt idx="10">
                  <c:v>40.5</c:v>
                </c:pt>
                <c:pt idx="11">
                  <c:v>40.5</c:v>
                </c:pt>
                <c:pt idx="12">
                  <c:v>40.5</c:v>
                </c:pt>
                <c:pt idx="13">
                  <c:v>40.5</c:v>
                </c:pt>
                <c:pt idx="14">
                  <c:v>40.5</c:v>
                </c:pt>
                <c:pt idx="15">
                  <c:v>40.5</c:v>
                </c:pt>
                <c:pt idx="16">
                  <c:v>40.5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F80-4664-8FCD-68DA534A4EA9}"/>
            </c:ext>
          </c:extLst>
        </c:ser>
        <c:ser>
          <c:idx val="3"/>
          <c:order val="3"/>
          <c:tx>
            <c:strRef>
              <c:f>'SISTEMA 05 SINTAM 70 GIALLO'!$A$24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GIALLO'!$B$24:$R$24</c:f>
              <c:numCache>
                <c:formatCode>0.0</c:formatCode>
                <c:ptCount val="17"/>
                <c:pt idx="0">
                  <c:v>49.55</c:v>
                </c:pt>
                <c:pt idx="1">
                  <c:v>49.55</c:v>
                </c:pt>
                <c:pt idx="2">
                  <c:v>49.55</c:v>
                </c:pt>
                <c:pt idx="3">
                  <c:v>49.55</c:v>
                </c:pt>
                <c:pt idx="4">
                  <c:v>49.55</c:v>
                </c:pt>
                <c:pt idx="5">
                  <c:v>49.55</c:v>
                </c:pt>
                <c:pt idx="6">
                  <c:v>49.55</c:v>
                </c:pt>
                <c:pt idx="7">
                  <c:v>49.55</c:v>
                </c:pt>
                <c:pt idx="8">
                  <c:v>49.55</c:v>
                </c:pt>
                <c:pt idx="9">
                  <c:v>49.55</c:v>
                </c:pt>
                <c:pt idx="10">
                  <c:v>49.55</c:v>
                </c:pt>
                <c:pt idx="11">
                  <c:v>49.55</c:v>
                </c:pt>
                <c:pt idx="12">
                  <c:v>49.55</c:v>
                </c:pt>
                <c:pt idx="13">
                  <c:v>49.55</c:v>
                </c:pt>
                <c:pt idx="14">
                  <c:v>49.55</c:v>
                </c:pt>
                <c:pt idx="15">
                  <c:v>49.55</c:v>
                </c:pt>
                <c:pt idx="16">
                  <c:v>49.55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F80-4664-8FCD-68DA534A4EA9}"/>
            </c:ext>
          </c:extLst>
        </c:ser>
        <c:ser>
          <c:idx val="4"/>
          <c:order val="4"/>
          <c:tx>
            <c:strRef>
              <c:f>'SISTEMA 05 SINTAM 70 GIALLO'!$A$25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GIALLO'!$B$25:$R$25</c:f>
              <c:numCache>
                <c:formatCode>0.0</c:formatCode>
                <c:ptCount val="17"/>
                <c:pt idx="0">
                  <c:v>36</c:v>
                </c:pt>
                <c:pt idx="1">
                  <c:v>36</c:v>
                </c:pt>
                <c:pt idx="2">
                  <c:v>36</c:v>
                </c:pt>
                <c:pt idx="3">
                  <c:v>36</c:v>
                </c:pt>
                <c:pt idx="4">
                  <c:v>36</c:v>
                </c:pt>
                <c:pt idx="5">
                  <c:v>36</c:v>
                </c:pt>
                <c:pt idx="6">
                  <c:v>36</c:v>
                </c:pt>
                <c:pt idx="7">
                  <c:v>36</c:v>
                </c:pt>
                <c:pt idx="8">
                  <c:v>36</c:v>
                </c:pt>
                <c:pt idx="9">
                  <c:v>36</c:v>
                </c:pt>
                <c:pt idx="10">
                  <c:v>36</c:v>
                </c:pt>
                <c:pt idx="11">
                  <c:v>36</c:v>
                </c:pt>
                <c:pt idx="12">
                  <c:v>36</c:v>
                </c:pt>
                <c:pt idx="13">
                  <c:v>36</c:v>
                </c:pt>
                <c:pt idx="14">
                  <c:v>36</c:v>
                </c:pt>
                <c:pt idx="15">
                  <c:v>36</c:v>
                </c:pt>
                <c:pt idx="16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A9-4EE4-ADD0-8C3A2D8EA85F}"/>
            </c:ext>
          </c:extLst>
        </c:ser>
        <c:ser>
          <c:idx val="5"/>
          <c:order val="5"/>
          <c:tx>
            <c:strRef>
              <c:f>'SISTEMA 05 SINTAM 70 GIALLO'!$A$26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GIALLO'!$B$26:$R$26</c:f>
              <c:numCache>
                <c:formatCode>0.0</c:formatCode>
                <c:ptCount val="17"/>
                <c:pt idx="0">
                  <c:v>54.1</c:v>
                </c:pt>
                <c:pt idx="1">
                  <c:v>54.1</c:v>
                </c:pt>
                <c:pt idx="2">
                  <c:v>54.1</c:v>
                </c:pt>
                <c:pt idx="3">
                  <c:v>54.1</c:v>
                </c:pt>
                <c:pt idx="4">
                  <c:v>54.1</c:v>
                </c:pt>
                <c:pt idx="5">
                  <c:v>54.1</c:v>
                </c:pt>
                <c:pt idx="6">
                  <c:v>54.1</c:v>
                </c:pt>
                <c:pt idx="7">
                  <c:v>54.1</c:v>
                </c:pt>
                <c:pt idx="8">
                  <c:v>54.1</c:v>
                </c:pt>
                <c:pt idx="9">
                  <c:v>54.1</c:v>
                </c:pt>
                <c:pt idx="10">
                  <c:v>54.1</c:v>
                </c:pt>
                <c:pt idx="11">
                  <c:v>54.1</c:v>
                </c:pt>
                <c:pt idx="12">
                  <c:v>54.1</c:v>
                </c:pt>
                <c:pt idx="13">
                  <c:v>54.1</c:v>
                </c:pt>
                <c:pt idx="14">
                  <c:v>54.1</c:v>
                </c:pt>
                <c:pt idx="15">
                  <c:v>54.1</c:v>
                </c:pt>
                <c:pt idx="16">
                  <c:v>54.1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A9-4EE4-ADD0-8C3A2D8EA85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031296"/>
        <c:axId val="183032832"/>
      </c:lineChart>
      <c:catAx>
        <c:axId val="183031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32832"/>
        <c:crosses val="autoZero"/>
        <c:auto val="1"/>
        <c:lblAlgn val="ctr"/>
        <c:lblOffset val="100"/>
        <c:noMultiLvlLbl val="0"/>
      </c:catAx>
      <c:valAx>
        <c:axId val="18303283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03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C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6.1926325617766391E-2"/>
          <c:y val="0.16745551614468113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GIALLO'!$B$28:$R$28</c:f>
              <c:numCache>
                <c:formatCode>General</c:formatCode>
                <c:ptCount val="17"/>
                <c:pt idx="0">
                  <c:v>53</c:v>
                </c:pt>
                <c:pt idx="1">
                  <c:v>54</c:v>
                </c:pt>
                <c:pt idx="2">
                  <c:v>54</c:v>
                </c:pt>
                <c:pt idx="3">
                  <c:v>57</c:v>
                </c:pt>
                <c:pt idx="4">
                  <c:v>55</c:v>
                </c:pt>
                <c:pt idx="5">
                  <c:v>50</c:v>
                </c:pt>
                <c:pt idx="6">
                  <c:v>54</c:v>
                </c:pt>
                <c:pt idx="7">
                  <c:v>50</c:v>
                </c:pt>
                <c:pt idx="8">
                  <c:v>57</c:v>
                </c:pt>
                <c:pt idx="9">
                  <c:v>58</c:v>
                </c:pt>
                <c:pt idx="10">
                  <c:v>51</c:v>
                </c:pt>
                <c:pt idx="11">
                  <c:v>55</c:v>
                </c:pt>
                <c:pt idx="12">
                  <c:v>51</c:v>
                </c:pt>
                <c:pt idx="13">
                  <c:v>58</c:v>
                </c:pt>
                <c:pt idx="14">
                  <c:v>52</c:v>
                </c:pt>
                <c:pt idx="15">
                  <c:v>53</c:v>
                </c:pt>
                <c:pt idx="16">
                  <c:v>56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935-4651-91E6-CFA963DDD2AE}"/>
            </c:ext>
          </c:extLst>
        </c:ser>
        <c:ser>
          <c:idx val="1"/>
          <c:order val="1"/>
          <c:tx>
            <c:strRef>
              <c:f>'SISTEMA 05 SINTAM 70 GIALLO'!$A$29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GIALLO'!$B$29:$R$29</c:f>
              <c:numCache>
                <c:formatCode>0.0</c:formatCode>
                <c:ptCount val="17"/>
                <c:pt idx="0">
                  <c:v>54</c:v>
                </c:pt>
                <c:pt idx="1">
                  <c:v>54</c:v>
                </c:pt>
                <c:pt idx="2">
                  <c:v>54</c:v>
                </c:pt>
                <c:pt idx="3">
                  <c:v>54</c:v>
                </c:pt>
                <c:pt idx="4">
                  <c:v>54</c:v>
                </c:pt>
                <c:pt idx="5">
                  <c:v>54</c:v>
                </c:pt>
                <c:pt idx="6">
                  <c:v>54</c:v>
                </c:pt>
                <c:pt idx="7">
                  <c:v>54</c:v>
                </c:pt>
                <c:pt idx="8">
                  <c:v>54</c:v>
                </c:pt>
                <c:pt idx="9">
                  <c:v>54</c:v>
                </c:pt>
                <c:pt idx="10">
                  <c:v>54</c:v>
                </c:pt>
                <c:pt idx="11">
                  <c:v>54</c:v>
                </c:pt>
                <c:pt idx="12">
                  <c:v>54</c:v>
                </c:pt>
                <c:pt idx="13">
                  <c:v>54</c:v>
                </c:pt>
                <c:pt idx="14">
                  <c:v>54</c:v>
                </c:pt>
                <c:pt idx="15">
                  <c:v>54</c:v>
                </c:pt>
                <c:pt idx="16">
                  <c:v>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BA-44C4-BFF7-FBE371BE6BAE}"/>
            </c:ext>
          </c:extLst>
        </c:ser>
        <c:ser>
          <c:idx val="2"/>
          <c:order val="2"/>
          <c:tx>
            <c:strRef>
              <c:f>'SISTEMA 05 SINTAM 70 GIALLO'!$A$30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GIALLO'!$B$30:$R$30</c:f>
              <c:numCache>
                <c:formatCode>0.0</c:formatCode>
                <c:ptCount val="17"/>
                <c:pt idx="0">
                  <c:v>48.6</c:v>
                </c:pt>
                <c:pt idx="1">
                  <c:v>48.6</c:v>
                </c:pt>
                <c:pt idx="2">
                  <c:v>48.6</c:v>
                </c:pt>
                <c:pt idx="3">
                  <c:v>48.6</c:v>
                </c:pt>
                <c:pt idx="4">
                  <c:v>48.6</c:v>
                </c:pt>
                <c:pt idx="5">
                  <c:v>48.6</c:v>
                </c:pt>
                <c:pt idx="6">
                  <c:v>48.6</c:v>
                </c:pt>
                <c:pt idx="7">
                  <c:v>48.6</c:v>
                </c:pt>
                <c:pt idx="8">
                  <c:v>48.6</c:v>
                </c:pt>
                <c:pt idx="9">
                  <c:v>48.6</c:v>
                </c:pt>
                <c:pt idx="10">
                  <c:v>48.6</c:v>
                </c:pt>
                <c:pt idx="11">
                  <c:v>48.6</c:v>
                </c:pt>
                <c:pt idx="12">
                  <c:v>48.6</c:v>
                </c:pt>
                <c:pt idx="13">
                  <c:v>48.6</c:v>
                </c:pt>
                <c:pt idx="14">
                  <c:v>48.6</c:v>
                </c:pt>
                <c:pt idx="15">
                  <c:v>48.6</c:v>
                </c:pt>
                <c:pt idx="16">
                  <c:v>48.6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A-44C4-BFF7-FBE371BE6BAE}"/>
            </c:ext>
          </c:extLst>
        </c:ser>
        <c:ser>
          <c:idx val="3"/>
          <c:order val="3"/>
          <c:tx>
            <c:strRef>
              <c:f>'SISTEMA 05 SINTAM 70 GIALLO'!$A$31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GIALLO'!$B$31:$R$31</c:f>
              <c:numCache>
                <c:formatCode>0.0</c:formatCode>
                <c:ptCount val="17"/>
                <c:pt idx="0">
                  <c:v>59.387500000000003</c:v>
                </c:pt>
                <c:pt idx="1">
                  <c:v>59.387500000000003</c:v>
                </c:pt>
                <c:pt idx="2">
                  <c:v>59.387500000000003</c:v>
                </c:pt>
                <c:pt idx="3">
                  <c:v>59.387500000000003</c:v>
                </c:pt>
                <c:pt idx="4">
                  <c:v>59.387500000000003</c:v>
                </c:pt>
                <c:pt idx="5">
                  <c:v>59.387500000000003</c:v>
                </c:pt>
                <c:pt idx="6">
                  <c:v>59.387500000000003</c:v>
                </c:pt>
                <c:pt idx="7">
                  <c:v>59.387500000000003</c:v>
                </c:pt>
                <c:pt idx="8">
                  <c:v>59.387500000000003</c:v>
                </c:pt>
                <c:pt idx="9">
                  <c:v>59.387500000000003</c:v>
                </c:pt>
                <c:pt idx="10">
                  <c:v>59.387500000000003</c:v>
                </c:pt>
                <c:pt idx="11">
                  <c:v>59.387500000000003</c:v>
                </c:pt>
                <c:pt idx="12">
                  <c:v>59.387500000000003</c:v>
                </c:pt>
                <c:pt idx="13">
                  <c:v>59.387500000000003</c:v>
                </c:pt>
                <c:pt idx="14">
                  <c:v>59.387500000000003</c:v>
                </c:pt>
                <c:pt idx="15">
                  <c:v>59.387500000000003</c:v>
                </c:pt>
                <c:pt idx="16">
                  <c:v>59.387500000000003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A-44C4-BFF7-FBE371BE6BAE}"/>
            </c:ext>
          </c:extLst>
        </c:ser>
        <c:ser>
          <c:idx val="4"/>
          <c:order val="4"/>
          <c:tx>
            <c:strRef>
              <c:f>'SISTEMA 05 SINTAM 70 GIALLO'!$A$32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GIALLO'!$B$32:$R$32</c:f>
              <c:numCache>
                <c:formatCode>0.0</c:formatCode>
                <c:ptCount val="17"/>
                <c:pt idx="0">
                  <c:v>43.2</c:v>
                </c:pt>
                <c:pt idx="1">
                  <c:v>43.2</c:v>
                </c:pt>
                <c:pt idx="2">
                  <c:v>43.2</c:v>
                </c:pt>
                <c:pt idx="3">
                  <c:v>43.2</c:v>
                </c:pt>
                <c:pt idx="4">
                  <c:v>43.2</c:v>
                </c:pt>
                <c:pt idx="5">
                  <c:v>43.2</c:v>
                </c:pt>
                <c:pt idx="6">
                  <c:v>43.2</c:v>
                </c:pt>
                <c:pt idx="7">
                  <c:v>43.2</c:v>
                </c:pt>
                <c:pt idx="8">
                  <c:v>43.2</c:v>
                </c:pt>
                <c:pt idx="9">
                  <c:v>43.2</c:v>
                </c:pt>
                <c:pt idx="10">
                  <c:v>43.2</c:v>
                </c:pt>
                <c:pt idx="11">
                  <c:v>43.2</c:v>
                </c:pt>
                <c:pt idx="12">
                  <c:v>43.2</c:v>
                </c:pt>
                <c:pt idx="13">
                  <c:v>43.2</c:v>
                </c:pt>
                <c:pt idx="14">
                  <c:v>43.2</c:v>
                </c:pt>
                <c:pt idx="15">
                  <c:v>43.2</c:v>
                </c:pt>
                <c:pt idx="16">
                  <c:v>43.2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FA4-4145-87DD-5E197285B28B}"/>
            </c:ext>
          </c:extLst>
        </c:ser>
        <c:ser>
          <c:idx val="5"/>
          <c:order val="5"/>
          <c:tx>
            <c:strRef>
              <c:f>'SISTEMA 05 SINTAM 70 GIALLO'!$A$33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GIALLO'!$B$33:$R$33</c:f>
              <c:numCache>
                <c:formatCode>0.0</c:formatCode>
                <c:ptCount val="17"/>
                <c:pt idx="0">
                  <c:v>64.775000000000006</c:v>
                </c:pt>
                <c:pt idx="1">
                  <c:v>64.775000000000006</c:v>
                </c:pt>
                <c:pt idx="2">
                  <c:v>64.775000000000006</c:v>
                </c:pt>
                <c:pt idx="3">
                  <c:v>64.775000000000006</c:v>
                </c:pt>
                <c:pt idx="4">
                  <c:v>64.775000000000006</c:v>
                </c:pt>
                <c:pt idx="5">
                  <c:v>64.775000000000006</c:v>
                </c:pt>
                <c:pt idx="6">
                  <c:v>64.775000000000006</c:v>
                </c:pt>
                <c:pt idx="7">
                  <c:v>64.775000000000006</c:v>
                </c:pt>
                <c:pt idx="8">
                  <c:v>64.775000000000006</c:v>
                </c:pt>
                <c:pt idx="9">
                  <c:v>64.775000000000006</c:v>
                </c:pt>
                <c:pt idx="10">
                  <c:v>64.775000000000006</c:v>
                </c:pt>
                <c:pt idx="11">
                  <c:v>64.775000000000006</c:v>
                </c:pt>
                <c:pt idx="12">
                  <c:v>64.775000000000006</c:v>
                </c:pt>
                <c:pt idx="13">
                  <c:v>64.775000000000006</c:v>
                </c:pt>
                <c:pt idx="14">
                  <c:v>64.775000000000006</c:v>
                </c:pt>
                <c:pt idx="15">
                  <c:v>64.775000000000006</c:v>
                </c:pt>
                <c:pt idx="16">
                  <c:v>64.775000000000006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FA4-4145-87DD-5E197285B28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118080"/>
        <c:axId val="183132160"/>
      </c:lineChart>
      <c:catAx>
        <c:axId val="183118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132160"/>
        <c:crosses val="autoZero"/>
        <c:auto val="1"/>
        <c:lblAlgn val="ctr"/>
        <c:lblOffset val="100"/>
        <c:noMultiLvlLbl val="0"/>
      </c:catAx>
      <c:valAx>
        <c:axId val="1831321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1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ABRASIONE [mg]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05 SINTAM 70 GIALLO'!$A$35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GIALLO'!$B$35:$R$35</c:f>
              <c:numCache>
                <c:formatCode>General</c:formatCode>
                <c:ptCount val="17"/>
                <c:pt idx="0">
                  <c:v>18</c:v>
                </c:pt>
                <c:pt idx="1">
                  <c:v>20</c:v>
                </c:pt>
                <c:pt idx="2">
                  <c:v>15</c:v>
                </c:pt>
                <c:pt idx="3">
                  <c:v>28</c:v>
                </c:pt>
                <c:pt idx="4">
                  <c:v>15</c:v>
                </c:pt>
                <c:pt idx="5">
                  <c:v>14</c:v>
                </c:pt>
                <c:pt idx="6">
                  <c:v>10</c:v>
                </c:pt>
                <c:pt idx="7">
                  <c:v>11</c:v>
                </c:pt>
                <c:pt idx="8">
                  <c:v>12</c:v>
                </c:pt>
                <c:pt idx="9">
                  <c:v>19</c:v>
                </c:pt>
                <c:pt idx="10">
                  <c:v>14</c:v>
                </c:pt>
                <c:pt idx="11">
                  <c:v>16</c:v>
                </c:pt>
                <c:pt idx="12">
                  <c:v>17</c:v>
                </c:pt>
                <c:pt idx="13">
                  <c:v>16</c:v>
                </c:pt>
                <c:pt idx="14">
                  <c:v>19</c:v>
                </c:pt>
                <c:pt idx="15">
                  <c:v>8</c:v>
                </c:pt>
                <c:pt idx="16">
                  <c:v>22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F3C0-41A7-9BDA-BA02DBF5C46F}"/>
            </c:ext>
          </c:extLst>
        </c:ser>
        <c:ser>
          <c:idx val="1"/>
          <c:order val="1"/>
          <c:tx>
            <c:strRef>
              <c:f>'SISTEMA 05 SINTAM 70 GIALLO'!$A$36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GIALLO'!$B$36:$R$36</c:f>
              <c:numCache>
                <c:formatCode>0.0</c:formatCode>
                <c:ptCount val="17"/>
                <c:pt idx="0">
                  <c:v>16.117647058823529</c:v>
                </c:pt>
                <c:pt idx="1">
                  <c:v>16.117647058823529</c:v>
                </c:pt>
                <c:pt idx="2">
                  <c:v>16.117647058823529</c:v>
                </c:pt>
                <c:pt idx="3">
                  <c:v>16.117647058823529</c:v>
                </c:pt>
                <c:pt idx="4">
                  <c:v>16.117647058823529</c:v>
                </c:pt>
                <c:pt idx="5">
                  <c:v>16.117647058823529</c:v>
                </c:pt>
                <c:pt idx="6">
                  <c:v>16.117647058823529</c:v>
                </c:pt>
                <c:pt idx="7">
                  <c:v>16.117647058823529</c:v>
                </c:pt>
                <c:pt idx="8">
                  <c:v>16.117647058823529</c:v>
                </c:pt>
                <c:pt idx="9">
                  <c:v>16.117647058823529</c:v>
                </c:pt>
                <c:pt idx="10">
                  <c:v>16.117647058823529</c:v>
                </c:pt>
                <c:pt idx="11">
                  <c:v>16.117647058823529</c:v>
                </c:pt>
                <c:pt idx="12">
                  <c:v>16.117647058823529</c:v>
                </c:pt>
                <c:pt idx="13">
                  <c:v>16.117647058823529</c:v>
                </c:pt>
                <c:pt idx="14">
                  <c:v>16.117647058823529</c:v>
                </c:pt>
                <c:pt idx="15">
                  <c:v>16.117647058823529</c:v>
                </c:pt>
                <c:pt idx="16">
                  <c:v>16.117647058823529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B6-4473-9B78-6C09D1E75497}"/>
            </c:ext>
          </c:extLst>
        </c:ser>
        <c:ser>
          <c:idx val="2"/>
          <c:order val="2"/>
          <c:tx>
            <c:strRef>
              <c:f>'SISTEMA 05 SINTAM 70 GIALLO'!$A$37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GIALLO'!$B$37:$R$37</c:f>
              <c:numCache>
                <c:formatCode>0.0</c:formatCode>
                <c:ptCount val="17"/>
                <c:pt idx="0">
                  <c:v>14.505882352941175</c:v>
                </c:pt>
                <c:pt idx="1">
                  <c:v>14.505882352941175</c:v>
                </c:pt>
                <c:pt idx="2">
                  <c:v>14.505882352941175</c:v>
                </c:pt>
                <c:pt idx="3">
                  <c:v>14.505882352941175</c:v>
                </c:pt>
                <c:pt idx="4">
                  <c:v>14.505882352941175</c:v>
                </c:pt>
                <c:pt idx="5">
                  <c:v>14.505882352941175</c:v>
                </c:pt>
                <c:pt idx="6">
                  <c:v>14.505882352941175</c:v>
                </c:pt>
                <c:pt idx="7">
                  <c:v>14.505882352941175</c:v>
                </c:pt>
                <c:pt idx="8">
                  <c:v>14.505882352941175</c:v>
                </c:pt>
                <c:pt idx="9">
                  <c:v>14.505882352941175</c:v>
                </c:pt>
                <c:pt idx="10">
                  <c:v>14.505882352941175</c:v>
                </c:pt>
                <c:pt idx="11">
                  <c:v>14.505882352941175</c:v>
                </c:pt>
                <c:pt idx="12">
                  <c:v>14.505882352941175</c:v>
                </c:pt>
                <c:pt idx="13">
                  <c:v>14.505882352941175</c:v>
                </c:pt>
                <c:pt idx="14">
                  <c:v>14.505882352941175</c:v>
                </c:pt>
                <c:pt idx="15">
                  <c:v>14.505882352941175</c:v>
                </c:pt>
                <c:pt idx="16">
                  <c:v>14.505882352941175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1B6-4473-9B78-6C09D1E75497}"/>
            </c:ext>
          </c:extLst>
        </c:ser>
        <c:ser>
          <c:idx val="3"/>
          <c:order val="3"/>
          <c:tx>
            <c:strRef>
              <c:f>'SISTEMA 05 SINTAM 70 GIALLO'!$A$38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GIALLO'!$B$38:$R$38</c:f>
              <c:numCache>
                <c:formatCode>0.0</c:formatCode>
                <c:ptCount val="17"/>
                <c:pt idx="0">
                  <c:v>17.729411764705883</c:v>
                </c:pt>
                <c:pt idx="1">
                  <c:v>17.729411764705883</c:v>
                </c:pt>
                <c:pt idx="2">
                  <c:v>17.729411764705883</c:v>
                </c:pt>
                <c:pt idx="3">
                  <c:v>17.729411764705883</c:v>
                </c:pt>
                <c:pt idx="4">
                  <c:v>17.729411764705883</c:v>
                </c:pt>
                <c:pt idx="5">
                  <c:v>17.729411764705883</c:v>
                </c:pt>
                <c:pt idx="6">
                  <c:v>17.729411764705883</c:v>
                </c:pt>
                <c:pt idx="7">
                  <c:v>17.729411764705883</c:v>
                </c:pt>
                <c:pt idx="8">
                  <c:v>17.729411764705883</c:v>
                </c:pt>
                <c:pt idx="9">
                  <c:v>17.729411764705883</c:v>
                </c:pt>
                <c:pt idx="10">
                  <c:v>17.729411764705883</c:v>
                </c:pt>
                <c:pt idx="11">
                  <c:v>17.729411764705883</c:v>
                </c:pt>
                <c:pt idx="12">
                  <c:v>17.729411764705883</c:v>
                </c:pt>
                <c:pt idx="13">
                  <c:v>17.729411764705883</c:v>
                </c:pt>
                <c:pt idx="14">
                  <c:v>17.729411764705883</c:v>
                </c:pt>
                <c:pt idx="15">
                  <c:v>17.729411764705883</c:v>
                </c:pt>
                <c:pt idx="16">
                  <c:v>17.729411764705883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B6-4473-9B78-6C09D1E75497}"/>
            </c:ext>
          </c:extLst>
        </c:ser>
        <c:ser>
          <c:idx val="4"/>
          <c:order val="4"/>
          <c:tx>
            <c:strRef>
              <c:f>'SISTEMA 05 SINTAM 70 GIALLO'!$A$39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GIALLO'!$B$39:$R$39</c:f>
              <c:numCache>
                <c:formatCode>0.0</c:formatCode>
                <c:ptCount val="17"/>
                <c:pt idx="0">
                  <c:v>12.894117647058822</c:v>
                </c:pt>
                <c:pt idx="1">
                  <c:v>12.894117647058822</c:v>
                </c:pt>
                <c:pt idx="2">
                  <c:v>12.894117647058822</c:v>
                </c:pt>
                <c:pt idx="3">
                  <c:v>12.894117647058822</c:v>
                </c:pt>
                <c:pt idx="4">
                  <c:v>12.894117647058822</c:v>
                </c:pt>
                <c:pt idx="5">
                  <c:v>12.894117647058822</c:v>
                </c:pt>
                <c:pt idx="6">
                  <c:v>12.894117647058822</c:v>
                </c:pt>
                <c:pt idx="7">
                  <c:v>12.894117647058822</c:v>
                </c:pt>
                <c:pt idx="8">
                  <c:v>12.894117647058822</c:v>
                </c:pt>
                <c:pt idx="9">
                  <c:v>12.894117647058822</c:v>
                </c:pt>
                <c:pt idx="10">
                  <c:v>12.894117647058822</c:v>
                </c:pt>
                <c:pt idx="11">
                  <c:v>12.894117647058822</c:v>
                </c:pt>
                <c:pt idx="12">
                  <c:v>12.894117647058822</c:v>
                </c:pt>
                <c:pt idx="13">
                  <c:v>12.894117647058822</c:v>
                </c:pt>
                <c:pt idx="14">
                  <c:v>12.894117647058822</c:v>
                </c:pt>
                <c:pt idx="15">
                  <c:v>12.894117647058822</c:v>
                </c:pt>
                <c:pt idx="16">
                  <c:v>12.894117647058822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86-4CFC-AC25-E1536D7AF1C5}"/>
            </c:ext>
          </c:extLst>
        </c:ser>
        <c:ser>
          <c:idx val="5"/>
          <c:order val="5"/>
          <c:tx>
            <c:strRef>
              <c:f>'SISTEMA 05 SINTAM 70 GIALLO'!$A$40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05 SINTAM 70 GIALLO'!$B$1:$R$1</c:f>
              <c:strCache>
                <c:ptCount val="17"/>
                <c:pt idx="0">
                  <c:v>10/12/2020</c:v>
                </c:pt>
                <c:pt idx="1">
                  <c:v>24/02/2021</c:v>
                </c:pt>
                <c:pt idx="2">
                  <c:v>27/04/2021</c:v>
                </c:pt>
                <c:pt idx="3">
                  <c:v>20/07/2021</c:v>
                </c:pt>
                <c:pt idx="4">
                  <c:v>05/11/2021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05 SINTAM 70 GIALLO'!$B$40:$R$40</c:f>
              <c:numCache>
                <c:formatCode>0.0</c:formatCode>
                <c:ptCount val="17"/>
                <c:pt idx="0">
                  <c:v>19.341176470588234</c:v>
                </c:pt>
                <c:pt idx="1">
                  <c:v>19.341176470588234</c:v>
                </c:pt>
                <c:pt idx="2">
                  <c:v>19.341176470588234</c:v>
                </c:pt>
                <c:pt idx="3">
                  <c:v>19.341176470588234</c:v>
                </c:pt>
                <c:pt idx="4">
                  <c:v>19.341176470588234</c:v>
                </c:pt>
                <c:pt idx="5">
                  <c:v>19.341176470588234</c:v>
                </c:pt>
                <c:pt idx="6">
                  <c:v>19.341176470588234</c:v>
                </c:pt>
                <c:pt idx="7">
                  <c:v>19.341176470588234</c:v>
                </c:pt>
                <c:pt idx="8">
                  <c:v>19.341176470588234</c:v>
                </c:pt>
                <c:pt idx="9">
                  <c:v>19.341176470588234</c:v>
                </c:pt>
                <c:pt idx="10">
                  <c:v>19.341176470588234</c:v>
                </c:pt>
                <c:pt idx="11">
                  <c:v>19.341176470588234</c:v>
                </c:pt>
                <c:pt idx="12">
                  <c:v>19.341176470588234</c:v>
                </c:pt>
                <c:pt idx="13">
                  <c:v>19.341176470588234</c:v>
                </c:pt>
                <c:pt idx="14">
                  <c:v>19.341176470588234</c:v>
                </c:pt>
                <c:pt idx="15">
                  <c:v>19.341176470588234</c:v>
                </c:pt>
                <c:pt idx="16">
                  <c:v>19.341176470588234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86-4CFC-AC25-E1536D7AF1C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259136"/>
        <c:axId val="183260672"/>
      </c:lineChart>
      <c:catAx>
        <c:axId val="18325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60672"/>
        <c:crosses val="max"/>
        <c:auto val="1"/>
        <c:lblAlgn val="ctr"/>
        <c:lblOffset val="100"/>
        <c:noMultiLvlLbl val="0"/>
      </c:catAx>
      <c:valAx>
        <c:axId val="183260672"/>
        <c:scaling>
          <c:orientation val="maxMin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25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AS'!$B$2:$R$2</c:f>
              <c:numCache>
                <c:formatCode>General</c:formatCode>
                <c:ptCount val="17"/>
                <c:pt idx="0">
                  <c:v>78</c:v>
                </c:pt>
                <c:pt idx="1">
                  <c:v>74</c:v>
                </c:pt>
                <c:pt idx="2">
                  <c:v>75</c:v>
                </c:pt>
                <c:pt idx="3">
                  <c:v>75</c:v>
                </c:pt>
                <c:pt idx="4">
                  <c:v>72</c:v>
                </c:pt>
                <c:pt idx="5">
                  <c:v>72</c:v>
                </c:pt>
                <c:pt idx="6">
                  <c:v>70</c:v>
                </c:pt>
                <c:pt idx="7">
                  <c:v>69</c:v>
                </c:pt>
                <c:pt idx="8">
                  <c:v>69</c:v>
                </c:pt>
                <c:pt idx="9">
                  <c:v>68</c:v>
                </c:pt>
                <c:pt idx="10">
                  <c:v>67</c:v>
                </c:pt>
                <c:pt idx="11">
                  <c:v>70</c:v>
                </c:pt>
                <c:pt idx="12">
                  <c:v>68</c:v>
                </c:pt>
                <c:pt idx="13">
                  <c:v>66</c:v>
                </c:pt>
                <c:pt idx="14">
                  <c:v>69</c:v>
                </c:pt>
                <c:pt idx="15">
                  <c:v>70</c:v>
                </c:pt>
                <c:pt idx="16">
                  <c:v>73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17CE-4968-A86F-EC5ADD90BFB1}"/>
            </c:ext>
          </c:extLst>
        </c:ser>
        <c:ser>
          <c:idx val="1"/>
          <c:order val="1"/>
          <c:tx>
            <c:strRef>
              <c:f>'SISTEMA 06 SINTER 70 NEUTRO AS'!$A$3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AS'!$B$3:$R$3</c:f>
              <c:numCache>
                <c:formatCode>0.00</c:formatCode>
                <c:ptCount val="17"/>
                <c:pt idx="0">
                  <c:v>70.882352941176464</c:v>
                </c:pt>
                <c:pt idx="1">
                  <c:v>70.882352941176464</c:v>
                </c:pt>
                <c:pt idx="2">
                  <c:v>70.882352941176464</c:v>
                </c:pt>
                <c:pt idx="3">
                  <c:v>70.882352941176464</c:v>
                </c:pt>
                <c:pt idx="4">
                  <c:v>70.882352941176464</c:v>
                </c:pt>
                <c:pt idx="5">
                  <c:v>70.882352941176464</c:v>
                </c:pt>
                <c:pt idx="6">
                  <c:v>70.882352941176464</c:v>
                </c:pt>
                <c:pt idx="7">
                  <c:v>70.882352941176464</c:v>
                </c:pt>
                <c:pt idx="8">
                  <c:v>70.882352941176464</c:v>
                </c:pt>
                <c:pt idx="9">
                  <c:v>70.882352941176464</c:v>
                </c:pt>
                <c:pt idx="10">
                  <c:v>70.882352941176464</c:v>
                </c:pt>
                <c:pt idx="11">
                  <c:v>70.882352941176464</c:v>
                </c:pt>
                <c:pt idx="12">
                  <c:v>70.882352941176464</c:v>
                </c:pt>
                <c:pt idx="13">
                  <c:v>70.882352941176464</c:v>
                </c:pt>
                <c:pt idx="14">
                  <c:v>70.882352941176464</c:v>
                </c:pt>
                <c:pt idx="15">
                  <c:v>70.882352941176464</c:v>
                </c:pt>
                <c:pt idx="16">
                  <c:v>70.882352941176464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AB4-4791-810C-F9AE59720D17}"/>
            </c:ext>
          </c:extLst>
        </c:ser>
        <c:ser>
          <c:idx val="2"/>
          <c:order val="2"/>
          <c:tx>
            <c:strRef>
              <c:f>'SISTEMA 06 SINTER 70 NEUTRO AS'!$A$4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AS'!$B$4:$R$4</c:f>
              <c:numCache>
                <c:formatCode>0.00</c:formatCode>
                <c:ptCount val="17"/>
                <c:pt idx="0">
                  <c:v>72.882352941176464</c:v>
                </c:pt>
                <c:pt idx="1">
                  <c:v>72.882352941176464</c:v>
                </c:pt>
                <c:pt idx="2">
                  <c:v>72.882352941176464</c:v>
                </c:pt>
                <c:pt idx="3">
                  <c:v>72.882352941176464</c:v>
                </c:pt>
                <c:pt idx="4">
                  <c:v>72.882352941176464</c:v>
                </c:pt>
                <c:pt idx="5">
                  <c:v>72.882352941176464</c:v>
                </c:pt>
                <c:pt idx="6">
                  <c:v>72.882352941176464</c:v>
                </c:pt>
                <c:pt idx="7">
                  <c:v>72.882352941176464</c:v>
                </c:pt>
                <c:pt idx="8">
                  <c:v>72.882352941176464</c:v>
                </c:pt>
                <c:pt idx="9">
                  <c:v>72.882352941176464</c:v>
                </c:pt>
                <c:pt idx="10">
                  <c:v>72.882352941176464</c:v>
                </c:pt>
                <c:pt idx="11">
                  <c:v>72.882352941176464</c:v>
                </c:pt>
                <c:pt idx="12">
                  <c:v>72.882352941176464</c:v>
                </c:pt>
                <c:pt idx="13">
                  <c:v>72.882352941176464</c:v>
                </c:pt>
                <c:pt idx="14">
                  <c:v>72.882352941176464</c:v>
                </c:pt>
                <c:pt idx="15">
                  <c:v>72.882352941176464</c:v>
                </c:pt>
                <c:pt idx="16">
                  <c:v>72.882352941176464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AB4-4791-810C-F9AE59720D17}"/>
            </c:ext>
          </c:extLst>
        </c:ser>
        <c:ser>
          <c:idx val="3"/>
          <c:order val="3"/>
          <c:tx>
            <c:strRef>
              <c:f>'SISTEMA 06 SINTER 70 NEUTRO AS'!$A$5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AS'!$B$5:$R$5</c:f>
              <c:numCache>
                <c:formatCode>0.00</c:formatCode>
                <c:ptCount val="17"/>
                <c:pt idx="0">
                  <c:v>68.882352941176464</c:v>
                </c:pt>
                <c:pt idx="1">
                  <c:v>68.882352941176464</c:v>
                </c:pt>
                <c:pt idx="2">
                  <c:v>68.882352941176464</c:v>
                </c:pt>
                <c:pt idx="3">
                  <c:v>68.882352941176464</c:v>
                </c:pt>
                <c:pt idx="4">
                  <c:v>68.882352941176464</c:v>
                </c:pt>
                <c:pt idx="5">
                  <c:v>68.882352941176464</c:v>
                </c:pt>
                <c:pt idx="6">
                  <c:v>68.882352941176464</c:v>
                </c:pt>
                <c:pt idx="7">
                  <c:v>68.882352941176464</c:v>
                </c:pt>
                <c:pt idx="8">
                  <c:v>68.882352941176464</c:v>
                </c:pt>
                <c:pt idx="9">
                  <c:v>68.882352941176464</c:v>
                </c:pt>
                <c:pt idx="10">
                  <c:v>68.882352941176464</c:v>
                </c:pt>
                <c:pt idx="11">
                  <c:v>68.882352941176464</c:v>
                </c:pt>
                <c:pt idx="12">
                  <c:v>68.882352941176464</c:v>
                </c:pt>
                <c:pt idx="13">
                  <c:v>68.882352941176464</c:v>
                </c:pt>
                <c:pt idx="14">
                  <c:v>68.882352941176464</c:v>
                </c:pt>
                <c:pt idx="15">
                  <c:v>68.882352941176464</c:v>
                </c:pt>
                <c:pt idx="16">
                  <c:v>68.882352941176464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AB4-4791-810C-F9AE59720D1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430528"/>
        <c:axId val="183448704"/>
      </c:lineChart>
      <c:catAx>
        <c:axId val="18343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48704"/>
        <c:crosses val="autoZero"/>
        <c:auto val="1"/>
        <c:lblAlgn val="ctr"/>
        <c:lblOffset val="100"/>
        <c:noMultiLvlLbl val="0"/>
      </c:catAx>
      <c:valAx>
        <c:axId val="183448704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430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CARICO DI ROTTURA [MPa]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AS'!$B$7:$R$7</c:f>
              <c:numCache>
                <c:formatCode>General</c:formatCode>
                <c:ptCount val="17"/>
                <c:pt idx="0">
                  <c:v>11</c:v>
                </c:pt>
                <c:pt idx="1">
                  <c:v>9</c:v>
                </c:pt>
                <c:pt idx="2">
                  <c:v>9</c:v>
                </c:pt>
                <c:pt idx="3">
                  <c:v>9</c:v>
                </c:pt>
                <c:pt idx="4">
                  <c:v>9</c:v>
                </c:pt>
                <c:pt idx="5">
                  <c:v>6</c:v>
                </c:pt>
                <c:pt idx="6">
                  <c:v>8</c:v>
                </c:pt>
                <c:pt idx="7">
                  <c:v>6</c:v>
                </c:pt>
                <c:pt idx="8">
                  <c:v>5</c:v>
                </c:pt>
                <c:pt idx="9">
                  <c:v>5</c:v>
                </c:pt>
                <c:pt idx="10">
                  <c:v>6</c:v>
                </c:pt>
                <c:pt idx="11">
                  <c:v>7</c:v>
                </c:pt>
                <c:pt idx="12">
                  <c:v>5</c:v>
                </c:pt>
                <c:pt idx="13">
                  <c:v>8</c:v>
                </c:pt>
                <c:pt idx="14">
                  <c:v>4</c:v>
                </c:pt>
                <c:pt idx="15">
                  <c:v>7</c:v>
                </c:pt>
                <c:pt idx="16">
                  <c:v>7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32D-422B-ABCF-3CAFEFDA21D0}"/>
            </c:ext>
          </c:extLst>
        </c:ser>
        <c:ser>
          <c:idx val="1"/>
          <c:order val="1"/>
          <c:tx>
            <c:strRef>
              <c:f>'SISTEMA 06 SINTER 70 NEUTRO AS'!$A$8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AS'!$B$8:$R$8</c:f>
              <c:numCache>
                <c:formatCode>0.00</c:formatCode>
                <c:ptCount val="17"/>
                <c:pt idx="0">
                  <c:v>7.117647058823529</c:v>
                </c:pt>
                <c:pt idx="1">
                  <c:v>7.117647058823529</c:v>
                </c:pt>
                <c:pt idx="2">
                  <c:v>7.117647058823529</c:v>
                </c:pt>
                <c:pt idx="3">
                  <c:v>7.117647058823529</c:v>
                </c:pt>
                <c:pt idx="4">
                  <c:v>7.117647058823529</c:v>
                </c:pt>
                <c:pt idx="5">
                  <c:v>7.117647058823529</c:v>
                </c:pt>
                <c:pt idx="6">
                  <c:v>7.117647058823529</c:v>
                </c:pt>
                <c:pt idx="7">
                  <c:v>7.117647058823529</c:v>
                </c:pt>
                <c:pt idx="8">
                  <c:v>7.117647058823529</c:v>
                </c:pt>
                <c:pt idx="9">
                  <c:v>7.117647058823529</c:v>
                </c:pt>
                <c:pt idx="10">
                  <c:v>7.117647058823529</c:v>
                </c:pt>
                <c:pt idx="11">
                  <c:v>7.117647058823529</c:v>
                </c:pt>
                <c:pt idx="12">
                  <c:v>7.117647058823529</c:v>
                </c:pt>
                <c:pt idx="13">
                  <c:v>7.117647058823529</c:v>
                </c:pt>
                <c:pt idx="14">
                  <c:v>7.117647058823529</c:v>
                </c:pt>
                <c:pt idx="15">
                  <c:v>7.117647058823529</c:v>
                </c:pt>
                <c:pt idx="16">
                  <c:v>7.117647058823529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5-4FA5-B3FF-6BEA5D070DAD}"/>
            </c:ext>
          </c:extLst>
        </c:ser>
        <c:ser>
          <c:idx val="2"/>
          <c:order val="2"/>
          <c:tx>
            <c:strRef>
              <c:f>'SISTEMA 06 SINTER 70 NEUTRO AS'!$A$9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AS'!$B$9:$R$9</c:f>
              <c:numCache>
                <c:formatCode>0.00</c:formatCode>
                <c:ptCount val="17"/>
                <c:pt idx="0">
                  <c:v>6.4058823529411759</c:v>
                </c:pt>
                <c:pt idx="1">
                  <c:v>6.4058823529411759</c:v>
                </c:pt>
                <c:pt idx="2">
                  <c:v>6.4058823529411759</c:v>
                </c:pt>
                <c:pt idx="3">
                  <c:v>6.4058823529411759</c:v>
                </c:pt>
                <c:pt idx="4">
                  <c:v>6.4058823529411759</c:v>
                </c:pt>
                <c:pt idx="5">
                  <c:v>6.4058823529411759</c:v>
                </c:pt>
                <c:pt idx="6">
                  <c:v>6.4058823529411759</c:v>
                </c:pt>
                <c:pt idx="7">
                  <c:v>6.4058823529411759</c:v>
                </c:pt>
                <c:pt idx="8">
                  <c:v>6.4058823529411759</c:v>
                </c:pt>
                <c:pt idx="9">
                  <c:v>6.4058823529411759</c:v>
                </c:pt>
                <c:pt idx="10">
                  <c:v>6.4058823529411759</c:v>
                </c:pt>
                <c:pt idx="11">
                  <c:v>6.4058823529411759</c:v>
                </c:pt>
                <c:pt idx="12">
                  <c:v>6.4058823529411759</c:v>
                </c:pt>
                <c:pt idx="13">
                  <c:v>6.4058823529411759</c:v>
                </c:pt>
                <c:pt idx="14">
                  <c:v>6.4058823529411759</c:v>
                </c:pt>
                <c:pt idx="15">
                  <c:v>6.4058823529411759</c:v>
                </c:pt>
                <c:pt idx="16">
                  <c:v>6.4058823529411759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35-4FA5-B3FF-6BEA5D070DAD}"/>
            </c:ext>
          </c:extLst>
        </c:ser>
        <c:ser>
          <c:idx val="3"/>
          <c:order val="3"/>
          <c:tx>
            <c:strRef>
              <c:f>'SISTEMA 06 SINTER 70 NEUTRO AS'!$A$10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AS'!$B$10:$R$10</c:f>
              <c:numCache>
                <c:formatCode>0.00</c:formatCode>
                <c:ptCount val="17"/>
                <c:pt idx="0">
                  <c:v>7.8301470588235293</c:v>
                </c:pt>
                <c:pt idx="1">
                  <c:v>7.8301470588235293</c:v>
                </c:pt>
                <c:pt idx="2">
                  <c:v>7.8301470588235293</c:v>
                </c:pt>
                <c:pt idx="3">
                  <c:v>7.8301470588235293</c:v>
                </c:pt>
                <c:pt idx="4">
                  <c:v>7.8301470588235293</c:v>
                </c:pt>
                <c:pt idx="5">
                  <c:v>7.8301470588235293</c:v>
                </c:pt>
                <c:pt idx="6">
                  <c:v>7.8301470588235293</c:v>
                </c:pt>
                <c:pt idx="7">
                  <c:v>7.8301470588235293</c:v>
                </c:pt>
                <c:pt idx="8">
                  <c:v>7.8301470588235293</c:v>
                </c:pt>
                <c:pt idx="9">
                  <c:v>7.8301470588235293</c:v>
                </c:pt>
                <c:pt idx="10">
                  <c:v>7.8301470588235293</c:v>
                </c:pt>
                <c:pt idx="11">
                  <c:v>7.8301470588235293</c:v>
                </c:pt>
                <c:pt idx="12">
                  <c:v>7.8301470588235293</c:v>
                </c:pt>
                <c:pt idx="13">
                  <c:v>7.8301470588235293</c:v>
                </c:pt>
                <c:pt idx="14">
                  <c:v>7.8301470588235293</c:v>
                </c:pt>
                <c:pt idx="15">
                  <c:v>7.8301470588235293</c:v>
                </c:pt>
                <c:pt idx="16">
                  <c:v>7.8301470588235293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35-4FA5-B3FF-6BEA5D070DAD}"/>
            </c:ext>
          </c:extLst>
        </c:ser>
        <c:ser>
          <c:idx val="4"/>
          <c:order val="4"/>
          <c:tx>
            <c:strRef>
              <c:f>'SISTEMA 06 SINTER 70 NEUTRO AS'!$A$11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AS'!$B$11:$R$11</c:f>
              <c:numCache>
                <c:formatCode>0.00</c:formatCode>
                <c:ptCount val="17"/>
                <c:pt idx="0">
                  <c:v>5.6941176470588228</c:v>
                </c:pt>
                <c:pt idx="1">
                  <c:v>5.6941176470588228</c:v>
                </c:pt>
                <c:pt idx="2">
                  <c:v>5.6941176470588228</c:v>
                </c:pt>
                <c:pt idx="3">
                  <c:v>5.6941176470588228</c:v>
                </c:pt>
                <c:pt idx="4">
                  <c:v>5.6941176470588228</c:v>
                </c:pt>
                <c:pt idx="5">
                  <c:v>5.6941176470588228</c:v>
                </c:pt>
                <c:pt idx="6">
                  <c:v>5.6941176470588228</c:v>
                </c:pt>
                <c:pt idx="7">
                  <c:v>5.6941176470588228</c:v>
                </c:pt>
                <c:pt idx="8">
                  <c:v>5.6941176470588228</c:v>
                </c:pt>
                <c:pt idx="9">
                  <c:v>5.6941176470588228</c:v>
                </c:pt>
                <c:pt idx="10">
                  <c:v>5.6941176470588228</c:v>
                </c:pt>
                <c:pt idx="11">
                  <c:v>5.6941176470588228</c:v>
                </c:pt>
                <c:pt idx="12">
                  <c:v>5.6941176470588228</c:v>
                </c:pt>
                <c:pt idx="13">
                  <c:v>5.6941176470588228</c:v>
                </c:pt>
                <c:pt idx="14">
                  <c:v>5.6941176470588228</c:v>
                </c:pt>
                <c:pt idx="15">
                  <c:v>5.6941176470588228</c:v>
                </c:pt>
                <c:pt idx="16">
                  <c:v>5.6941176470588228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83-439F-8F30-D61FF45F1ABD}"/>
            </c:ext>
          </c:extLst>
        </c:ser>
        <c:ser>
          <c:idx val="5"/>
          <c:order val="5"/>
          <c:tx>
            <c:strRef>
              <c:f>'SISTEMA 06 SINTER 70 NEUTRO AS'!$A$12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AS'!$B$12:$R$12</c:f>
              <c:numCache>
                <c:formatCode>0.00</c:formatCode>
                <c:ptCount val="17"/>
                <c:pt idx="0">
                  <c:v>8.5426470588235297</c:v>
                </c:pt>
                <c:pt idx="1">
                  <c:v>8.5426470588235297</c:v>
                </c:pt>
                <c:pt idx="2">
                  <c:v>8.5426470588235297</c:v>
                </c:pt>
                <c:pt idx="3">
                  <c:v>8.5426470588235297</c:v>
                </c:pt>
                <c:pt idx="4">
                  <c:v>8.5426470588235297</c:v>
                </c:pt>
                <c:pt idx="5">
                  <c:v>8.5426470588235297</c:v>
                </c:pt>
                <c:pt idx="6">
                  <c:v>8.5426470588235297</c:v>
                </c:pt>
                <c:pt idx="7">
                  <c:v>8.5426470588235297</c:v>
                </c:pt>
                <c:pt idx="8">
                  <c:v>8.5426470588235297</c:v>
                </c:pt>
                <c:pt idx="9">
                  <c:v>8.5426470588235297</c:v>
                </c:pt>
                <c:pt idx="10">
                  <c:v>8.5426470588235297</c:v>
                </c:pt>
                <c:pt idx="11">
                  <c:v>8.5426470588235297</c:v>
                </c:pt>
                <c:pt idx="12">
                  <c:v>8.5426470588235297</c:v>
                </c:pt>
                <c:pt idx="13">
                  <c:v>8.5426470588235297</c:v>
                </c:pt>
                <c:pt idx="14">
                  <c:v>8.5426470588235297</c:v>
                </c:pt>
                <c:pt idx="15">
                  <c:v>8.5426470588235297</c:v>
                </c:pt>
                <c:pt idx="16">
                  <c:v>8.5426470588235297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483-439F-8F30-D61FF45F1AB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517952"/>
        <c:axId val="183519488"/>
      </c:lineChart>
      <c:catAx>
        <c:axId val="183517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19488"/>
        <c:crosses val="autoZero"/>
        <c:auto val="1"/>
        <c:lblAlgn val="ctr"/>
        <c:lblOffset val="100"/>
        <c:noMultiLvlLbl val="0"/>
      </c:catAx>
      <c:valAx>
        <c:axId val="183519488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ALLUNGAMENTO [%]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AS'!$B$14:$R$14</c:f>
              <c:numCache>
                <c:formatCode>General</c:formatCode>
                <c:ptCount val="17"/>
                <c:pt idx="0">
                  <c:v>410</c:v>
                </c:pt>
                <c:pt idx="1">
                  <c:v>445</c:v>
                </c:pt>
                <c:pt idx="2">
                  <c:v>503</c:v>
                </c:pt>
                <c:pt idx="3">
                  <c:v>474</c:v>
                </c:pt>
                <c:pt idx="4">
                  <c:v>508</c:v>
                </c:pt>
                <c:pt idx="5">
                  <c:v>216</c:v>
                </c:pt>
                <c:pt idx="6">
                  <c:v>293</c:v>
                </c:pt>
                <c:pt idx="7">
                  <c:v>214</c:v>
                </c:pt>
                <c:pt idx="8">
                  <c:v>318</c:v>
                </c:pt>
                <c:pt idx="9">
                  <c:v>283</c:v>
                </c:pt>
                <c:pt idx="10">
                  <c:v>418</c:v>
                </c:pt>
                <c:pt idx="11">
                  <c:v>419</c:v>
                </c:pt>
                <c:pt idx="12">
                  <c:v>375</c:v>
                </c:pt>
                <c:pt idx="13">
                  <c:v>402</c:v>
                </c:pt>
                <c:pt idx="14">
                  <c:v>228</c:v>
                </c:pt>
                <c:pt idx="15">
                  <c:v>417</c:v>
                </c:pt>
                <c:pt idx="16">
                  <c:v>393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529-4CFA-8375-1FD77C4141BD}"/>
            </c:ext>
          </c:extLst>
        </c:ser>
        <c:ser>
          <c:idx val="1"/>
          <c:order val="1"/>
          <c:tx>
            <c:strRef>
              <c:f>'SISTEMA 06 SINTER 70 NEUTRO AS'!$A$15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AS'!$B$15:$R$15</c:f>
              <c:numCache>
                <c:formatCode>0.0</c:formatCode>
                <c:ptCount val="17"/>
                <c:pt idx="0">
                  <c:v>371.52941176470586</c:v>
                </c:pt>
                <c:pt idx="1">
                  <c:v>371.52941176470586</c:v>
                </c:pt>
                <c:pt idx="2">
                  <c:v>371.52941176470586</c:v>
                </c:pt>
                <c:pt idx="3">
                  <c:v>371.52941176470586</c:v>
                </c:pt>
                <c:pt idx="4">
                  <c:v>371.52941176470586</c:v>
                </c:pt>
                <c:pt idx="5">
                  <c:v>371.52941176470586</c:v>
                </c:pt>
                <c:pt idx="6">
                  <c:v>371.52941176470586</c:v>
                </c:pt>
                <c:pt idx="7">
                  <c:v>371.52941176470586</c:v>
                </c:pt>
                <c:pt idx="8">
                  <c:v>371.52941176470586</c:v>
                </c:pt>
                <c:pt idx="9">
                  <c:v>371.52941176470586</c:v>
                </c:pt>
                <c:pt idx="10">
                  <c:v>371.52941176470586</c:v>
                </c:pt>
                <c:pt idx="11">
                  <c:v>371.52941176470586</c:v>
                </c:pt>
                <c:pt idx="12">
                  <c:v>371.52941176470586</c:v>
                </c:pt>
                <c:pt idx="13">
                  <c:v>371.52941176470586</c:v>
                </c:pt>
                <c:pt idx="14">
                  <c:v>371.52941176470586</c:v>
                </c:pt>
                <c:pt idx="15">
                  <c:v>371.52941176470586</c:v>
                </c:pt>
                <c:pt idx="16">
                  <c:v>371.52941176470586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2F-407E-99FB-A8FC6745C131}"/>
            </c:ext>
          </c:extLst>
        </c:ser>
        <c:ser>
          <c:idx val="2"/>
          <c:order val="2"/>
          <c:tx>
            <c:strRef>
              <c:f>'SISTEMA 06 SINTER 70 NEUTRO AS'!$A$16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AS'!$B$16:$R$16</c:f>
              <c:numCache>
                <c:formatCode>0.0</c:formatCode>
                <c:ptCount val="17"/>
                <c:pt idx="0">
                  <c:v>334.37647058823524</c:v>
                </c:pt>
                <c:pt idx="1">
                  <c:v>334.37647058823524</c:v>
                </c:pt>
                <c:pt idx="2">
                  <c:v>334.37647058823524</c:v>
                </c:pt>
                <c:pt idx="3">
                  <c:v>334.37647058823524</c:v>
                </c:pt>
                <c:pt idx="4">
                  <c:v>334.37647058823524</c:v>
                </c:pt>
                <c:pt idx="5">
                  <c:v>334.37647058823524</c:v>
                </c:pt>
                <c:pt idx="6">
                  <c:v>334.37647058823524</c:v>
                </c:pt>
                <c:pt idx="7">
                  <c:v>334.37647058823524</c:v>
                </c:pt>
                <c:pt idx="8">
                  <c:v>334.37647058823524</c:v>
                </c:pt>
                <c:pt idx="9">
                  <c:v>334.37647058823524</c:v>
                </c:pt>
                <c:pt idx="10">
                  <c:v>334.37647058823524</c:v>
                </c:pt>
                <c:pt idx="11">
                  <c:v>334.37647058823524</c:v>
                </c:pt>
                <c:pt idx="12">
                  <c:v>334.37647058823524</c:v>
                </c:pt>
                <c:pt idx="13">
                  <c:v>334.37647058823524</c:v>
                </c:pt>
                <c:pt idx="14">
                  <c:v>334.37647058823524</c:v>
                </c:pt>
                <c:pt idx="15">
                  <c:v>334.37647058823524</c:v>
                </c:pt>
                <c:pt idx="16">
                  <c:v>334.37647058823524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D2F-407E-99FB-A8FC6745C131}"/>
            </c:ext>
          </c:extLst>
        </c:ser>
        <c:ser>
          <c:idx val="3"/>
          <c:order val="3"/>
          <c:tx>
            <c:strRef>
              <c:f>'SISTEMA 06 SINTER 70 NEUTRO AS'!$A$17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AS'!$B$17:$R$17</c:f>
              <c:numCache>
                <c:formatCode>0.0</c:formatCode>
                <c:ptCount val="17"/>
                <c:pt idx="0">
                  <c:v>297.22352941176467</c:v>
                </c:pt>
                <c:pt idx="1">
                  <c:v>297.22352941176467</c:v>
                </c:pt>
                <c:pt idx="2">
                  <c:v>297.22352941176467</c:v>
                </c:pt>
                <c:pt idx="3">
                  <c:v>297.22352941176467</c:v>
                </c:pt>
                <c:pt idx="4">
                  <c:v>297.22352941176467</c:v>
                </c:pt>
                <c:pt idx="5">
                  <c:v>297.22352941176467</c:v>
                </c:pt>
                <c:pt idx="6">
                  <c:v>297.22352941176467</c:v>
                </c:pt>
                <c:pt idx="7">
                  <c:v>297.22352941176467</c:v>
                </c:pt>
                <c:pt idx="8">
                  <c:v>297.22352941176467</c:v>
                </c:pt>
                <c:pt idx="9">
                  <c:v>297.22352941176467</c:v>
                </c:pt>
                <c:pt idx="10">
                  <c:v>297.22352941176467</c:v>
                </c:pt>
                <c:pt idx="11">
                  <c:v>297.22352941176467</c:v>
                </c:pt>
                <c:pt idx="12">
                  <c:v>297.22352941176467</c:v>
                </c:pt>
                <c:pt idx="13">
                  <c:v>297.22352941176467</c:v>
                </c:pt>
                <c:pt idx="14">
                  <c:v>297.22352941176467</c:v>
                </c:pt>
                <c:pt idx="15">
                  <c:v>297.22352941176467</c:v>
                </c:pt>
                <c:pt idx="16">
                  <c:v>297.22352941176467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D2F-407E-99FB-A8FC6745C131}"/>
            </c:ext>
          </c:extLst>
        </c:ser>
        <c:ser>
          <c:idx val="4"/>
          <c:order val="4"/>
          <c:tx>
            <c:strRef>
              <c:f>'SISTEMA 06 SINTER 70 NEUTRO AS'!$A$18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AS'!$B$18:$R$18</c:f>
              <c:numCache>
                <c:formatCode>0.0</c:formatCode>
                <c:ptCount val="17"/>
                <c:pt idx="0">
                  <c:v>408.68235294117642</c:v>
                </c:pt>
                <c:pt idx="1">
                  <c:v>408.68235294117642</c:v>
                </c:pt>
                <c:pt idx="2">
                  <c:v>408.68235294117642</c:v>
                </c:pt>
                <c:pt idx="3">
                  <c:v>408.68235294117642</c:v>
                </c:pt>
                <c:pt idx="4">
                  <c:v>408.68235294117642</c:v>
                </c:pt>
                <c:pt idx="5">
                  <c:v>408.68235294117642</c:v>
                </c:pt>
                <c:pt idx="6">
                  <c:v>408.68235294117642</c:v>
                </c:pt>
                <c:pt idx="7">
                  <c:v>408.68235294117642</c:v>
                </c:pt>
                <c:pt idx="8">
                  <c:v>408.68235294117642</c:v>
                </c:pt>
                <c:pt idx="9">
                  <c:v>408.68235294117642</c:v>
                </c:pt>
                <c:pt idx="10">
                  <c:v>408.68235294117642</c:v>
                </c:pt>
                <c:pt idx="11">
                  <c:v>408.68235294117642</c:v>
                </c:pt>
                <c:pt idx="12">
                  <c:v>408.68235294117642</c:v>
                </c:pt>
                <c:pt idx="13">
                  <c:v>408.68235294117642</c:v>
                </c:pt>
                <c:pt idx="14">
                  <c:v>408.68235294117642</c:v>
                </c:pt>
                <c:pt idx="15">
                  <c:v>408.68235294117642</c:v>
                </c:pt>
                <c:pt idx="16">
                  <c:v>408.68235294117642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D2F-407E-99FB-A8FC6745C131}"/>
            </c:ext>
          </c:extLst>
        </c:ser>
        <c:ser>
          <c:idx val="5"/>
          <c:order val="5"/>
          <c:tx>
            <c:strRef>
              <c:f>'SISTEMA 06 SINTER 70 NEUTRO AS'!$A$19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AS'!$B$19:$R$19</c:f>
              <c:numCache>
                <c:formatCode>0.0</c:formatCode>
                <c:ptCount val="17"/>
                <c:pt idx="0">
                  <c:v>445.83529411764698</c:v>
                </c:pt>
                <c:pt idx="1">
                  <c:v>445.83529411764698</c:v>
                </c:pt>
                <c:pt idx="2">
                  <c:v>445.83529411764698</c:v>
                </c:pt>
                <c:pt idx="3">
                  <c:v>445.83529411764698</c:v>
                </c:pt>
                <c:pt idx="4">
                  <c:v>445.83529411764698</c:v>
                </c:pt>
                <c:pt idx="5">
                  <c:v>445.83529411764698</c:v>
                </c:pt>
                <c:pt idx="6">
                  <c:v>445.83529411764698</c:v>
                </c:pt>
                <c:pt idx="7">
                  <c:v>445.83529411764698</c:v>
                </c:pt>
                <c:pt idx="8">
                  <c:v>445.83529411764698</c:v>
                </c:pt>
                <c:pt idx="9">
                  <c:v>445.83529411764698</c:v>
                </c:pt>
                <c:pt idx="10">
                  <c:v>445.83529411764698</c:v>
                </c:pt>
                <c:pt idx="11">
                  <c:v>445.83529411764698</c:v>
                </c:pt>
                <c:pt idx="12">
                  <c:v>445.83529411764698</c:v>
                </c:pt>
                <c:pt idx="13">
                  <c:v>445.83529411764698</c:v>
                </c:pt>
                <c:pt idx="14">
                  <c:v>445.83529411764698</c:v>
                </c:pt>
                <c:pt idx="15">
                  <c:v>445.83529411764698</c:v>
                </c:pt>
                <c:pt idx="16">
                  <c:v>445.83529411764698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D2F-407E-99FB-A8FC6745C13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3596928"/>
        <c:axId val="183598464"/>
      </c:lineChart>
      <c:catAx>
        <c:axId val="183596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98464"/>
        <c:crosses val="autoZero"/>
        <c:auto val="1"/>
        <c:lblAlgn val="ctr"/>
        <c:lblOffset val="100"/>
        <c:noMultiLvlLbl val="0"/>
      </c:catAx>
      <c:valAx>
        <c:axId val="18359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596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LACERAZIONE B [kN/m]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AS'!$B$21:$R$21</c:f>
              <c:numCache>
                <c:formatCode>General</c:formatCode>
                <c:ptCount val="17"/>
                <c:pt idx="0">
                  <c:v>38</c:v>
                </c:pt>
                <c:pt idx="1">
                  <c:v>31</c:v>
                </c:pt>
                <c:pt idx="2">
                  <c:v>34</c:v>
                </c:pt>
                <c:pt idx="3">
                  <c:v>34</c:v>
                </c:pt>
                <c:pt idx="4">
                  <c:v>31</c:v>
                </c:pt>
                <c:pt idx="5">
                  <c:v>25</c:v>
                </c:pt>
                <c:pt idx="6">
                  <c:v>27</c:v>
                </c:pt>
                <c:pt idx="7">
                  <c:v>22</c:v>
                </c:pt>
                <c:pt idx="8">
                  <c:v>22</c:v>
                </c:pt>
                <c:pt idx="9">
                  <c:v>18</c:v>
                </c:pt>
                <c:pt idx="10">
                  <c:v>24</c:v>
                </c:pt>
                <c:pt idx="11">
                  <c:v>22</c:v>
                </c:pt>
                <c:pt idx="12">
                  <c:v>18</c:v>
                </c:pt>
                <c:pt idx="13">
                  <c:v>25</c:v>
                </c:pt>
                <c:pt idx="14">
                  <c:v>18</c:v>
                </c:pt>
                <c:pt idx="15">
                  <c:v>24</c:v>
                </c:pt>
                <c:pt idx="16">
                  <c:v>25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4FAF-4A34-A752-90DF16BF0BA1}"/>
            </c:ext>
          </c:extLst>
        </c:ser>
        <c:ser>
          <c:idx val="1"/>
          <c:order val="1"/>
          <c:tx>
            <c:strRef>
              <c:f>'SISTEMA 06 SINTER 70 NEUTRO AS'!$A$22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AS'!$B$22:$R$22</c:f>
              <c:numCache>
                <c:formatCode>0.00</c:formatCode>
                <c:ptCount val="17"/>
                <c:pt idx="0">
                  <c:v>25.764705882352942</c:v>
                </c:pt>
                <c:pt idx="1">
                  <c:v>25.764705882352942</c:v>
                </c:pt>
                <c:pt idx="2">
                  <c:v>25.764705882352942</c:v>
                </c:pt>
                <c:pt idx="3">
                  <c:v>25.764705882352942</c:v>
                </c:pt>
                <c:pt idx="4">
                  <c:v>25.764705882352942</c:v>
                </c:pt>
                <c:pt idx="5">
                  <c:v>25.764705882352942</c:v>
                </c:pt>
                <c:pt idx="6">
                  <c:v>25.764705882352942</c:v>
                </c:pt>
                <c:pt idx="7">
                  <c:v>25.764705882352942</c:v>
                </c:pt>
                <c:pt idx="8">
                  <c:v>25.764705882352942</c:v>
                </c:pt>
                <c:pt idx="9">
                  <c:v>25.764705882352942</c:v>
                </c:pt>
                <c:pt idx="10">
                  <c:v>25.764705882352942</c:v>
                </c:pt>
                <c:pt idx="11">
                  <c:v>25.764705882352942</c:v>
                </c:pt>
                <c:pt idx="12">
                  <c:v>25.764705882352942</c:v>
                </c:pt>
                <c:pt idx="13">
                  <c:v>25.764705882352942</c:v>
                </c:pt>
                <c:pt idx="14">
                  <c:v>25.764705882352942</c:v>
                </c:pt>
                <c:pt idx="15">
                  <c:v>25.764705882352942</c:v>
                </c:pt>
                <c:pt idx="16">
                  <c:v>25.764705882352942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E9A-408F-9FBB-E5C9F7FDB39E}"/>
            </c:ext>
          </c:extLst>
        </c:ser>
        <c:ser>
          <c:idx val="2"/>
          <c:order val="2"/>
          <c:tx>
            <c:strRef>
              <c:f>'SISTEMA 06 SINTER 70 NEUTRO AS'!$A$23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AS'!$B$23:$R$23</c:f>
              <c:numCache>
                <c:formatCode>0.00</c:formatCode>
                <c:ptCount val="17"/>
                <c:pt idx="0">
                  <c:v>23.188235294117646</c:v>
                </c:pt>
                <c:pt idx="1">
                  <c:v>23.188235294117646</c:v>
                </c:pt>
                <c:pt idx="2">
                  <c:v>23.188235294117646</c:v>
                </c:pt>
                <c:pt idx="3">
                  <c:v>23.188235294117646</c:v>
                </c:pt>
                <c:pt idx="4">
                  <c:v>23.188235294117646</c:v>
                </c:pt>
                <c:pt idx="5">
                  <c:v>23.188235294117646</c:v>
                </c:pt>
                <c:pt idx="6">
                  <c:v>23.188235294117646</c:v>
                </c:pt>
                <c:pt idx="7">
                  <c:v>23.188235294117646</c:v>
                </c:pt>
                <c:pt idx="8">
                  <c:v>23.188235294117646</c:v>
                </c:pt>
                <c:pt idx="9">
                  <c:v>23.188235294117646</c:v>
                </c:pt>
                <c:pt idx="10">
                  <c:v>23.188235294117646</c:v>
                </c:pt>
                <c:pt idx="11">
                  <c:v>23.188235294117646</c:v>
                </c:pt>
                <c:pt idx="12">
                  <c:v>23.188235294117646</c:v>
                </c:pt>
                <c:pt idx="13">
                  <c:v>23.188235294117646</c:v>
                </c:pt>
                <c:pt idx="14">
                  <c:v>23.188235294117646</c:v>
                </c:pt>
                <c:pt idx="15">
                  <c:v>23.188235294117646</c:v>
                </c:pt>
                <c:pt idx="16">
                  <c:v>23.188235294117646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9A-408F-9FBB-E5C9F7FDB39E}"/>
            </c:ext>
          </c:extLst>
        </c:ser>
        <c:ser>
          <c:idx val="3"/>
          <c:order val="3"/>
          <c:tx>
            <c:strRef>
              <c:f>'SISTEMA 06 SINTER 70 NEUTRO AS'!$A$24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AS'!$B$24:$R$24</c:f>
              <c:numCache>
                <c:formatCode>0.00</c:formatCode>
                <c:ptCount val="17"/>
                <c:pt idx="0">
                  <c:v>28.345955882352943</c:v>
                </c:pt>
                <c:pt idx="1">
                  <c:v>28.345955882352943</c:v>
                </c:pt>
                <c:pt idx="2">
                  <c:v>28.345955882352943</c:v>
                </c:pt>
                <c:pt idx="3">
                  <c:v>28.345955882352943</c:v>
                </c:pt>
                <c:pt idx="4">
                  <c:v>28.345955882352943</c:v>
                </c:pt>
                <c:pt idx="5">
                  <c:v>28.345955882352943</c:v>
                </c:pt>
                <c:pt idx="6">
                  <c:v>28.345955882352943</c:v>
                </c:pt>
                <c:pt idx="7">
                  <c:v>28.345955882352943</c:v>
                </c:pt>
                <c:pt idx="8">
                  <c:v>28.345955882352943</c:v>
                </c:pt>
                <c:pt idx="9">
                  <c:v>28.345955882352943</c:v>
                </c:pt>
                <c:pt idx="10">
                  <c:v>28.345955882352943</c:v>
                </c:pt>
                <c:pt idx="11">
                  <c:v>28.345955882352943</c:v>
                </c:pt>
                <c:pt idx="12">
                  <c:v>28.345955882352943</c:v>
                </c:pt>
                <c:pt idx="13">
                  <c:v>28.345955882352943</c:v>
                </c:pt>
                <c:pt idx="14">
                  <c:v>28.345955882352943</c:v>
                </c:pt>
                <c:pt idx="15">
                  <c:v>28.345955882352943</c:v>
                </c:pt>
                <c:pt idx="16">
                  <c:v>28.345955882352943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A-408F-9FBB-E5C9F7FDB39E}"/>
            </c:ext>
          </c:extLst>
        </c:ser>
        <c:ser>
          <c:idx val="4"/>
          <c:order val="4"/>
          <c:tx>
            <c:strRef>
              <c:f>'SISTEMA 06 SINTER 70 NEUTRO AS'!$A$25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AS'!$B$25:$R$25</c:f>
              <c:numCache>
                <c:formatCode>0.00</c:formatCode>
                <c:ptCount val="17"/>
                <c:pt idx="0">
                  <c:v>20.611764705882351</c:v>
                </c:pt>
                <c:pt idx="1">
                  <c:v>20.611764705882351</c:v>
                </c:pt>
                <c:pt idx="2">
                  <c:v>20.611764705882351</c:v>
                </c:pt>
                <c:pt idx="3">
                  <c:v>20.611764705882351</c:v>
                </c:pt>
                <c:pt idx="4">
                  <c:v>20.611764705882351</c:v>
                </c:pt>
                <c:pt idx="5">
                  <c:v>20.611764705882351</c:v>
                </c:pt>
                <c:pt idx="6">
                  <c:v>20.611764705882351</c:v>
                </c:pt>
                <c:pt idx="7">
                  <c:v>20.611764705882351</c:v>
                </c:pt>
                <c:pt idx="8">
                  <c:v>20.611764705882351</c:v>
                </c:pt>
                <c:pt idx="9">
                  <c:v>20.611764705882351</c:v>
                </c:pt>
                <c:pt idx="10">
                  <c:v>20.611764705882351</c:v>
                </c:pt>
                <c:pt idx="11">
                  <c:v>20.611764705882351</c:v>
                </c:pt>
                <c:pt idx="12">
                  <c:v>20.611764705882351</c:v>
                </c:pt>
                <c:pt idx="13">
                  <c:v>20.611764705882351</c:v>
                </c:pt>
                <c:pt idx="14">
                  <c:v>20.611764705882351</c:v>
                </c:pt>
                <c:pt idx="15">
                  <c:v>20.611764705882351</c:v>
                </c:pt>
                <c:pt idx="16">
                  <c:v>20.611764705882351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AB-45C0-AA60-1A371F5B16A8}"/>
            </c:ext>
          </c:extLst>
        </c:ser>
        <c:ser>
          <c:idx val="5"/>
          <c:order val="5"/>
          <c:tx>
            <c:strRef>
              <c:f>'SISTEMA 06 SINTER 70 NEUTRO AS'!$A$26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AS'!$B$26:$R$26</c:f>
              <c:numCache>
                <c:formatCode>0.00</c:formatCode>
                <c:ptCount val="17"/>
                <c:pt idx="0">
                  <c:v>30.927205882352943</c:v>
                </c:pt>
                <c:pt idx="1">
                  <c:v>30.927205882352943</c:v>
                </c:pt>
                <c:pt idx="2">
                  <c:v>30.927205882352943</c:v>
                </c:pt>
                <c:pt idx="3">
                  <c:v>30.927205882352943</c:v>
                </c:pt>
                <c:pt idx="4">
                  <c:v>30.927205882352943</c:v>
                </c:pt>
                <c:pt idx="5">
                  <c:v>30.927205882352943</c:v>
                </c:pt>
                <c:pt idx="6">
                  <c:v>30.927205882352943</c:v>
                </c:pt>
                <c:pt idx="7">
                  <c:v>30.927205882352943</c:v>
                </c:pt>
                <c:pt idx="8">
                  <c:v>30.927205882352943</c:v>
                </c:pt>
                <c:pt idx="9">
                  <c:v>30.927205882352943</c:v>
                </c:pt>
                <c:pt idx="10">
                  <c:v>30.927205882352943</c:v>
                </c:pt>
                <c:pt idx="11">
                  <c:v>30.927205882352943</c:v>
                </c:pt>
                <c:pt idx="12">
                  <c:v>30.927205882352943</c:v>
                </c:pt>
                <c:pt idx="13">
                  <c:v>30.927205882352943</c:v>
                </c:pt>
                <c:pt idx="14">
                  <c:v>30.927205882352943</c:v>
                </c:pt>
                <c:pt idx="15">
                  <c:v>30.927205882352943</c:v>
                </c:pt>
                <c:pt idx="16">
                  <c:v>30.927205882352943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AB-45C0-AA60-1A371F5B16A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8099968"/>
        <c:axId val="188109952"/>
      </c:lineChart>
      <c:catAx>
        <c:axId val="18809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109952"/>
        <c:crosses val="autoZero"/>
        <c:auto val="1"/>
        <c:lblAlgn val="ctr"/>
        <c:lblOffset val="100"/>
        <c:noMultiLvlLbl val="0"/>
      </c:catAx>
      <c:valAx>
        <c:axId val="188109952"/>
        <c:scaling>
          <c:orientation val="minMax"/>
          <c:min val="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99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LACERAZIONE C [kN/m]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AS'!$B$28:$R$28</c:f>
              <c:numCache>
                <c:formatCode>General</c:formatCode>
                <c:ptCount val="17"/>
                <c:pt idx="0">
                  <c:v>51</c:v>
                </c:pt>
                <c:pt idx="1">
                  <c:v>43</c:v>
                </c:pt>
                <c:pt idx="2">
                  <c:v>44</c:v>
                </c:pt>
                <c:pt idx="3">
                  <c:v>40</c:v>
                </c:pt>
                <c:pt idx="4">
                  <c:v>41</c:v>
                </c:pt>
                <c:pt idx="5">
                  <c:v>29</c:v>
                </c:pt>
                <c:pt idx="6">
                  <c:v>36</c:v>
                </c:pt>
                <c:pt idx="7">
                  <c:v>30</c:v>
                </c:pt>
                <c:pt idx="8">
                  <c:v>27</c:v>
                </c:pt>
                <c:pt idx="9">
                  <c:v>24</c:v>
                </c:pt>
                <c:pt idx="10">
                  <c:v>34</c:v>
                </c:pt>
                <c:pt idx="11">
                  <c:v>34</c:v>
                </c:pt>
                <c:pt idx="12">
                  <c:v>30</c:v>
                </c:pt>
                <c:pt idx="13">
                  <c:v>37</c:v>
                </c:pt>
                <c:pt idx="14">
                  <c:v>26</c:v>
                </c:pt>
                <c:pt idx="15">
                  <c:v>43</c:v>
                </c:pt>
                <c:pt idx="16">
                  <c:v>41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0C7-4FD1-AFC9-7FA99D99A304}"/>
            </c:ext>
          </c:extLst>
        </c:ser>
        <c:ser>
          <c:idx val="1"/>
          <c:order val="1"/>
          <c:tx>
            <c:strRef>
              <c:f>'SISTEMA 06 SINTER 70 NEUTRO AS'!$A$29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AS'!$B$29:$R$29</c:f>
              <c:numCache>
                <c:formatCode>0.00</c:formatCode>
                <c:ptCount val="17"/>
                <c:pt idx="0">
                  <c:v>35.882352941176471</c:v>
                </c:pt>
                <c:pt idx="1">
                  <c:v>35.882352941176471</c:v>
                </c:pt>
                <c:pt idx="2">
                  <c:v>35.882352941176471</c:v>
                </c:pt>
                <c:pt idx="3">
                  <c:v>35.882352941176471</c:v>
                </c:pt>
                <c:pt idx="4">
                  <c:v>35.882352941176471</c:v>
                </c:pt>
                <c:pt idx="5">
                  <c:v>35.882352941176471</c:v>
                </c:pt>
                <c:pt idx="6">
                  <c:v>35.882352941176471</c:v>
                </c:pt>
                <c:pt idx="7">
                  <c:v>35.882352941176471</c:v>
                </c:pt>
                <c:pt idx="8">
                  <c:v>35.882352941176471</c:v>
                </c:pt>
                <c:pt idx="9">
                  <c:v>35.882352941176471</c:v>
                </c:pt>
                <c:pt idx="10">
                  <c:v>35.882352941176471</c:v>
                </c:pt>
                <c:pt idx="11">
                  <c:v>35.882352941176471</c:v>
                </c:pt>
                <c:pt idx="12">
                  <c:v>35.882352941176471</c:v>
                </c:pt>
                <c:pt idx="13">
                  <c:v>35.882352941176471</c:v>
                </c:pt>
                <c:pt idx="14">
                  <c:v>35.882352941176471</c:v>
                </c:pt>
                <c:pt idx="15">
                  <c:v>35.882352941176471</c:v>
                </c:pt>
                <c:pt idx="16">
                  <c:v>35.882352941176471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C-4F57-B90D-861410EF043B}"/>
            </c:ext>
          </c:extLst>
        </c:ser>
        <c:ser>
          <c:idx val="2"/>
          <c:order val="2"/>
          <c:tx>
            <c:strRef>
              <c:f>'SISTEMA 06 SINTER 70 NEUTRO AS'!$A$30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AS'!$B$30:$R$30</c:f>
              <c:numCache>
                <c:formatCode>0.00</c:formatCode>
                <c:ptCount val="17"/>
                <c:pt idx="0">
                  <c:v>32.294117647058826</c:v>
                </c:pt>
                <c:pt idx="1">
                  <c:v>32.294117647058826</c:v>
                </c:pt>
                <c:pt idx="2">
                  <c:v>32.294117647058826</c:v>
                </c:pt>
                <c:pt idx="3">
                  <c:v>32.294117647058826</c:v>
                </c:pt>
                <c:pt idx="4">
                  <c:v>32.294117647058826</c:v>
                </c:pt>
                <c:pt idx="5">
                  <c:v>32.294117647058826</c:v>
                </c:pt>
                <c:pt idx="6">
                  <c:v>32.294117647058826</c:v>
                </c:pt>
                <c:pt idx="7">
                  <c:v>32.294117647058826</c:v>
                </c:pt>
                <c:pt idx="8">
                  <c:v>32.294117647058826</c:v>
                </c:pt>
                <c:pt idx="9">
                  <c:v>32.294117647058826</c:v>
                </c:pt>
                <c:pt idx="10">
                  <c:v>32.294117647058826</c:v>
                </c:pt>
                <c:pt idx="11">
                  <c:v>32.294117647058826</c:v>
                </c:pt>
                <c:pt idx="12">
                  <c:v>32.294117647058826</c:v>
                </c:pt>
                <c:pt idx="13">
                  <c:v>32.294117647058826</c:v>
                </c:pt>
                <c:pt idx="14">
                  <c:v>32.294117647058826</c:v>
                </c:pt>
                <c:pt idx="15">
                  <c:v>32.294117647058826</c:v>
                </c:pt>
                <c:pt idx="16">
                  <c:v>32.294117647058826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4CC-4F57-B90D-861410EF043B}"/>
            </c:ext>
          </c:extLst>
        </c:ser>
        <c:ser>
          <c:idx val="3"/>
          <c:order val="3"/>
          <c:tx>
            <c:strRef>
              <c:f>'SISTEMA 06 SINTER 70 NEUTRO AS'!$A$31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AS'!$B$31:$R$31</c:f>
              <c:numCache>
                <c:formatCode>0.00</c:formatCode>
                <c:ptCount val="17"/>
                <c:pt idx="0">
                  <c:v>39.470588235294116</c:v>
                </c:pt>
                <c:pt idx="1">
                  <c:v>39.470588235294116</c:v>
                </c:pt>
                <c:pt idx="2">
                  <c:v>39.470588235294116</c:v>
                </c:pt>
                <c:pt idx="3">
                  <c:v>39.470588235294116</c:v>
                </c:pt>
                <c:pt idx="4">
                  <c:v>39.470588235294116</c:v>
                </c:pt>
                <c:pt idx="5">
                  <c:v>39.470588235294116</c:v>
                </c:pt>
                <c:pt idx="6">
                  <c:v>39.470588235294116</c:v>
                </c:pt>
                <c:pt idx="7">
                  <c:v>39.470588235294116</c:v>
                </c:pt>
                <c:pt idx="8">
                  <c:v>39.470588235294116</c:v>
                </c:pt>
                <c:pt idx="9">
                  <c:v>39.470588235294116</c:v>
                </c:pt>
                <c:pt idx="10">
                  <c:v>39.470588235294116</c:v>
                </c:pt>
                <c:pt idx="11">
                  <c:v>39.470588235294116</c:v>
                </c:pt>
                <c:pt idx="12">
                  <c:v>39.470588235294116</c:v>
                </c:pt>
                <c:pt idx="13">
                  <c:v>39.470588235294116</c:v>
                </c:pt>
                <c:pt idx="14">
                  <c:v>39.470588235294116</c:v>
                </c:pt>
                <c:pt idx="15">
                  <c:v>39.470588235294116</c:v>
                </c:pt>
                <c:pt idx="16">
                  <c:v>39.470588235294116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4CC-4F57-B90D-861410EF043B}"/>
            </c:ext>
          </c:extLst>
        </c:ser>
        <c:ser>
          <c:idx val="4"/>
          <c:order val="4"/>
          <c:tx>
            <c:strRef>
              <c:f>'SISTEMA 06 SINTER 70 NEUTRO AS'!$A$32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AS'!$B$32:$R$32</c:f>
              <c:numCache>
                <c:formatCode>0.00</c:formatCode>
                <c:ptCount val="17"/>
                <c:pt idx="0">
                  <c:v>28.705882352941178</c:v>
                </c:pt>
                <c:pt idx="1">
                  <c:v>28.705882352941178</c:v>
                </c:pt>
                <c:pt idx="2">
                  <c:v>28.705882352941178</c:v>
                </c:pt>
                <c:pt idx="3">
                  <c:v>28.705882352941178</c:v>
                </c:pt>
                <c:pt idx="4">
                  <c:v>28.705882352941178</c:v>
                </c:pt>
                <c:pt idx="5">
                  <c:v>28.705882352941178</c:v>
                </c:pt>
                <c:pt idx="6">
                  <c:v>28.705882352941178</c:v>
                </c:pt>
                <c:pt idx="7">
                  <c:v>28.705882352941178</c:v>
                </c:pt>
                <c:pt idx="8">
                  <c:v>28.705882352941178</c:v>
                </c:pt>
                <c:pt idx="9">
                  <c:v>28.705882352941178</c:v>
                </c:pt>
                <c:pt idx="10">
                  <c:v>28.705882352941178</c:v>
                </c:pt>
                <c:pt idx="11">
                  <c:v>28.705882352941178</c:v>
                </c:pt>
                <c:pt idx="12">
                  <c:v>28.705882352941178</c:v>
                </c:pt>
                <c:pt idx="13">
                  <c:v>28.705882352941178</c:v>
                </c:pt>
                <c:pt idx="14">
                  <c:v>28.705882352941178</c:v>
                </c:pt>
                <c:pt idx="15">
                  <c:v>28.705882352941178</c:v>
                </c:pt>
                <c:pt idx="16">
                  <c:v>28.705882352941178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5-4DBD-B62F-5124DC588000}"/>
            </c:ext>
          </c:extLst>
        </c:ser>
        <c:ser>
          <c:idx val="5"/>
          <c:order val="5"/>
          <c:tx>
            <c:strRef>
              <c:f>'SISTEMA 06 SINTER 70 NEUTRO AS'!$A$33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AS'!$B$33:$R$33</c:f>
              <c:numCache>
                <c:formatCode>0.00</c:formatCode>
                <c:ptCount val="17"/>
                <c:pt idx="0">
                  <c:v>43.058823529411768</c:v>
                </c:pt>
                <c:pt idx="1">
                  <c:v>43.058823529411768</c:v>
                </c:pt>
                <c:pt idx="2">
                  <c:v>43.058823529411768</c:v>
                </c:pt>
                <c:pt idx="3">
                  <c:v>43.058823529411768</c:v>
                </c:pt>
                <c:pt idx="4">
                  <c:v>43.058823529411768</c:v>
                </c:pt>
                <c:pt idx="5">
                  <c:v>43.058823529411768</c:v>
                </c:pt>
                <c:pt idx="6">
                  <c:v>43.058823529411768</c:v>
                </c:pt>
                <c:pt idx="7">
                  <c:v>43.058823529411768</c:v>
                </c:pt>
                <c:pt idx="8">
                  <c:v>43.058823529411768</c:v>
                </c:pt>
                <c:pt idx="9">
                  <c:v>43.058823529411768</c:v>
                </c:pt>
                <c:pt idx="10">
                  <c:v>43.058823529411768</c:v>
                </c:pt>
                <c:pt idx="11">
                  <c:v>43.058823529411768</c:v>
                </c:pt>
                <c:pt idx="12">
                  <c:v>43.058823529411768</c:v>
                </c:pt>
                <c:pt idx="13">
                  <c:v>43.058823529411768</c:v>
                </c:pt>
                <c:pt idx="14">
                  <c:v>43.058823529411768</c:v>
                </c:pt>
                <c:pt idx="15">
                  <c:v>43.058823529411768</c:v>
                </c:pt>
                <c:pt idx="16">
                  <c:v>43.058823529411768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F5-4DBD-B62F-5124DC58800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8719488"/>
        <c:axId val="188721024"/>
      </c:lineChart>
      <c:catAx>
        <c:axId val="1887194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21024"/>
        <c:crosses val="autoZero"/>
        <c:auto val="1"/>
        <c:lblAlgn val="ctr"/>
        <c:lblOffset val="100"/>
        <c:noMultiLvlLbl val="0"/>
      </c:catAx>
      <c:valAx>
        <c:axId val="1887210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719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ABRASIONE [mg]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06 SINTER 70 NEUTRO AS'!$A$35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AS'!$B$35:$R$35</c:f>
              <c:numCache>
                <c:formatCode>General</c:formatCode>
                <c:ptCount val="17"/>
                <c:pt idx="0">
                  <c:v>20</c:v>
                </c:pt>
                <c:pt idx="1">
                  <c:v>20</c:v>
                </c:pt>
                <c:pt idx="2">
                  <c:v>16</c:v>
                </c:pt>
                <c:pt idx="3">
                  <c:v>17</c:v>
                </c:pt>
                <c:pt idx="4">
                  <c:v>15</c:v>
                </c:pt>
                <c:pt idx="5">
                  <c:v>12</c:v>
                </c:pt>
                <c:pt idx="6">
                  <c:v>10</c:v>
                </c:pt>
                <c:pt idx="7">
                  <c:v>13</c:v>
                </c:pt>
                <c:pt idx="8">
                  <c:v>13</c:v>
                </c:pt>
                <c:pt idx="9">
                  <c:v>21</c:v>
                </c:pt>
                <c:pt idx="10">
                  <c:v>15</c:v>
                </c:pt>
                <c:pt idx="11">
                  <c:v>18</c:v>
                </c:pt>
                <c:pt idx="12">
                  <c:v>18</c:v>
                </c:pt>
                <c:pt idx="13">
                  <c:v>17</c:v>
                </c:pt>
                <c:pt idx="14">
                  <c:v>12</c:v>
                </c:pt>
                <c:pt idx="15">
                  <c:v>8</c:v>
                </c:pt>
                <c:pt idx="16">
                  <c:v>23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001-44D9-8F9E-AEB9ACDC4485}"/>
            </c:ext>
          </c:extLst>
        </c:ser>
        <c:ser>
          <c:idx val="1"/>
          <c:order val="1"/>
          <c:tx>
            <c:strRef>
              <c:f>'SISTEMA 06 SINTER 70 NEUTRO AS'!$A$36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AS'!$B$36:$R$36</c:f>
              <c:numCache>
                <c:formatCode>0.00</c:formatCode>
                <c:ptCount val="17"/>
                <c:pt idx="0">
                  <c:v>15.764705882352942</c:v>
                </c:pt>
                <c:pt idx="1">
                  <c:v>15.764705882352942</c:v>
                </c:pt>
                <c:pt idx="2">
                  <c:v>15.764705882352942</c:v>
                </c:pt>
                <c:pt idx="3">
                  <c:v>15.764705882352942</c:v>
                </c:pt>
                <c:pt idx="4">
                  <c:v>15.764705882352942</c:v>
                </c:pt>
                <c:pt idx="5">
                  <c:v>15.764705882352942</c:v>
                </c:pt>
                <c:pt idx="6">
                  <c:v>15.764705882352942</c:v>
                </c:pt>
                <c:pt idx="7">
                  <c:v>15.764705882352942</c:v>
                </c:pt>
                <c:pt idx="8">
                  <c:v>15.764705882352942</c:v>
                </c:pt>
                <c:pt idx="9">
                  <c:v>15.764705882352942</c:v>
                </c:pt>
                <c:pt idx="10">
                  <c:v>15.764705882352942</c:v>
                </c:pt>
                <c:pt idx="11">
                  <c:v>15.764705882352942</c:v>
                </c:pt>
                <c:pt idx="12">
                  <c:v>15.764705882352942</c:v>
                </c:pt>
                <c:pt idx="13">
                  <c:v>15.764705882352942</c:v>
                </c:pt>
                <c:pt idx="14">
                  <c:v>15.764705882352942</c:v>
                </c:pt>
                <c:pt idx="15">
                  <c:v>15.764705882352942</c:v>
                </c:pt>
                <c:pt idx="16">
                  <c:v>15.764705882352942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A6-473A-9B63-1466F04DC578}"/>
            </c:ext>
          </c:extLst>
        </c:ser>
        <c:ser>
          <c:idx val="2"/>
          <c:order val="2"/>
          <c:tx>
            <c:strRef>
              <c:f>'SISTEMA 06 SINTER 70 NEUTRO AS'!$A$37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AS'!$B$37:$R$37</c:f>
              <c:numCache>
                <c:formatCode>0.00</c:formatCode>
                <c:ptCount val="17"/>
                <c:pt idx="0">
                  <c:v>14.188235294117648</c:v>
                </c:pt>
                <c:pt idx="1">
                  <c:v>14.188235294117648</c:v>
                </c:pt>
                <c:pt idx="2">
                  <c:v>14.188235294117648</c:v>
                </c:pt>
                <c:pt idx="3">
                  <c:v>14.188235294117648</c:v>
                </c:pt>
                <c:pt idx="4">
                  <c:v>14.188235294117648</c:v>
                </c:pt>
                <c:pt idx="5">
                  <c:v>14.188235294117648</c:v>
                </c:pt>
                <c:pt idx="6">
                  <c:v>14.188235294117648</c:v>
                </c:pt>
                <c:pt idx="7">
                  <c:v>14.188235294117648</c:v>
                </c:pt>
                <c:pt idx="8">
                  <c:v>14.188235294117648</c:v>
                </c:pt>
                <c:pt idx="9">
                  <c:v>14.188235294117648</c:v>
                </c:pt>
                <c:pt idx="10">
                  <c:v>14.188235294117648</c:v>
                </c:pt>
                <c:pt idx="11">
                  <c:v>14.188235294117648</c:v>
                </c:pt>
                <c:pt idx="12">
                  <c:v>14.188235294117648</c:v>
                </c:pt>
                <c:pt idx="13">
                  <c:v>14.188235294117648</c:v>
                </c:pt>
                <c:pt idx="14">
                  <c:v>14.188235294117648</c:v>
                </c:pt>
                <c:pt idx="15">
                  <c:v>14.188235294117648</c:v>
                </c:pt>
                <c:pt idx="16">
                  <c:v>14.188235294117648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A6-473A-9B63-1466F04DC578}"/>
            </c:ext>
          </c:extLst>
        </c:ser>
        <c:ser>
          <c:idx val="3"/>
          <c:order val="3"/>
          <c:tx>
            <c:strRef>
              <c:f>'SISTEMA 06 SINTER 70 NEUTRO AS'!$A$38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AS'!$B$38:$R$38</c:f>
              <c:numCache>
                <c:formatCode>0.00</c:formatCode>
                <c:ptCount val="17"/>
                <c:pt idx="0">
                  <c:v>17.341176470588238</c:v>
                </c:pt>
                <c:pt idx="1">
                  <c:v>17.341176470588238</c:v>
                </c:pt>
                <c:pt idx="2">
                  <c:v>17.341176470588238</c:v>
                </c:pt>
                <c:pt idx="3">
                  <c:v>17.341176470588238</c:v>
                </c:pt>
                <c:pt idx="4">
                  <c:v>17.341176470588238</c:v>
                </c:pt>
                <c:pt idx="5">
                  <c:v>17.341176470588238</c:v>
                </c:pt>
                <c:pt idx="6">
                  <c:v>17.341176470588238</c:v>
                </c:pt>
                <c:pt idx="7">
                  <c:v>17.341176470588238</c:v>
                </c:pt>
                <c:pt idx="8">
                  <c:v>17.341176470588238</c:v>
                </c:pt>
                <c:pt idx="9">
                  <c:v>17.341176470588238</c:v>
                </c:pt>
                <c:pt idx="10">
                  <c:v>17.341176470588238</c:v>
                </c:pt>
                <c:pt idx="11">
                  <c:v>17.341176470588238</c:v>
                </c:pt>
                <c:pt idx="12">
                  <c:v>17.341176470588238</c:v>
                </c:pt>
                <c:pt idx="13">
                  <c:v>17.341176470588238</c:v>
                </c:pt>
                <c:pt idx="14">
                  <c:v>17.341176470588238</c:v>
                </c:pt>
                <c:pt idx="15">
                  <c:v>17.341176470588238</c:v>
                </c:pt>
                <c:pt idx="16">
                  <c:v>17.341176470588238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CA6-473A-9B63-1466F04DC578}"/>
            </c:ext>
          </c:extLst>
        </c:ser>
        <c:ser>
          <c:idx val="4"/>
          <c:order val="4"/>
          <c:tx>
            <c:strRef>
              <c:f>'SISTEMA 06 SINTER 70 NEUTRO AS'!$A$39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AS'!$B$39:$R$39</c:f>
              <c:numCache>
                <c:formatCode>0.00</c:formatCode>
                <c:ptCount val="17"/>
                <c:pt idx="0">
                  <c:v>12.611764705882354</c:v>
                </c:pt>
                <c:pt idx="1">
                  <c:v>12.611764705882354</c:v>
                </c:pt>
                <c:pt idx="2">
                  <c:v>12.611764705882354</c:v>
                </c:pt>
                <c:pt idx="3">
                  <c:v>12.611764705882354</c:v>
                </c:pt>
                <c:pt idx="4">
                  <c:v>12.611764705882354</c:v>
                </c:pt>
                <c:pt idx="5">
                  <c:v>12.611764705882354</c:v>
                </c:pt>
                <c:pt idx="6">
                  <c:v>12.611764705882354</c:v>
                </c:pt>
                <c:pt idx="7">
                  <c:v>12.611764705882354</c:v>
                </c:pt>
                <c:pt idx="8">
                  <c:v>12.611764705882354</c:v>
                </c:pt>
                <c:pt idx="9">
                  <c:v>12.611764705882354</c:v>
                </c:pt>
                <c:pt idx="10">
                  <c:v>12.611764705882354</c:v>
                </c:pt>
                <c:pt idx="11">
                  <c:v>12.611764705882354</c:v>
                </c:pt>
                <c:pt idx="12">
                  <c:v>12.611764705882354</c:v>
                </c:pt>
                <c:pt idx="13">
                  <c:v>12.611764705882354</c:v>
                </c:pt>
                <c:pt idx="14">
                  <c:v>12.611764705882354</c:v>
                </c:pt>
                <c:pt idx="15">
                  <c:v>12.611764705882354</c:v>
                </c:pt>
                <c:pt idx="16">
                  <c:v>12.611764705882354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33-404D-8F89-3250523379E8}"/>
            </c:ext>
          </c:extLst>
        </c:ser>
        <c:ser>
          <c:idx val="5"/>
          <c:order val="5"/>
          <c:tx>
            <c:strRef>
              <c:f>'SISTEMA 06 SINTER 70 NEUTRO AS'!$A$40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06 SINTER 70 NEUTRO AS'!$B$1:$R$1</c:f>
              <c:strCache>
                <c:ptCount val="17"/>
                <c:pt idx="0">
                  <c:v>15/12/2020</c:v>
                </c:pt>
                <c:pt idx="1">
                  <c:v>02/03/2021</c:v>
                </c:pt>
                <c:pt idx="2">
                  <c:v>10/05/2021</c:v>
                </c:pt>
                <c:pt idx="3">
                  <c:v>26/07/2021</c:v>
                </c:pt>
                <c:pt idx="4">
                  <c:v>28/10/2021</c:v>
                </c:pt>
                <c:pt idx="5">
                  <c:v>04/02/2022</c:v>
                </c:pt>
                <c:pt idx="6">
                  <c:v>21/09/2022</c:v>
                </c:pt>
                <c:pt idx="7">
                  <c:v>22/02/2023</c:v>
                </c:pt>
                <c:pt idx="8">
                  <c:v>23/03/2023</c:v>
                </c:pt>
                <c:pt idx="9">
                  <c:v>12/12/2023</c:v>
                </c:pt>
                <c:pt idx="10">
                  <c:v>20/05/2024</c:v>
                </c:pt>
                <c:pt idx="11">
                  <c:v>20/07/2024</c:v>
                </c:pt>
                <c:pt idx="12">
                  <c:v>22/09/2024</c:v>
                </c:pt>
                <c:pt idx="13">
                  <c:v>14/02/2025</c:v>
                </c:pt>
                <c:pt idx="14">
                  <c:v>21/07/2025</c:v>
                </c:pt>
                <c:pt idx="15">
                  <c:v>10/09/2025</c:v>
                </c:pt>
                <c:pt idx="16">
                  <c:v>20/01/2026</c:v>
                </c:pt>
              </c:strCache>
            </c:strRef>
          </c:cat>
          <c:val>
            <c:numRef>
              <c:f>'SISTEMA 06 SINTER 70 NEUTRO AS'!$B$40:$R$40</c:f>
              <c:numCache>
                <c:formatCode>0.00</c:formatCode>
                <c:ptCount val="17"/>
                <c:pt idx="0">
                  <c:v>18.91764705882353</c:v>
                </c:pt>
                <c:pt idx="1">
                  <c:v>18.91764705882353</c:v>
                </c:pt>
                <c:pt idx="2">
                  <c:v>18.91764705882353</c:v>
                </c:pt>
                <c:pt idx="3">
                  <c:v>18.91764705882353</c:v>
                </c:pt>
                <c:pt idx="4">
                  <c:v>18.91764705882353</c:v>
                </c:pt>
                <c:pt idx="5">
                  <c:v>18.91764705882353</c:v>
                </c:pt>
                <c:pt idx="6">
                  <c:v>18.91764705882353</c:v>
                </c:pt>
                <c:pt idx="7">
                  <c:v>18.91764705882353</c:v>
                </c:pt>
                <c:pt idx="8">
                  <c:v>18.91764705882353</c:v>
                </c:pt>
                <c:pt idx="9">
                  <c:v>18.91764705882353</c:v>
                </c:pt>
                <c:pt idx="10">
                  <c:v>18.91764705882353</c:v>
                </c:pt>
                <c:pt idx="11">
                  <c:v>18.91764705882353</c:v>
                </c:pt>
                <c:pt idx="12">
                  <c:v>18.91764705882353</c:v>
                </c:pt>
                <c:pt idx="13">
                  <c:v>18.91764705882353</c:v>
                </c:pt>
                <c:pt idx="14">
                  <c:v>18.91764705882353</c:v>
                </c:pt>
                <c:pt idx="15">
                  <c:v>18.91764705882353</c:v>
                </c:pt>
                <c:pt idx="16">
                  <c:v>18.91764705882353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33-404D-8F89-3250523379E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8663680"/>
        <c:axId val="188665216"/>
      </c:lineChart>
      <c:catAx>
        <c:axId val="1886636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5216"/>
        <c:crosses val="max"/>
        <c:auto val="1"/>
        <c:lblAlgn val="ctr"/>
        <c:lblOffset val="100"/>
        <c:noMultiLvlLbl val="0"/>
      </c:catAx>
      <c:valAx>
        <c:axId val="188665216"/>
        <c:scaling>
          <c:orientation val="maxMin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663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NEUTRO'!$B$2:$J$2</c:f>
              <c:numCache>
                <c:formatCode>General</c:formatCode>
                <c:ptCount val="9"/>
                <c:pt idx="0">
                  <c:v>88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82</c:v>
                </c:pt>
                <c:pt idx="5">
                  <c:v>87</c:v>
                </c:pt>
                <c:pt idx="6">
                  <c:v>88</c:v>
                </c:pt>
                <c:pt idx="7">
                  <c:v>88</c:v>
                </c:pt>
                <c:pt idx="8">
                  <c:v>85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56C3-4305-BCE3-9F553009485D}"/>
            </c:ext>
          </c:extLst>
        </c:ser>
        <c:ser>
          <c:idx val="1"/>
          <c:order val="1"/>
          <c:tx>
            <c:strRef>
              <c:f>'SISTEMA 07 SINTHT 80 NEUTRO'!$A$3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NEUTRO'!$B$3:$J$3</c:f>
              <c:numCache>
                <c:formatCode>0.0</c:formatCode>
                <c:ptCount val="9"/>
                <c:pt idx="0">
                  <c:v>85.888888888888886</c:v>
                </c:pt>
                <c:pt idx="1">
                  <c:v>85.888888888888886</c:v>
                </c:pt>
                <c:pt idx="2">
                  <c:v>85.888888888888886</c:v>
                </c:pt>
                <c:pt idx="3">
                  <c:v>85.888888888888886</c:v>
                </c:pt>
                <c:pt idx="4">
                  <c:v>85.888888888888886</c:v>
                </c:pt>
                <c:pt idx="5">
                  <c:v>85.888888888888886</c:v>
                </c:pt>
                <c:pt idx="6">
                  <c:v>85.888888888888886</c:v>
                </c:pt>
                <c:pt idx="7">
                  <c:v>85.888888888888886</c:v>
                </c:pt>
                <c:pt idx="8">
                  <c:v>85.888888888888886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F8-460B-B696-89BE13399CFA}"/>
            </c:ext>
          </c:extLst>
        </c:ser>
        <c:ser>
          <c:idx val="2"/>
          <c:order val="2"/>
          <c:tx>
            <c:strRef>
              <c:f>'SISTEMA 07 SINTHT 80 NEUTRO'!$A$4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NEUTRO'!$B$4:$J$4</c:f>
              <c:numCache>
                <c:formatCode>0.0</c:formatCode>
                <c:ptCount val="9"/>
                <c:pt idx="0">
                  <c:v>83.888888888888886</c:v>
                </c:pt>
                <c:pt idx="1">
                  <c:v>83.888888888888886</c:v>
                </c:pt>
                <c:pt idx="2">
                  <c:v>83.888888888888886</c:v>
                </c:pt>
                <c:pt idx="3">
                  <c:v>83.888888888888886</c:v>
                </c:pt>
                <c:pt idx="4">
                  <c:v>83.888888888888886</c:v>
                </c:pt>
                <c:pt idx="5">
                  <c:v>83.888888888888886</c:v>
                </c:pt>
                <c:pt idx="6">
                  <c:v>83.888888888888886</c:v>
                </c:pt>
                <c:pt idx="7">
                  <c:v>83.888888888888886</c:v>
                </c:pt>
                <c:pt idx="8">
                  <c:v>83.888888888888886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F8-460B-B696-89BE13399CFA}"/>
            </c:ext>
          </c:extLst>
        </c:ser>
        <c:ser>
          <c:idx val="3"/>
          <c:order val="3"/>
          <c:tx>
            <c:strRef>
              <c:f>'SISTEMA 07 SINTHT 80 NEUTRO'!$A$5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NEUTRO'!$B$5:$J$5</c:f>
              <c:numCache>
                <c:formatCode>0.0</c:formatCode>
                <c:ptCount val="9"/>
                <c:pt idx="0">
                  <c:v>87.888888888888886</c:v>
                </c:pt>
                <c:pt idx="1">
                  <c:v>87.888888888888886</c:v>
                </c:pt>
                <c:pt idx="2">
                  <c:v>87.888888888888886</c:v>
                </c:pt>
                <c:pt idx="3">
                  <c:v>87.888888888888886</c:v>
                </c:pt>
                <c:pt idx="4">
                  <c:v>87.888888888888886</c:v>
                </c:pt>
                <c:pt idx="5">
                  <c:v>87.888888888888886</c:v>
                </c:pt>
                <c:pt idx="6">
                  <c:v>87.888888888888886</c:v>
                </c:pt>
                <c:pt idx="7">
                  <c:v>87.888888888888886</c:v>
                </c:pt>
                <c:pt idx="8">
                  <c:v>87.888888888888886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F8-460B-B696-89BE13399C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8855808"/>
        <c:axId val="188857344"/>
      </c:lineChart>
      <c:catAx>
        <c:axId val="188855808"/>
        <c:scaling>
          <c:orientation val="minMax"/>
          <c:min val="1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57344"/>
        <c:crosses val="autoZero"/>
        <c:auto val="0"/>
        <c:lblAlgn val="ctr"/>
        <c:lblOffset val="100"/>
        <c:noMultiLvlLbl val="0"/>
      </c:catAx>
      <c:valAx>
        <c:axId val="18885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85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CARICO DI ROTTURA [MPa]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NEUTRO'!$B$7:$J$7</c:f>
              <c:numCache>
                <c:formatCode>General</c:formatCode>
                <c:ptCount val="9"/>
                <c:pt idx="0">
                  <c:v>17</c:v>
                </c:pt>
                <c:pt idx="1">
                  <c:v>14</c:v>
                </c:pt>
                <c:pt idx="2">
                  <c:v>17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17</c:v>
                </c:pt>
                <c:pt idx="7">
                  <c:v>16</c:v>
                </c:pt>
                <c:pt idx="8">
                  <c:v>18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E67-47B2-BBF7-657EF669888E}"/>
            </c:ext>
          </c:extLst>
        </c:ser>
        <c:ser>
          <c:idx val="1"/>
          <c:order val="1"/>
          <c:tx>
            <c:strRef>
              <c:f>'SISTEMA 07 SINTHT 80 NEUTRO'!$A$8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NEUTRO'!$B$8:$J$8</c:f>
              <c:numCache>
                <c:formatCode>0.0</c:formatCode>
                <c:ptCount val="9"/>
                <c:pt idx="0">
                  <c:v>16.111111111111111</c:v>
                </c:pt>
                <c:pt idx="1">
                  <c:v>16.111111111111111</c:v>
                </c:pt>
                <c:pt idx="2">
                  <c:v>16.111111111111111</c:v>
                </c:pt>
                <c:pt idx="3">
                  <c:v>16.111111111111111</c:v>
                </c:pt>
                <c:pt idx="4">
                  <c:v>16.111111111111111</c:v>
                </c:pt>
                <c:pt idx="5">
                  <c:v>16.111111111111111</c:v>
                </c:pt>
                <c:pt idx="6">
                  <c:v>16.111111111111111</c:v>
                </c:pt>
                <c:pt idx="7">
                  <c:v>16.111111111111111</c:v>
                </c:pt>
                <c:pt idx="8">
                  <c:v>16.111111111111111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8E8-42F3-8B78-301B634EA24A}"/>
            </c:ext>
          </c:extLst>
        </c:ser>
        <c:ser>
          <c:idx val="2"/>
          <c:order val="2"/>
          <c:tx>
            <c:strRef>
              <c:f>'SISTEMA 07 SINTHT 80 NEUTRO'!$A$9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NEUTRO'!$B$9:$J$9</c:f>
              <c:numCache>
                <c:formatCode>0.0</c:formatCode>
                <c:ptCount val="9"/>
                <c:pt idx="0">
                  <c:v>14.499999999999998</c:v>
                </c:pt>
                <c:pt idx="1">
                  <c:v>14.499999999999998</c:v>
                </c:pt>
                <c:pt idx="2">
                  <c:v>14.499999999999998</c:v>
                </c:pt>
                <c:pt idx="3">
                  <c:v>14.499999999999998</c:v>
                </c:pt>
                <c:pt idx="4">
                  <c:v>14.499999999999998</c:v>
                </c:pt>
                <c:pt idx="5">
                  <c:v>14.499999999999998</c:v>
                </c:pt>
                <c:pt idx="6">
                  <c:v>14.499999999999998</c:v>
                </c:pt>
                <c:pt idx="7">
                  <c:v>14.499999999999998</c:v>
                </c:pt>
                <c:pt idx="8">
                  <c:v>14.499999999999998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E8-42F3-8B78-301B634EA24A}"/>
            </c:ext>
          </c:extLst>
        </c:ser>
        <c:ser>
          <c:idx val="3"/>
          <c:order val="3"/>
          <c:tx>
            <c:strRef>
              <c:f>'SISTEMA 07 SINTHT 80 NEUTRO'!$A$10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NEUTRO'!$B$10:$J$10</c:f>
              <c:numCache>
                <c:formatCode>0.0</c:formatCode>
                <c:ptCount val="9"/>
                <c:pt idx="0">
                  <c:v>17.722222222222221</c:v>
                </c:pt>
                <c:pt idx="1">
                  <c:v>17.722222222222221</c:v>
                </c:pt>
                <c:pt idx="2">
                  <c:v>17.722222222222221</c:v>
                </c:pt>
                <c:pt idx="3">
                  <c:v>17.722222222222221</c:v>
                </c:pt>
                <c:pt idx="4">
                  <c:v>17.722222222222221</c:v>
                </c:pt>
                <c:pt idx="5">
                  <c:v>17.722222222222221</c:v>
                </c:pt>
                <c:pt idx="6">
                  <c:v>17.722222222222221</c:v>
                </c:pt>
                <c:pt idx="7">
                  <c:v>17.722222222222221</c:v>
                </c:pt>
                <c:pt idx="8">
                  <c:v>17.722222222222221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E8-42F3-8B78-301B634EA24A}"/>
            </c:ext>
          </c:extLst>
        </c:ser>
        <c:ser>
          <c:idx val="4"/>
          <c:order val="4"/>
          <c:tx>
            <c:strRef>
              <c:f>'SISTEMA 07 SINTHT 80 NEUTRO'!$A$11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NEUTRO'!$B$11:$J$11</c:f>
              <c:numCache>
                <c:formatCode>0.0</c:formatCode>
                <c:ptCount val="9"/>
                <c:pt idx="0">
                  <c:v>12.888888888888888</c:v>
                </c:pt>
                <c:pt idx="1">
                  <c:v>12.888888888888888</c:v>
                </c:pt>
                <c:pt idx="2">
                  <c:v>12.888888888888888</c:v>
                </c:pt>
                <c:pt idx="3">
                  <c:v>12.888888888888888</c:v>
                </c:pt>
                <c:pt idx="4">
                  <c:v>12.888888888888888</c:v>
                </c:pt>
                <c:pt idx="5">
                  <c:v>12.888888888888888</c:v>
                </c:pt>
                <c:pt idx="6">
                  <c:v>12.888888888888888</c:v>
                </c:pt>
                <c:pt idx="7">
                  <c:v>12.888888888888888</c:v>
                </c:pt>
                <c:pt idx="8">
                  <c:v>12.888888888888888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B5-42F6-A9CF-F5FF445EC46E}"/>
            </c:ext>
          </c:extLst>
        </c:ser>
        <c:ser>
          <c:idx val="5"/>
          <c:order val="5"/>
          <c:tx>
            <c:strRef>
              <c:f>'SISTEMA 07 SINTHT 80 NEUTRO'!$A$12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NEUTRO'!$B$12:$J$12</c:f>
              <c:numCache>
                <c:formatCode>0.0</c:formatCode>
                <c:ptCount val="9"/>
                <c:pt idx="0">
                  <c:v>19.333333333333332</c:v>
                </c:pt>
                <c:pt idx="1">
                  <c:v>19.333333333333332</c:v>
                </c:pt>
                <c:pt idx="2">
                  <c:v>19.333333333333332</c:v>
                </c:pt>
                <c:pt idx="3">
                  <c:v>19.333333333333332</c:v>
                </c:pt>
                <c:pt idx="4">
                  <c:v>19.333333333333332</c:v>
                </c:pt>
                <c:pt idx="5">
                  <c:v>19.333333333333332</c:v>
                </c:pt>
                <c:pt idx="6">
                  <c:v>19.333333333333332</c:v>
                </c:pt>
                <c:pt idx="7">
                  <c:v>19.333333333333332</c:v>
                </c:pt>
                <c:pt idx="8">
                  <c:v>19.333333333333332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B5-42F6-A9CF-F5FF445EC46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80587136"/>
        <c:axId val="190185856"/>
      </c:lineChart>
      <c:catAx>
        <c:axId val="1805871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185856"/>
        <c:crosses val="autoZero"/>
        <c:auto val="0"/>
        <c:lblAlgn val="ctr"/>
        <c:lblOffset val="100"/>
        <c:noMultiLvlLbl val="0"/>
      </c:catAx>
      <c:valAx>
        <c:axId val="19018585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058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ALLUNGAMENTO [%]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NEUTRO'!$B$14:$J$14</c:f>
              <c:numCache>
                <c:formatCode>General</c:formatCode>
                <c:ptCount val="9"/>
                <c:pt idx="0">
                  <c:v>300</c:v>
                </c:pt>
                <c:pt idx="1">
                  <c:v>286</c:v>
                </c:pt>
                <c:pt idx="2">
                  <c:v>498</c:v>
                </c:pt>
                <c:pt idx="3">
                  <c:v>348</c:v>
                </c:pt>
                <c:pt idx="4">
                  <c:v>348</c:v>
                </c:pt>
                <c:pt idx="5">
                  <c:v>418</c:v>
                </c:pt>
                <c:pt idx="6">
                  <c:v>465</c:v>
                </c:pt>
                <c:pt idx="7">
                  <c:v>400</c:v>
                </c:pt>
                <c:pt idx="8">
                  <c:v>453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243-45BA-86C1-994B3944D1B9}"/>
            </c:ext>
          </c:extLst>
        </c:ser>
        <c:ser>
          <c:idx val="1"/>
          <c:order val="1"/>
          <c:tx>
            <c:strRef>
              <c:f>'SISTEMA 07 SINTHT 80 NEUTRO'!$A$15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NEUTRO'!$B$15:$J$15</c:f>
              <c:numCache>
                <c:formatCode>0.0</c:formatCode>
                <c:ptCount val="9"/>
                <c:pt idx="0">
                  <c:v>390.66666666666669</c:v>
                </c:pt>
                <c:pt idx="1">
                  <c:v>390.66666666666669</c:v>
                </c:pt>
                <c:pt idx="2">
                  <c:v>390.66666666666669</c:v>
                </c:pt>
                <c:pt idx="3">
                  <c:v>390.66666666666669</c:v>
                </c:pt>
                <c:pt idx="4">
                  <c:v>390.66666666666669</c:v>
                </c:pt>
                <c:pt idx="5">
                  <c:v>390.66666666666669</c:v>
                </c:pt>
                <c:pt idx="6">
                  <c:v>390.66666666666669</c:v>
                </c:pt>
                <c:pt idx="7">
                  <c:v>390.66666666666669</c:v>
                </c:pt>
                <c:pt idx="8">
                  <c:v>390.66666666666669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D-4DCC-A74A-04A7B47DFE4D}"/>
            </c:ext>
          </c:extLst>
        </c:ser>
        <c:ser>
          <c:idx val="2"/>
          <c:order val="2"/>
          <c:tx>
            <c:strRef>
              <c:f>'SISTEMA 07 SINTHT 80 NEUTRO'!$A$16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NEUTRO'!$B$16:$J$16</c:f>
              <c:numCache>
                <c:formatCode>0.0</c:formatCode>
                <c:ptCount val="9"/>
                <c:pt idx="0">
                  <c:v>351.6</c:v>
                </c:pt>
                <c:pt idx="1">
                  <c:v>351.6</c:v>
                </c:pt>
                <c:pt idx="2">
                  <c:v>351.6</c:v>
                </c:pt>
                <c:pt idx="3">
                  <c:v>351.6</c:v>
                </c:pt>
                <c:pt idx="4">
                  <c:v>351.6</c:v>
                </c:pt>
                <c:pt idx="5">
                  <c:v>351.6</c:v>
                </c:pt>
                <c:pt idx="6">
                  <c:v>351.6</c:v>
                </c:pt>
                <c:pt idx="7">
                  <c:v>351.6</c:v>
                </c:pt>
                <c:pt idx="8">
                  <c:v>351.6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B1D-4DCC-A74A-04A7B47DFE4D}"/>
            </c:ext>
          </c:extLst>
        </c:ser>
        <c:ser>
          <c:idx val="3"/>
          <c:order val="3"/>
          <c:tx>
            <c:strRef>
              <c:f>'SISTEMA 07 SINTHT 80 NEUTRO'!$A$17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NEUTRO'!$B$17:$J$17</c:f>
              <c:numCache>
                <c:formatCode>0.0</c:formatCode>
                <c:ptCount val="9"/>
                <c:pt idx="0">
                  <c:v>312.53333333333336</c:v>
                </c:pt>
                <c:pt idx="1">
                  <c:v>312.53333333333336</c:v>
                </c:pt>
                <c:pt idx="2">
                  <c:v>312.53333333333336</c:v>
                </c:pt>
                <c:pt idx="3">
                  <c:v>312.53333333333336</c:v>
                </c:pt>
                <c:pt idx="4">
                  <c:v>312.53333333333336</c:v>
                </c:pt>
                <c:pt idx="5">
                  <c:v>312.53333333333336</c:v>
                </c:pt>
                <c:pt idx="6">
                  <c:v>312.53333333333336</c:v>
                </c:pt>
                <c:pt idx="7">
                  <c:v>312.53333333333336</c:v>
                </c:pt>
                <c:pt idx="8">
                  <c:v>312.53333333333336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B1D-4DCC-A74A-04A7B47DFE4D}"/>
            </c:ext>
          </c:extLst>
        </c:ser>
        <c:ser>
          <c:idx val="4"/>
          <c:order val="4"/>
          <c:tx>
            <c:strRef>
              <c:f>'SISTEMA 07 SINTHT 80 NEUTRO'!$A$18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NEUTRO'!$B$18:$J$18</c:f>
              <c:numCache>
                <c:formatCode>0.0</c:formatCode>
                <c:ptCount val="9"/>
                <c:pt idx="0">
                  <c:v>429.73333333333335</c:v>
                </c:pt>
                <c:pt idx="1">
                  <c:v>429.73333333333335</c:v>
                </c:pt>
                <c:pt idx="2">
                  <c:v>429.73333333333335</c:v>
                </c:pt>
                <c:pt idx="3">
                  <c:v>429.73333333333335</c:v>
                </c:pt>
                <c:pt idx="4">
                  <c:v>429.73333333333335</c:v>
                </c:pt>
                <c:pt idx="5">
                  <c:v>429.73333333333335</c:v>
                </c:pt>
                <c:pt idx="6">
                  <c:v>429.73333333333335</c:v>
                </c:pt>
                <c:pt idx="7">
                  <c:v>429.73333333333335</c:v>
                </c:pt>
                <c:pt idx="8">
                  <c:v>429.73333333333335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B1D-4DCC-A74A-04A7B47DFE4D}"/>
            </c:ext>
          </c:extLst>
        </c:ser>
        <c:ser>
          <c:idx val="5"/>
          <c:order val="5"/>
          <c:tx>
            <c:strRef>
              <c:f>'SISTEMA 07 SINTHT 80 NEUTRO'!$A$19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NEUTRO'!$B$19:$J$19</c:f>
              <c:numCache>
                <c:formatCode>0.0</c:formatCode>
                <c:ptCount val="9"/>
                <c:pt idx="0">
                  <c:v>468.8</c:v>
                </c:pt>
                <c:pt idx="1">
                  <c:v>468.8</c:v>
                </c:pt>
                <c:pt idx="2">
                  <c:v>468.8</c:v>
                </c:pt>
                <c:pt idx="3">
                  <c:v>468.8</c:v>
                </c:pt>
                <c:pt idx="4">
                  <c:v>468.8</c:v>
                </c:pt>
                <c:pt idx="5">
                  <c:v>468.8</c:v>
                </c:pt>
                <c:pt idx="6">
                  <c:v>468.8</c:v>
                </c:pt>
                <c:pt idx="7">
                  <c:v>468.8</c:v>
                </c:pt>
                <c:pt idx="8">
                  <c:v>468.8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B1D-4DCC-A74A-04A7B47DFE4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246912"/>
        <c:axId val="190248448"/>
      </c:lineChart>
      <c:catAx>
        <c:axId val="190246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48448"/>
        <c:crosses val="autoZero"/>
        <c:auto val="0"/>
        <c:lblAlgn val="ctr"/>
        <c:lblOffset val="100"/>
        <c:noMultiLvlLbl val="0"/>
      </c:catAx>
      <c:valAx>
        <c:axId val="190248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246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LACERAZIONE B [kN/m]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NEUTRO'!$B$21:$J$21</c:f>
              <c:numCache>
                <c:formatCode>General</c:formatCode>
                <c:ptCount val="9"/>
                <c:pt idx="0">
                  <c:v>49</c:v>
                </c:pt>
                <c:pt idx="1">
                  <c:v>48</c:v>
                </c:pt>
                <c:pt idx="2">
                  <c:v>60</c:v>
                </c:pt>
                <c:pt idx="3">
                  <c:v>56</c:v>
                </c:pt>
                <c:pt idx="4">
                  <c:v>54</c:v>
                </c:pt>
                <c:pt idx="5">
                  <c:v>57</c:v>
                </c:pt>
                <c:pt idx="6">
                  <c:v>57</c:v>
                </c:pt>
                <c:pt idx="7">
                  <c:v>51</c:v>
                </c:pt>
                <c:pt idx="8">
                  <c:v>55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C4E7-476D-B43B-173953776F53}"/>
            </c:ext>
          </c:extLst>
        </c:ser>
        <c:ser>
          <c:idx val="1"/>
          <c:order val="1"/>
          <c:tx>
            <c:strRef>
              <c:f>'SISTEMA 07 SINTHT 80 NEUTRO'!$A$22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NEUTRO'!$B$22:$J$22</c:f>
              <c:numCache>
                <c:formatCode>0.0</c:formatCode>
                <c:ptCount val="9"/>
                <c:pt idx="0">
                  <c:v>54.111111111111114</c:v>
                </c:pt>
                <c:pt idx="1">
                  <c:v>54.111111111111114</c:v>
                </c:pt>
                <c:pt idx="2">
                  <c:v>54.111111111111114</c:v>
                </c:pt>
                <c:pt idx="3">
                  <c:v>54.111111111111114</c:v>
                </c:pt>
                <c:pt idx="4">
                  <c:v>54.111111111111114</c:v>
                </c:pt>
                <c:pt idx="5">
                  <c:v>54.111111111111114</c:v>
                </c:pt>
                <c:pt idx="6">
                  <c:v>54.111111111111114</c:v>
                </c:pt>
                <c:pt idx="7">
                  <c:v>54.111111111111114</c:v>
                </c:pt>
                <c:pt idx="8">
                  <c:v>54.111111111111114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B5-4693-B870-4C83A66DCED7}"/>
            </c:ext>
          </c:extLst>
        </c:ser>
        <c:ser>
          <c:idx val="2"/>
          <c:order val="2"/>
          <c:tx>
            <c:strRef>
              <c:f>'SISTEMA 07 SINTHT 80 NEUTRO'!$A$23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NEUTRO'!$B$23:$J$23</c:f>
              <c:numCache>
                <c:formatCode>0.0</c:formatCode>
                <c:ptCount val="9"/>
                <c:pt idx="0">
                  <c:v>48.699999999999996</c:v>
                </c:pt>
                <c:pt idx="1">
                  <c:v>48.699999999999996</c:v>
                </c:pt>
                <c:pt idx="2">
                  <c:v>48.699999999999996</c:v>
                </c:pt>
                <c:pt idx="3">
                  <c:v>48.699999999999996</c:v>
                </c:pt>
                <c:pt idx="4">
                  <c:v>48.699999999999996</c:v>
                </c:pt>
                <c:pt idx="5">
                  <c:v>48.699999999999996</c:v>
                </c:pt>
                <c:pt idx="6">
                  <c:v>48.699999999999996</c:v>
                </c:pt>
                <c:pt idx="7">
                  <c:v>48.699999999999996</c:v>
                </c:pt>
                <c:pt idx="8">
                  <c:v>48.699999999999996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B5-4693-B870-4C83A66DCED7}"/>
            </c:ext>
          </c:extLst>
        </c:ser>
        <c:ser>
          <c:idx val="3"/>
          <c:order val="3"/>
          <c:tx>
            <c:strRef>
              <c:f>'SISTEMA 07 SINTHT 80 NEUTRO'!$A$24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NEUTRO'!$B$24:$J$24</c:f>
              <c:numCache>
                <c:formatCode>0.0</c:formatCode>
                <c:ptCount val="9"/>
                <c:pt idx="0">
                  <c:v>59.522222222222226</c:v>
                </c:pt>
                <c:pt idx="1">
                  <c:v>59.522222222222226</c:v>
                </c:pt>
                <c:pt idx="2">
                  <c:v>59.522222222222226</c:v>
                </c:pt>
                <c:pt idx="3">
                  <c:v>59.522222222222226</c:v>
                </c:pt>
                <c:pt idx="4">
                  <c:v>59.522222222222226</c:v>
                </c:pt>
                <c:pt idx="5">
                  <c:v>59.522222222222226</c:v>
                </c:pt>
                <c:pt idx="6">
                  <c:v>59.522222222222226</c:v>
                </c:pt>
                <c:pt idx="7">
                  <c:v>59.522222222222226</c:v>
                </c:pt>
                <c:pt idx="8">
                  <c:v>59.522222222222226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45-417B-8E38-CE5911953733}"/>
            </c:ext>
          </c:extLst>
        </c:ser>
        <c:ser>
          <c:idx val="4"/>
          <c:order val="4"/>
          <c:tx>
            <c:strRef>
              <c:f>'SISTEMA 07 SINTHT 80 NEUTRO'!$A$25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NEUTRO'!$B$25:$J$25</c:f>
              <c:numCache>
                <c:formatCode>0.0</c:formatCode>
                <c:ptCount val="9"/>
                <c:pt idx="0">
                  <c:v>43.288888888888891</c:v>
                </c:pt>
                <c:pt idx="1">
                  <c:v>43.288888888888891</c:v>
                </c:pt>
                <c:pt idx="2">
                  <c:v>43.288888888888891</c:v>
                </c:pt>
                <c:pt idx="3">
                  <c:v>43.288888888888891</c:v>
                </c:pt>
                <c:pt idx="4">
                  <c:v>43.288888888888891</c:v>
                </c:pt>
                <c:pt idx="5">
                  <c:v>43.288888888888891</c:v>
                </c:pt>
                <c:pt idx="6">
                  <c:v>43.288888888888891</c:v>
                </c:pt>
                <c:pt idx="7">
                  <c:v>43.288888888888891</c:v>
                </c:pt>
                <c:pt idx="8">
                  <c:v>43.288888888888891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A9-495D-9275-A1910C13E495}"/>
            </c:ext>
          </c:extLst>
        </c:ser>
        <c:ser>
          <c:idx val="5"/>
          <c:order val="5"/>
          <c:tx>
            <c:strRef>
              <c:f>'SISTEMA 07 SINTHT 80 NEUTRO'!$A$26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NEUTRO'!$B$26:$J$26</c:f>
              <c:numCache>
                <c:formatCode>0.0</c:formatCode>
                <c:ptCount val="9"/>
                <c:pt idx="0">
                  <c:v>64.933333333333337</c:v>
                </c:pt>
                <c:pt idx="1">
                  <c:v>64.933333333333337</c:v>
                </c:pt>
                <c:pt idx="2">
                  <c:v>64.933333333333337</c:v>
                </c:pt>
                <c:pt idx="3">
                  <c:v>64.933333333333337</c:v>
                </c:pt>
                <c:pt idx="4">
                  <c:v>64.933333333333337</c:v>
                </c:pt>
                <c:pt idx="5">
                  <c:v>64.933333333333337</c:v>
                </c:pt>
                <c:pt idx="6">
                  <c:v>64.933333333333337</c:v>
                </c:pt>
                <c:pt idx="7">
                  <c:v>64.933333333333337</c:v>
                </c:pt>
                <c:pt idx="8">
                  <c:v>64.933333333333337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CA9-495D-9275-A1910C13E49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318080"/>
        <c:axId val="190319616"/>
      </c:lineChart>
      <c:catAx>
        <c:axId val="19031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9616"/>
        <c:crosses val="autoZero"/>
        <c:auto val="0"/>
        <c:lblAlgn val="ctr"/>
        <c:lblOffset val="100"/>
        <c:noMultiLvlLbl val="0"/>
      </c:catAx>
      <c:valAx>
        <c:axId val="19031961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1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LACERAZIONE C [kN/m]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NEUTRO'!$B$28:$J$28</c:f>
              <c:numCache>
                <c:formatCode>General</c:formatCode>
                <c:ptCount val="9"/>
                <c:pt idx="0">
                  <c:v>53</c:v>
                </c:pt>
                <c:pt idx="1">
                  <c:v>41</c:v>
                </c:pt>
                <c:pt idx="2">
                  <c:v>62</c:v>
                </c:pt>
                <c:pt idx="3">
                  <c:v>56</c:v>
                </c:pt>
                <c:pt idx="4">
                  <c:v>63</c:v>
                </c:pt>
                <c:pt idx="5">
                  <c:v>61</c:v>
                </c:pt>
                <c:pt idx="6">
                  <c:v>68</c:v>
                </c:pt>
                <c:pt idx="7">
                  <c:v>64</c:v>
                </c:pt>
                <c:pt idx="8">
                  <c:v>69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314-4B7D-BF1B-3470B52B5FDC}"/>
            </c:ext>
          </c:extLst>
        </c:ser>
        <c:ser>
          <c:idx val="1"/>
          <c:order val="1"/>
          <c:tx>
            <c:strRef>
              <c:f>'SISTEMA 07 SINTHT 80 NEUTRO'!$A$29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NEUTRO'!$B$29:$J$29</c:f>
              <c:numCache>
                <c:formatCode>0.0</c:formatCode>
                <c:ptCount val="9"/>
                <c:pt idx="0">
                  <c:v>59.666666666666664</c:v>
                </c:pt>
                <c:pt idx="1">
                  <c:v>59.666666666666664</c:v>
                </c:pt>
                <c:pt idx="2">
                  <c:v>59.666666666666664</c:v>
                </c:pt>
                <c:pt idx="3">
                  <c:v>59.666666666666664</c:v>
                </c:pt>
                <c:pt idx="4">
                  <c:v>59.666666666666664</c:v>
                </c:pt>
                <c:pt idx="5">
                  <c:v>59.666666666666664</c:v>
                </c:pt>
                <c:pt idx="6">
                  <c:v>59.666666666666664</c:v>
                </c:pt>
                <c:pt idx="7">
                  <c:v>59.666666666666664</c:v>
                </c:pt>
                <c:pt idx="8">
                  <c:v>59.666666666666664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7B-4429-949E-DA3B25A7B66F}"/>
            </c:ext>
          </c:extLst>
        </c:ser>
        <c:ser>
          <c:idx val="2"/>
          <c:order val="2"/>
          <c:tx>
            <c:strRef>
              <c:f>'SISTEMA 07 SINTHT 80 NEUTRO'!$A$30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NEUTRO'!$B$30:$J$30</c:f>
              <c:numCache>
                <c:formatCode>0.0</c:formatCode>
                <c:ptCount val="9"/>
                <c:pt idx="0">
                  <c:v>53.7</c:v>
                </c:pt>
                <c:pt idx="1">
                  <c:v>53.7</c:v>
                </c:pt>
                <c:pt idx="2">
                  <c:v>53.7</c:v>
                </c:pt>
                <c:pt idx="3">
                  <c:v>53.7</c:v>
                </c:pt>
                <c:pt idx="4">
                  <c:v>53.7</c:v>
                </c:pt>
                <c:pt idx="5">
                  <c:v>53.7</c:v>
                </c:pt>
                <c:pt idx="6">
                  <c:v>53.7</c:v>
                </c:pt>
                <c:pt idx="7">
                  <c:v>53.7</c:v>
                </c:pt>
                <c:pt idx="8">
                  <c:v>53.7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7B-4429-949E-DA3B25A7B66F}"/>
            </c:ext>
          </c:extLst>
        </c:ser>
        <c:ser>
          <c:idx val="3"/>
          <c:order val="3"/>
          <c:tx>
            <c:strRef>
              <c:f>'SISTEMA 07 SINTHT 80 NEUTRO'!$A$31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NEUTRO'!$B$31:$J$31</c:f>
              <c:numCache>
                <c:formatCode>0.0</c:formatCode>
                <c:ptCount val="9"/>
                <c:pt idx="0">
                  <c:v>65.633333333333326</c:v>
                </c:pt>
                <c:pt idx="1">
                  <c:v>65.633333333333326</c:v>
                </c:pt>
                <c:pt idx="2">
                  <c:v>65.633333333333326</c:v>
                </c:pt>
                <c:pt idx="3">
                  <c:v>65.633333333333326</c:v>
                </c:pt>
                <c:pt idx="4">
                  <c:v>65.633333333333326</c:v>
                </c:pt>
                <c:pt idx="5">
                  <c:v>65.633333333333326</c:v>
                </c:pt>
                <c:pt idx="6">
                  <c:v>65.633333333333326</c:v>
                </c:pt>
                <c:pt idx="7">
                  <c:v>65.633333333333326</c:v>
                </c:pt>
                <c:pt idx="8">
                  <c:v>65.633333333333326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17B-4429-949E-DA3B25A7B66F}"/>
            </c:ext>
          </c:extLst>
        </c:ser>
        <c:ser>
          <c:idx val="4"/>
          <c:order val="4"/>
          <c:tx>
            <c:strRef>
              <c:f>'SISTEMA 07 SINTHT 80 NEUTRO'!$A$32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NEUTRO'!$B$32:$J$32</c:f>
              <c:numCache>
                <c:formatCode>0.0</c:formatCode>
                <c:ptCount val="9"/>
                <c:pt idx="0">
                  <c:v>47.733333333333334</c:v>
                </c:pt>
                <c:pt idx="1">
                  <c:v>47.733333333333334</c:v>
                </c:pt>
                <c:pt idx="2">
                  <c:v>47.733333333333334</c:v>
                </c:pt>
                <c:pt idx="3">
                  <c:v>47.733333333333334</c:v>
                </c:pt>
                <c:pt idx="4">
                  <c:v>47.733333333333334</c:v>
                </c:pt>
                <c:pt idx="5">
                  <c:v>47.733333333333334</c:v>
                </c:pt>
                <c:pt idx="6">
                  <c:v>47.733333333333334</c:v>
                </c:pt>
                <c:pt idx="7">
                  <c:v>47.733333333333334</c:v>
                </c:pt>
                <c:pt idx="8">
                  <c:v>47.733333333333334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40-45D2-A0EF-18596B78AD77}"/>
            </c:ext>
          </c:extLst>
        </c:ser>
        <c:ser>
          <c:idx val="5"/>
          <c:order val="5"/>
          <c:tx>
            <c:strRef>
              <c:f>'SISTEMA 07 SINTHT 80 NEUTRO'!$A$33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NEUTRO'!$B$33:$J$33</c:f>
              <c:numCache>
                <c:formatCode>0.0</c:formatCode>
                <c:ptCount val="9"/>
                <c:pt idx="0">
                  <c:v>71.599999999999994</c:v>
                </c:pt>
                <c:pt idx="1">
                  <c:v>71.599999999999994</c:v>
                </c:pt>
                <c:pt idx="2">
                  <c:v>71.599999999999994</c:v>
                </c:pt>
                <c:pt idx="3">
                  <c:v>71.599999999999994</c:v>
                </c:pt>
                <c:pt idx="4">
                  <c:v>71.599999999999994</c:v>
                </c:pt>
                <c:pt idx="5">
                  <c:v>71.599999999999994</c:v>
                </c:pt>
                <c:pt idx="6">
                  <c:v>71.599999999999994</c:v>
                </c:pt>
                <c:pt idx="7">
                  <c:v>71.599999999999994</c:v>
                </c:pt>
                <c:pt idx="8">
                  <c:v>71.599999999999994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40-45D2-A0EF-18596B78AD7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384384"/>
        <c:axId val="190394368"/>
      </c:lineChart>
      <c:catAx>
        <c:axId val="190384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94368"/>
        <c:crosses val="autoZero"/>
        <c:auto val="0"/>
        <c:lblAlgn val="ctr"/>
        <c:lblOffset val="100"/>
        <c:noMultiLvlLbl val="0"/>
      </c:catAx>
      <c:valAx>
        <c:axId val="19039436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38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ABRASIONE [mg]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'SISTEMA 07 SINTHT 80 NEUTRO'!$A$35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NEUTRO'!$B$35:$J$35</c:f>
              <c:numCache>
                <c:formatCode>General</c:formatCode>
                <c:ptCount val="9"/>
                <c:pt idx="0">
                  <c:v>134</c:v>
                </c:pt>
                <c:pt idx="1">
                  <c:v>107</c:v>
                </c:pt>
                <c:pt idx="2">
                  <c:v>115</c:v>
                </c:pt>
                <c:pt idx="3">
                  <c:v>97</c:v>
                </c:pt>
                <c:pt idx="4">
                  <c:v>71</c:v>
                </c:pt>
                <c:pt idx="5">
                  <c:v>91</c:v>
                </c:pt>
                <c:pt idx="6">
                  <c:v>126</c:v>
                </c:pt>
                <c:pt idx="7">
                  <c:v>121</c:v>
                </c:pt>
                <c:pt idx="8">
                  <c:v>115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D0C8-403A-863F-87C24CB1328F}"/>
            </c:ext>
          </c:extLst>
        </c:ser>
        <c:ser>
          <c:idx val="1"/>
          <c:order val="1"/>
          <c:tx>
            <c:strRef>
              <c:f>'SISTEMA 07 SINTHT 80 NEUTRO'!$A$36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NEUTRO'!$B$36:$J$36</c:f>
              <c:numCache>
                <c:formatCode>0.0</c:formatCode>
                <c:ptCount val="9"/>
                <c:pt idx="0">
                  <c:v>108.55555555555556</c:v>
                </c:pt>
                <c:pt idx="1">
                  <c:v>108.55555555555556</c:v>
                </c:pt>
                <c:pt idx="2">
                  <c:v>108.55555555555556</c:v>
                </c:pt>
                <c:pt idx="3">
                  <c:v>108.55555555555556</c:v>
                </c:pt>
                <c:pt idx="4">
                  <c:v>108.55555555555556</c:v>
                </c:pt>
                <c:pt idx="5">
                  <c:v>108.55555555555556</c:v>
                </c:pt>
                <c:pt idx="6">
                  <c:v>108.55555555555556</c:v>
                </c:pt>
                <c:pt idx="7">
                  <c:v>108.55555555555556</c:v>
                </c:pt>
                <c:pt idx="8">
                  <c:v>108.55555555555556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89-4380-B28B-5EDE62F82FDE}"/>
            </c:ext>
          </c:extLst>
        </c:ser>
        <c:ser>
          <c:idx val="2"/>
          <c:order val="2"/>
          <c:tx>
            <c:strRef>
              <c:f>'SISTEMA 07 SINTHT 80 NEUTRO'!$A$37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NEUTRO'!$B$37:$J$37</c:f>
              <c:numCache>
                <c:formatCode>0.0</c:formatCode>
                <c:ptCount val="9"/>
                <c:pt idx="0">
                  <c:v>97.7</c:v>
                </c:pt>
                <c:pt idx="1">
                  <c:v>97.7</c:v>
                </c:pt>
                <c:pt idx="2">
                  <c:v>97.7</c:v>
                </c:pt>
                <c:pt idx="3">
                  <c:v>97.7</c:v>
                </c:pt>
                <c:pt idx="4">
                  <c:v>97.7</c:v>
                </c:pt>
                <c:pt idx="5">
                  <c:v>97.7</c:v>
                </c:pt>
                <c:pt idx="6">
                  <c:v>97.7</c:v>
                </c:pt>
                <c:pt idx="7">
                  <c:v>97.7</c:v>
                </c:pt>
                <c:pt idx="8">
                  <c:v>97.7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89-4380-B28B-5EDE62F82FDE}"/>
            </c:ext>
          </c:extLst>
        </c:ser>
        <c:ser>
          <c:idx val="3"/>
          <c:order val="3"/>
          <c:tx>
            <c:strRef>
              <c:f>'SISTEMA 07 SINTHT 80 NEUTRO'!$A$38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NEUTRO'!$B$38:$J$38</c:f>
              <c:numCache>
                <c:formatCode>0.0</c:formatCode>
                <c:ptCount val="9"/>
                <c:pt idx="0">
                  <c:v>119.41111111111111</c:v>
                </c:pt>
                <c:pt idx="1">
                  <c:v>119.41111111111111</c:v>
                </c:pt>
                <c:pt idx="2">
                  <c:v>119.41111111111111</c:v>
                </c:pt>
                <c:pt idx="3">
                  <c:v>119.41111111111111</c:v>
                </c:pt>
                <c:pt idx="4">
                  <c:v>119.41111111111111</c:v>
                </c:pt>
                <c:pt idx="5">
                  <c:v>119.41111111111111</c:v>
                </c:pt>
                <c:pt idx="6">
                  <c:v>119.41111111111111</c:v>
                </c:pt>
                <c:pt idx="7">
                  <c:v>119.41111111111111</c:v>
                </c:pt>
                <c:pt idx="8">
                  <c:v>119.41111111111111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89-4380-B28B-5EDE62F82FDE}"/>
            </c:ext>
          </c:extLst>
        </c:ser>
        <c:ser>
          <c:idx val="4"/>
          <c:order val="4"/>
          <c:tx>
            <c:strRef>
              <c:f>'SISTEMA 07 SINTHT 80 NEUTRO'!$A$39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NEUTRO'!$B$39:$J$39</c:f>
              <c:numCache>
                <c:formatCode>0.0</c:formatCode>
                <c:ptCount val="9"/>
                <c:pt idx="0">
                  <c:v>86.844444444444449</c:v>
                </c:pt>
                <c:pt idx="1">
                  <c:v>86.844444444444449</c:v>
                </c:pt>
                <c:pt idx="2">
                  <c:v>86.844444444444449</c:v>
                </c:pt>
                <c:pt idx="3">
                  <c:v>86.844444444444449</c:v>
                </c:pt>
                <c:pt idx="4">
                  <c:v>86.844444444444449</c:v>
                </c:pt>
                <c:pt idx="5">
                  <c:v>86.844444444444449</c:v>
                </c:pt>
                <c:pt idx="6">
                  <c:v>86.844444444444449</c:v>
                </c:pt>
                <c:pt idx="7">
                  <c:v>86.844444444444449</c:v>
                </c:pt>
                <c:pt idx="8">
                  <c:v>86.844444444444449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69-4E37-AA62-E274EEF6BD37}"/>
            </c:ext>
          </c:extLst>
        </c:ser>
        <c:ser>
          <c:idx val="5"/>
          <c:order val="5"/>
          <c:tx>
            <c:strRef>
              <c:f>'SISTEMA 07 SINTHT 80 NEUTRO'!$A$40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07 SINTHT 80 NEUTRO'!$B$1:$J$1</c:f>
              <c:strCache>
                <c:ptCount val="9"/>
                <c:pt idx="0">
                  <c:v>1/29/2021</c:v>
                </c:pt>
                <c:pt idx="1">
                  <c:v>2/28/2021</c:v>
                </c:pt>
                <c:pt idx="2">
                  <c:v>11/9/2021</c:v>
                </c:pt>
                <c:pt idx="3">
                  <c:v>12/12/2023</c:v>
                </c:pt>
                <c:pt idx="4">
                  <c:v>5/20/2024</c:v>
                </c:pt>
                <c:pt idx="5">
                  <c:v>20/07/2024</c:v>
                </c:pt>
                <c:pt idx="6">
                  <c:v>12/8/2025</c:v>
                </c:pt>
                <c:pt idx="7">
                  <c:v>12/9/2025</c:v>
                </c:pt>
                <c:pt idx="8">
                  <c:v>12/10/2025</c:v>
                </c:pt>
              </c:strCache>
            </c:strRef>
          </c:cat>
          <c:val>
            <c:numRef>
              <c:f>'SISTEMA 07 SINTHT 80 NEUTRO'!$B$40:$J$40</c:f>
              <c:numCache>
                <c:formatCode>0.0</c:formatCode>
                <c:ptCount val="9"/>
                <c:pt idx="0">
                  <c:v>130.26666666666668</c:v>
                </c:pt>
                <c:pt idx="1">
                  <c:v>130.26666666666668</c:v>
                </c:pt>
                <c:pt idx="2">
                  <c:v>130.26666666666668</c:v>
                </c:pt>
                <c:pt idx="3">
                  <c:v>130.26666666666668</c:v>
                </c:pt>
                <c:pt idx="4">
                  <c:v>130.26666666666668</c:v>
                </c:pt>
                <c:pt idx="5">
                  <c:v>130.26666666666668</c:v>
                </c:pt>
                <c:pt idx="6">
                  <c:v>130.26666666666668</c:v>
                </c:pt>
                <c:pt idx="7">
                  <c:v>130.26666666666668</c:v>
                </c:pt>
                <c:pt idx="8">
                  <c:v>130.26666666666668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69-4E37-AA62-E274EEF6BD3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480384"/>
        <c:axId val="190481920"/>
      </c:lineChart>
      <c:catAx>
        <c:axId val="190480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81920"/>
        <c:crosses val="max"/>
        <c:auto val="0"/>
        <c:lblAlgn val="ctr"/>
        <c:lblOffset val="100"/>
        <c:noMultiLvlLbl val="0"/>
      </c:catAx>
      <c:valAx>
        <c:axId val="190481920"/>
        <c:scaling>
          <c:orientation val="maxMin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4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DUREZZA [ShA]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F'!$A$2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accent6">
                  <a:tint val="58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F'!$B$2:$P$2</c:f>
              <c:numCache>
                <c:formatCode>General</c:formatCode>
                <c:ptCount val="15"/>
                <c:pt idx="0">
                  <c:v>75</c:v>
                </c:pt>
                <c:pt idx="1">
                  <c:v>76</c:v>
                </c:pt>
                <c:pt idx="2">
                  <c:v>75</c:v>
                </c:pt>
                <c:pt idx="3">
                  <c:v>72</c:v>
                </c:pt>
                <c:pt idx="4">
                  <c:v>84</c:v>
                </c:pt>
                <c:pt idx="5">
                  <c:v>79</c:v>
                </c:pt>
                <c:pt idx="6">
                  <c:v>70</c:v>
                </c:pt>
                <c:pt idx="7">
                  <c:v>73</c:v>
                </c:pt>
                <c:pt idx="8">
                  <c:v>78</c:v>
                </c:pt>
                <c:pt idx="9">
                  <c:v>68</c:v>
                </c:pt>
                <c:pt idx="10">
                  <c:v>63</c:v>
                </c:pt>
                <c:pt idx="11">
                  <c:v>70</c:v>
                </c:pt>
                <c:pt idx="12">
                  <c:v>77</c:v>
                </c:pt>
                <c:pt idx="13">
                  <c:v>75</c:v>
                </c:pt>
                <c:pt idx="14">
                  <c:v>80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582-4C6D-A7AB-7464AFCC62E9}"/>
            </c:ext>
          </c:extLst>
        </c:ser>
        <c:ser>
          <c:idx val="1"/>
          <c:order val="1"/>
          <c:tx>
            <c:strRef>
              <c:f>'SISTEMA 08 SINTAL 70 BIANCO F'!$A$3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F'!$B$3:$P$3</c:f>
              <c:numCache>
                <c:formatCode>0.00</c:formatCode>
                <c:ptCount val="15"/>
                <c:pt idx="0">
                  <c:v>74.333333333333329</c:v>
                </c:pt>
                <c:pt idx="1">
                  <c:v>74.333333333333329</c:v>
                </c:pt>
                <c:pt idx="2">
                  <c:v>74.333333333333329</c:v>
                </c:pt>
                <c:pt idx="3">
                  <c:v>74.333333333333329</c:v>
                </c:pt>
                <c:pt idx="4">
                  <c:v>74.333333333333329</c:v>
                </c:pt>
                <c:pt idx="5">
                  <c:v>74.333333333333329</c:v>
                </c:pt>
                <c:pt idx="6">
                  <c:v>74.333333333333329</c:v>
                </c:pt>
                <c:pt idx="7">
                  <c:v>74.333333333333329</c:v>
                </c:pt>
                <c:pt idx="8">
                  <c:v>74.333333333333329</c:v>
                </c:pt>
                <c:pt idx="9">
                  <c:v>74.333333333333329</c:v>
                </c:pt>
                <c:pt idx="10">
                  <c:v>74.333333333333329</c:v>
                </c:pt>
                <c:pt idx="11">
                  <c:v>74.333333333333329</c:v>
                </c:pt>
                <c:pt idx="12">
                  <c:v>74.333333333333329</c:v>
                </c:pt>
                <c:pt idx="13">
                  <c:v>74.333333333333329</c:v>
                </c:pt>
                <c:pt idx="14">
                  <c:v>74.333333333333329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0A-4290-8EDA-5225CB5C0E30}"/>
            </c:ext>
          </c:extLst>
        </c:ser>
        <c:ser>
          <c:idx val="2"/>
          <c:order val="2"/>
          <c:tx>
            <c:strRef>
              <c:f>'SISTEMA 08 SINTAL 70 BIANCO F'!$A$4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F'!$B$4:$P$4</c:f>
              <c:numCache>
                <c:formatCode>0.00</c:formatCode>
                <c:ptCount val="15"/>
                <c:pt idx="0">
                  <c:v>72.333333333333329</c:v>
                </c:pt>
                <c:pt idx="1">
                  <c:v>72.333333333333329</c:v>
                </c:pt>
                <c:pt idx="2">
                  <c:v>72.333333333333329</c:v>
                </c:pt>
                <c:pt idx="3">
                  <c:v>72.333333333333329</c:v>
                </c:pt>
                <c:pt idx="4">
                  <c:v>72.333333333333329</c:v>
                </c:pt>
                <c:pt idx="5">
                  <c:v>72.333333333333329</c:v>
                </c:pt>
                <c:pt idx="6">
                  <c:v>72.333333333333329</c:v>
                </c:pt>
                <c:pt idx="7">
                  <c:v>72.333333333333329</c:v>
                </c:pt>
                <c:pt idx="8">
                  <c:v>72.333333333333329</c:v>
                </c:pt>
                <c:pt idx="9">
                  <c:v>72.333333333333329</c:v>
                </c:pt>
                <c:pt idx="10">
                  <c:v>72.333333333333329</c:v>
                </c:pt>
                <c:pt idx="11">
                  <c:v>72.333333333333329</c:v>
                </c:pt>
                <c:pt idx="12">
                  <c:v>72.333333333333329</c:v>
                </c:pt>
                <c:pt idx="13">
                  <c:v>72.333333333333329</c:v>
                </c:pt>
                <c:pt idx="14">
                  <c:v>72.333333333333329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0A-4290-8EDA-5225CB5C0E30}"/>
            </c:ext>
          </c:extLst>
        </c:ser>
        <c:ser>
          <c:idx val="3"/>
          <c:order val="3"/>
          <c:tx>
            <c:strRef>
              <c:f>'SISTEMA 08 SINTAL 70 BIANCO F'!$A$5</c:f>
              <c:strCache>
                <c:ptCount val="1"/>
                <c:pt idx="0">
                  <c:v>DUREZZA (ShA)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F'!$B$5:$P$5</c:f>
              <c:numCache>
                <c:formatCode>0.00</c:formatCode>
                <c:ptCount val="15"/>
                <c:pt idx="0">
                  <c:v>76.333333333333329</c:v>
                </c:pt>
                <c:pt idx="1">
                  <c:v>76.333333333333329</c:v>
                </c:pt>
                <c:pt idx="2">
                  <c:v>76.333333333333329</c:v>
                </c:pt>
                <c:pt idx="3">
                  <c:v>76.333333333333329</c:v>
                </c:pt>
                <c:pt idx="4">
                  <c:v>76.333333333333329</c:v>
                </c:pt>
                <c:pt idx="5">
                  <c:v>76.333333333333329</c:v>
                </c:pt>
                <c:pt idx="6">
                  <c:v>76.333333333333329</c:v>
                </c:pt>
                <c:pt idx="7">
                  <c:v>76.333333333333329</c:v>
                </c:pt>
                <c:pt idx="8">
                  <c:v>76.333333333333329</c:v>
                </c:pt>
                <c:pt idx="9">
                  <c:v>76.333333333333329</c:v>
                </c:pt>
                <c:pt idx="10">
                  <c:v>76.333333333333329</c:v>
                </c:pt>
                <c:pt idx="11">
                  <c:v>76.333333333333329</c:v>
                </c:pt>
                <c:pt idx="12">
                  <c:v>76.333333333333329</c:v>
                </c:pt>
                <c:pt idx="13">
                  <c:v>76.333333333333329</c:v>
                </c:pt>
                <c:pt idx="14">
                  <c:v>76.333333333333329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0A-4290-8EDA-5225CB5C0E3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545280"/>
        <c:axId val="190555264"/>
      </c:lineChart>
      <c:catAx>
        <c:axId val="190545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55264"/>
        <c:crosses val="autoZero"/>
        <c:auto val="1"/>
        <c:lblAlgn val="ctr"/>
        <c:lblOffset val="100"/>
        <c:noMultiLvlLbl val="0"/>
      </c:catAx>
      <c:valAx>
        <c:axId val="19055526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545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CARICO DI ROTTURA [MPa]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F'!$A$7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F'!$B$7:$P$7</c:f>
              <c:numCache>
                <c:formatCode>General</c:formatCode>
                <c:ptCount val="15"/>
                <c:pt idx="0">
                  <c:v>16</c:v>
                </c:pt>
                <c:pt idx="1">
                  <c:v>30</c:v>
                </c:pt>
                <c:pt idx="2">
                  <c:v>20</c:v>
                </c:pt>
                <c:pt idx="3">
                  <c:v>21</c:v>
                </c:pt>
                <c:pt idx="4">
                  <c:v>21</c:v>
                </c:pt>
                <c:pt idx="5">
                  <c:v>23</c:v>
                </c:pt>
                <c:pt idx="6">
                  <c:v>25</c:v>
                </c:pt>
                <c:pt idx="7">
                  <c:v>19</c:v>
                </c:pt>
                <c:pt idx="8">
                  <c:v>28</c:v>
                </c:pt>
                <c:pt idx="9">
                  <c:v>22</c:v>
                </c:pt>
                <c:pt idx="10">
                  <c:v>18</c:v>
                </c:pt>
                <c:pt idx="11">
                  <c:v>23</c:v>
                </c:pt>
                <c:pt idx="12">
                  <c:v>14</c:v>
                </c:pt>
                <c:pt idx="13">
                  <c:v>27</c:v>
                </c:pt>
                <c:pt idx="14">
                  <c:v>20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31FB-4CDF-B7E8-4309F29DBEE6}"/>
            </c:ext>
          </c:extLst>
        </c:ser>
        <c:ser>
          <c:idx val="1"/>
          <c:order val="1"/>
          <c:tx>
            <c:strRef>
              <c:f>'SISTEMA 08 SINTAL 70 BIANCO F'!$A$8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F'!$B$8:$P$8</c:f>
              <c:numCache>
                <c:formatCode>General</c:formatCode>
                <c:ptCount val="15"/>
                <c:pt idx="0">
                  <c:v>21.8</c:v>
                </c:pt>
                <c:pt idx="1">
                  <c:v>21.8</c:v>
                </c:pt>
                <c:pt idx="2">
                  <c:v>21.8</c:v>
                </c:pt>
                <c:pt idx="3">
                  <c:v>21.8</c:v>
                </c:pt>
                <c:pt idx="4">
                  <c:v>21.8</c:v>
                </c:pt>
                <c:pt idx="5">
                  <c:v>21.8</c:v>
                </c:pt>
                <c:pt idx="6">
                  <c:v>21.8</c:v>
                </c:pt>
                <c:pt idx="7">
                  <c:v>21.8</c:v>
                </c:pt>
                <c:pt idx="8">
                  <c:v>21.8</c:v>
                </c:pt>
                <c:pt idx="9">
                  <c:v>21.8</c:v>
                </c:pt>
                <c:pt idx="10">
                  <c:v>21.8</c:v>
                </c:pt>
                <c:pt idx="11">
                  <c:v>21.8</c:v>
                </c:pt>
                <c:pt idx="12">
                  <c:v>21.8</c:v>
                </c:pt>
                <c:pt idx="13">
                  <c:v>21.8</c:v>
                </c:pt>
                <c:pt idx="14">
                  <c:v>21.8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F4-4CE3-985A-CBAAF25160D5}"/>
            </c:ext>
          </c:extLst>
        </c:ser>
        <c:ser>
          <c:idx val="2"/>
          <c:order val="2"/>
          <c:tx>
            <c:strRef>
              <c:f>'SISTEMA 08 SINTAL 70 BIANCO F'!$A$9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F'!$B$9:$P$9</c:f>
              <c:numCache>
                <c:formatCode>General</c:formatCode>
                <c:ptCount val="15"/>
                <c:pt idx="0">
                  <c:v>19.62</c:v>
                </c:pt>
                <c:pt idx="1">
                  <c:v>19.62</c:v>
                </c:pt>
                <c:pt idx="2">
                  <c:v>19.62</c:v>
                </c:pt>
                <c:pt idx="3">
                  <c:v>19.62</c:v>
                </c:pt>
                <c:pt idx="4">
                  <c:v>19.62</c:v>
                </c:pt>
                <c:pt idx="5">
                  <c:v>19.62</c:v>
                </c:pt>
                <c:pt idx="6">
                  <c:v>19.62</c:v>
                </c:pt>
                <c:pt idx="7">
                  <c:v>19.62</c:v>
                </c:pt>
                <c:pt idx="8">
                  <c:v>19.62</c:v>
                </c:pt>
                <c:pt idx="9">
                  <c:v>19.62</c:v>
                </c:pt>
                <c:pt idx="10">
                  <c:v>19.62</c:v>
                </c:pt>
                <c:pt idx="11">
                  <c:v>19.62</c:v>
                </c:pt>
                <c:pt idx="12">
                  <c:v>19.62</c:v>
                </c:pt>
                <c:pt idx="13">
                  <c:v>19.62</c:v>
                </c:pt>
                <c:pt idx="14">
                  <c:v>19.62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F4-4CE3-985A-CBAAF25160D5}"/>
            </c:ext>
          </c:extLst>
        </c:ser>
        <c:ser>
          <c:idx val="3"/>
          <c:order val="3"/>
          <c:tx>
            <c:strRef>
              <c:f>'SISTEMA 08 SINTAL 70 BIANCO F'!$A$10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F'!$B$10:$P$10</c:f>
              <c:numCache>
                <c:formatCode>General</c:formatCode>
                <c:ptCount val="15"/>
                <c:pt idx="0">
                  <c:v>23.98</c:v>
                </c:pt>
                <c:pt idx="1">
                  <c:v>23.98</c:v>
                </c:pt>
                <c:pt idx="2">
                  <c:v>23.98</c:v>
                </c:pt>
                <c:pt idx="3">
                  <c:v>23.98</c:v>
                </c:pt>
                <c:pt idx="4">
                  <c:v>23.98</c:v>
                </c:pt>
                <c:pt idx="5">
                  <c:v>23.98</c:v>
                </c:pt>
                <c:pt idx="6">
                  <c:v>23.98</c:v>
                </c:pt>
                <c:pt idx="7">
                  <c:v>23.98</c:v>
                </c:pt>
                <c:pt idx="8">
                  <c:v>23.98</c:v>
                </c:pt>
                <c:pt idx="9">
                  <c:v>23.98</c:v>
                </c:pt>
                <c:pt idx="10">
                  <c:v>23.98</c:v>
                </c:pt>
                <c:pt idx="11">
                  <c:v>23.98</c:v>
                </c:pt>
                <c:pt idx="12">
                  <c:v>23.98</c:v>
                </c:pt>
                <c:pt idx="13">
                  <c:v>23.98</c:v>
                </c:pt>
                <c:pt idx="14">
                  <c:v>23.98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F4-4CE3-985A-CBAAF25160D5}"/>
            </c:ext>
          </c:extLst>
        </c:ser>
        <c:ser>
          <c:idx val="4"/>
          <c:order val="4"/>
          <c:tx>
            <c:strRef>
              <c:f>'SISTEMA 08 SINTAL 70 BIANCO F'!$A$11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F'!$B$11:$P$11</c:f>
              <c:numCache>
                <c:formatCode>General</c:formatCode>
                <c:ptCount val="15"/>
                <c:pt idx="0">
                  <c:v>17.440000000000001</c:v>
                </c:pt>
                <c:pt idx="1">
                  <c:v>17.440000000000001</c:v>
                </c:pt>
                <c:pt idx="2">
                  <c:v>17.440000000000001</c:v>
                </c:pt>
                <c:pt idx="3">
                  <c:v>17.440000000000001</c:v>
                </c:pt>
                <c:pt idx="4">
                  <c:v>17.440000000000001</c:v>
                </c:pt>
                <c:pt idx="5">
                  <c:v>17.440000000000001</c:v>
                </c:pt>
                <c:pt idx="6">
                  <c:v>17.440000000000001</c:v>
                </c:pt>
                <c:pt idx="7">
                  <c:v>17.440000000000001</c:v>
                </c:pt>
                <c:pt idx="8">
                  <c:v>17.440000000000001</c:v>
                </c:pt>
                <c:pt idx="9">
                  <c:v>17.440000000000001</c:v>
                </c:pt>
                <c:pt idx="10">
                  <c:v>17.440000000000001</c:v>
                </c:pt>
                <c:pt idx="11">
                  <c:v>17.440000000000001</c:v>
                </c:pt>
                <c:pt idx="12">
                  <c:v>17.440000000000001</c:v>
                </c:pt>
                <c:pt idx="13">
                  <c:v>17.440000000000001</c:v>
                </c:pt>
                <c:pt idx="14">
                  <c:v>17.440000000000001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E7-4CE2-8333-ACFFD0AF7FF1}"/>
            </c:ext>
          </c:extLst>
        </c:ser>
        <c:ser>
          <c:idx val="5"/>
          <c:order val="5"/>
          <c:tx>
            <c:strRef>
              <c:f>'SISTEMA 08 SINTAL 70 BIANCO F'!$A$12</c:f>
              <c:strCache>
                <c:ptCount val="1"/>
                <c:pt idx="0">
                  <c:v>CARICO DI ROTTURA (MPa)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F'!$B$12:$P$12</c:f>
              <c:numCache>
                <c:formatCode>General</c:formatCode>
                <c:ptCount val="15"/>
                <c:pt idx="0">
                  <c:v>26.16</c:v>
                </c:pt>
                <c:pt idx="1">
                  <c:v>26.16</c:v>
                </c:pt>
                <c:pt idx="2">
                  <c:v>26.16</c:v>
                </c:pt>
                <c:pt idx="3">
                  <c:v>26.16</c:v>
                </c:pt>
                <c:pt idx="4">
                  <c:v>26.16</c:v>
                </c:pt>
                <c:pt idx="5">
                  <c:v>26.16</c:v>
                </c:pt>
                <c:pt idx="6">
                  <c:v>26.16</c:v>
                </c:pt>
                <c:pt idx="7">
                  <c:v>26.16</c:v>
                </c:pt>
                <c:pt idx="8">
                  <c:v>26.16</c:v>
                </c:pt>
                <c:pt idx="9">
                  <c:v>26.16</c:v>
                </c:pt>
                <c:pt idx="10">
                  <c:v>26.16</c:v>
                </c:pt>
                <c:pt idx="11">
                  <c:v>26.16</c:v>
                </c:pt>
                <c:pt idx="12">
                  <c:v>26.16</c:v>
                </c:pt>
                <c:pt idx="13">
                  <c:v>26.16</c:v>
                </c:pt>
                <c:pt idx="14">
                  <c:v>26.16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E7-4CE2-8333-ACFFD0AF7FF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837504"/>
        <c:axId val="190839040"/>
      </c:lineChart>
      <c:catAx>
        <c:axId val="190837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39040"/>
        <c:crosses val="autoZero"/>
        <c:auto val="1"/>
        <c:lblAlgn val="ctr"/>
        <c:lblOffset val="100"/>
        <c:noMultiLvlLbl val="0"/>
      </c:catAx>
      <c:valAx>
        <c:axId val="19083904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8375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ALLUNGAMENTO [%]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F'!$A$14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F'!$B$14:$P$14</c:f>
              <c:numCache>
                <c:formatCode>General</c:formatCode>
                <c:ptCount val="15"/>
                <c:pt idx="0">
                  <c:v>500</c:v>
                </c:pt>
                <c:pt idx="1">
                  <c:v>837</c:v>
                </c:pt>
                <c:pt idx="2">
                  <c:v>778</c:v>
                </c:pt>
                <c:pt idx="3">
                  <c:v>798</c:v>
                </c:pt>
                <c:pt idx="4">
                  <c:v>417</c:v>
                </c:pt>
                <c:pt idx="5">
                  <c:v>542</c:v>
                </c:pt>
                <c:pt idx="6">
                  <c:v>552</c:v>
                </c:pt>
                <c:pt idx="7">
                  <c:v>700</c:v>
                </c:pt>
                <c:pt idx="8">
                  <c:v>926</c:v>
                </c:pt>
                <c:pt idx="9">
                  <c:v>856</c:v>
                </c:pt>
                <c:pt idx="10">
                  <c:v>892</c:v>
                </c:pt>
                <c:pt idx="11">
                  <c:v>737</c:v>
                </c:pt>
                <c:pt idx="12">
                  <c:v>535</c:v>
                </c:pt>
                <c:pt idx="13">
                  <c:v>600</c:v>
                </c:pt>
                <c:pt idx="14">
                  <c:v>681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6F9C-44EE-8200-C4B9E3B0DA9C}"/>
            </c:ext>
          </c:extLst>
        </c:ser>
        <c:ser>
          <c:idx val="1"/>
          <c:order val="1"/>
          <c:tx>
            <c:strRef>
              <c:f>'SISTEMA 08 SINTAL 70 BIANCO F'!$A$15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F'!$B$15:$P$15</c:f>
              <c:numCache>
                <c:formatCode>0.0</c:formatCode>
                <c:ptCount val="15"/>
                <c:pt idx="0">
                  <c:v>672.22222222222217</c:v>
                </c:pt>
                <c:pt idx="1">
                  <c:v>672.22222222222217</c:v>
                </c:pt>
                <c:pt idx="2">
                  <c:v>672.22222222222217</c:v>
                </c:pt>
                <c:pt idx="3">
                  <c:v>672.22222222222217</c:v>
                </c:pt>
                <c:pt idx="4">
                  <c:v>672.22222222222217</c:v>
                </c:pt>
                <c:pt idx="5">
                  <c:v>672.22222222222217</c:v>
                </c:pt>
                <c:pt idx="6">
                  <c:v>672.22222222222217</c:v>
                </c:pt>
                <c:pt idx="7">
                  <c:v>672.22222222222217</c:v>
                </c:pt>
                <c:pt idx="8">
                  <c:v>672.22222222222217</c:v>
                </c:pt>
                <c:pt idx="9">
                  <c:v>672.22222222222217</c:v>
                </c:pt>
                <c:pt idx="10">
                  <c:v>672.22222222222217</c:v>
                </c:pt>
                <c:pt idx="11">
                  <c:v>672.22222222222217</c:v>
                </c:pt>
                <c:pt idx="12">
                  <c:v>672.22222222222217</c:v>
                </c:pt>
                <c:pt idx="13">
                  <c:v>672.22222222222217</c:v>
                </c:pt>
                <c:pt idx="14">
                  <c:v>672.22222222222217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D9-4C02-8112-CAF8AEFCC842}"/>
            </c:ext>
          </c:extLst>
        </c:ser>
        <c:ser>
          <c:idx val="2"/>
          <c:order val="2"/>
          <c:tx>
            <c:strRef>
              <c:f>'SISTEMA 08 SINTAL 70 BIANCO F'!$A$16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F'!$B$16:$P$16</c:f>
              <c:numCache>
                <c:formatCode>0.0</c:formatCode>
                <c:ptCount val="15"/>
                <c:pt idx="0">
                  <c:v>604.99999999999989</c:v>
                </c:pt>
                <c:pt idx="1">
                  <c:v>604.99999999999989</c:v>
                </c:pt>
                <c:pt idx="2">
                  <c:v>604.99999999999989</c:v>
                </c:pt>
                <c:pt idx="3">
                  <c:v>604.99999999999989</c:v>
                </c:pt>
                <c:pt idx="4">
                  <c:v>604.99999999999989</c:v>
                </c:pt>
                <c:pt idx="5">
                  <c:v>604.99999999999989</c:v>
                </c:pt>
                <c:pt idx="6">
                  <c:v>604.99999999999989</c:v>
                </c:pt>
                <c:pt idx="7">
                  <c:v>604.99999999999989</c:v>
                </c:pt>
                <c:pt idx="8">
                  <c:v>604.99999999999989</c:v>
                </c:pt>
                <c:pt idx="9">
                  <c:v>604.99999999999989</c:v>
                </c:pt>
                <c:pt idx="10">
                  <c:v>604.99999999999989</c:v>
                </c:pt>
                <c:pt idx="11">
                  <c:v>604.99999999999989</c:v>
                </c:pt>
                <c:pt idx="12">
                  <c:v>604.99999999999989</c:v>
                </c:pt>
                <c:pt idx="13">
                  <c:v>604.99999999999989</c:v>
                </c:pt>
                <c:pt idx="14">
                  <c:v>604.99999999999989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D9-4C02-8112-CAF8AEFCC842}"/>
            </c:ext>
          </c:extLst>
        </c:ser>
        <c:ser>
          <c:idx val="3"/>
          <c:order val="3"/>
          <c:tx>
            <c:strRef>
              <c:f>'SISTEMA 08 SINTAL 70 BIANCO F'!$A$17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F'!$B$17:$P$17</c:f>
              <c:numCache>
                <c:formatCode>0.0</c:formatCode>
                <c:ptCount val="15"/>
                <c:pt idx="0">
                  <c:v>537.77777777777771</c:v>
                </c:pt>
                <c:pt idx="1">
                  <c:v>537.77777777777771</c:v>
                </c:pt>
                <c:pt idx="2">
                  <c:v>537.77777777777771</c:v>
                </c:pt>
                <c:pt idx="3">
                  <c:v>537.77777777777771</c:v>
                </c:pt>
                <c:pt idx="4">
                  <c:v>537.77777777777771</c:v>
                </c:pt>
                <c:pt idx="5">
                  <c:v>537.77777777777771</c:v>
                </c:pt>
                <c:pt idx="6">
                  <c:v>537.77777777777771</c:v>
                </c:pt>
                <c:pt idx="7">
                  <c:v>537.77777777777771</c:v>
                </c:pt>
                <c:pt idx="8">
                  <c:v>537.77777777777771</c:v>
                </c:pt>
                <c:pt idx="9">
                  <c:v>537.77777777777771</c:v>
                </c:pt>
                <c:pt idx="10">
                  <c:v>537.77777777777771</c:v>
                </c:pt>
                <c:pt idx="11">
                  <c:v>537.77777777777771</c:v>
                </c:pt>
                <c:pt idx="12">
                  <c:v>537.77777777777771</c:v>
                </c:pt>
                <c:pt idx="13">
                  <c:v>537.77777777777771</c:v>
                </c:pt>
                <c:pt idx="14">
                  <c:v>537.77777777777771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D9-4C02-8112-CAF8AEFCC842}"/>
            </c:ext>
          </c:extLst>
        </c:ser>
        <c:ser>
          <c:idx val="4"/>
          <c:order val="4"/>
          <c:tx>
            <c:strRef>
              <c:f>'SISTEMA 08 SINTAL 70 BIANCO F'!$A$18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F'!$B$18:$P$18</c:f>
              <c:numCache>
                <c:formatCode>0.0</c:formatCode>
                <c:ptCount val="15"/>
                <c:pt idx="0">
                  <c:v>739.44444444444434</c:v>
                </c:pt>
                <c:pt idx="1">
                  <c:v>739.44444444444434</c:v>
                </c:pt>
                <c:pt idx="2">
                  <c:v>739.44444444444434</c:v>
                </c:pt>
                <c:pt idx="3">
                  <c:v>739.44444444444434</c:v>
                </c:pt>
                <c:pt idx="4">
                  <c:v>739.44444444444434</c:v>
                </c:pt>
                <c:pt idx="5">
                  <c:v>739.44444444444434</c:v>
                </c:pt>
                <c:pt idx="6">
                  <c:v>739.44444444444434</c:v>
                </c:pt>
                <c:pt idx="7">
                  <c:v>739.44444444444434</c:v>
                </c:pt>
                <c:pt idx="8">
                  <c:v>739.44444444444434</c:v>
                </c:pt>
                <c:pt idx="9">
                  <c:v>739.44444444444434</c:v>
                </c:pt>
                <c:pt idx="10">
                  <c:v>739.44444444444434</c:v>
                </c:pt>
                <c:pt idx="11">
                  <c:v>739.44444444444434</c:v>
                </c:pt>
                <c:pt idx="12">
                  <c:v>739.44444444444434</c:v>
                </c:pt>
                <c:pt idx="13">
                  <c:v>739.44444444444434</c:v>
                </c:pt>
                <c:pt idx="14">
                  <c:v>739.44444444444434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D9-4C02-8112-CAF8AEFCC842}"/>
            </c:ext>
          </c:extLst>
        </c:ser>
        <c:ser>
          <c:idx val="5"/>
          <c:order val="5"/>
          <c:tx>
            <c:strRef>
              <c:f>'SISTEMA 08 SINTAL 70 BIANCO F'!$A$19</c:f>
              <c:strCache>
                <c:ptCount val="1"/>
                <c:pt idx="0">
                  <c:v>ALLUNGAMENTO (%)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F'!$B$19:$P$19</c:f>
              <c:numCache>
                <c:formatCode>0.0</c:formatCode>
                <c:ptCount val="15"/>
                <c:pt idx="0">
                  <c:v>806.66666666666652</c:v>
                </c:pt>
                <c:pt idx="1">
                  <c:v>806.66666666666652</c:v>
                </c:pt>
                <c:pt idx="2">
                  <c:v>806.66666666666652</c:v>
                </c:pt>
                <c:pt idx="3">
                  <c:v>806.66666666666652</c:v>
                </c:pt>
                <c:pt idx="4">
                  <c:v>806.66666666666652</c:v>
                </c:pt>
                <c:pt idx="5">
                  <c:v>806.66666666666652</c:v>
                </c:pt>
                <c:pt idx="6">
                  <c:v>806.66666666666652</c:v>
                </c:pt>
                <c:pt idx="7">
                  <c:v>806.66666666666652</c:v>
                </c:pt>
                <c:pt idx="8">
                  <c:v>806.66666666666652</c:v>
                </c:pt>
                <c:pt idx="9">
                  <c:v>806.66666666666652</c:v>
                </c:pt>
                <c:pt idx="10">
                  <c:v>806.66666666666652</c:v>
                </c:pt>
                <c:pt idx="11">
                  <c:v>806.66666666666652</c:v>
                </c:pt>
                <c:pt idx="12">
                  <c:v>806.66666666666652</c:v>
                </c:pt>
                <c:pt idx="13">
                  <c:v>806.66666666666652</c:v>
                </c:pt>
                <c:pt idx="14">
                  <c:v>806.66666666666652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D9-4C02-8112-CAF8AEFCC84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908288"/>
        <c:axId val="190909824"/>
      </c:lineChart>
      <c:catAx>
        <c:axId val="190908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09824"/>
        <c:crosses val="autoZero"/>
        <c:auto val="1"/>
        <c:lblAlgn val="ctr"/>
        <c:lblOffset val="100"/>
        <c:noMultiLvlLbl val="0"/>
      </c:catAx>
      <c:valAx>
        <c:axId val="190909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08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LACERAZIONE B [kN/m]</a:t>
            </a:r>
            <a:endParaRPr lang="it-IT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F'!$A$21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F'!$B$21:$P$21</c:f>
              <c:numCache>
                <c:formatCode>General</c:formatCode>
                <c:ptCount val="15"/>
                <c:pt idx="0">
                  <c:v>42</c:v>
                </c:pt>
                <c:pt idx="1">
                  <c:v>67</c:v>
                </c:pt>
                <c:pt idx="2">
                  <c:v>52</c:v>
                </c:pt>
                <c:pt idx="3">
                  <c:v>49</c:v>
                </c:pt>
                <c:pt idx="4">
                  <c:v>52</c:v>
                </c:pt>
                <c:pt idx="5">
                  <c:v>48</c:v>
                </c:pt>
                <c:pt idx="6">
                  <c:v>62</c:v>
                </c:pt>
                <c:pt idx="7">
                  <c:v>52</c:v>
                </c:pt>
                <c:pt idx="8">
                  <c:v>61</c:v>
                </c:pt>
                <c:pt idx="9">
                  <c:v>50</c:v>
                </c:pt>
                <c:pt idx="10">
                  <c:v>35</c:v>
                </c:pt>
                <c:pt idx="11">
                  <c:v>40</c:v>
                </c:pt>
                <c:pt idx="12">
                  <c:v>39</c:v>
                </c:pt>
                <c:pt idx="13">
                  <c:v>54</c:v>
                </c:pt>
                <c:pt idx="14">
                  <c:v>49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9497-49CD-BD32-356F97008B5B}"/>
            </c:ext>
          </c:extLst>
        </c:ser>
        <c:ser>
          <c:idx val="1"/>
          <c:order val="1"/>
          <c:tx>
            <c:strRef>
              <c:f>'SISTEMA 08 SINTAL 70 BIANCO F'!$A$22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F'!$B$22:$P$22</c:f>
              <c:numCache>
                <c:formatCode>0.00</c:formatCode>
                <c:ptCount val="15"/>
                <c:pt idx="0">
                  <c:v>50.133333333333333</c:v>
                </c:pt>
                <c:pt idx="1">
                  <c:v>50.133333333333333</c:v>
                </c:pt>
                <c:pt idx="2">
                  <c:v>50.133333333333333</c:v>
                </c:pt>
                <c:pt idx="3">
                  <c:v>50.133333333333333</c:v>
                </c:pt>
                <c:pt idx="4">
                  <c:v>50.133333333333333</c:v>
                </c:pt>
                <c:pt idx="5">
                  <c:v>50.133333333333333</c:v>
                </c:pt>
                <c:pt idx="6">
                  <c:v>50.133333333333333</c:v>
                </c:pt>
                <c:pt idx="7">
                  <c:v>50.133333333333333</c:v>
                </c:pt>
                <c:pt idx="8">
                  <c:v>50.133333333333333</c:v>
                </c:pt>
                <c:pt idx="9">
                  <c:v>50.133333333333333</c:v>
                </c:pt>
                <c:pt idx="10">
                  <c:v>50.133333333333333</c:v>
                </c:pt>
                <c:pt idx="11">
                  <c:v>50.133333333333333</c:v>
                </c:pt>
                <c:pt idx="12">
                  <c:v>50.133333333333333</c:v>
                </c:pt>
                <c:pt idx="13">
                  <c:v>50.133333333333333</c:v>
                </c:pt>
                <c:pt idx="14">
                  <c:v>50.133333333333333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E-43DC-B6C5-42A32FD5EC41}"/>
            </c:ext>
          </c:extLst>
        </c:ser>
        <c:ser>
          <c:idx val="2"/>
          <c:order val="2"/>
          <c:tx>
            <c:strRef>
              <c:f>'SISTEMA 08 SINTAL 70 BIANCO F'!$A$23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F'!$B$23:$P$23</c:f>
              <c:numCache>
                <c:formatCode>0.00</c:formatCode>
                <c:ptCount val="15"/>
                <c:pt idx="0">
                  <c:v>45.12</c:v>
                </c:pt>
                <c:pt idx="1">
                  <c:v>45.12</c:v>
                </c:pt>
                <c:pt idx="2">
                  <c:v>45.12</c:v>
                </c:pt>
                <c:pt idx="3">
                  <c:v>45.12</c:v>
                </c:pt>
                <c:pt idx="4">
                  <c:v>45.12</c:v>
                </c:pt>
                <c:pt idx="5">
                  <c:v>45.12</c:v>
                </c:pt>
                <c:pt idx="6">
                  <c:v>45.12</c:v>
                </c:pt>
                <c:pt idx="7">
                  <c:v>45.12</c:v>
                </c:pt>
                <c:pt idx="8">
                  <c:v>45.12</c:v>
                </c:pt>
                <c:pt idx="9">
                  <c:v>45.12</c:v>
                </c:pt>
                <c:pt idx="10">
                  <c:v>45.12</c:v>
                </c:pt>
                <c:pt idx="11">
                  <c:v>45.12</c:v>
                </c:pt>
                <c:pt idx="12">
                  <c:v>45.12</c:v>
                </c:pt>
                <c:pt idx="13">
                  <c:v>45.12</c:v>
                </c:pt>
                <c:pt idx="14">
                  <c:v>45.12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AE-43DC-B6C5-42A32FD5EC41}"/>
            </c:ext>
          </c:extLst>
        </c:ser>
        <c:ser>
          <c:idx val="3"/>
          <c:order val="3"/>
          <c:tx>
            <c:strRef>
              <c:f>'SISTEMA 08 SINTAL 70 BIANCO F'!$A$24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F'!$B$24:$P$24</c:f>
              <c:numCache>
                <c:formatCode>0.00</c:formatCode>
                <c:ptCount val="15"/>
                <c:pt idx="0">
                  <c:v>55.146666666666668</c:v>
                </c:pt>
                <c:pt idx="1">
                  <c:v>55.146666666666668</c:v>
                </c:pt>
                <c:pt idx="2">
                  <c:v>55.146666666666668</c:v>
                </c:pt>
                <c:pt idx="3">
                  <c:v>55.146666666666668</c:v>
                </c:pt>
                <c:pt idx="4">
                  <c:v>55.146666666666668</c:v>
                </c:pt>
                <c:pt idx="5">
                  <c:v>55.146666666666668</c:v>
                </c:pt>
                <c:pt idx="6">
                  <c:v>55.146666666666668</c:v>
                </c:pt>
                <c:pt idx="7">
                  <c:v>55.146666666666668</c:v>
                </c:pt>
                <c:pt idx="8">
                  <c:v>55.146666666666668</c:v>
                </c:pt>
                <c:pt idx="9">
                  <c:v>55.146666666666668</c:v>
                </c:pt>
                <c:pt idx="10">
                  <c:v>55.146666666666668</c:v>
                </c:pt>
                <c:pt idx="11">
                  <c:v>55.146666666666668</c:v>
                </c:pt>
                <c:pt idx="12">
                  <c:v>55.146666666666668</c:v>
                </c:pt>
                <c:pt idx="13">
                  <c:v>55.146666666666668</c:v>
                </c:pt>
                <c:pt idx="14">
                  <c:v>55.146666666666668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AE-43DC-B6C5-42A32FD5EC41}"/>
            </c:ext>
          </c:extLst>
        </c:ser>
        <c:ser>
          <c:idx val="4"/>
          <c:order val="4"/>
          <c:tx>
            <c:strRef>
              <c:f>'SISTEMA 08 SINTAL 70 BIANCO F'!$A$25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F'!$B$25:$P$25</c:f>
              <c:numCache>
                <c:formatCode>0.00</c:formatCode>
                <c:ptCount val="15"/>
                <c:pt idx="0">
                  <c:v>40.106666666666662</c:v>
                </c:pt>
                <c:pt idx="1">
                  <c:v>40.106666666666662</c:v>
                </c:pt>
                <c:pt idx="2">
                  <c:v>40.106666666666662</c:v>
                </c:pt>
                <c:pt idx="3">
                  <c:v>40.106666666666662</c:v>
                </c:pt>
                <c:pt idx="4">
                  <c:v>40.106666666666662</c:v>
                </c:pt>
                <c:pt idx="5">
                  <c:v>40.106666666666662</c:v>
                </c:pt>
                <c:pt idx="6">
                  <c:v>40.106666666666662</c:v>
                </c:pt>
                <c:pt idx="7">
                  <c:v>40.106666666666662</c:v>
                </c:pt>
                <c:pt idx="8">
                  <c:v>40.106666666666662</c:v>
                </c:pt>
                <c:pt idx="9">
                  <c:v>40.106666666666662</c:v>
                </c:pt>
                <c:pt idx="10">
                  <c:v>40.106666666666662</c:v>
                </c:pt>
                <c:pt idx="11">
                  <c:v>40.106666666666662</c:v>
                </c:pt>
                <c:pt idx="12">
                  <c:v>40.106666666666662</c:v>
                </c:pt>
                <c:pt idx="13">
                  <c:v>40.106666666666662</c:v>
                </c:pt>
                <c:pt idx="14">
                  <c:v>40.106666666666662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4C0-4BC9-9744-E1D4B2E39F47}"/>
            </c:ext>
          </c:extLst>
        </c:ser>
        <c:ser>
          <c:idx val="5"/>
          <c:order val="5"/>
          <c:tx>
            <c:strRef>
              <c:f>'SISTEMA 08 SINTAL 70 BIANCO F'!$A$26</c:f>
              <c:strCache>
                <c:ptCount val="1"/>
                <c:pt idx="0">
                  <c:v>LACERAZIONE B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F'!$B$26:$P$26</c:f>
              <c:numCache>
                <c:formatCode>0.00</c:formatCode>
                <c:ptCount val="15"/>
                <c:pt idx="0">
                  <c:v>60.16</c:v>
                </c:pt>
                <c:pt idx="1">
                  <c:v>60.16</c:v>
                </c:pt>
                <c:pt idx="2">
                  <c:v>60.16</c:v>
                </c:pt>
                <c:pt idx="3">
                  <c:v>60.16</c:v>
                </c:pt>
                <c:pt idx="4">
                  <c:v>60.16</c:v>
                </c:pt>
                <c:pt idx="5">
                  <c:v>60.16</c:v>
                </c:pt>
                <c:pt idx="6">
                  <c:v>60.16</c:v>
                </c:pt>
                <c:pt idx="7">
                  <c:v>60.16</c:v>
                </c:pt>
                <c:pt idx="8">
                  <c:v>60.16</c:v>
                </c:pt>
                <c:pt idx="9">
                  <c:v>60.16</c:v>
                </c:pt>
                <c:pt idx="10">
                  <c:v>60.16</c:v>
                </c:pt>
                <c:pt idx="11">
                  <c:v>60.16</c:v>
                </c:pt>
                <c:pt idx="12">
                  <c:v>60.16</c:v>
                </c:pt>
                <c:pt idx="13">
                  <c:v>60.16</c:v>
                </c:pt>
                <c:pt idx="14">
                  <c:v>60.16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4C0-4BC9-9744-E1D4B2E39F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0991744"/>
        <c:axId val="191001728"/>
      </c:lineChart>
      <c:catAx>
        <c:axId val="190991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001728"/>
        <c:crosses val="autoZero"/>
        <c:auto val="1"/>
        <c:lblAlgn val="ctr"/>
        <c:lblOffset val="100"/>
        <c:noMultiLvlLbl val="0"/>
      </c:catAx>
      <c:valAx>
        <c:axId val="19100172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LACERAZIONE C [kN/m]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F'!$A$28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F'!$B$28:$P$28</c:f>
              <c:numCache>
                <c:formatCode>General</c:formatCode>
                <c:ptCount val="15"/>
                <c:pt idx="0">
                  <c:v>54</c:v>
                </c:pt>
                <c:pt idx="1">
                  <c:v>70</c:v>
                </c:pt>
                <c:pt idx="2">
                  <c:v>55</c:v>
                </c:pt>
                <c:pt idx="3">
                  <c:v>53</c:v>
                </c:pt>
                <c:pt idx="4">
                  <c:v>64</c:v>
                </c:pt>
                <c:pt idx="5">
                  <c:v>55</c:v>
                </c:pt>
                <c:pt idx="6">
                  <c:v>57</c:v>
                </c:pt>
                <c:pt idx="7">
                  <c:v>57</c:v>
                </c:pt>
                <c:pt idx="8">
                  <c:v>63</c:v>
                </c:pt>
                <c:pt idx="9">
                  <c:v>50</c:v>
                </c:pt>
                <c:pt idx="10">
                  <c:v>39</c:v>
                </c:pt>
                <c:pt idx="11">
                  <c:v>49</c:v>
                </c:pt>
                <c:pt idx="12">
                  <c:v>59</c:v>
                </c:pt>
                <c:pt idx="13">
                  <c:v>60</c:v>
                </c:pt>
                <c:pt idx="14">
                  <c:v>66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A539-4859-88F1-11D9B4970D42}"/>
            </c:ext>
          </c:extLst>
        </c:ser>
        <c:ser>
          <c:idx val="1"/>
          <c:order val="1"/>
          <c:tx>
            <c:strRef>
              <c:f>'SISTEMA 08 SINTAL 70 BIANCO F'!$A$29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F'!$B$29:$P$29</c:f>
              <c:numCache>
                <c:formatCode>0.00</c:formatCode>
                <c:ptCount val="15"/>
                <c:pt idx="0">
                  <c:v>56.733333333333334</c:v>
                </c:pt>
                <c:pt idx="1">
                  <c:v>56.733333333333334</c:v>
                </c:pt>
                <c:pt idx="2">
                  <c:v>56.733333333333334</c:v>
                </c:pt>
                <c:pt idx="3">
                  <c:v>56.733333333333334</c:v>
                </c:pt>
                <c:pt idx="4">
                  <c:v>56.733333333333334</c:v>
                </c:pt>
                <c:pt idx="5">
                  <c:v>56.733333333333334</c:v>
                </c:pt>
                <c:pt idx="6">
                  <c:v>56.733333333333334</c:v>
                </c:pt>
                <c:pt idx="7">
                  <c:v>56.733333333333334</c:v>
                </c:pt>
                <c:pt idx="8">
                  <c:v>56.733333333333334</c:v>
                </c:pt>
                <c:pt idx="9">
                  <c:v>56.733333333333334</c:v>
                </c:pt>
                <c:pt idx="10">
                  <c:v>56.733333333333334</c:v>
                </c:pt>
                <c:pt idx="11">
                  <c:v>56.733333333333334</c:v>
                </c:pt>
                <c:pt idx="12">
                  <c:v>56.733333333333334</c:v>
                </c:pt>
                <c:pt idx="13">
                  <c:v>56.733333333333334</c:v>
                </c:pt>
                <c:pt idx="14">
                  <c:v>56.733333333333334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D3-4031-85F3-2E8623086CCB}"/>
            </c:ext>
          </c:extLst>
        </c:ser>
        <c:ser>
          <c:idx val="2"/>
          <c:order val="2"/>
          <c:tx>
            <c:strRef>
              <c:f>'SISTEMA 08 SINTAL 70 BIANCO F'!$A$30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F'!$B$30:$P$30</c:f>
              <c:numCache>
                <c:formatCode>0.00</c:formatCode>
                <c:ptCount val="15"/>
                <c:pt idx="0">
                  <c:v>51.06</c:v>
                </c:pt>
                <c:pt idx="1">
                  <c:v>51.06</c:v>
                </c:pt>
                <c:pt idx="2">
                  <c:v>51.06</c:v>
                </c:pt>
                <c:pt idx="3">
                  <c:v>51.06</c:v>
                </c:pt>
                <c:pt idx="4">
                  <c:v>51.06</c:v>
                </c:pt>
                <c:pt idx="5">
                  <c:v>51.06</c:v>
                </c:pt>
                <c:pt idx="6">
                  <c:v>51.06</c:v>
                </c:pt>
                <c:pt idx="7">
                  <c:v>51.06</c:v>
                </c:pt>
                <c:pt idx="8">
                  <c:v>51.06</c:v>
                </c:pt>
                <c:pt idx="9">
                  <c:v>51.06</c:v>
                </c:pt>
                <c:pt idx="10">
                  <c:v>51.06</c:v>
                </c:pt>
                <c:pt idx="11">
                  <c:v>51.06</c:v>
                </c:pt>
                <c:pt idx="12">
                  <c:v>51.06</c:v>
                </c:pt>
                <c:pt idx="13">
                  <c:v>51.06</c:v>
                </c:pt>
                <c:pt idx="14">
                  <c:v>51.06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0D3-4031-85F3-2E8623086CCB}"/>
            </c:ext>
          </c:extLst>
        </c:ser>
        <c:ser>
          <c:idx val="3"/>
          <c:order val="3"/>
          <c:tx>
            <c:strRef>
              <c:f>'SISTEMA 08 SINTAL 70 BIANCO F'!$A$31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F'!$B$31:$P$31</c:f>
              <c:numCache>
                <c:formatCode>0.00</c:formatCode>
                <c:ptCount val="15"/>
                <c:pt idx="0">
                  <c:v>62.340476190476195</c:v>
                </c:pt>
                <c:pt idx="1">
                  <c:v>62.340476190476195</c:v>
                </c:pt>
                <c:pt idx="2">
                  <c:v>62.340476190476195</c:v>
                </c:pt>
                <c:pt idx="3">
                  <c:v>62.340476190476195</c:v>
                </c:pt>
                <c:pt idx="4">
                  <c:v>62.340476190476195</c:v>
                </c:pt>
                <c:pt idx="5">
                  <c:v>62.340476190476195</c:v>
                </c:pt>
                <c:pt idx="6">
                  <c:v>62.340476190476195</c:v>
                </c:pt>
                <c:pt idx="7">
                  <c:v>62.340476190476195</c:v>
                </c:pt>
                <c:pt idx="8">
                  <c:v>62.340476190476195</c:v>
                </c:pt>
                <c:pt idx="9">
                  <c:v>62.340476190476195</c:v>
                </c:pt>
                <c:pt idx="10">
                  <c:v>62.340476190476195</c:v>
                </c:pt>
                <c:pt idx="11">
                  <c:v>62.340476190476195</c:v>
                </c:pt>
                <c:pt idx="12">
                  <c:v>62.340476190476195</c:v>
                </c:pt>
                <c:pt idx="13">
                  <c:v>62.340476190476195</c:v>
                </c:pt>
                <c:pt idx="14">
                  <c:v>62.340476190476195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0D3-4031-85F3-2E8623086CCB}"/>
            </c:ext>
          </c:extLst>
        </c:ser>
        <c:ser>
          <c:idx val="4"/>
          <c:order val="4"/>
          <c:tx>
            <c:strRef>
              <c:f>'SISTEMA 08 SINTAL 70 BIANCO F'!$A$32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F'!$B$32:$P$32</c:f>
              <c:numCache>
                <c:formatCode>0.00</c:formatCode>
                <c:ptCount val="15"/>
                <c:pt idx="0">
                  <c:v>45.38666666666667</c:v>
                </c:pt>
                <c:pt idx="1">
                  <c:v>45.38666666666667</c:v>
                </c:pt>
                <c:pt idx="2">
                  <c:v>45.38666666666667</c:v>
                </c:pt>
                <c:pt idx="3">
                  <c:v>45.38666666666667</c:v>
                </c:pt>
                <c:pt idx="4">
                  <c:v>45.38666666666667</c:v>
                </c:pt>
                <c:pt idx="5">
                  <c:v>45.38666666666667</c:v>
                </c:pt>
                <c:pt idx="6">
                  <c:v>45.38666666666667</c:v>
                </c:pt>
                <c:pt idx="7">
                  <c:v>45.38666666666667</c:v>
                </c:pt>
                <c:pt idx="8">
                  <c:v>45.38666666666667</c:v>
                </c:pt>
                <c:pt idx="9">
                  <c:v>45.38666666666667</c:v>
                </c:pt>
                <c:pt idx="10">
                  <c:v>45.38666666666667</c:v>
                </c:pt>
                <c:pt idx="11">
                  <c:v>45.38666666666667</c:v>
                </c:pt>
                <c:pt idx="12">
                  <c:v>45.38666666666667</c:v>
                </c:pt>
                <c:pt idx="13">
                  <c:v>45.38666666666667</c:v>
                </c:pt>
                <c:pt idx="14">
                  <c:v>45.38666666666667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52-408F-B0A5-34D287B4952B}"/>
            </c:ext>
          </c:extLst>
        </c:ser>
        <c:ser>
          <c:idx val="5"/>
          <c:order val="5"/>
          <c:tx>
            <c:strRef>
              <c:f>'SISTEMA 08 SINTAL 70 BIANCO F'!$A$33</c:f>
              <c:strCache>
                <c:ptCount val="1"/>
                <c:pt idx="0">
                  <c:v>LACERAZIONE C (kN/m)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F'!$B$33:$P$33</c:f>
              <c:numCache>
                <c:formatCode>0.00</c:formatCode>
                <c:ptCount val="15"/>
                <c:pt idx="0">
                  <c:v>67.947619047619042</c:v>
                </c:pt>
                <c:pt idx="1">
                  <c:v>67.947619047619042</c:v>
                </c:pt>
                <c:pt idx="2">
                  <c:v>67.947619047619042</c:v>
                </c:pt>
                <c:pt idx="3">
                  <c:v>67.947619047619042</c:v>
                </c:pt>
                <c:pt idx="4">
                  <c:v>67.947619047619042</c:v>
                </c:pt>
                <c:pt idx="5">
                  <c:v>67.947619047619042</c:v>
                </c:pt>
                <c:pt idx="6">
                  <c:v>67.947619047619042</c:v>
                </c:pt>
                <c:pt idx="7">
                  <c:v>67.947619047619042</c:v>
                </c:pt>
                <c:pt idx="8">
                  <c:v>67.947619047619042</c:v>
                </c:pt>
                <c:pt idx="9">
                  <c:v>67.947619047619042</c:v>
                </c:pt>
                <c:pt idx="10">
                  <c:v>67.947619047619042</c:v>
                </c:pt>
                <c:pt idx="11">
                  <c:v>67.947619047619042</c:v>
                </c:pt>
                <c:pt idx="12">
                  <c:v>67.947619047619042</c:v>
                </c:pt>
                <c:pt idx="13">
                  <c:v>67.947619047619042</c:v>
                </c:pt>
                <c:pt idx="14">
                  <c:v>67.947619047619042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E52-408F-B0A5-34D287B4952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1140224"/>
        <c:axId val="191141760"/>
      </c:lineChart>
      <c:catAx>
        <c:axId val="191140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41760"/>
        <c:crosses val="autoZero"/>
        <c:auto val="1"/>
        <c:lblAlgn val="ctr"/>
        <c:lblOffset val="100"/>
        <c:noMultiLvlLbl val="0"/>
      </c:catAx>
      <c:valAx>
        <c:axId val="1911417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40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chemeClr val="accent6">
                    <a:lumMod val="50000"/>
                  </a:schemeClr>
                </a:solidFill>
              </a:rPr>
              <a:t>ABRASIONE [mg]</a:t>
            </a:r>
            <a:endParaRPr lang="it-IT" b="1">
              <a:solidFill>
                <a:schemeClr val="accent6">
                  <a:lumMod val="50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5695975503062108E-2"/>
          <c:y val="0.15782407407407409"/>
          <c:w val="0.93700153105861772"/>
          <c:h val="0.59462744240303311"/>
        </c:manualLayout>
      </c:layout>
      <c:lineChart>
        <c:grouping val="standard"/>
        <c:varyColors val="0"/>
        <c:ser>
          <c:idx val="0"/>
          <c:order val="0"/>
          <c:tx>
            <c:strRef>
              <c:f>'SISTEMA 08 SINTAL 70 BIANCO F'!$A$35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accent6">
                  <a:tint val="50000"/>
                </a:schemeClr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F'!$B$35:$P$35</c:f>
              <c:numCache>
                <c:formatCode>General</c:formatCode>
                <c:ptCount val="15"/>
                <c:pt idx="0">
                  <c:v>90</c:v>
                </c:pt>
                <c:pt idx="1">
                  <c:v>59</c:v>
                </c:pt>
                <c:pt idx="2">
                  <c:v>45</c:v>
                </c:pt>
                <c:pt idx="3">
                  <c:v>57</c:v>
                </c:pt>
                <c:pt idx="4">
                  <c:v>50</c:v>
                </c:pt>
                <c:pt idx="5">
                  <c:v>51</c:v>
                </c:pt>
                <c:pt idx="6">
                  <c:v>32</c:v>
                </c:pt>
                <c:pt idx="7">
                  <c:v>41</c:v>
                </c:pt>
                <c:pt idx="8">
                  <c:v>62</c:v>
                </c:pt>
                <c:pt idx="9">
                  <c:v>50</c:v>
                </c:pt>
                <c:pt idx="10">
                  <c:v>57</c:v>
                </c:pt>
                <c:pt idx="11">
                  <c:v>34</c:v>
                </c:pt>
                <c:pt idx="12">
                  <c:v>39</c:v>
                </c:pt>
                <c:pt idx="13">
                  <c:v>44</c:v>
                </c:pt>
                <c:pt idx="14">
                  <c:v>88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BC54-4504-82D1-E285208EA961}"/>
            </c:ext>
          </c:extLst>
        </c:ser>
        <c:ser>
          <c:idx val="1"/>
          <c:order val="1"/>
          <c:tx>
            <c:strRef>
              <c:f>'SISTEMA 08 SINTAL 70 BIANCO F'!$A$36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ot"/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F'!$B$36:$P$36</c:f>
              <c:numCache>
                <c:formatCode>0.00</c:formatCode>
                <c:ptCount val="15"/>
                <c:pt idx="0">
                  <c:v>53.266666666666666</c:v>
                </c:pt>
                <c:pt idx="1">
                  <c:v>53.266666666666666</c:v>
                </c:pt>
                <c:pt idx="2">
                  <c:v>53.266666666666666</c:v>
                </c:pt>
                <c:pt idx="3">
                  <c:v>53.266666666666666</c:v>
                </c:pt>
                <c:pt idx="4">
                  <c:v>53.266666666666666</c:v>
                </c:pt>
                <c:pt idx="5">
                  <c:v>53.266666666666666</c:v>
                </c:pt>
                <c:pt idx="6">
                  <c:v>53.266666666666666</c:v>
                </c:pt>
                <c:pt idx="7">
                  <c:v>53.266666666666666</c:v>
                </c:pt>
                <c:pt idx="8">
                  <c:v>53.266666666666666</c:v>
                </c:pt>
                <c:pt idx="9">
                  <c:v>53.266666666666666</c:v>
                </c:pt>
                <c:pt idx="10">
                  <c:v>53.266666666666666</c:v>
                </c:pt>
                <c:pt idx="11">
                  <c:v>53.266666666666666</c:v>
                </c:pt>
                <c:pt idx="12">
                  <c:v>53.266666666666666</c:v>
                </c:pt>
                <c:pt idx="13">
                  <c:v>53.266666666666666</c:v>
                </c:pt>
                <c:pt idx="14">
                  <c:v>53.266666666666666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8-4E0B-8D2D-8D84BB64949E}"/>
            </c:ext>
          </c:extLst>
        </c:ser>
        <c:ser>
          <c:idx val="2"/>
          <c:order val="2"/>
          <c:tx>
            <c:strRef>
              <c:f>'SISTEMA 08 SINTAL 70 BIANCO F'!$A$37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F'!$B$37:$P$37</c:f>
              <c:numCache>
                <c:formatCode>0.00</c:formatCode>
                <c:ptCount val="15"/>
                <c:pt idx="0">
                  <c:v>47.94</c:v>
                </c:pt>
                <c:pt idx="1">
                  <c:v>47.94</c:v>
                </c:pt>
                <c:pt idx="2">
                  <c:v>47.94</c:v>
                </c:pt>
                <c:pt idx="3">
                  <c:v>47.94</c:v>
                </c:pt>
                <c:pt idx="4">
                  <c:v>47.94</c:v>
                </c:pt>
                <c:pt idx="5">
                  <c:v>47.94</c:v>
                </c:pt>
                <c:pt idx="6">
                  <c:v>47.94</c:v>
                </c:pt>
                <c:pt idx="7">
                  <c:v>47.94</c:v>
                </c:pt>
                <c:pt idx="8">
                  <c:v>47.94</c:v>
                </c:pt>
                <c:pt idx="9">
                  <c:v>47.94</c:v>
                </c:pt>
                <c:pt idx="10">
                  <c:v>47.94</c:v>
                </c:pt>
                <c:pt idx="11">
                  <c:v>47.94</c:v>
                </c:pt>
                <c:pt idx="12">
                  <c:v>47.94</c:v>
                </c:pt>
                <c:pt idx="13">
                  <c:v>47.94</c:v>
                </c:pt>
                <c:pt idx="14">
                  <c:v>47.94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8-4E0B-8D2D-8D84BB64949E}"/>
            </c:ext>
          </c:extLst>
        </c:ser>
        <c:ser>
          <c:idx val="3"/>
          <c:order val="3"/>
          <c:tx>
            <c:strRef>
              <c:f>'SISTEMA 08 SINTAL 70 BIANCO F'!$A$38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F'!$B$38:$P$38</c:f>
              <c:numCache>
                <c:formatCode>0.00</c:formatCode>
                <c:ptCount val="15"/>
                <c:pt idx="0">
                  <c:v>58.345238095238095</c:v>
                </c:pt>
                <c:pt idx="1">
                  <c:v>58.345238095238095</c:v>
                </c:pt>
                <c:pt idx="2">
                  <c:v>58.345238095238095</c:v>
                </c:pt>
                <c:pt idx="3">
                  <c:v>58.345238095238095</c:v>
                </c:pt>
                <c:pt idx="4">
                  <c:v>58.345238095238095</c:v>
                </c:pt>
                <c:pt idx="5">
                  <c:v>58.345238095238095</c:v>
                </c:pt>
                <c:pt idx="6">
                  <c:v>58.345238095238095</c:v>
                </c:pt>
                <c:pt idx="7">
                  <c:v>58.345238095238095</c:v>
                </c:pt>
                <c:pt idx="8">
                  <c:v>58.345238095238095</c:v>
                </c:pt>
                <c:pt idx="9">
                  <c:v>58.345238095238095</c:v>
                </c:pt>
                <c:pt idx="10">
                  <c:v>58.345238095238095</c:v>
                </c:pt>
                <c:pt idx="11">
                  <c:v>58.345238095238095</c:v>
                </c:pt>
                <c:pt idx="12">
                  <c:v>58.345238095238095</c:v>
                </c:pt>
                <c:pt idx="13">
                  <c:v>58.345238095238095</c:v>
                </c:pt>
                <c:pt idx="14">
                  <c:v>58.345238095238095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158-4E0B-8D2D-8D84BB64949E}"/>
            </c:ext>
          </c:extLst>
        </c:ser>
        <c:ser>
          <c:idx val="4"/>
          <c:order val="4"/>
          <c:tx>
            <c:strRef>
              <c:f>'SISTEMA 08 SINTAL 70 BIANCO F'!$A$39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F'!$B$39:$P$39</c:f>
              <c:numCache>
                <c:formatCode>0.00</c:formatCode>
                <c:ptCount val="15"/>
                <c:pt idx="0">
                  <c:v>42.61333333333333</c:v>
                </c:pt>
                <c:pt idx="1">
                  <c:v>42.61333333333333</c:v>
                </c:pt>
                <c:pt idx="2">
                  <c:v>42.61333333333333</c:v>
                </c:pt>
                <c:pt idx="3">
                  <c:v>42.61333333333333</c:v>
                </c:pt>
                <c:pt idx="4">
                  <c:v>42.61333333333333</c:v>
                </c:pt>
                <c:pt idx="5">
                  <c:v>42.61333333333333</c:v>
                </c:pt>
                <c:pt idx="6">
                  <c:v>42.61333333333333</c:v>
                </c:pt>
                <c:pt idx="7">
                  <c:v>42.61333333333333</c:v>
                </c:pt>
                <c:pt idx="8">
                  <c:v>42.61333333333333</c:v>
                </c:pt>
                <c:pt idx="9">
                  <c:v>42.61333333333333</c:v>
                </c:pt>
                <c:pt idx="10">
                  <c:v>42.61333333333333</c:v>
                </c:pt>
                <c:pt idx="11">
                  <c:v>42.61333333333333</c:v>
                </c:pt>
                <c:pt idx="12">
                  <c:v>42.61333333333333</c:v>
                </c:pt>
                <c:pt idx="13">
                  <c:v>42.61333333333333</c:v>
                </c:pt>
                <c:pt idx="14">
                  <c:v>42.61333333333333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BA3-4ACE-83AB-4265538F3774}"/>
            </c:ext>
          </c:extLst>
        </c:ser>
        <c:ser>
          <c:idx val="5"/>
          <c:order val="5"/>
          <c:tx>
            <c:strRef>
              <c:f>'SISTEMA 08 SINTAL 70 BIANCO F'!$A$40</c:f>
              <c:strCache>
                <c:ptCount val="1"/>
                <c:pt idx="0">
                  <c:v>ABRASIONE (mg)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strRef>
              <c:f>'SISTEMA 08 SINTAL 70 BIANCO F'!$B$1:$P$1</c:f>
              <c:strCache>
                <c:ptCount val="15"/>
                <c:pt idx="0">
                  <c:v>13/12/2020</c:v>
                </c:pt>
                <c:pt idx="1">
                  <c:v>02/03/2021</c:v>
                </c:pt>
                <c:pt idx="2">
                  <c:v>12/04/2021</c:v>
                </c:pt>
                <c:pt idx="3">
                  <c:v>27/07/2021</c:v>
                </c:pt>
                <c:pt idx="4">
                  <c:v>04/11/2021</c:v>
                </c:pt>
                <c:pt idx="5">
                  <c:v>03/02/2022</c:v>
                </c:pt>
                <c:pt idx="6">
                  <c:v>23/02/2023</c:v>
                </c:pt>
                <c:pt idx="7">
                  <c:v>20/03/2023</c:v>
                </c:pt>
                <c:pt idx="8">
                  <c:v>12/12/2023</c:v>
                </c:pt>
                <c:pt idx="9">
                  <c:v>20/05/2024</c:v>
                </c:pt>
                <c:pt idx="10">
                  <c:v>20/07/2024</c:v>
                </c:pt>
                <c:pt idx="11">
                  <c:v>22/09/2024</c:v>
                </c:pt>
                <c:pt idx="12">
                  <c:v>21/07/2025</c:v>
                </c:pt>
                <c:pt idx="13">
                  <c:v>22/09/2025</c:v>
                </c:pt>
                <c:pt idx="14">
                  <c:v>20/01/2026</c:v>
                </c:pt>
              </c:strCache>
            </c:strRef>
          </c:cat>
          <c:val>
            <c:numRef>
              <c:f>'SISTEMA 08 SINTAL 70 BIANCO F'!$B$40:$P$40</c:f>
              <c:numCache>
                <c:formatCode>0.00</c:formatCode>
                <c:ptCount val="15"/>
                <c:pt idx="0">
                  <c:v>63.423809523809524</c:v>
                </c:pt>
                <c:pt idx="1">
                  <c:v>63.423809523809524</c:v>
                </c:pt>
                <c:pt idx="2">
                  <c:v>63.423809523809524</c:v>
                </c:pt>
                <c:pt idx="3">
                  <c:v>63.423809523809524</c:v>
                </c:pt>
                <c:pt idx="4">
                  <c:v>63.423809523809524</c:v>
                </c:pt>
                <c:pt idx="5">
                  <c:v>63.423809523809524</c:v>
                </c:pt>
                <c:pt idx="6">
                  <c:v>63.423809523809524</c:v>
                </c:pt>
                <c:pt idx="7">
                  <c:v>63.423809523809524</c:v>
                </c:pt>
                <c:pt idx="8">
                  <c:v>63.423809523809524</c:v>
                </c:pt>
                <c:pt idx="9">
                  <c:v>63.423809523809524</c:v>
                </c:pt>
                <c:pt idx="10">
                  <c:v>63.423809523809524</c:v>
                </c:pt>
                <c:pt idx="11">
                  <c:v>63.423809523809524</c:v>
                </c:pt>
                <c:pt idx="12">
                  <c:v>63.423809523809524</c:v>
                </c:pt>
                <c:pt idx="13">
                  <c:v>63.423809523809524</c:v>
                </c:pt>
                <c:pt idx="14">
                  <c:v>63.423809523809524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A3-4ACE-83AB-4265538F377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191190912"/>
        <c:axId val="191192448"/>
      </c:lineChart>
      <c:catAx>
        <c:axId val="191190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92448"/>
        <c:crosses val="max"/>
        <c:auto val="1"/>
        <c:lblAlgn val="ctr"/>
        <c:lblOffset val="100"/>
        <c:noMultiLvlLbl val="0"/>
      </c:catAx>
      <c:valAx>
        <c:axId val="191192448"/>
        <c:scaling>
          <c:orientation val="maxMin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190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accent6">
          <a:lumMod val="60000"/>
          <a:lumOff val="4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1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4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5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0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7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8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39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0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4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5" Type="http://schemas.openxmlformats.org/officeDocument/2006/relationships/chart" Target="../charts/chart41.xml"/><Relationship Id="rId4" Type="http://schemas.openxmlformats.org/officeDocument/2006/relationships/chart" Target="../charts/chart40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2</xdr:row>
          <xdr:rowOff>85725</xdr:rowOff>
        </xdr:from>
        <xdr:to>
          <xdr:col>10</xdr:col>
          <xdr:colOff>885825</xdr:colOff>
          <xdr:row>2</xdr:row>
          <xdr:rowOff>533400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34CD857-F12B-98E2-1075-0A75AD712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5</xdr:row>
          <xdr:rowOff>47625</xdr:rowOff>
        </xdr:from>
        <xdr:to>
          <xdr:col>10</xdr:col>
          <xdr:colOff>885825</xdr:colOff>
          <xdr:row>5</xdr:row>
          <xdr:rowOff>485775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19310E37-3C15-C53B-3DA7-AA4142C31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7</xdr:row>
          <xdr:rowOff>57150</xdr:rowOff>
        </xdr:from>
        <xdr:to>
          <xdr:col>10</xdr:col>
          <xdr:colOff>885825</xdr:colOff>
          <xdr:row>7</xdr:row>
          <xdr:rowOff>504825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E097333B-B72E-AC18-880B-087DA16C8C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12</xdr:row>
          <xdr:rowOff>85725</xdr:rowOff>
        </xdr:from>
        <xdr:to>
          <xdr:col>10</xdr:col>
          <xdr:colOff>904875</xdr:colOff>
          <xdr:row>12</xdr:row>
          <xdr:rowOff>533400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8BDBAC9D-36B1-D759-4B14-A414169275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9</xdr:row>
          <xdr:rowOff>57150</xdr:rowOff>
        </xdr:from>
        <xdr:to>
          <xdr:col>10</xdr:col>
          <xdr:colOff>885825</xdr:colOff>
          <xdr:row>9</xdr:row>
          <xdr:rowOff>504825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396639AA-6839-9D17-0A2A-EBBD5B59E1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11</xdr:row>
          <xdr:rowOff>114300</xdr:rowOff>
        </xdr:from>
        <xdr:to>
          <xdr:col>10</xdr:col>
          <xdr:colOff>904875</xdr:colOff>
          <xdr:row>11</xdr:row>
          <xdr:rowOff>561975</xdr:rowOff>
        </xdr:to>
        <xdr:sp macro="" textlink="">
          <xdr:nvSpPr>
            <xdr:cNvPr id="10246" name="Button 6" hidden="1">
              <a:extLst>
                <a:ext uri="{63B3BB69-23CF-44E3-9099-C40C66FF867C}">
                  <a14:compatExt spid="_x0000_s10246"/>
                </a:ext>
                <a:ext uri="{FF2B5EF4-FFF2-40B4-BE49-F238E27FC236}">
                  <a16:creationId xmlns:a16="http://schemas.microsoft.com/office/drawing/2014/main" id="{01866D83-D3F4-46A2-761C-ADCB704EC6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14</xdr:row>
          <xdr:rowOff>47625</xdr:rowOff>
        </xdr:from>
        <xdr:to>
          <xdr:col>10</xdr:col>
          <xdr:colOff>885825</xdr:colOff>
          <xdr:row>14</xdr:row>
          <xdr:rowOff>485775</xdr:rowOff>
        </xdr:to>
        <xdr:sp macro="" textlink="">
          <xdr:nvSpPr>
            <xdr:cNvPr id="10247" name="Button 7" hidden="1">
              <a:extLst>
                <a:ext uri="{63B3BB69-23CF-44E3-9099-C40C66FF867C}">
                  <a14:compatExt spid="_x0000_s10247"/>
                </a:ext>
                <a:ext uri="{FF2B5EF4-FFF2-40B4-BE49-F238E27FC236}">
                  <a16:creationId xmlns:a16="http://schemas.microsoft.com/office/drawing/2014/main" id="{E10AD358-A304-3E7A-3001-B9E2B7D3B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16</xdr:row>
          <xdr:rowOff>47625</xdr:rowOff>
        </xdr:from>
        <xdr:to>
          <xdr:col>10</xdr:col>
          <xdr:colOff>885825</xdr:colOff>
          <xdr:row>16</xdr:row>
          <xdr:rowOff>485775</xdr:rowOff>
        </xdr:to>
        <xdr:sp macro="" textlink="">
          <xdr:nvSpPr>
            <xdr:cNvPr id="10248" name="Button 8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FEF6E55F-ACBF-8936-42F5-1F6E74A209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19</xdr:row>
          <xdr:rowOff>57150</xdr:rowOff>
        </xdr:from>
        <xdr:to>
          <xdr:col>10</xdr:col>
          <xdr:colOff>885825</xdr:colOff>
          <xdr:row>19</xdr:row>
          <xdr:rowOff>504825</xdr:rowOff>
        </xdr:to>
        <xdr:sp macro="" textlink="">
          <xdr:nvSpPr>
            <xdr:cNvPr id="10249" name="Button 9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A3A5433F-1AF5-505B-C273-489F896C4C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18</xdr:row>
          <xdr:rowOff>57150</xdr:rowOff>
        </xdr:from>
        <xdr:to>
          <xdr:col>10</xdr:col>
          <xdr:colOff>885825</xdr:colOff>
          <xdr:row>18</xdr:row>
          <xdr:rowOff>504825</xdr:rowOff>
        </xdr:to>
        <xdr:sp macro="" textlink="">
          <xdr:nvSpPr>
            <xdr:cNvPr id="10250" name="Button 10" hidden="1">
              <a:extLst>
                <a:ext uri="{63B3BB69-23CF-44E3-9099-C40C66FF867C}">
                  <a14:compatExt spid="_x0000_s10250"/>
                </a:ext>
                <a:ext uri="{FF2B5EF4-FFF2-40B4-BE49-F238E27FC236}">
                  <a16:creationId xmlns:a16="http://schemas.microsoft.com/office/drawing/2014/main" id="{8C08D1E6-21E3-50A4-C689-C9EA838C95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</xdr:colOff>
          <xdr:row>4</xdr:row>
          <xdr:rowOff>47625</xdr:rowOff>
        </xdr:from>
        <xdr:to>
          <xdr:col>10</xdr:col>
          <xdr:colOff>885825</xdr:colOff>
          <xdr:row>4</xdr:row>
          <xdr:rowOff>485775</xdr:rowOff>
        </xdr:to>
        <xdr:sp macro="" textlink="">
          <xdr:nvSpPr>
            <xdr:cNvPr id="10251" name="Button 11" hidden="1">
              <a:extLst>
                <a:ext uri="{63B3BB69-23CF-44E3-9099-C40C66FF867C}">
                  <a14:compatExt spid="_x0000_s10251"/>
                </a:ext>
                <a:ext uri="{FF2B5EF4-FFF2-40B4-BE49-F238E27FC236}">
                  <a16:creationId xmlns:a16="http://schemas.microsoft.com/office/drawing/2014/main" id="{75BE583E-F17F-E46E-E0A0-671EC3DE5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600075</xdr:colOff>
      <xdr:row>17</xdr:row>
      <xdr:rowOff>161925</xdr:rowOff>
    </xdr:from>
    <xdr:to>
      <xdr:col>33</xdr:col>
      <xdr:colOff>402049</xdr:colOff>
      <xdr:row>34</xdr:row>
      <xdr:rowOff>640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902DE219-7585-4573-BCF8-87ECAD14F5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4093"/>
        <a:stretch/>
      </xdr:blipFill>
      <xdr:spPr>
        <a:xfrm>
          <a:off x="19183350" y="2447925"/>
          <a:ext cx="10774774" cy="30772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20109</xdr:colOff>
      <xdr:row>49</xdr:row>
      <xdr:rowOff>69851</xdr:rowOff>
    </xdr:from>
    <xdr:to>
      <xdr:col>27</xdr:col>
      <xdr:colOff>130175</xdr:colOff>
      <xdr:row>68</xdr:row>
      <xdr:rowOff>31750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49</xdr:row>
      <xdr:rowOff>71437</xdr:rowOff>
    </xdr:from>
    <xdr:to>
      <xdr:col>7</xdr:col>
      <xdr:colOff>66674</xdr:colOff>
      <xdr:row>69</xdr:row>
      <xdr:rowOff>66675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D5186751-4150-8C65-54C2-DB69D8298E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128586</xdr:colOff>
      <xdr:row>49</xdr:row>
      <xdr:rowOff>80962</xdr:rowOff>
    </xdr:from>
    <xdr:to>
      <xdr:col>15</xdr:col>
      <xdr:colOff>571499</xdr:colOff>
      <xdr:row>69</xdr:row>
      <xdr:rowOff>133350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D86AE34-6A87-B0F9-9E1A-3BDDC40F7E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57149</xdr:colOff>
      <xdr:row>70</xdr:row>
      <xdr:rowOff>23812</xdr:rowOff>
    </xdr:from>
    <xdr:to>
      <xdr:col>7</xdr:col>
      <xdr:colOff>219074</xdr:colOff>
      <xdr:row>88</xdr:row>
      <xdr:rowOff>76200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45BA65C4-4772-CAB5-7011-058B59E1D14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342900</xdr:colOff>
      <xdr:row>70</xdr:row>
      <xdr:rowOff>52386</xdr:rowOff>
    </xdr:from>
    <xdr:to>
      <xdr:col>15</xdr:col>
      <xdr:colOff>590550</xdr:colOff>
      <xdr:row>88</xdr:row>
      <xdr:rowOff>133349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C00CF021-770B-715D-22BD-06EEA6D8DF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66674</xdr:colOff>
      <xdr:row>70</xdr:row>
      <xdr:rowOff>52386</xdr:rowOff>
    </xdr:from>
    <xdr:to>
      <xdr:col>27</xdr:col>
      <xdr:colOff>76199</xdr:colOff>
      <xdr:row>88</xdr:row>
      <xdr:rowOff>190499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6102370-41EC-87E2-AE38-8A816250E0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72390</xdr:colOff>
      <xdr:row>50</xdr:row>
      <xdr:rowOff>37399</xdr:rowOff>
    </xdr:from>
    <xdr:to>
      <xdr:col>7</xdr:col>
      <xdr:colOff>41275</xdr:colOff>
      <xdr:row>72</xdr:row>
      <xdr:rowOff>44384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231774</xdr:colOff>
      <xdr:row>50</xdr:row>
      <xdr:rowOff>73774</xdr:rowOff>
    </xdr:from>
    <xdr:to>
      <xdr:col>19</xdr:col>
      <xdr:colOff>307974</xdr:colOff>
      <xdr:row>72</xdr:row>
      <xdr:rowOff>52531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384809</xdr:colOff>
      <xdr:row>50</xdr:row>
      <xdr:rowOff>54436</xdr:rowOff>
    </xdr:from>
    <xdr:to>
      <xdr:col>32</xdr:col>
      <xdr:colOff>457199</xdr:colOff>
      <xdr:row>72</xdr:row>
      <xdr:rowOff>53801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82550</xdr:colOff>
      <xdr:row>73</xdr:row>
      <xdr:rowOff>15874</xdr:rowOff>
    </xdr:from>
    <xdr:to>
      <xdr:col>7</xdr:col>
      <xdr:colOff>101600</xdr:colOff>
      <xdr:row>95</xdr:row>
      <xdr:rowOff>101599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190500</xdr:colOff>
      <xdr:row>73</xdr:row>
      <xdr:rowOff>41274</xdr:rowOff>
    </xdr:from>
    <xdr:to>
      <xdr:col>19</xdr:col>
      <xdr:colOff>317500</xdr:colOff>
      <xdr:row>95</xdr:row>
      <xdr:rowOff>76199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422274</xdr:colOff>
      <xdr:row>73</xdr:row>
      <xdr:rowOff>53974</xdr:rowOff>
    </xdr:from>
    <xdr:to>
      <xdr:col>32</xdr:col>
      <xdr:colOff>444499</xdr:colOff>
      <xdr:row>95</xdr:row>
      <xdr:rowOff>63499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85724</xdr:colOff>
      <xdr:row>53</xdr:row>
      <xdr:rowOff>0</xdr:rowOff>
    </xdr:from>
    <xdr:to>
      <xdr:col>6</xdr:col>
      <xdr:colOff>190500</xdr:colOff>
      <xdr:row>75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279852</xdr:colOff>
      <xdr:row>53</xdr:row>
      <xdr:rowOff>9524</xdr:rowOff>
    </xdr:from>
    <xdr:to>
      <xdr:col>14</xdr:col>
      <xdr:colOff>340177</xdr:colOff>
      <xdr:row>75</xdr:row>
      <xdr:rowOff>38099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473074</xdr:colOff>
      <xdr:row>53</xdr:row>
      <xdr:rowOff>0</xdr:rowOff>
    </xdr:from>
    <xdr:to>
      <xdr:col>25</xdr:col>
      <xdr:colOff>546099</xdr:colOff>
      <xdr:row>75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152400</xdr:colOff>
      <xdr:row>77</xdr:row>
      <xdr:rowOff>0</xdr:rowOff>
    </xdr:from>
    <xdr:to>
      <xdr:col>6</xdr:col>
      <xdr:colOff>203200</xdr:colOff>
      <xdr:row>97</xdr:row>
      <xdr:rowOff>63500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273050</xdr:colOff>
      <xdr:row>77</xdr:row>
      <xdr:rowOff>22224</xdr:rowOff>
    </xdr:from>
    <xdr:to>
      <xdr:col>14</xdr:col>
      <xdr:colOff>381000</xdr:colOff>
      <xdr:row>97</xdr:row>
      <xdr:rowOff>101599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457200</xdr:colOff>
      <xdr:row>77</xdr:row>
      <xdr:rowOff>76200</xdr:rowOff>
    </xdr:from>
    <xdr:to>
      <xdr:col>25</xdr:col>
      <xdr:colOff>546100</xdr:colOff>
      <xdr:row>97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31506</xdr:colOff>
      <xdr:row>53</xdr:row>
      <xdr:rowOff>62278</xdr:rowOff>
    </xdr:from>
    <xdr:to>
      <xdr:col>34</xdr:col>
      <xdr:colOff>124558</xdr:colOff>
      <xdr:row>70</xdr:row>
      <xdr:rowOff>131885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78399</xdr:colOff>
      <xdr:row>71</xdr:row>
      <xdr:rowOff>102577</xdr:rowOff>
    </xdr:from>
    <xdr:to>
      <xdr:col>8</xdr:col>
      <xdr:colOff>351693</xdr:colOff>
      <xdr:row>88</xdr:row>
      <xdr:rowOff>129320</xdr:rowOff>
    </xdr:to>
    <xdr:graphicFrame macro="">
      <xdr:nvGraphicFramePr>
        <xdr:cNvPr id="30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481378</xdr:colOff>
      <xdr:row>71</xdr:row>
      <xdr:rowOff>95249</xdr:rowOff>
    </xdr:from>
    <xdr:to>
      <xdr:col>21</xdr:col>
      <xdr:colOff>219807</xdr:colOff>
      <xdr:row>88</xdr:row>
      <xdr:rowOff>50922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60813</xdr:colOff>
      <xdr:row>71</xdr:row>
      <xdr:rowOff>33704</xdr:rowOff>
    </xdr:from>
    <xdr:to>
      <xdr:col>30</xdr:col>
      <xdr:colOff>479913</xdr:colOff>
      <xdr:row>88</xdr:row>
      <xdr:rowOff>28942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1015996</xdr:colOff>
      <xdr:row>56</xdr:row>
      <xdr:rowOff>15874</xdr:rowOff>
    </xdr:from>
    <xdr:to>
      <xdr:col>1</xdr:col>
      <xdr:colOff>1022800</xdr:colOff>
      <xdr:row>66</xdr:row>
      <xdr:rowOff>70303</xdr:rowOff>
    </xdr:to>
    <xdr:cxnSp macro="">
      <xdr:nvCxnSpPr>
        <xdr:cNvPr id="34" name="Straight Connector 8">
          <a:extLst>
            <a:ext uri="{FF2B5EF4-FFF2-40B4-BE49-F238E27FC236}">
              <a16:creationId xmlns:a16="http://schemas.microsoft.com/office/drawing/2014/main" id="{807C9F6C-80A2-3C3E-0FFD-41ACFD19E4B4}"/>
            </a:ext>
          </a:extLst>
        </xdr:cNvPr>
        <xdr:cNvCxnSpPr/>
      </xdr:nvCxnSpPr>
      <xdr:spPr>
        <a:xfrm flipH="1">
          <a:off x="2688163" y="7826374"/>
          <a:ext cx="6804" cy="1959429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195811</xdr:colOff>
      <xdr:row>52</xdr:row>
      <xdr:rowOff>42333</xdr:rowOff>
    </xdr:from>
    <xdr:to>
      <xdr:col>9</xdr:col>
      <xdr:colOff>571499</xdr:colOff>
      <xdr:row>70</xdr:row>
      <xdr:rowOff>137583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EFB41B22-3F48-997C-642A-30FD7D122C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703790</xdr:colOff>
      <xdr:row>52</xdr:row>
      <xdr:rowOff>78316</xdr:rowOff>
    </xdr:from>
    <xdr:to>
      <xdr:col>21</xdr:col>
      <xdr:colOff>836082</xdr:colOff>
      <xdr:row>70</xdr:row>
      <xdr:rowOff>105833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241BA8F4-AF64-A66D-ADEA-537F0376E1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28574</xdr:colOff>
      <xdr:row>54</xdr:row>
      <xdr:rowOff>28574</xdr:rowOff>
    </xdr:from>
    <xdr:to>
      <xdr:col>7</xdr:col>
      <xdr:colOff>177799</xdr:colOff>
      <xdr:row>74</xdr:row>
      <xdr:rowOff>76199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254000</xdr:colOff>
      <xdr:row>54</xdr:row>
      <xdr:rowOff>25400</xdr:rowOff>
    </xdr:from>
    <xdr:to>
      <xdr:col>19</xdr:col>
      <xdr:colOff>254000</xdr:colOff>
      <xdr:row>74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330200</xdr:colOff>
      <xdr:row>54</xdr:row>
      <xdr:rowOff>9524</xdr:rowOff>
    </xdr:from>
    <xdr:to>
      <xdr:col>31</xdr:col>
      <xdr:colOff>406400</xdr:colOff>
      <xdr:row>74</xdr:row>
      <xdr:rowOff>76199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88900</xdr:colOff>
      <xdr:row>76</xdr:row>
      <xdr:rowOff>12700</xdr:rowOff>
    </xdr:from>
    <xdr:to>
      <xdr:col>7</xdr:col>
      <xdr:colOff>177800</xdr:colOff>
      <xdr:row>97</xdr:row>
      <xdr:rowOff>63499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250824</xdr:colOff>
      <xdr:row>76</xdr:row>
      <xdr:rowOff>9524</xdr:rowOff>
    </xdr:from>
    <xdr:to>
      <xdr:col>19</xdr:col>
      <xdr:colOff>279399</xdr:colOff>
      <xdr:row>97</xdr:row>
      <xdr:rowOff>25399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327024</xdr:colOff>
      <xdr:row>76</xdr:row>
      <xdr:rowOff>9524</xdr:rowOff>
    </xdr:from>
    <xdr:to>
      <xdr:col>31</xdr:col>
      <xdr:colOff>431799</xdr:colOff>
      <xdr:row>97</xdr:row>
      <xdr:rowOff>12699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51</xdr:row>
      <xdr:rowOff>1057</xdr:rowOff>
    </xdr:from>
    <xdr:to>
      <xdr:col>6</xdr:col>
      <xdr:colOff>370416</xdr:colOff>
      <xdr:row>71</xdr:row>
      <xdr:rowOff>137583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445558</xdr:colOff>
      <xdr:row>51</xdr:row>
      <xdr:rowOff>33865</xdr:rowOff>
    </xdr:from>
    <xdr:to>
      <xdr:col>16</xdr:col>
      <xdr:colOff>476250</xdr:colOff>
      <xdr:row>71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582082</xdr:colOff>
      <xdr:row>51</xdr:row>
      <xdr:rowOff>31750</xdr:rowOff>
    </xdr:from>
    <xdr:to>
      <xdr:col>27</xdr:col>
      <xdr:colOff>222248</xdr:colOff>
      <xdr:row>71</xdr:row>
      <xdr:rowOff>105834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154516</xdr:colOff>
      <xdr:row>72</xdr:row>
      <xdr:rowOff>119591</xdr:rowOff>
    </xdr:from>
    <xdr:to>
      <xdr:col>6</xdr:col>
      <xdr:colOff>418040</xdr:colOff>
      <xdr:row>91</xdr:row>
      <xdr:rowOff>179915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445557</xdr:colOff>
      <xdr:row>72</xdr:row>
      <xdr:rowOff>140759</xdr:rowOff>
    </xdr:from>
    <xdr:to>
      <xdr:col>16</xdr:col>
      <xdr:colOff>518583</xdr:colOff>
      <xdr:row>92</xdr:row>
      <xdr:rowOff>10584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565150</xdr:colOff>
      <xdr:row>72</xdr:row>
      <xdr:rowOff>140758</xdr:rowOff>
    </xdr:from>
    <xdr:to>
      <xdr:col>27</xdr:col>
      <xdr:colOff>211666</xdr:colOff>
      <xdr:row>92</xdr:row>
      <xdr:rowOff>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317912</xdr:colOff>
      <xdr:row>50</xdr:row>
      <xdr:rowOff>121227</xdr:rowOff>
    </xdr:from>
    <xdr:to>
      <xdr:col>5</xdr:col>
      <xdr:colOff>461406</xdr:colOff>
      <xdr:row>66</xdr:row>
      <xdr:rowOff>122216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590055</xdr:colOff>
      <xdr:row>50</xdr:row>
      <xdr:rowOff>112568</xdr:rowOff>
    </xdr:from>
    <xdr:to>
      <xdr:col>13</xdr:col>
      <xdr:colOff>90301</xdr:colOff>
      <xdr:row>66</xdr:row>
      <xdr:rowOff>122217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218950</xdr:colOff>
      <xdr:row>50</xdr:row>
      <xdr:rowOff>86591</xdr:rowOff>
    </xdr:from>
    <xdr:to>
      <xdr:col>20</xdr:col>
      <xdr:colOff>547996</xdr:colOff>
      <xdr:row>66</xdr:row>
      <xdr:rowOff>134586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293171</xdr:colOff>
      <xdr:row>67</xdr:row>
      <xdr:rowOff>112815</xdr:rowOff>
    </xdr:from>
    <xdr:to>
      <xdr:col>5</xdr:col>
      <xdr:colOff>436665</xdr:colOff>
      <xdr:row>82</xdr:row>
      <xdr:rowOff>72736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590055</xdr:colOff>
      <xdr:row>67</xdr:row>
      <xdr:rowOff>125185</xdr:rowOff>
    </xdr:from>
    <xdr:to>
      <xdr:col>13</xdr:col>
      <xdr:colOff>90301</xdr:colOff>
      <xdr:row>82</xdr:row>
      <xdr:rowOff>85106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206580</xdr:colOff>
      <xdr:row>67</xdr:row>
      <xdr:rowOff>149926</xdr:rowOff>
    </xdr:from>
    <xdr:to>
      <xdr:col>20</xdr:col>
      <xdr:colOff>535626</xdr:colOff>
      <xdr:row>82</xdr:row>
      <xdr:rowOff>109847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51</xdr:row>
      <xdr:rowOff>85725</xdr:rowOff>
    </xdr:from>
    <xdr:to>
      <xdr:col>6</xdr:col>
      <xdr:colOff>63500</xdr:colOff>
      <xdr:row>69</xdr:row>
      <xdr:rowOff>116417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118533</xdr:colOff>
      <xdr:row>51</xdr:row>
      <xdr:rowOff>105832</xdr:rowOff>
    </xdr:from>
    <xdr:to>
      <xdr:col>14</xdr:col>
      <xdr:colOff>592667</xdr:colOff>
      <xdr:row>69</xdr:row>
      <xdr:rowOff>126999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56091</xdr:colOff>
      <xdr:row>51</xdr:row>
      <xdr:rowOff>117474</xdr:rowOff>
    </xdr:from>
    <xdr:to>
      <xdr:col>24</xdr:col>
      <xdr:colOff>444500</xdr:colOff>
      <xdr:row>69</xdr:row>
      <xdr:rowOff>137583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77257</xdr:colOff>
      <xdr:row>70</xdr:row>
      <xdr:rowOff>131233</xdr:rowOff>
    </xdr:from>
    <xdr:to>
      <xdr:col>6</xdr:col>
      <xdr:colOff>21165</xdr:colOff>
      <xdr:row>89</xdr:row>
      <xdr:rowOff>95250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85725</xdr:colOff>
      <xdr:row>70</xdr:row>
      <xdr:rowOff>152400</xdr:rowOff>
    </xdr:from>
    <xdr:to>
      <xdr:col>14</xdr:col>
      <xdr:colOff>592667</xdr:colOff>
      <xdr:row>89</xdr:row>
      <xdr:rowOff>105833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45507</xdr:colOff>
      <xdr:row>70</xdr:row>
      <xdr:rowOff>162983</xdr:rowOff>
    </xdr:from>
    <xdr:to>
      <xdr:col>24</xdr:col>
      <xdr:colOff>550333</xdr:colOff>
      <xdr:row>89</xdr:row>
      <xdr:rowOff>84665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</xdr:row>
          <xdr:rowOff>57150</xdr:rowOff>
        </xdr:from>
        <xdr:to>
          <xdr:col>12</xdr:col>
          <xdr:colOff>771525</xdr:colOff>
          <xdr:row>1</xdr:row>
          <xdr:rowOff>428625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FFF594CB-42AB-652C-1FD9-98627B7ECA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3</xdr:row>
          <xdr:rowOff>57150</xdr:rowOff>
        </xdr:from>
        <xdr:to>
          <xdr:col>12</xdr:col>
          <xdr:colOff>771525</xdr:colOff>
          <xdr:row>3</xdr:row>
          <xdr:rowOff>428625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91A44067-D568-B45D-0D0D-135B4FB6D6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15</xdr:row>
          <xdr:rowOff>57150</xdr:rowOff>
        </xdr:from>
        <xdr:to>
          <xdr:col>12</xdr:col>
          <xdr:colOff>771525</xdr:colOff>
          <xdr:row>15</xdr:row>
          <xdr:rowOff>428625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199CD99C-3CC8-E521-9D0F-119F51B63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13</xdr:row>
          <xdr:rowOff>57150</xdr:rowOff>
        </xdr:from>
        <xdr:to>
          <xdr:col>12</xdr:col>
          <xdr:colOff>771525</xdr:colOff>
          <xdr:row>13</xdr:row>
          <xdr:rowOff>428625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7E3056DE-C5FE-8249-3551-E470BE682C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11</xdr:row>
          <xdr:rowOff>57150</xdr:rowOff>
        </xdr:from>
        <xdr:to>
          <xdr:col>12</xdr:col>
          <xdr:colOff>771525</xdr:colOff>
          <xdr:row>11</xdr:row>
          <xdr:rowOff>428625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58948860-B3D2-B5F3-2CE4-B5A1D8013C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9</xdr:row>
          <xdr:rowOff>57150</xdr:rowOff>
        </xdr:from>
        <xdr:to>
          <xdr:col>12</xdr:col>
          <xdr:colOff>771525</xdr:colOff>
          <xdr:row>9</xdr:row>
          <xdr:rowOff>428625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4D555B78-0A03-B0F6-4499-C9875E9F3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7</xdr:row>
          <xdr:rowOff>57150</xdr:rowOff>
        </xdr:from>
        <xdr:to>
          <xdr:col>12</xdr:col>
          <xdr:colOff>771525</xdr:colOff>
          <xdr:row>7</xdr:row>
          <xdr:rowOff>428625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D0649725-78E8-257B-C04C-42CA85260B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57150</xdr:rowOff>
        </xdr:from>
        <xdr:to>
          <xdr:col>12</xdr:col>
          <xdr:colOff>771525</xdr:colOff>
          <xdr:row>5</xdr:row>
          <xdr:rowOff>428625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6FBF0A11-90EF-FF19-8263-2B885EB7FB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3</xdr:row>
          <xdr:rowOff>47625</xdr:rowOff>
        </xdr:from>
        <xdr:to>
          <xdr:col>12</xdr:col>
          <xdr:colOff>771525</xdr:colOff>
          <xdr:row>3</xdr:row>
          <xdr:rowOff>419100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A41AA550-4AA6-D2E7-A8E2-84A13470C3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47625</xdr:rowOff>
        </xdr:from>
        <xdr:to>
          <xdr:col>12</xdr:col>
          <xdr:colOff>771525</xdr:colOff>
          <xdr:row>5</xdr:row>
          <xdr:rowOff>419100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A97A7579-2CDB-C602-DC2E-0DADD79092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7</xdr:row>
          <xdr:rowOff>47625</xdr:rowOff>
        </xdr:from>
        <xdr:to>
          <xdr:col>12</xdr:col>
          <xdr:colOff>771525</xdr:colOff>
          <xdr:row>7</xdr:row>
          <xdr:rowOff>419100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3EE251E7-C2B9-A2A0-BE67-67496A3D06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9</xdr:row>
          <xdr:rowOff>47625</xdr:rowOff>
        </xdr:from>
        <xdr:to>
          <xdr:col>12</xdr:col>
          <xdr:colOff>771525</xdr:colOff>
          <xdr:row>9</xdr:row>
          <xdr:rowOff>419100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E86F2CD8-63F1-B882-8F27-288952A290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11</xdr:row>
          <xdr:rowOff>47625</xdr:rowOff>
        </xdr:from>
        <xdr:to>
          <xdr:col>12</xdr:col>
          <xdr:colOff>771525</xdr:colOff>
          <xdr:row>11</xdr:row>
          <xdr:rowOff>419100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D0B15336-78BF-4636-196D-FAE5C626DC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13</xdr:row>
          <xdr:rowOff>47625</xdr:rowOff>
        </xdr:from>
        <xdr:to>
          <xdr:col>12</xdr:col>
          <xdr:colOff>771525</xdr:colOff>
          <xdr:row>13</xdr:row>
          <xdr:rowOff>419100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DE2E0D35-8452-5605-4EBD-B28AA9FBC4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15</xdr:row>
          <xdr:rowOff>47625</xdr:rowOff>
        </xdr:from>
        <xdr:to>
          <xdr:col>12</xdr:col>
          <xdr:colOff>771525</xdr:colOff>
          <xdr:row>15</xdr:row>
          <xdr:rowOff>419100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59AAFC1-B9B3-996A-653E-4165832AB8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LANCIA LASTRINA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user\aree\TecnoCM\Dati\Qualit&#224;\LABORATORIO\LAB\5%20-%20P%20O%20L%20I%20U%20R%20E%20T%20A%20N%20O\LASTRINE\ITALIA\_CONTROLLO%20LASTRIN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INOTTICO"/>
      <sheetName val="materiali"/>
      <sheetName val="LOTTI_RISULTATI ANALISI"/>
      <sheetName val="SINTAL 70"/>
      <sheetName val="SINTAL 90"/>
      <sheetName val="SINTAM 70"/>
      <sheetName val="SINTAM 90"/>
      <sheetName val="SINTEC 90"/>
      <sheetName val="SINTEC 70"/>
      <sheetName val="SINTEC 80"/>
      <sheetName val="SINTER 70"/>
      <sheetName val="SINTER 80"/>
      <sheetName val="SINTER 90"/>
      <sheetName val="SINOTTICO_old"/>
      <sheetName val="TIPOLOGIE COM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tipo comp</v>
          </cell>
          <cell r="B1">
            <v>0</v>
          </cell>
        </row>
        <row r="2">
          <cell r="A2" t="str">
            <v>ISOCIANATO</v>
          </cell>
          <cell r="B2">
            <v>1</v>
          </cell>
        </row>
        <row r="3">
          <cell r="A3" t="str">
            <v>POLIOLO</v>
          </cell>
          <cell r="B3">
            <v>2</v>
          </cell>
        </row>
        <row r="4">
          <cell r="A4" t="str">
            <v>EXTENDER</v>
          </cell>
          <cell r="B4">
            <v>3</v>
          </cell>
        </row>
        <row r="5">
          <cell r="A5" t="str">
            <v>CATALIZZATORE</v>
          </cell>
          <cell r="B5">
            <v>4</v>
          </cell>
        </row>
        <row r="6">
          <cell r="A6" t="str">
            <v>ADDITIVO 1</v>
          </cell>
          <cell r="B6">
            <v>5</v>
          </cell>
        </row>
        <row r="7">
          <cell r="A7" t="str">
            <v>ADDITIVO 2</v>
          </cell>
          <cell r="B7">
            <v>6</v>
          </cell>
        </row>
        <row r="8">
          <cell r="A8" t="str">
            <v>ADDITIVO 3</v>
          </cell>
          <cell r="B8">
            <v>7</v>
          </cell>
        </row>
        <row r="9">
          <cell r="A9" t="str">
            <v>ADDITIVO 4</v>
          </cell>
          <cell r="B9">
            <v>8</v>
          </cell>
        </row>
        <row r="10">
          <cell r="A10">
            <v>0</v>
          </cell>
          <cell r="B10">
            <v>0</v>
          </cell>
        </row>
      </sheetData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4:AD2000" totalsRowShown="0" headerRowDxfId="240" dataDxfId="238" headerRowBorderDxfId="239" tableBorderDxfId="237">
  <autoFilter ref="A4:AD2000" xr:uid="{00000000-0009-0000-0100-000001000000}">
    <filterColumn colId="2">
      <filters>
        <filter val="M4Ro - SINTAL 70 BIANCO G"/>
      </filters>
    </filterColumn>
  </autoFilter>
  <tableColumns count="30">
    <tableColumn id="1" xr3:uid="{00000000-0010-0000-0000-000001000000}" name="Data Richiesta" dataDxfId="236"/>
    <tableColumn id="2" xr3:uid="{00000000-0010-0000-0000-000002000000}" name="Codice Materiale" dataDxfId="235"/>
    <tableColumn id="3" xr3:uid="{00000000-0010-0000-0000-000003000000}" name="Descrizione Materiale" dataDxfId="234"/>
    <tableColumn id="39" xr3:uid="{00000000-0010-0000-0000-000027000000}" name="Codice Lastrina" dataDxfId="233"/>
    <tableColumn id="28" xr3:uid="{00000000-0010-0000-0000-00001C000000}" name="Data Prod Effettiva" dataDxfId="232"/>
    <tableColumn id="4" xr3:uid="{00000000-0010-0000-0000-000004000000}" name="CODICE ISO" dataDxfId="231">
      <calculatedColumnFormula>IFERROR(VLOOKUP(CONCATENATE($B5,"_",F$3),materiali_old2!$C:$K,5,0),"")</calculatedColumnFormula>
    </tableColumn>
    <tableColumn id="5" xr3:uid="{00000000-0010-0000-0000-000005000000}" name="DESCRIZIONE_x000a_ISO" dataDxfId="230">
      <calculatedColumnFormula>IFERROR(VLOOKUP(CONCATENATE($B5,"_",G$3),materiali_old2!$C:$K,6,0),"")</calculatedColumnFormula>
    </tableColumn>
    <tableColumn id="6" xr3:uid="{00000000-0010-0000-0000-000006000000}" name="LOTTO_x000a_ISO" dataDxfId="229"/>
    <tableColumn id="7" xr3:uid="{00000000-0010-0000-0000-000007000000}" name="CODICE POL" dataDxfId="228">
      <calculatedColumnFormula>IFERROR(VLOOKUP(CONCATENATE($B5,"_",I$3),materiali_old2!$C:$K,5,0),"")</calculatedColumnFormula>
    </tableColumn>
    <tableColumn id="8" xr3:uid="{00000000-0010-0000-0000-000008000000}" name="DESCRIZIONE_x000a_POL" dataDxfId="227">
      <calculatedColumnFormula>IFERROR(VLOOKUP(CONCATENATE($B5,"_",J$3),materiali_old2!$C:$K,6,0),"")</calculatedColumnFormula>
    </tableColumn>
    <tableColumn id="9" xr3:uid="{00000000-0010-0000-0000-000009000000}" name="LOTTO_x000a_POL" dataDxfId="226"/>
    <tableColumn id="13" xr3:uid="{00000000-0010-0000-0000-00000D000000}" name="CODICE CAT" dataDxfId="225">
      <calculatedColumnFormula>IFERROR(VLOOKUP(CONCATENATE($B5,"_",L$3),materiali_old2!$C:$K,5,0),"")</calculatedColumnFormula>
    </tableColumn>
    <tableColumn id="14" xr3:uid="{00000000-0010-0000-0000-00000E000000}" name="DESCRIZIONE_x000a_CAT" dataDxfId="224">
      <calculatedColumnFormula>IFERROR(VLOOKUP(CONCATENATE($B5,"_",M$3),materiali_old2!$C:$K,6,0),"")</calculatedColumnFormula>
    </tableColumn>
    <tableColumn id="15" xr3:uid="{00000000-0010-0000-0000-00000F000000}" name="LOTTO_x000a_CAT" dataDxfId="223"/>
    <tableColumn id="16" xr3:uid="{00000000-0010-0000-0000-000010000000}" name="CODICE ADD1" dataDxfId="222">
      <calculatedColumnFormula>IFERROR(VLOOKUP(CONCATENATE($B5,"_",O$3),materiali_old2!$C:$K,5,0),"")</calculatedColumnFormula>
    </tableColumn>
    <tableColumn id="17" xr3:uid="{00000000-0010-0000-0000-000011000000}" name="DESCRIZIONE_x000a_ADD1" dataDxfId="221">
      <calculatedColumnFormula>IFERROR(VLOOKUP(CONCATENATE($B5,"_",P$3),materiali_old2!$C:$K,6,0),"")</calculatedColumnFormula>
    </tableColumn>
    <tableColumn id="18" xr3:uid="{00000000-0010-0000-0000-000012000000}" name="LOTTO_x000a_ADD1" dataDxfId="220"/>
    <tableColumn id="19" xr3:uid="{00000000-0010-0000-0000-000013000000}" name="CODICE ADD2" dataDxfId="219">
      <calculatedColumnFormula>IFERROR(VLOOKUP(CONCATENATE($B5,"_",R$3),materiali_old2!$C:$K,5,0),"")</calculatedColumnFormula>
    </tableColumn>
    <tableColumn id="20" xr3:uid="{00000000-0010-0000-0000-000014000000}" name="DESCRIZIONE_x000a_ADD2" dataDxfId="218">
      <calculatedColumnFormula>IFERROR(VLOOKUP(CONCATENATE($B5,"_",S$3),materiali_old2!$C:$K,6,0),"")</calculatedColumnFormula>
    </tableColumn>
    <tableColumn id="21" xr3:uid="{00000000-0010-0000-0000-000015000000}" name="LOTTO_x000a_ADD2" dataDxfId="217"/>
    <tableColumn id="29" xr3:uid="{00000000-0010-0000-0000-00001D000000}" name="DATA ANALISI" dataDxfId="216"/>
    <tableColumn id="30" xr3:uid="{00000000-0010-0000-0000-00001E000000}" name="Durezza" dataDxfId="215"/>
    <tableColumn id="31" xr3:uid="{00000000-0010-0000-0000-00001F000000}" name="Carico di rottura" dataDxfId="214"/>
    <tableColumn id="32" xr3:uid="{00000000-0010-0000-0000-000020000000}" name="Allungamento" dataDxfId="213"/>
    <tableColumn id="33" xr3:uid="{00000000-0010-0000-0000-000021000000}" name="Lacerazione B_a" dataDxfId="212"/>
    <tableColumn id="34" xr3:uid="{00000000-0010-0000-0000-000022000000}" name="Lacerazione C_a" dataDxfId="211"/>
    <tableColumn id="35" xr3:uid="{00000000-0010-0000-0000-000023000000}" name="Abrasione" dataDxfId="210"/>
    <tableColumn id="10" xr3:uid="{00000000-0010-0000-0000-00000A000000}" name="Resistività Superficiale" dataDxfId="209"/>
    <tableColumn id="11" xr3:uid="{00000000-0010-0000-0000-00000B000000}" name="Column1" dataDxfId="208"/>
    <tableColumn id="36" xr3:uid="{00000000-0010-0000-0000-000024000000}" name="Coll Ipertestuale" dataDxfId="207"/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10" displayName="Table10" ref="A1:P39" totalsRowShown="0" headerRowDxfId="204" dataDxfId="203">
  <autoFilter ref="A1:P39" xr:uid="{00000000-0009-0000-0100-00000A000000}"/>
  <tableColumns count="16">
    <tableColumn id="1" xr3:uid="{00000000-0010-0000-0100-000001000000}" name="PROPRIETA'" dataDxfId="202"/>
    <tableColumn id="2" xr3:uid="{00000000-0010-0000-0100-000002000000}" name="08/12/2020" dataDxfId="201"/>
    <tableColumn id="3" xr3:uid="{00000000-0010-0000-0100-000003000000}" name="05/03/2021" dataDxfId="200"/>
    <tableColumn id="4" xr3:uid="{00000000-0010-0000-0100-000004000000}" name="19/04/2021" dataDxfId="199"/>
    <tableColumn id="5" xr3:uid="{00000000-0010-0000-0100-000005000000}" name="28/07/2021" dataDxfId="198"/>
    <tableColumn id="6" xr3:uid="{00000000-0010-0000-0100-000006000000}" name="02/11/2021" dataDxfId="197"/>
    <tableColumn id="7" xr3:uid="{00000000-0010-0000-0100-000007000000}" name="28/01/2022" dataDxfId="196"/>
    <tableColumn id="8" xr3:uid="{00000000-0010-0000-0100-000008000000}" name="19/09/2022" dataDxfId="195"/>
    <tableColumn id="10" xr3:uid="{00000000-0010-0000-0100-00000A000000}" name="21/02/2022" dataDxfId="194"/>
    <tableColumn id="11" xr3:uid="{00000000-0010-0000-0100-00000B000000}" name="12/12/2023" dataDxfId="193"/>
    <tableColumn id="12" xr3:uid="{00000000-0010-0000-0100-00000C000000}" name="20/05/2024" dataDxfId="192"/>
    <tableColumn id="13" xr3:uid="{00000000-0010-0000-0100-00000D000000}" name="20/07/2024" dataDxfId="191"/>
    <tableColumn id="15" xr3:uid="{00000000-0010-0000-0100-00000F000000}" name="14/02/2025" dataDxfId="190"/>
    <tableColumn id="17" xr3:uid="{00000000-0010-0000-0100-000011000000}" name="21/07/2025" dataDxfId="189"/>
    <tableColumn id="16" xr3:uid="{00000000-0010-0000-0100-000010000000}" name="10/09/2025" dataDxfId="188"/>
    <tableColumn id="18" xr3:uid="{00000000-0010-0000-0100-000012000000}" name="20/01/2026" dataDxfId="18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Table1012" displayName="Table1012" ref="A1:R40" totalsRowShown="0" headerRowDxfId="185" dataDxfId="184">
  <autoFilter ref="A1:R40" xr:uid="{00000000-0009-0000-0100-00000B000000}"/>
  <tableColumns count="18">
    <tableColumn id="1" xr3:uid="{00000000-0010-0000-0200-000001000000}" name="PROPRIETA'" dataDxfId="183"/>
    <tableColumn id="2" xr3:uid="{00000000-0010-0000-0200-000002000000}" name="22/01/2021" dataDxfId="182"/>
    <tableColumn id="3" xr3:uid="{00000000-0010-0000-0200-000003000000}" name="18/02/2021" dataDxfId="181"/>
    <tableColumn id="4" xr3:uid="{00000000-0010-0000-0200-000004000000}" name="19/04/2021" dataDxfId="180"/>
    <tableColumn id="5" xr3:uid="{00000000-0010-0000-0200-000005000000}" name="27/07/2021" dataDxfId="179"/>
    <tableColumn id="6" xr3:uid="{00000000-0010-0000-0200-000006000000}" name="02/11/2021" dataDxfId="178"/>
    <tableColumn id="7" xr3:uid="{00000000-0010-0000-0200-000007000000}" name="28/01/2022" dataDxfId="177"/>
    <tableColumn id="8" xr3:uid="{00000000-0010-0000-0200-000008000000}" name="19/09/2022" dataDxfId="176"/>
    <tableColumn id="9" xr3:uid="{00000000-0010-0000-0200-000009000000}" name="21/02/2023" dataDxfId="175"/>
    <tableColumn id="10" xr3:uid="{00000000-0010-0000-0200-00000A000000}" name="21/03/2023" dataDxfId="174"/>
    <tableColumn id="11" xr3:uid="{00000000-0010-0000-0200-00000B000000}" name="12/12/2023" dataDxfId="173"/>
    <tableColumn id="12" xr3:uid="{00000000-0010-0000-0200-00000C000000}" name="20/05/2024" dataDxfId="172"/>
    <tableColumn id="13" xr3:uid="{00000000-0010-0000-0200-00000D000000}" name="20/07/2024" dataDxfId="171"/>
    <tableColumn id="14" xr3:uid="{00000000-0010-0000-0200-00000E000000}" name="22/09/2024" dataDxfId="170"/>
    <tableColumn id="15" xr3:uid="{00000000-0010-0000-0200-00000F000000}" name="14/02/2025" dataDxfId="169"/>
    <tableColumn id="17" xr3:uid="{00000000-0010-0000-0200-000011000000}" name="21/07/2025" dataDxfId="168"/>
    <tableColumn id="16" xr3:uid="{00000000-0010-0000-0200-000010000000}" name="10/09/2025" dataDxfId="167"/>
    <tableColumn id="18" xr3:uid="{00000000-0010-0000-0200-000012000000}" name="20/01/2026" dataDxfId="16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Table1013" displayName="Table1013" ref="A1:R40" totalsRowShown="0" headerRowDxfId="164" dataDxfId="163">
  <autoFilter ref="A1:R40" xr:uid="{00000000-0009-0000-0100-00000C000000}"/>
  <tableColumns count="18">
    <tableColumn id="1" xr3:uid="{00000000-0010-0000-0300-000001000000}" name="PROPRIETA'" dataDxfId="162"/>
    <tableColumn id="2" xr3:uid="{00000000-0010-0000-0300-000002000000}" name="09/12/2020" dataDxfId="161"/>
    <tableColumn id="3" xr3:uid="{00000000-0010-0000-0300-000003000000}" name="23/02/2021" dataDxfId="160"/>
    <tableColumn id="4" xr3:uid="{00000000-0010-0000-0300-000004000000}" name="27/04/2021" dataDxfId="159"/>
    <tableColumn id="5" xr3:uid="{00000000-0010-0000-0300-000005000000}" name="23/07/2021" dataDxfId="158"/>
    <tableColumn id="6" xr3:uid="{00000000-0010-0000-0300-000006000000}" name="28/10/2021" dataDxfId="157"/>
    <tableColumn id="7" xr3:uid="{00000000-0010-0000-0300-000007000000}" name="03/02/2022" dataDxfId="156"/>
    <tableColumn id="8" xr3:uid="{00000000-0010-0000-0300-000008000000}" name="21/09/2022" dataDxfId="155"/>
    <tableColumn id="9" xr3:uid="{00000000-0010-0000-0300-000009000000}" name="22/02/2023" dataDxfId="154"/>
    <tableColumn id="10" xr3:uid="{00000000-0010-0000-0300-00000A000000}" name="21/03/2023" dataDxfId="153"/>
    <tableColumn id="11" xr3:uid="{00000000-0010-0000-0300-00000B000000}" name="12/12/2023" dataDxfId="152"/>
    <tableColumn id="12" xr3:uid="{00000000-0010-0000-0300-00000C000000}" name="20/05/2024" dataDxfId="151"/>
    <tableColumn id="13" xr3:uid="{00000000-0010-0000-0300-00000D000000}" name="20/07/2024" dataDxfId="150"/>
    <tableColumn id="14" xr3:uid="{00000000-0010-0000-0300-00000E000000}" name="22/09/2024" dataDxfId="149"/>
    <tableColumn id="15" xr3:uid="{00000000-0010-0000-0300-00000F000000}" name="14/02/2025" dataDxfId="148"/>
    <tableColumn id="17" xr3:uid="{00000000-0010-0000-0300-000011000000}" name="21/07/2025" dataDxfId="147"/>
    <tableColumn id="16" xr3:uid="{00000000-0010-0000-0300-000010000000}" name="10/09/2025" dataDxfId="146"/>
    <tableColumn id="18" xr3:uid="{00000000-0010-0000-0300-000012000000}" name="20/01/2026" dataDxfId="14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Table1014" displayName="Table1014" ref="A1:BN40" totalsRowShown="0" headerRowDxfId="143" dataDxfId="142">
  <autoFilter ref="A1:BN40" xr:uid="{00000000-0009-0000-0100-00000D000000}"/>
  <tableColumns count="66">
    <tableColumn id="1" xr3:uid="{00000000-0010-0000-0400-000001000000}" name="PROPRIETA'" dataDxfId="141"/>
    <tableColumn id="2" xr3:uid="{00000000-0010-0000-0400-000002000000}" name="03/11/2021" dataDxfId="140"/>
    <tableColumn id="3" xr3:uid="{00000000-0010-0000-0400-000003000000}" name="22/09/2022" dataDxfId="139"/>
    <tableColumn id="4" xr3:uid="{00000000-0010-0000-0400-000004000000}" name="22/02/2023" dataDxfId="138"/>
    <tableColumn id="5" xr3:uid="{00000000-0010-0000-0400-000005000000}" name="22/03/2023" dataDxfId="137"/>
    <tableColumn id="6" xr3:uid="{00000000-0010-0000-0400-000006000000}" name="12/12/2023" dataDxfId="136"/>
    <tableColumn id="7" xr3:uid="{00000000-0010-0000-0400-000007000000}" name="20/05/2024" dataDxfId="135"/>
    <tableColumn id="8" xr3:uid="{00000000-0010-0000-0400-000008000000}" name="20/07/2024" dataDxfId="134"/>
    <tableColumn id="9" xr3:uid="{00000000-0010-0000-0400-000009000000}" name="22/09/2024" dataDxfId="133"/>
    <tableColumn id="10" xr3:uid="{00000000-0010-0000-0400-00000A000000}" name="14/02/2025" dataDxfId="132"/>
    <tableColumn id="52" xr3:uid="{00000000-0010-0000-0400-000034000000}" name="21/07/2025" dataDxfId="131"/>
    <tableColumn id="11" xr3:uid="{00000000-0010-0000-0400-00000B000000}" name="10/09/2025" dataDxfId="130"/>
    <tableColumn id="12" xr3:uid="{00000000-0010-0000-0400-00000C000000}" name="02/10/2025" dataDxfId="129"/>
    <tableColumn id="13" xr3:uid="{00000000-0010-0000-0400-00000D000000}" name="03/10/2025" dataDxfId="128"/>
    <tableColumn id="14" xr3:uid="{00000000-0010-0000-0400-00000E000000}" name="09/10/2025" dataDxfId="127"/>
    <tableColumn id="15" xr3:uid="{00000000-0010-0000-0400-00000F000000}" name="10/10/2025" dataDxfId="126"/>
    <tableColumn id="16" xr3:uid="{00000000-0010-0000-0400-000010000000}" name="13/10/2025" dataDxfId="125"/>
    <tableColumn id="17" xr3:uid="{00000000-0010-0000-0400-000011000000}" name="14/10/2025" dataDxfId="124"/>
    <tableColumn id="18" xr3:uid="{00000000-0010-0000-0400-000012000000}" name="15/10/2025" dataDxfId="123"/>
    <tableColumn id="19" xr3:uid="{00000000-0010-0000-0400-000013000000}" name="16/10/2025" dataDxfId="122"/>
    <tableColumn id="20" xr3:uid="{00000000-0010-0000-0400-000014000000}" name="17/10/2025" dataDxfId="121"/>
    <tableColumn id="21" xr3:uid="{00000000-0010-0000-0400-000015000000}" name="20/10/2025" dataDxfId="120"/>
    <tableColumn id="22" xr3:uid="{00000000-0010-0000-0400-000016000000}" name="21/10/2025" dataDxfId="119"/>
    <tableColumn id="23" xr3:uid="{00000000-0010-0000-0400-000017000000}" name="22/10/2025" dataDxfId="118"/>
    <tableColumn id="24" xr3:uid="{00000000-0010-0000-0400-000018000000}" name="23/10/2025" dataDxfId="117"/>
    <tableColumn id="25" xr3:uid="{00000000-0010-0000-0400-000019000000}" name="28/10/2025" dataDxfId="116"/>
    <tableColumn id="26" xr3:uid="{00000000-0010-0000-0400-00001A000000}" name="29/10/2025" dataDxfId="115"/>
    <tableColumn id="27" xr3:uid="{00000000-0010-0000-0400-00001B000000}" name="30/10/2025" dataDxfId="114"/>
    <tableColumn id="28" xr3:uid="{00000000-0010-0000-0400-00001C000000}" name="31/10/2025" dataDxfId="113"/>
    <tableColumn id="29" xr3:uid="{00000000-0010-0000-0400-00001D000000}" name="03/11/2025" dataDxfId="112"/>
    <tableColumn id="30" xr3:uid="{00000000-0010-0000-0400-00001E000000}" name="04/11/2025" dataDxfId="111"/>
    <tableColumn id="31" xr3:uid="{00000000-0010-0000-0400-00001F000000}" name="05/11/2025" dataDxfId="110"/>
    <tableColumn id="32" xr3:uid="{00000000-0010-0000-0400-000020000000}" name="06/11/2025" dataDxfId="109"/>
    <tableColumn id="33" xr3:uid="{00000000-0010-0000-0400-000021000000}" name="07/11/2025" dataDxfId="108"/>
    <tableColumn id="34" xr3:uid="{00000000-0010-0000-0400-000022000000}" name="10/11/2025" dataDxfId="107"/>
    <tableColumn id="35" xr3:uid="{00000000-0010-0000-0400-000023000000}" name="11/11/2025" dataDxfId="106"/>
    <tableColumn id="36" xr3:uid="{00000000-0010-0000-0400-000024000000}" name="12/11/2025" dataDxfId="105"/>
    <tableColumn id="37" xr3:uid="{00000000-0010-0000-0400-000025000000}" name="13/11/2025" dataDxfId="104"/>
    <tableColumn id="38" xr3:uid="{00000000-0010-0000-0400-000026000000}" name="24/11/2025" dataDxfId="103"/>
    <tableColumn id="39" xr3:uid="{00000000-0010-0000-0400-000027000000}" name="25/11/2025" dataDxfId="102"/>
    <tableColumn id="40" xr3:uid="{00000000-0010-0000-0400-000028000000}" name="26/11/2025" dataDxfId="101"/>
    <tableColumn id="41" xr3:uid="{00000000-0010-0000-0400-000029000000}" name="27/11/2025" dataDxfId="100"/>
    <tableColumn id="42" xr3:uid="{00000000-0010-0000-0400-00002A000000}" name="28/11/2025" dataDxfId="99"/>
    <tableColumn id="43" xr3:uid="{00000000-0010-0000-0400-00002B000000}" name="01/12/2025" dataDxfId="98"/>
    <tableColumn id="44" xr3:uid="{00000000-0010-0000-0400-00002C000000}" name="02/12/2025" dataDxfId="97"/>
    <tableColumn id="45" xr3:uid="{00000000-0010-0000-0400-00002D000000}" name="03/12/2025" dataDxfId="96"/>
    <tableColumn id="46" xr3:uid="{00000000-0010-0000-0400-00002E000000}" name="04/12/2025" dataDxfId="95"/>
    <tableColumn id="47" xr3:uid="{00000000-0010-0000-0400-00002F000000}" name="05/12/2025" dataDxfId="94"/>
    <tableColumn id="48" xr3:uid="{00000000-0010-0000-0400-000030000000}" name="08/12/2025" dataDxfId="93"/>
    <tableColumn id="49" xr3:uid="{00000000-0010-0000-0400-000031000000}" name="09/12/2025" dataDxfId="92"/>
    <tableColumn id="50" xr3:uid="{00000000-0010-0000-0400-000032000000}" name="10/12/2025" dataDxfId="91"/>
    <tableColumn id="51" xr3:uid="{00000000-0010-0000-0400-000033000000}" name="11/12/2025" dataDxfId="90"/>
    <tableColumn id="53" xr3:uid="{00000000-0010-0000-0400-000035000000}" name="26/01/2026" dataDxfId="89"/>
    <tableColumn id="54" xr3:uid="{00000000-0010-0000-0400-000036000000}" name="27/01/20262" dataDxfId="88"/>
    <tableColumn id="55" xr3:uid="{00000000-0010-0000-0400-000037000000}" name="28/01/20263" dataDxfId="87"/>
    <tableColumn id="56" xr3:uid="{00000000-0010-0000-0400-000038000000}" name="29/01/20264" dataDxfId="86"/>
    <tableColumn id="58" xr3:uid="{00000000-0010-0000-0400-00003A000000}" name="30/01/2026" dataDxfId="85"/>
    <tableColumn id="59" xr3:uid="{00000000-0010-0000-0400-00003B000000}" name="02/02/2026" dataDxfId="84"/>
    <tableColumn id="60" xr3:uid="{00000000-0010-0000-0400-00003C000000}" name="03/02/2026" dataDxfId="83"/>
    <tableColumn id="61" xr3:uid="{00000000-0010-0000-0400-00003D000000}" name="04/02/2026" dataDxfId="82"/>
    <tableColumn id="62" xr3:uid="{00000000-0010-0000-0400-00003E000000}" name="05/02/2026" dataDxfId="81"/>
    <tableColumn id="63" xr3:uid="{00000000-0010-0000-0400-00003F000000}" name="23/02/2026" dataDxfId="80"/>
    <tableColumn id="64" xr3:uid="{00000000-0010-0000-0400-000040000000}" name="24/02/2026" dataDxfId="79"/>
    <tableColumn id="65" xr3:uid="{00000000-0010-0000-0400-000041000000}" name="25/02/2026" dataDxfId="78"/>
    <tableColumn id="66" xr3:uid="{00000000-0010-0000-0400-000042000000}" name="26/02/2026" dataDxfId="77"/>
    <tableColumn id="67" xr3:uid="{00000000-0010-0000-0400-000043000000}" name="02/03/2026" dataDxfId="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5000000}" name="Table1015" displayName="Table1015" ref="A1:R40" totalsRowShown="0" headerRowDxfId="73" dataDxfId="72">
  <autoFilter ref="A1:R40" xr:uid="{00000000-0009-0000-0100-00000E000000}"/>
  <tableColumns count="18">
    <tableColumn id="1" xr3:uid="{00000000-0010-0000-0500-000001000000}" name="PROPRIETA'" dataDxfId="71"/>
    <tableColumn id="2" xr3:uid="{00000000-0010-0000-0500-000002000000}" name="10/12/2020" dataDxfId="70"/>
    <tableColumn id="3" xr3:uid="{00000000-0010-0000-0500-000003000000}" name="24/02/2021" dataDxfId="69"/>
    <tableColumn id="4" xr3:uid="{00000000-0010-0000-0500-000004000000}" name="27/04/2021" dataDxfId="68"/>
    <tableColumn id="5" xr3:uid="{00000000-0010-0000-0500-000005000000}" name="20/07/2021" dataDxfId="67"/>
    <tableColumn id="6" xr3:uid="{00000000-0010-0000-0500-000006000000}" name="05/11/2021" dataDxfId="66"/>
    <tableColumn id="7" xr3:uid="{00000000-0010-0000-0500-000007000000}" name="04/02/2022" dataDxfId="65"/>
    <tableColumn id="8" xr3:uid="{00000000-0010-0000-0500-000008000000}" name="21/09/2022" dataDxfId="64"/>
    <tableColumn id="9" xr3:uid="{00000000-0010-0000-0500-000009000000}" name="22/02/2023" dataDxfId="63"/>
    <tableColumn id="10" xr3:uid="{00000000-0010-0000-0500-00000A000000}" name="23/03/2023" dataDxfId="62"/>
    <tableColumn id="11" xr3:uid="{00000000-0010-0000-0500-00000B000000}" name="12/12/2023" dataDxfId="61"/>
    <tableColumn id="12" xr3:uid="{00000000-0010-0000-0500-00000C000000}" name="20/05/2024" dataDxfId="60"/>
    <tableColumn id="13" xr3:uid="{00000000-0010-0000-0500-00000D000000}" name="20/07/2024" dataDxfId="59"/>
    <tableColumn id="14" xr3:uid="{00000000-0010-0000-0500-00000E000000}" name="22/09/2024" dataDxfId="58"/>
    <tableColumn id="15" xr3:uid="{00000000-0010-0000-0500-00000F000000}" name="14/02/2025" dataDxfId="57"/>
    <tableColumn id="17" xr3:uid="{00000000-0010-0000-0500-000011000000}" name="21/07/2025" dataDxfId="56"/>
    <tableColumn id="16" xr3:uid="{00000000-0010-0000-0500-000010000000}" name="10/09/2025" dataDxfId="55"/>
    <tableColumn id="18" xr3:uid="{00000000-0010-0000-0500-000012000000}" name="20/01/2026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6000000}" name="Table101516" displayName="Table101516" ref="A1:R40" totalsRowShown="0" headerRowDxfId="52" dataDxfId="51">
  <autoFilter ref="A1:R40" xr:uid="{00000000-0009-0000-0100-00000F000000}"/>
  <tableColumns count="18">
    <tableColumn id="1" xr3:uid="{00000000-0010-0000-0600-000001000000}" name="PROPRIETA'" dataDxfId="50"/>
    <tableColumn id="2" xr3:uid="{00000000-0010-0000-0600-000002000000}" name="15/12/2020" dataDxfId="49"/>
    <tableColumn id="3" xr3:uid="{00000000-0010-0000-0600-000003000000}" name="02/03/2021" dataDxfId="48"/>
    <tableColumn id="4" xr3:uid="{00000000-0010-0000-0600-000004000000}" name="10/05/2021" dataDxfId="47"/>
    <tableColumn id="5" xr3:uid="{00000000-0010-0000-0600-000005000000}" name="26/07/2021" dataDxfId="46"/>
    <tableColumn id="6" xr3:uid="{00000000-0010-0000-0600-000006000000}" name="28/10/2021" dataDxfId="45"/>
    <tableColumn id="7" xr3:uid="{00000000-0010-0000-0600-000007000000}" name="04/02/2022" dataDxfId="44"/>
    <tableColumn id="8" xr3:uid="{00000000-0010-0000-0600-000008000000}" name="21/09/2022" dataDxfId="43"/>
    <tableColumn id="9" xr3:uid="{00000000-0010-0000-0600-000009000000}" name="22/02/2023" dataDxfId="42"/>
    <tableColumn id="10" xr3:uid="{00000000-0010-0000-0600-00000A000000}" name="23/03/2023" dataDxfId="41"/>
    <tableColumn id="11" xr3:uid="{00000000-0010-0000-0600-00000B000000}" name="12/12/2023" dataDxfId="40"/>
    <tableColumn id="12" xr3:uid="{00000000-0010-0000-0600-00000C000000}" name="20/05/2024" dataDxfId="39"/>
    <tableColumn id="13" xr3:uid="{00000000-0010-0000-0600-00000D000000}" name="20/07/2024" dataDxfId="38"/>
    <tableColumn id="14" xr3:uid="{00000000-0010-0000-0600-00000E000000}" name="22/09/2024" dataDxfId="37"/>
    <tableColumn id="15" xr3:uid="{00000000-0010-0000-0600-00000F000000}" name="14/02/2025" dataDxfId="36"/>
    <tableColumn id="17" xr3:uid="{00000000-0010-0000-0600-000011000000}" name="21/07/2025" dataDxfId="35"/>
    <tableColumn id="16" xr3:uid="{00000000-0010-0000-0600-000010000000}" name="10/09/2025" dataDxfId="34"/>
    <tableColumn id="18" xr3:uid="{00000000-0010-0000-0600-000012000000}" name="20/01/2026" dataDxfId="3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7000000}" name="Table10151617" displayName="Table10151617" ref="A1:P40" totalsRowShown="0" headerRowDxfId="26" dataDxfId="25">
  <autoFilter ref="A1:P40" xr:uid="{00000000-0009-0000-0100-000010000000}"/>
  <tableColumns count="16">
    <tableColumn id="1" xr3:uid="{00000000-0010-0000-0700-000001000000}" name="PROPRIETA'" dataDxfId="24"/>
    <tableColumn id="2" xr3:uid="{00000000-0010-0000-0700-000002000000}" name="13/12/2020" dataDxfId="23"/>
    <tableColumn id="3" xr3:uid="{00000000-0010-0000-0700-000003000000}" name="02/03/2021" dataDxfId="22"/>
    <tableColumn id="4" xr3:uid="{00000000-0010-0000-0700-000004000000}" name="12/04/2021" dataDxfId="21"/>
    <tableColumn id="5" xr3:uid="{00000000-0010-0000-0700-000005000000}" name="27/07/2021" dataDxfId="20"/>
    <tableColumn id="6" xr3:uid="{00000000-0010-0000-0700-000006000000}" name="04/11/2021" dataDxfId="19"/>
    <tableColumn id="7" xr3:uid="{00000000-0010-0000-0700-000007000000}" name="03/02/2022" dataDxfId="18"/>
    <tableColumn id="8" xr3:uid="{00000000-0010-0000-0700-000008000000}" name="23/02/2023" dataDxfId="17"/>
    <tableColumn id="9" xr3:uid="{00000000-0010-0000-0700-000009000000}" name="20/03/2023" dataDxfId="16"/>
    <tableColumn id="10" xr3:uid="{00000000-0010-0000-0700-00000A000000}" name="12/12/2023" dataDxfId="15"/>
    <tableColumn id="11" xr3:uid="{00000000-0010-0000-0700-00000B000000}" name="20/05/2024" dataDxfId="14"/>
    <tableColumn id="12" xr3:uid="{00000000-0010-0000-0700-00000C000000}" name="20/07/2024" dataDxfId="13"/>
    <tableColumn id="13" xr3:uid="{00000000-0010-0000-0700-00000D000000}" name="22/09/2024" dataDxfId="12"/>
    <tableColumn id="15" xr3:uid="{00000000-0010-0000-0700-00000F000000}" name="21/07/2025" dataDxfId="11"/>
    <tableColumn id="14" xr3:uid="{00000000-0010-0000-0700-00000E000000}" name="22/09/2025" dataDxfId="10"/>
    <tableColumn id="16" xr3:uid="{00000000-0010-0000-0700-000010000000}" name="20/01/2026" dataDxfId="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8000000}" name="Table101516173" displayName="Table101516173" ref="A1:C40" totalsRowShown="0" headerRowDxfId="4" dataDxfId="3">
  <autoFilter ref="A1:C40" xr:uid="{00000000-0009-0000-0100-000002000000}"/>
  <tableColumns count="3">
    <tableColumn id="1" xr3:uid="{00000000-0010-0000-0800-000001000000}" name="PROPRIETA'" dataDxfId="2"/>
    <tableColumn id="14" xr3:uid="{00000000-0010-0000-0800-00000E000000}" name="21/07/2025" dataDxfId="1"/>
    <tableColumn id="16" xr3:uid="{00000000-0010-0000-0800-000010000000}" name="20/01/2026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trlProp" Target="../ctrlProps/ctrlProp20.xml"/><Relationship Id="rId18" Type="http://schemas.openxmlformats.org/officeDocument/2006/relationships/ctrlProp" Target="../ctrlProps/ctrlProp25.xml"/><Relationship Id="rId3" Type="http://schemas.openxmlformats.org/officeDocument/2006/relationships/drawing" Target="../drawings/drawing11.xml"/><Relationship Id="rId7" Type="http://schemas.openxmlformats.org/officeDocument/2006/relationships/ctrlProp" Target="../ctrlProps/ctrlProp14.xml"/><Relationship Id="rId12" Type="http://schemas.openxmlformats.org/officeDocument/2006/relationships/ctrlProp" Target="../ctrlProps/ctrlProp19.xml"/><Relationship Id="rId17" Type="http://schemas.openxmlformats.org/officeDocument/2006/relationships/ctrlProp" Target="../ctrlProps/ctrlProp24.xml"/><Relationship Id="rId2" Type="http://schemas.openxmlformats.org/officeDocument/2006/relationships/printerSettings" Target="../printerSettings/printerSettings3.bin"/><Relationship Id="rId16" Type="http://schemas.openxmlformats.org/officeDocument/2006/relationships/ctrlProp" Target="../ctrlProps/ctrlProp23.xml"/><Relationship Id="rId1" Type="http://schemas.openxmlformats.org/officeDocument/2006/relationships/hyperlink" Target="mailto:Serena.Diazzi@wamgroup.com" TargetMode="External"/><Relationship Id="rId6" Type="http://schemas.openxmlformats.org/officeDocument/2006/relationships/ctrlProp" Target="../ctrlProps/ctrlProp13.xml"/><Relationship Id="rId11" Type="http://schemas.openxmlformats.org/officeDocument/2006/relationships/ctrlProp" Target="../ctrlProps/ctrlProp18.xml"/><Relationship Id="rId5" Type="http://schemas.openxmlformats.org/officeDocument/2006/relationships/ctrlProp" Target="../ctrlProps/ctrlProp12.xml"/><Relationship Id="rId15" Type="http://schemas.openxmlformats.org/officeDocument/2006/relationships/ctrlProp" Target="../ctrlProps/ctrlProp22.xml"/><Relationship Id="rId10" Type="http://schemas.openxmlformats.org/officeDocument/2006/relationships/ctrlProp" Target="../ctrlProps/ctrlProp17.xml"/><Relationship Id="rId19" Type="http://schemas.openxmlformats.org/officeDocument/2006/relationships/ctrlProp" Target="../ctrlProps/ctrlProp26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16.xml"/><Relationship Id="rId14" Type="http://schemas.openxmlformats.org/officeDocument/2006/relationships/ctrlProp" Target="../ctrlProps/ctrlProp2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AA32"/>
  <sheetViews>
    <sheetView tabSelected="1" workbookViewId="0">
      <selection activeCell="B20" sqref="B20"/>
    </sheetView>
  </sheetViews>
  <sheetFormatPr defaultRowHeight="15" x14ac:dyDescent="0.25"/>
  <cols>
    <col min="1" max="1" width="34.5703125" customWidth="1"/>
    <col min="2" max="2" width="47.85546875" customWidth="1"/>
    <col min="3" max="3" width="16" customWidth="1"/>
    <col min="4" max="4" width="21.5703125" customWidth="1"/>
    <col min="5" max="5" width="10.7109375" style="163" bestFit="1" customWidth="1"/>
    <col min="6" max="6" width="10.5703125" customWidth="1"/>
    <col min="7" max="7" width="18.7109375" customWidth="1"/>
    <col min="8" max="8" width="38" customWidth="1"/>
    <col min="9" max="9" width="14.5703125" customWidth="1"/>
    <col min="11" max="11" width="9.5703125" customWidth="1"/>
  </cols>
  <sheetData>
    <row r="1" spans="1:27" ht="15.75" thickBot="1" x14ac:dyDescent="0.3">
      <c r="B1" s="132"/>
      <c r="C1" s="132"/>
      <c r="D1" s="132"/>
      <c r="E1" s="16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  <c r="Q1" s="132"/>
      <c r="R1" s="132"/>
      <c r="S1" s="132"/>
      <c r="T1" s="132"/>
      <c r="U1" s="132"/>
      <c r="V1" s="132"/>
      <c r="W1" s="132"/>
      <c r="X1" s="132"/>
      <c r="Y1" s="132"/>
      <c r="Z1" s="132"/>
      <c r="AA1" s="132"/>
    </row>
    <row r="2" spans="1:27" ht="45.75" customHeight="1" thickBot="1" x14ac:dyDescent="0.3">
      <c r="B2" s="133" t="s">
        <v>0</v>
      </c>
      <c r="C2" s="134" t="s">
        <v>1</v>
      </c>
      <c r="D2" s="134" t="s">
        <v>2</v>
      </c>
      <c r="E2" s="135" t="s">
        <v>3</v>
      </c>
      <c r="F2" s="136" t="s">
        <v>4</v>
      </c>
      <c r="G2" s="134" t="s">
        <v>5</v>
      </c>
      <c r="H2" s="137" t="s">
        <v>6</v>
      </c>
      <c r="I2" s="138" t="s">
        <v>7</v>
      </c>
      <c r="J2" s="139"/>
      <c r="K2" s="139"/>
      <c r="L2" s="132"/>
      <c r="M2" s="132"/>
      <c r="N2" s="132"/>
      <c r="O2" s="132"/>
      <c r="P2" s="132"/>
      <c r="Q2" s="132"/>
      <c r="R2" s="132"/>
      <c r="S2" s="132"/>
      <c r="T2" s="132"/>
      <c r="U2" s="132"/>
      <c r="V2" s="132"/>
      <c r="W2" s="132"/>
      <c r="X2" s="132"/>
      <c r="Y2" s="132"/>
      <c r="Z2" s="132"/>
      <c r="AA2" s="132"/>
    </row>
    <row r="3" spans="1:27" ht="30" customHeight="1" x14ac:dyDescent="0.25">
      <c r="A3" s="7" t="s">
        <v>8</v>
      </c>
      <c r="B3" s="211" t="s">
        <v>9</v>
      </c>
      <c r="C3" s="212" t="s">
        <v>10</v>
      </c>
      <c r="D3" s="213" t="s">
        <v>11</v>
      </c>
      <c r="E3" s="214">
        <f>MAX(_xlfn.MAXIFS(Tabella1[Data Richiesta],Tabella1[Descrizione Materiale],"*"&amp;D3&amp;"*"))</f>
        <v>46127</v>
      </c>
      <c r="F3" s="215">
        <f ca="1">TODAY()</f>
        <v>46289</v>
      </c>
      <c r="G3" s="212" t="str">
        <f>VLOOKUP(A3,materiali!B:N,13,0)</f>
        <v>438014255</v>
      </c>
      <c r="H3" s="216" t="str">
        <f>D3</f>
        <v>M1Ro - SINTER 70 GIALLO - ANTISTATICO</v>
      </c>
      <c r="I3" s="217" t="str">
        <f>VLOOKUP(G3,materiali!A:L,12,0)</f>
        <v>370002101</v>
      </c>
      <c r="J3" s="140"/>
      <c r="K3" s="141"/>
      <c r="L3" s="132"/>
      <c r="M3" s="132"/>
      <c r="N3" s="132"/>
      <c r="O3" s="132"/>
      <c r="P3" s="132"/>
      <c r="Q3" s="132"/>
      <c r="R3" s="132"/>
      <c r="S3" s="132"/>
      <c r="T3" s="132"/>
      <c r="U3" s="132"/>
      <c r="V3" s="132"/>
      <c r="W3" s="132"/>
      <c r="X3" s="132"/>
      <c r="Y3" s="132"/>
      <c r="Z3" s="132"/>
      <c r="AA3" s="132"/>
    </row>
    <row r="4" spans="1:27" ht="6.95" customHeight="1" thickBot="1" x14ac:dyDescent="0.3">
      <c r="A4" s="104"/>
      <c r="B4" s="236"/>
      <c r="C4" s="237"/>
      <c r="D4" s="237"/>
      <c r="E4" s="237"/>
      <c r="F4" s="237"/>
      <c r="G4" s="237"/>
      <c r="H4" s="237"/>
      <c r="I4" s="237"/>
      <c r="J4" s="237"/>
      <c r="K4" s="238"/>
      <c r="L4" s="132"/>
      <c r="M4" s="132"/>
      <c r="N4" s="132"/>
      <c r="O4" s="132"/>
      <c r="P4" s="132"/>
      <c r="Q4" s="132"/>
      <c r="R4" s="132"/>
      <c r="S4" s="132"/>
      <c r="T4" s="132"/>
      <c r="U4" s="132"/>
      <c r="V4" s="132"/>
      <c r="W4" s="132"/>
      <c r="X4" s="132"/>
      <c r="Y4" s="132"/>
      <c r="Z4" s="132"/>
      <c r="AA4" s="132"/>
    </row>
    <row r="5" spans="1:27" ht="30" customHeight="1" thickBot="1" x14ac:dyDescent="0.3">
      <c r="A5" s="7" t="s">
        <v>12</v>
      </c>
      <c r="B5" s="211" t="s">
        <v>13</v>
      </c>
      <c r="C5" s="153" t="s">
        <v>14</v>
      </c>
      <c r="D5" s="154" t="s">
        <v>15</v>
      </c>
      <c r="E5" s="143">
        <f>MAX(_xlfn.MAXIFS(Tabella1[Data Richiesta],Tabella1[Descrizione Materiale],"*"&amp;D5&amp;"*"))</f>
        <v>46127</v>
      </c>
      <c r="F5" s="155">
        <f ca="1">TODAY()</f>
        <v>46289</v>
      </c>
      <c r="G5" s="156" t="str">
        <f>VLOOKUP(A5,materiali!B:N,13,0)</f>
        <v>438014261</v>
      </c>
      <c r="H5" s="157" t="str">
        <f>D5</f>
        <v>M2Ro - SINTAM 90 GIALLO</v>
      </c>
      <c r="I5" s="158" t="str">
        <f>VLOOKUP(G5,materiali!A:L,12,0)</f>
        <v>370002105</v>
      </c>
      <c r="J5" s="218"/>
      <c r="K5" s="142"/>
      <c r="L5" s="132"/>
      <c r="M5" s="132"/>
      <c r="N5" s="132"/>
      <c r="O5" s="132"/>
      <c r="P5" s="132"/>
      <c r="Q5" s="132"/>
      <c r="R5" s="132"/>
      <c r="S5" s="132"/>
      <c r="T5" s="132"/>
      <c r="U5" s="132"/>
      <c r="V5" s="132"/>
      <c r="W5" s="132"/>
      <c r="X5" s="132"/>
      <c r="Y5" s="132"/>
      <c r="Z5" s="132"/>
      <c r="AA5" s="132"/>
    </row>
    <row r="6" spans="1:27" ht="30" customHeight="1" x14ac:dyDescent="0.25">
      <c r="A6" s="7" t="s">
        <v>16</v>
      </c>
      <c r="B6" s="211" t="s">
        <v>13</v>
      </c>
      <c r="C6" s="191" t="s">
        <v>14</v>
      </c>
      <c r="D6" s="49" t="s">
        <v>17</v>
      </c>
      <c r="E6" s="15">
        <f>MAX(_xlfn.MAXIFS(Tabella1[Data Richiesta],Tabella1[Descrizione Materiale],"*"&amp;D6&amp;"*"))</f>
        <v>0</v>
      </c>
      <c r="F6" s="192">
        <f ca="1">TODAY()</f>
        <v>46289</v>
      </c>
      <c r="G6" s="80" t="str">
        <f>VLOOKUP(A6,materiali!B:N,13,0)</f>
        <v>438011103</v>
      </c>
      <c r="H6" s="193" t="str">
        <f>D6</f>
        <v>M2Ro - SINTAM 90 GIALLO - ANTISTATICO</v>
      </c>
      <c r="I6" s="172" t="str">
        <f>VLOOKUP(G6,materiali!A:L,12,0)</f>
        <v>370002106</v>
      </c>
      <c r="J6" s="207"/>
      <c r="K6" s="219"/>
      <c r="L6" s="132"/>
      <c r="M6" s="132"/>
      <c r="N6" s="132"/>
      <c r="O6" s="132"/>
      <c r="P6" s="132"/>
      <c r="Q6" s="132"/>
      <c r="R6" s="132"/>
      <c r="S6" s="132"/>
      <c r="T6" s="132"/>
      <c r="U6" s="132"/>
      <c r="V6" s="132"/>
      <c r="W6" s="132"/>
      <c r="X6" s="132"/>
      <c r="Y6" s="132"/>
      <c r="Z6" s="132"/>
      <c r="AA6" s="132"/>
    </row>
    <row r="7" spans="1:27" ht="6.95" customHeight="1" x14ac:dyDescent="0.25">
      <c r="A7" s="104"/>
      <c r="B7" s="236"/>
      <c r="C7" s="237"/>
      <c r="D7" s="237"/>
      <c r="E7" s="237"/>
      <c r="F7" s="237"/>
      <c r="G7" s="237"/>
      <c r="H7" s="237"/>
      <c r="I7" s="237"/>
      <c r="J7" s="237"/>
      <c r="K7" s="238"/>
      <c r="L7" s="132"/>
      <c r="M7" s="132"/>
      <c r="N7" s="132"/>
      <c r="O7" s="132"/>
      <c r="P7" s="132"/>
      <c r="Q7" s="132"/>
      <c r="R7" s="132"/>
      <c r="S7" s="132"/>
      <c r="T7" s="132"/>
      <c r="U7" s="132"/>
      <c r="V7" s="132"/>
      <c r="W7" s="132"/>
      <c r="X7" s="132"/>
      <c r="Y7" s="132"/>
      <c r="Z7" s="132"/>
      <c r="AA7" s="132"/>
    </row>
    <row r="8" spans="1:27" ht="30" customHeight="1" x14ac:dyDescent="0.25">
      <c r="A8" s="7" t="s">
        <v>18</v>
      </c>
      <c r="B8" s="220" t="s">
        <v>19</v>
      </c>
      <c r="C8" s="153" t="s">
        <v>20</v>
      </c>
      <c r="D8" s="154" t="s">
        <v>21</v>
      </c>
      <c r="E8" s="143">
        <f>MAX(_xlfn.MAXIFS(Tabella1[Data Richiesta],Tabella1[Descrizione Materiale],"*"&amp;D8&amp;"*"))</f>
        <v>46127</v>
      </c>
      <c r="F8" s="155">
        <f ca="1">TODAY()</f>
        <v>46289</v>
      </c>
      <c r="G8" s="156" t="str">
        <f>VLOOKUP(A8,materiali!B:N,13,0)</f>
        <v>438014260</v>
      </c>
      <c r="H8" s="157" t="str">
        <f>D8</f>
        <v>M3Ro - SINTAM 70 GIALLO - ANTISTATICO</v>
      </c>
      <c r="I8" s="158" t="str">
        <f>VLOOKUP(G8,materiali!A:L,12,0)</f>
        <v>370002103</v>
      </c>
      <c r="J8" s="218"/>
      <c r="K8" s="142"/>
      <c r="L8" s="132"/>
      <c r="M8" s="132"/>
      <c r="N8" s="132"/>
      <c r="O8" s="132"/>
      <c r="P8" s="132"/>
      <c r="Q8" s="132"/>
      <c r="R8" s="132"/>
      <c r="S8" s="132"/>
      <c r="T8" s="132"/>
      <c r="U8" s="132"/>
      <c r="V8" s="132"/>
      <c r="W8" s="132"/>
      <c r="X8" s="132"/>
      <c r="Y8" s="132"/>
      <c r="Z8" s="132"/>
      <c r="AA8" s="132"/>
    </row>
    <row r="9" spans="1:27" ht="6.75" customHeight="1" x14ac:dyDescent="0.25">
      <c r="A9" s="104"/>
      <c r="B9" s="221"/>
      <c r="C9" s="188"/>
      <c r="D9" s="189"/>
      <c r="E9" s="189"/>
      <c r="F9" s="189"/>
      <c r="G9" s="189"/>
      <c r="H9" s="189"/>
      <c r="I9" s="189"/>
      <c r="J9" s="189"/>
      <c r="K9" s="190"/>
      <c r="L9" s="132"/>
      <c r="M9" s="132"/>
      <c r="N9" s="132"/>
      <c r="O9" s="132"/>
      <c r="P9" s="132"/>
      <c r="Q9" s="132"/>
      <c r="R9" s="132"/>
      <c r="S9" s="132"/>
      <c r="T9" s="132"/>
      <c r="U9" s="132"/>
      <c r="V9" s="132"/>
      <c r="W9" s="132"/>
      <c r="X9" s="132"/>
      <c r="Y9" s="132"/>
      <c r="Z9" s="132"/>
      <c r="AA9" s="132"/>
    </row>
    <row r="10" spans="1:27" ht="30" customHeight="1" x14ac:dyDescent="0.25">
      <c r="A10" s="7" t="s">
        <v>22</v>
      </c>
      <c r="B10" s="220" t="s">
        <v>23</v>
      </c>
      <c r="C10" s="153" t="s">
        <v>24</v>
      </c>
      <c r="D10" s="159" t="s">
        <v>25</v>
      </c>
      <c r="E10" s="143">
        <f>MAX(_xlfn.MAXIFS(Tabella1[Data Richiesta],Tabella1[Descrizione Materiale],"*"&amp;D10&amp;"*"))</f>
        <v>46125</v>
      </c>
      <c r="F10" s="155">
        <f ca="1">TODAY()</f>
        <v>46289</v>
      </c>
      <c r="G10" s="156" t="str">
        <f>VLOOKUP(A10,materiali!B:N,13,0)</f>
        <v>438020339</v>
      </c>
      <c r="H10" s="160" t="str">
        <f>D10</f>
        <v>M4Ro - SINTAL 70 BIANCO G</v>
      </c>
      <c r="I10" s="161" t="str">
        <f>VLOOKUP(G10,materiali!A:L,12,0)</f>
        <v>370002132</v>
      </c>
      <c r="J10" s="218"/>
      <c r="K10" s="142"/>
      <c r="L10" s="132"/>
      <c r="M10" s="132"/>
      <c r="N10" s="132"/>
      <c r="O10" s="132"/>
      <c r="P10" s="132"/>
      <c r="Q10" s="132"/>
      <c r="R10" s="132"/>
      <c r="S10" s="132"/>
      <c r="T10" s="132"/>
      <c r="U10" s="132"/>
      <c r="V10" s="132"/>
      <c r="W10" s="132"/>
      <c r="X10" s="132"/>
      <c r="Y10" s="132"/>
      <c r="Z10" s="132"/>
      <c r="AA10" s="132"/>
    </row>
    <row r="11" spans="1:27" ht="6.95" customHeight="1" thickBot="1" x14ac:dyDescent="0.3">
      <c r="A11" s="104"/>
      <c r="B11" s="236"/>
      <c r="C11" s="237"/>
      <c r="D11" s="237"/>
      <c r="E11" s="237"/>
      <c r="F11" s="237"/>
      <c r="G11" s="237"/>
      <c r="H11" s="237"/>
      <c r="I11" s="237"/>
      <c r="J11" s="237"/>
      <c r="K11" s="238"/>
      <c r="L11" s="132"/>
      <c r="M11" s="132"/>
      <c r="N11" s="132"/>
      <c r="O11" s="132"/>
      <c r="P11" s="132"/>
      <c r="Q11" s="132"/>
      <c r="R11" s="132"/>
      <c r="S11" s="132"/>
      <c r="T11" s="132"/>
      <c r="U11" s="132"/>
      <c r="V11" s="132"/>
      <c r="W11" s="132"/>
      <c r="X11" s="132"/>
      <c r="Y11" s="132"/>
      <c r="Z11" s="132"/>
      <c r="AA11" s="132"/>
    </row>
    <row r="12" spans="1:27" ht="35.25" customHeight="1" thickBot="1" x14ac:dyDescent="0.3">
      <c r="A12" s="7" t="s">
        <v>26</v>
      </c>
      <c r="B12" s="211" t="s">
        <v>27</v>
      </c>
      <c r="C12" s="153" t="s">
        <v>28</v>
      </c>
      <c r="D12" s="154" t="s">
        <v>29</v>
      </c>
      <c r="E12" s="143">
        <f>MAX(_xlfn.MAXIFS(Tabella1[Data Richiesta],Tabella1[Descrizione Materiale],"*"&amp;D12&amp;"*"))</f>
        <v>46127</v>
      </c>
      <c r="F12" s="155">
        <f ca="1">TODAY()</f>
        <v>46289</v>
      </c>
      <c r="G12" s="156" t="str">
        <f>VLOOKUP(A12,materiali!B:N,13,0)</f>
        <v>438014259</v>
      </c>
      <c r="H12" s="157" t="str">
        <f>D12</f>
        <v>M5Ro - SINTAM 70 GIALLO</v>
      </c>
      <c r="I12" s="158" t="str">
        <f>VLOOKUP(G12,materiali!A:L,12,0)</f>
        <v>370002102</v>
      </c>
      <c r="J12" s="218"/>
      <c r="K12" s="142"/>
      <c r="L12" s="132"/>
      <c r="M12" s="132"/>
      <c r="N12" s="132"/>
      <c r="O12" s="132"/>
      <c r="P12" s="132"/>
      <c r="Q12" s="132"/>
      <c r="R12" s="132"/>
      <c r="S12" s="132"/>
      <c r="T12" s="132"/>
      <c r="U12" s="132"/>
      <c r="V12" s="132"/>
      <c r="W12" s="132"/>
      <c r="X12" s="132"/>
      <c r="Y12" s="132"/>
      <c r="Z12" s="132"/>
      <c r="AA12" s="132"/>
    </row>
    <row r="13" spans="1:27" ht="35.25" customHeight="1" x14ac:dyDescent="0.25">
      <c r="A13" s="7" t="s">
        <v>30</v>
      </c>
      <c r="B13" s="211" t="s">
        <v>27</v>
      </c>
      <c r="C13" s="191" t="s">
        <v>31</v>
      </c>
      <c r="D13" s="49" t="s">
        <v>32</v>
      </c>
      <c r="E13" s="15">
        <f>MAX(_xlfn.MAXIFS(Tabella1[Data Richiesta],Tabella1[Descrizione Materiale],"*"&amp;D13&amp;"*"))</f>
        <v>46127</v>
      </c>
      <c r="F13" s="192">
        <f ca="1">TODAY()</f>
        <v>46289</v>
      </c>
      <c r="G13" s="80">
        <f>VLOOKUP(A13,materiali!B:N,13,0)</f>
        <v>438044935</v>
      </c>
      <c r="H13" s="193" t="s">
        <v>32</v>
      </c>
      <c r="I13" s="172" t="str">
        <f>VLOOKUP(G13,materiali!A:L,12,0)</f>
        <v>370002825</v>
      </c>
      <c r="J13" s="242"/>
      <c r="K13" s="243"/>
      <c r="L13" s="132"/>
      <c r="M13" s="132"/>
      <c r="N13" s="132"/>
      <c r="O13" s="132"/>
      <c r="P13" s="132"/>
      <c r="Q13" s="132"/>
      <c r="R13" s="132"/>
      <c r="S13" s="132"/>
      <c r="T13" s="132"/>
      <c r="U13" s="132"/>
      <c r="V13" s="132"/>
      <c r="W13" s="132"/>
      <c r="X13" s="132"/>
      <c r="Y13" s="132"/>
      <c r="Z13" s="132"/>
      <c r="AA13" s="132"/>
    </row>
    <row r="14" spans="1:27" ht="6.95" customHeight="1" thickBot="1" x14ac:dyDescent="0.3">
      <c r="A14" s="104"/>
      <c r="B14" s="236"/>
      <c r="C14" s="237"/>
      <c r="D14" s="237"/>
      <c r="E14" s="237"/>
      <c r="F14" s="237"/>
      <c r="G14" s="237"/>
      <c r="H14" s="237"/>
      <c r="I14" s="237"/>
      <c r="J14" s="237"/>
      <c r="K14" s="238"/>
      <c r="L14" s="132"/>
      <c r="M14" s="132"/>
      <c r="N14" s="132"/>
      <c r="O14" s="132"/>
      <c r="P14" s="132"/>
      <c r="Q14" s="132"/>
      <c r="R14" s="132"/>
      <c r="S14" s="132"/>
      <c r="T14" s="132"/>
      <c r="U14" s="132"/>
      <c r="V14" s="132"/>
      <c r="W14" s="132"/>
      <c r="X14" s="132"/>
      <c r="Y14" s="132"/>
      <c r="Z14" s="132"/>
      <c r="AA14" s="132"/>
    </row>
    <row r="15" spans="1:27" ht="30" customHeight="1" x14ac:dyDescent="0.25">
      <c r="A15" s="7" t="s">
        <v>33</v>
      </c>
      <c r="B15" s="211" t="s">
        <v>34</v>
      </c>
      <c r="C15" s="153" t="s">
        <v>35</v>
      </c>
      <c r="D15" s="154" t="s">
        <v>36</v>
      </c>
      <c r="E15" s="143">
        <f>MAX(_xlfn.MAXIFS(Tabella1[Data Richiesta],Tabella1[Descrizione Materiale],"*"&amp;D15&amp;"*"))</f>
        <v>46127</v>
      </c>
      <c r="F15" s="155">
        <f ca="1">TODAY()</f>
        <v>46289</v>
      </c>
      <c r="G15" s="156">
        <f>VLOOKUP(A15,materiali!B:N,13,0)</f>
        <v>438014257</v>
      </c>
      <c r="H15" s="157" t="str">
        <f>D15</f>
        <v>M6Ro - SINTER 70 NEUTRO - ANTISTATICO</v>
      </c>
      <c r="I15" s="158" t="str">
        <f>VLOOKUP(G15,materiali!A:L,12,0)</f>
        <v>370002134</v>
      </c>
      <c r="J15" s="218"/>
      <c r="K15" s="142"/>
      <c r="L15" s="132"/>
      <c r="M15" s="132"/>
      <c r="N15" s="132"/>
      <c r="O15" s="132"/>
      <c r="P15" s="132"/>
      <c r="Q15" s="132"/>
      <c r="R15" s="132"/>
      <c r="S15" s="132"/>
      <c r="T15" s="132"/>
      <c r="U15" s="132"/>
      <c r="V15" s="132"/>
      <c r="W15" s="132"/>
      <c r="X15" s="132"/>
      <c r="Y15" s="132"/>
      <c r="Z15" s="132"/>
      <c r="AA15" s="132"/>
    </row>
    <row r="16" spans="1:27" ht="6.95" customHeight="1" thickBot="1" x14ac:dyDescent="0.3">
      <c r="A16" s="104"/>
      <c r="B16" s="251"/>
      <c r="C16" s="239"/>
      <c r="D16" s="240"/>
      <c r="E16" s="240"/>
      <c r="F16" s="240"/>
      <c r="G16" s="240"/>
      <c r="H16" s="240"/>
      <c r="I16" s="240"/>
      <c r="J16" s="240"/>
      <c r="K16" s="241"/>
      <c r="L16" s="132"/>
      <c r="M16" s="132"/>
      <c r="N16" s="132"/>
      <c r="O16" s="132"/>
      <c r="P16" s="132"/>
      <c r="Q16" s="132"/>
      <c r="R16" s="132"/>
      <c r="S16" s="132"/>
      <c r="T16" s="132"/>
      <c r="U16" s="132"/>
      <c r="V16" s="132"/>
      <c r="W16" s="132"/>
      <c r="X16" s="132"/>
      <c r="Y16" s="132"/>
      <c r="Z16" s="132"/>
      <c r="AA16" s="132"/>
    </row>
    <row r="17" spans="1:27" ht="30" customHeight="1" x14ac:dyDescent="0.25">
      <c r="A17" s="7" t="s">
        <v>37</v>
      </c>
      <c r="B17" s="211" t="s">
        <v>34</v>
      </c>
      <c r="C17" s="153" t="s">
        <v>38</v>
      </c>
      <c r="D17" s="154" t="s">
        <v>39</v>
      </c>
      <c r="E17" s="143">
        <f>MAX(_xlfn.MAXIFS(Tabella1[Data Richiesta],Tabella1[Descrizione Materiale],"*"&amp;D17&amp;"*"))</f>
        <v>46111</v>
      </c>
      <c r="F17" s="155">
        <f ca="1">TODAY()</f>
        <v>46289</v>
      </c>
      <c r="G17" s="156" t="str">
        <f>VLOOKUP(A17,materiali!B:N,13,0)</f>
        <v>438014258</v>
      </c>
      <c r="H17" s="157" t="str">
        <f>D17</f>
        <v>M6Ro - SINTHT 70 NEUTRO</v>
      </c>
      <c r="I17" s="158" t="str">
        <f>VLOOKUP(G17,materiali!A:L,12,0)</f>
        <v>370002135</v>
      </c>
      <c r="J17" s="218"/>
      <c r="K17" s="142"/>
      <c r="L17" s="132"/>
      <c r="M17" s="132"/>
      <c r="N17" s="132"/>
      <c r="O17" s="132"/>
      <c r="P17" s="132"/>
      <c r="Q17" s="132"/>
      <c r="R17" s="132"/>
      <c r="S17" s="132"/>
      <c r="T17" s="132"/>
      <c r="U17" s="132"/>
      <c r="V17" s="132"/>
      <c r="W17" s="132"/>
      <c r="X17" s="132"/>
      <c r="Y17" s="132"/>
      <c r="Z17" s="132"/>
      <c r="AA17" s="132"/>
    </row>
    <row r="18" spans="1:27" ht="6.95" customHeight="1" thickBot="1" x14ac:dyDescent="0.3">
      <c r="A18" s="104"/>
      <c r="B18" s="236"/>
      <c r="C18" s="237"/>
      <c r="D18" s="237"/>
      <c r="E18" s="237"/>
      <c r="F18" s="237"/>
      <c r="G18" s="237"/>
      <c r="H18" s="237"/>
      <c r="I18" s="237"/>
      <c r="J18" s="237"/>
      <c r="K18" s="238"/>
      <c r="L18" s="132"/>
      <c r="M18" s="132"/>
      <c r="N18" s="132"/>
      <c r="O18" s="132"/>
      <c r="P18" s="132"/>
      <c r="Q18" s="132"/>
      <c r="R18" s="132"/>
      <c r="S18" s="132"/>
      <c r="T18" s="132"/>
      <c r="U18" s="132"/>
      <c r="V18" s="132"/>
      <c r="W18" s="132"/>
      <c r="X18" s="132"/>
      <c r="Y18" s="132"/>
      <c r="Z18" s="132"/>
      <c r="AA18" s="132"/>
    </row>
    <row r="19" spans="1:27" ht="30" customHeight="1" thickBot="1" x14ac:dyDescent="0.3">
      <c r="A19" s="7" t="s">
        <v>40</v>
      </c>
      <c r="B19" s="211" t="s">
        <v>41</v>
      </c>
      <c r="C19" s="153" t="s">
        <v>42</v>
      </c>
      <c r="D19" s="159" t="s">
        <v>43</v>
      </c>
      <c r="E19" s="143">
        <f>MAX(_xlfn.MAXIFS(Tabella1[Data Richiesta],Tabella1[Descrizione Materiale],"*"&amp;D19&amp;"*"))</f>
        <v>46127</v>
      </c>
      <c r="F19" s="155">
        <f ca="1">TODAY()</f>
        <v>46289</v>
      </c>
      <c r="G19" s="156" t="str">
        <f>VLOOKUP(A19,materiali!B:N,13,0)</f>
        <v>438019965</v>
      </c>
      <c r="H19" s="160" t="str">
        <f>D19</f>
        <v>M7Ro - SINTAL 70 BIANCO F</v>
      </c>
      <c r="I19" s="161" t="str">
        <f>VLOOKUP(G19,materiali!A:L,12,0)</f>
        <v>370002136</v>
      </c>
      <c r="J19" s="218"/>
      <c r="K19" s="142"/>
      <c r="L19" s="132"/>
      <c r="M19" s="132"/>
      <c r="N19" s="132"/>
      <c r="O19" s="132"/>
      <c r="P19" s="132"/>
      <c r="Q19" s="132"/>
      <c r="R19" s="132"/>
      <c r="S19" s="132"/>
      <c r="T19" s="132"/>
      <c r="U19" s="132"/>
      <c r="V19" s="132"/>
      <c r="W19" s="132"/>
      <c r="X19" s="132"/>
      <c r="Y19" s="132"/>
      <c r="Z19" s="132"/>
      <c r="AA19" s="132"/>
    </row>
    <row r="20" spans="1:27" ht="30" customHeight="1" x14ac:dyDescent="0.25">
      <c r="A20" s="7" t="s">
        <v>44</v>
      </c>
      <c r="B20" s="211" t="s">
        <v>41</v>
      </c>
      <c r="C20" s="191"/>
      <c r="D20" s="208" t="s">
        <v>45</v>
      </c>
      <c r="E20" s="15">
        <f>MAX(_xlfn.MAXIFS(Tabella1[Data Richiesta],Tabella1[Descrizione Materiale],"*"&amp;D20&amp;"*"))</f>
        <v>0</v>
      </c>
      <c r="F20" s="192">
        <f ca="1">TODAY()</f>
        <v>46289</v>
      </c>
      <c r="G20" s="80" t="e">
        <f>VLOOKUP(A20,materiali!B:N,13,0)</f>
        <v>#N/A</v>
      </c>
      <c r="H20" s="209" t="str">
        <f>D20</f>
        <v>M7Ro - SINTAL 92 BIANCO F</v>
      </c>
      <c r="I20" s="210" t="e">
        <f>VLOOKUP(G20,materiali!A:L,12,0)</f>
        <v>#N/A</v>
      </c>
      <c r="J20" s="207"/>
      <c r="K20" s="219"/>
      <c r="L20" s="132"/>
      <c r="M20" s="132"/>
      <c r="N20" s="132"/>
      <c r="O20" s="132"/>
      <c r="P20" s="132"/>
      <c r="Q20" s="132"/>
      <c r="R20" s="132"/>
      <c r="S20" s="132"/>
      <c r="T20" s="132"/>
      <c r="U20" s="132"/>
      <c r="V20" s="132"/>
      <c r="W20" s="132"/>
      <c r="X20" s="132"/>
      <c r="Y20" s="132"/>
      <c r="Z20" s="132"/>
      <c r="AA20" s="132"/>
    </row>
    <row r="21" spans="1:27" ht="6.95" customHeight="1" thickBot="1" x14ac:dyDescent="0.3">
      <c r="A21" s="104"/>
      <c r="B21" s="222"/>
      <c r="C21" s="223"/>
      <c r="D21" s="224"/>
      <c r="E21" s="225"/>
      <c r="F21" s="226"/>
      <c r="G21" s="223"/>
      <c r="H21" s="226"/>
      <c r="I21" s="227"/>
      <c r="J21" s="228"/>
      <c r="K21" s="229"/>
      <c r="L21" s="132"/>
      <c r="M21" s="132"/>
      <c r="N21" s="132"/>
      <c r="O21" s="132"/>
      <c r="P21" s="132"/>
      <c r="Q21" s="132"/>
      <c r="R21" s="132"/>
      <c r="S21" s="132"/>
      <c r="T21" s="132"/>
      <c r="U21" s="132"/>
      <c r="V21" s="132"/>
      <c r="W21" s="132"/>
      <c r="X21" s="132"/>
      <c r="Y21" s="132"/>
      <c r="Z21" s="132"/>
      <c r="AA21" s="132"/>
    </row>
    <row r="22" spans="1:27" x14ac:dyDescent="0.25">
      <c r="B22" s="132"/>
      <c r="C22" s="132"/>
      <c r="D22" s="132"/>
      <c r="E22" s="162"/>
      <c r="F22" s="132"/>
      <c r="G22" s="132"/>
      <c r="H22" s="132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</row>
    <row r="23" spans="1:27" x14ac:dyDescent="0.25">
      <c r="B23" s="132"/>
      <c r="C23" s="132"/>
      <c r="D23" s="132"/>
      <c r="E23" s="162"/>
      <c r="F23" s="132"/>
      <c r="G23" s="132"/>
      <c r="H23" s="132"/>
      <c r="I23" s="132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</row>
    <row r="24" spans="1:27" x14ac:dyDescent="0.25">
      <c r="B24" s="132"/>
      <c r="C24" s="132"/>
      <c r="D24" s="132"/>
      <c r="E24" s="162"/>
      <c r="F24" s="132"/>
      <c r="G24" s="132"/>
      <c r="H24" s="132"/>
      <c r="I24" s="132"/>
      <c r="J24" s="132"/>
      <c r="K24" s="132"/>
      <c r="L24" s="132"/>
      <c r="M24" s="132"/>
      <c r="N24" s="132"/>
      <c r="O24" s="132"/>
      <c r="P24" s="132"/>
      <c r="Q24" s="132"/>
      <c r="R24" s="132"/>
      <c r="S24" s="132"/>
      <c r="T24" s="132"/>
      <c r="U24" s="132"/>
      <c r="V24" s="132"/>
      <c r="W24" s="132"/>
      <c r="X24" s="132"/>
      <c r="Y24" s="132"/>
      <c r="Z24" s="132"/>
      <c r="AA24" s="132"/>
    </row>
    <row r="25" spans="1:27" x14ac:dyDescent="0.25">
      <c r="B25" s="132"/>
      <c r="C25" s="132" t="s">
        <v>46</v>
      </c>
      <c r="D25" s="132"/>
      <c r="E25" s="162"/>
      <c r="F25" s="132"/>
      <c r="G25" s="132"/>
      <c r="H25" s="132"/>
      <c r="I25" s="132"/>
      <c r="J25" s="132"/>
      <c r="K25" s="132"/>
      <c r="L25" s="132"/>
      <c r="M25" s="132"/>
      <c r="N25" s="132"/>
      <c r="O25" s="132"/>
      <c r="P25" s="132"/>
      <c r="Q25" s="132"/>
      <c r="R25" s="132"/>
      <c r="S25" s="132"/>
      <c r="T25" s="132"/>
      <c r="U25" s="132"/>
      <c r="V25" s="132"/>
      <c r="W25" s="132"/>
      <c r="X25" s="132"/>
      <c r="Y25" s="132"/>
      <c r="Z25" s="132"/>
      <c r="AA25" s="132"/>
    </row>
    <row r="26" spans="1:27" x14ac:dyDescent="0.25">
      <c r="B26" s="132"/>
      <c r="C26" s="132"/>
      <c r="D26" s="132"/>
      <c r="E26" s="162"/>
      <c r="F26" s="132"/>
      <c r="G26" s="132"/>
      <c r="H26" s="132"/>
      <c r="I26" s="132"/>
      <c r="J26" s="132"/>
      <c r="K26" s="132"/>
      <c r="L26" s="132"/>
      <c r="M26" s="132"/>
      <c r="N26" s="132"/>
      <c r="O26" s="132"/>
      <c r="P26" s="132"/>
      <c r="Q26" s="132"/>
      <c r="R26" s="132"/>
      <c r="S26" s="132"/>
      <c r="T26" s="132"/>
      <c r="U26" s="132"/>
      <c r="V26" s="132"/>
      <c r="W26" s="132"/>
      <c r="X26" s="132"/>
      <c r="Y26" s="132"/>
      <c r="Z26" s="132"/>
      <c r="AA26" s="132"/>
    </row>
    <row r="27" spans="1:27" x14ac:dyDescent="0.25">
      <c r="B27" s="132"/>
      <c r="C27" s="132"/>
      <c r="D27" s="132"/>
      <c r="E27" s="162"/>
      <c r="F27" s="132"/>
      <c r="G27" s="132"/>
      <c r="H27" s="132"/>
      <c r="I27" s="132"/>
      <c r="J27" s="132"/>
      <c r="K27" s="132"/>
      <c r="L27" s="132"/>
      <c r="M27" s="132"/>
      <c r="N27" s="132"/>
      <c r="O27" s="132"/>
      <c r="P27" s="132"/>
      <c r="Q27" s="132"/>
      <c r="R27" s="132"/>
      <c r="S27" s="132"/>
      <c r="T27" s="132"/>
      <c r="U27" s="132"/>
      <c r="V27" s="132"/>
      <c r="W27" s="132"/>
      <c r="X27" s="132"/>
      <c r="Y27" s="132"/>
      <c r="Z27" s="132"/>
      <c r="AA27" s="132"/>
    </row>
    <row r="28" spans="1:27" x14ac:dyDescent="0.25">
      <c r="B28" s="132"/>
      <c r="C28" s="132"/>
      <c r="D28" s="132"/>
      <c r="E28" s="162"/>
      <c r="F28" s="132"/>
      <c r="G28" s="132"/>
      <c r="H28" s="132"/>
      <c r="I28" s="132"/>
      <c r="J28" s="132"/>
      <c r="K28" s="132"/>
      <c r="L28" s="132"/>
      <c r="M28" s="132"/>
      <c r="N28" s="132"/>
      <c r="O28" s="132"/>
      <c r="P28" s="132"/>
      <c r="Q28" s="132"/>
      <c r="R28" s="132"/>
      <c r="S28" s="132"/>
      <c r="T28" s="132"/>
      <c r="U28" s="132"/>
      <c r="V28" s="132"/>
      <c r="W28" s="132"/>
      <c r="X28" s="132"/>
      <c r="Y28" s="132"/>
      <c r="Z28" s="132"/>
      <c r="AA28" s="132"/>
    </row>
    <row r="29" spans="1:27" x14ac:dyDescent="0.25">
      <c r="B29" s="132"/>
      <c r="C29" s="132"/>
      <c r="D29" s="132"/>
      <c r="E29" s="162"/>
      <c r="F29" s="132"/>
      <c r="G29" s="132"/>
      <c r="H29" s="132"/>
      <c r="I29" s="132"/>
      <c r="J29" s="132"/>
      <c r="K29" s="132"/>
      <c r="L29" s="132"/>
      <c r="M29" s="132"/>
      <c r="N29" s="132"/>
      <c r="O29" s="132"/>
      <c r="P29" s="132"/>
      <c r="Q29" s="132"/>
      <c r="R29" s="132"/>
      <c r="S29" s="132"/>
      <c r="T29" s="132"/>
    </row>
    <row r="30" spans="1:27" x14ac:dyDescent="0.25">
      <c r="B30" s="132"/>
      <c r="C30" s="132"/>
      <c r="D30" s="132"/>
      <c r="E30" s="162"/>
      <c r="F30" s="132"/>
      <c r="G30" s="132"/>
      <c r="H30" s="132"/>
      <c r="I30" s="132"/>
      <c r="J30" s="132"/>
      <c r="K30" s="132"/>
      <c r="L30" s="132"/>
      <c r="M30" s="132"/>
      <c r="N30" s="132"/>
      <c r="O30" s="132"/>
      <c r="P30" s="132"/>
      <c r="Q30" s="132"/>
      <c r="R30" s="132"/>
      <c r="S30" s="132"/>
      <c r="T30" s="132"/>
    </row>
    <row r="31" spans="1:27" x14ac:dyDescent="0.25">
      <c r="B31" s="132"/>
      <c r="C31" s="132"/>
      <c r="D31" s="132"/>
      <c r="E31" s="162"/>
      <c r="F31" s="132"/>
      <c r="G31" s="132"/>
      <c r="H31" s="132"/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</row>
    <row r="32" spans="1:27" x14ac:dyDescent="0.25">
      <c r="B32" s="132"/>
      <c r="C32" s="132"/>
      <c r="D32" s="132"/>
      <c r="E32" s="162"/>
      <c r="F32" s="132"/>
      <c r="G32" s="132"/>
      <c r="H32" s="132"/>
      <c r="I32" s="132"/>
      <c r="J32" s="132"/>
      <c r="K32" s="132"/>
      <c r="L32" s="132"/>
      <c r="M32" s="132"/>
      <c r="N32" s="132"/>
      <c r="O32" s="132"/>
      <c r="P32" s="132"/>
      <c r="Q32" s="132"/>
      <c r="R32" s="132"/>
      <c r="S32" s="132"/>
      <c r="T32" s="132"/>
    </row>
  </sheetData>
  <sheetProtection selectLockedCells="1"/>
  <protectedRanges>
    <protectedRange sqref="F3 F5:F6 F8 F10 F12:F13 F15 F17 F19:F20" name="Range1"/>
  </protectedRanges>
  <mergeCells count="7">
    <mergeCell ref="B18:K18"/>
    <mergeCell ref="B7:K7"/>
    <mergeCell ref="B4:K4"/>
    <mergeCell ref="B11:K11"/>
    <mergeCell ref="B14:K14"/>
    <mergeCell ref="C16:K16"/>
    <mergeCell ref="J13:K13"/>
  </mergeCells>
  <conditionalFormatting sqref="E10 E3 E8 E12:E13 E15 E17 E19:E20 E5:E6">
    <cfRule type="cellIs" dxfId="206" priority="1" operator="equal">
      <formula>#REF!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Macro1">
                <anchor moveWithCells="1" sizeWithCells="1">
                  <from>
                    <xdr:col>9</xdr:col>
                    <xdr:colOff>57150</xdr:colOff>
                    <xdr:row>2</xdr:row>
                    <xdr:rowOff>85725</xdr:rowOff>
                  </from>
                  <to>
                    <xdr:col>10</xdr:col>
                    <xdr:colOff>885825</xdr:colOff>
                    <xdr:row>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Macro10">
                <anchor moveWithCells="1" sizeWithCells="1">
                  <from>
                    <xdr:col>9</xdr:col>
                    <xdr:colOff>57150</xdr:colOff>
                    <xdr:row>5</xdr:row>
                    <xdr:rowOff>47625</xdr:rowOff>
                  </from>
                  <to>
                    <xdr:col>10</xdr:col>
                    <xdr:colOff>885825</xdr:colOff>
                    <xdr:row>5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Macro3">
                <anchor moveWithCells="1" sizeWithCells="1">
                  <from>
                    <xdr:col>9</xdr:col>
                    <xdr:colOff>57150</xdr:colOff>
                    <xdr:row>7</xdr:row>
                    <xdr:rowOff>57150</xdr:rowOff>
                  </from>
                  <to>
                    <xdr:col>10</xdr:col>
                    <xdr:colOff>885825</xdr:colOff>
                    <xdr:row>7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Macro4">
                <anchor moveWithCells="1" sizeWithCells="1">
                  <from>
                    <xdr:col>9</xdr:col>
                    <xdr:colOff>76200</xdr:colOff>
                    <xdr:row>12</xdr:row>
                    <xdr:rowOff>85725</xdr:rowOff>
                  </from>
                  <to>
                    <xdr:col>10</xdr:col>
                    <xdr:colOff>904875</xdr:colOff>
                    <xdr:row>12</xdr:row>
                    <xdr:rowOff>533400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Macro5">
                <anchor moveWithCells="1" sizeWithCells="1">
                  <from>
                    <xdr:col>9</xdr:col>
                    <xdr:colOff>57150</xdr:colOff>
                    <xdr:row>9</xdr:row>
                    <xdr:rowOff>57150</xdr:rowOff>
                  </from>
                  <to>
                    <xdr:col>10</xdr:col>
                    <xdr:colOff>885825</xdr:colOff>
                    <xdr:row>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9" name="Button 6">
              <controlPr defaultSize="0" print="0" autoFill="0" autoPict="0" macro="[0]!Macro6">
                <anchor moveWithCells="1" sizeWithCells="1">
                  <from>
                    <xdr:col>9</xdr:col>
                    <xdr:colOff>76200</xdr:colOff>
                    <xdr:row>11</xdr:row>
                    <xdr:rowOff>114300</xdr:rowOff>
                  </from>
                  <to>
                    <xdr:col>10</xdr:col>
                    <xdr:colOff>904875</xdr:colOff>
                    <xdr:row>11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10" name="Button 7">
              <controlPr defaultSize="0" print="0" autoFill="0" autoPict="0" macro="[0]!Macro7">
                <anchor moveWithCells="1" sizeWithCells="1">
                  <from>
                    <xdr:col>9</xdr:col>
                    <xdr:colOff>57150</xdr:colOff>
                    <xdr:row>14</xdr:row>
                    <xdr:rowOff>47625</xdr:rowOff>
                  </from>
                  <to>
                    <xdr:col>10</xdr:col>
                    <xdr:colOff>885825</xdr:colOff>
                    <xdr:row>14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1" name="Button 8">
              <controlPr defaultSize="0" print="0" autoFill="0" autoPict="0" macro="[0]!Macro8">
                <anchor moveWithCells="1" sizeWithCells="1">
                  <from>
                    <xdr:col>9</xdr:col>
                    <xdr:colOff>57150</xdr:colOff>
                    <xdr:row>16</xdr:row>
                    <xdr:rowOff>47625</xdr:rowOff>
                  </from>
                  <to>
                    <xdr:col>10</xdr:col>
                    <xdr:colOff>885825</xdr:colOff>
                    <xdr:row>16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2" name="Button 9">
              <controlPr defaultSize="0" print="0" autoFill="0" autoPict="0" macro="[0]!Macro11">
                <anchor moveWithCells="1" sizeWithCells="1">
                  <from>
                    <xdr:col>9</xdr:col>
                    <xdr:colOff>57150</xdr:colOff>
                    <xdr:row>19</xdr:row>
                    <xdr:rowOff>57150</xdr:rowOff>
                  </from>
                  <to>
                    <xdr:col>10</xdr:col>
                    <xdr:colOff>885825</xdr:colOff>
                    <xdr:row>19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13" name="Button 10">
              <controlPr defaultSize="0" print="0" autoFill="0" autoPict="0" macro="[0]!Macro9">
                <anchor moveWithCells="1" sizeWithCells="1">
                  <from>
                    <xdr:col>9</xdr:col>
                    <xdr:colOff>57150</xdr:colOff>
                    <xdr:row>18</xdr:row>
                    <xdr:rowOff>57150</xdr:rowOff>
                  </from>
                  <to>
                    <xdr:col>10</xdr:col>
                    <xdr:colOff>885825</xdr:colOff>
                    <xdr:row>18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4" name="Button 11">
              <controlPr defaultSize="0" print="0" autoFill="0" autoPict="0" macro="[0]!Macro2">
                <anchor moveWithCells="1" sizeWithCells="1">
                  <from>
                    <xdr:col>9</xdr:col>
                    <xdr:colOff>57150</xdr:colOff>
                    <xdr:row>4</xdr:row>
                    <xdr:rowOff>47625</xdr:rowOff>
                  </from>
                  <to>
                    <xdr:col>10</xdr:col>
                    <xdr:colOff>885825</xdr:colOff>
                    <xdr:row>4</xdr:row>
                    <xdr:rowOff>485775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5"/>
  <dimension ref="A1:N197"/>
  <sheetViews>
    <sheetView workbookViewId="0">
      <pane ySplit="1" topLeftCell="A2" activePane="bottomLeft" state="frozen"/>
      <selection activeCell="E17" sqref="E17"/>
      <selection pane="bottomLeft" activeCell="A117" sqref="A117"/>
    </sheetView>
  </sheetViews>
  <sheetFormatPr defaultColWidth="9.140625" defaultRowHeight="15" x14ac:dyDescent="0.25"/>
  <cols>
    <col min="1" max="1" width="41.7109375" style="59" customWidth="1"/>
    <col min="2" max="2" width="39" style="59" bestFit="1" customWidth="1"/>
    <col min="3" max="3" width="16" style="59" hidden="1" customWidth="1"/>
    <col min="4" max="4" width="12.5703125" style="7" hidden="1" customWidth="1"/>
    <col min="5" max="5" width="15.85546875" style="7" bestFit="1" customWidth="1"/>
    <col min="6" max="6" width="10.5703125" style="7" hidden="1" customWidth="1"/>
    <col min="7" max="7" width="14.85546875" style="59" bestFit="1" customWidth="1"/>
    <col min="8" max="8" width="63.28515625" style="59" bestFit="1" customWidth="1"/>
    <col min="9" max="9" width="11.5703125" style="59" hidden="1" customWidth="1"/>
    <col min="10" max="10" width="8.28515625" style="59" customWidth="1"/>
    <col min="11" max="11" width="12" style="59" customWidth="1"/>
    <col min="12" max="12" width="16.5703125" style="59" customWidth="1"/>
    <col min="13" max="13" width="42.140625" style="59" bestFit="1" customWidth="1"/>
    <col min="14" max="14" width="15.85546875" style="59" customWidth="1"/>
    <col min="15" max="16384" width="9.140625" style="59"/>
  </cols>
  <sheetData>
    <row r="1" spans="1:14" x14ac:dyDescent="0.25">
      <c r="A1" s="144" t="s">
        <v>47</v>
      </c>
      <c r="B1" s="144" t="s">
        <v>48</v>
      </c>
      <c r="C1" s="144" t="s">
        <v>49</v>
      </c>
      <c r="D1" s="145" t="s">
        <v>50</v>
      </c>
      <c r="E1" s="146" t="s">
        <v>51</v>
      </c>
      <c r="F1" s="146"/>
      <c r="G1" s="147" t="s">
        <v>52</v>
      </c>
      <c r="H1" s="147" t="s">
        <v>53</v>
      </c>
      <c r="I1" s="147" t="s">
        <v>54</v>
      </c>
      <c r="J1" s="147" t="s">
        <v>55</v>
      </c>
      <c r="K1" s="147" t="s">
        <v>56</v>
      </c>
      <c r="L1" s="144" t="s">
        <v>57</v>
      </c>
      <c r="M1" s="144" t="s">
        <v>58</v>
      </c>
      <c r="N1" s="144" t="s">
        <v>59</v>
      </c>
    </row>
    <row r="2" spans="1:14" x14ac:dyDescent="0.25">
      <c r="A2" s="59" t="s">
        <v>10</v>
      </c>
      <c r="B2" s="59" t="s">
        <v>8</v>
      </c>
      <c r="C2" s="59" t="str">
        <f>CONCATENATE(A2,"_",F2)</f>
        <v>438014255_1</v>
      </c>
      <c r="D2" s="7">
        <f>COUNTIF($A$1:A2,A2)</f>
        <v>1</v>
      </c>
      <c r="E2" s="7" t="s">
        <v>60</v>
      </c>
      <c r="F2" s="7">
        <f>VLOOKUP(E2,'[1]TIPOLOGIE COMP'!A:B,2,0)</f>
        <v>1</v>
      </c>
      <c r="G2" s="148" t="s">
        <v>61</v>
      </c>
      <c r="H2" s="59" t="s">
        <v>62</v>
      </c>
      <c r="I2" s="59" t="s">
        <v>63</v>
      </c>
      <c r="J2" s="59" t="s">
        <v>64</v>
      </c>
      <c r="K2" s="59">
        <v>0.66669999999999996</v>
      </c>
      <c r="L2" s="59" t="s">
        <v>65</v>
      </c>
      <c r="M2" s="59" t="s">
        <v>66</v>
      </c>
      <c r="N2" s="59" t="str">
        <f>A2</f>
        <v>438014255</v>
      </c>
    </row>
    <row r="3" spans="1:14" x14ac:dyDescent="0.25">
      <c r="A3" s="59" t="s">
        <v>10</v>
      </c>
      <c r="B3" s="59" t="s">
        <v>8</v>
      </c>
      <c r="C3" s="59" t="str">
        <f t="shared" ref="C3:C66" si="0">CONCATENATE(A3,"_",F3)</f>
        <v>438014255_2</v>
      </c>
      <c r="D3" s="7">
        <f>COUNTIF($A$1:A3,A3)</f>
        <v>2</v>
      </c>
      <c r="E3" s="7" t="s">
        <v>67</v>
      </c>
      <c r="F3" s="7">
        <f>VLOOKUP(E3,'[1]TIPOLOGIE COMP'!A:B,2,0)</f>
        <v>2</v>
      </c>
      <c r="G3" s="148" t="s">
        <v>68</v>
      </c>
      <c r="H3" s="59" t="s">
        <v>69</v>
      </c>
      <c r="I3" s="59" t="s">
        <v>63</v>
      </c>
      <c r="J3" s="59" t="s">
        <v>64</v>
      </c>
      <c r="K3" s="59">
        <v>0.30080000000000001</v>
      </c>
      <c r="L3" s="59" t="s">
        <v>65</v>
      </c>
      <c r="M3" s="59" t="s">
        <v>66</v>
      </c>
      <c r="N3" s="59" t="str">
        <f t="shared" ref="N3:N66" si="1">A3</f>
        <v>438014255</v>
      </c>
    </row>
    <row r="4" spans="1:14" x14ac:dyDescent="0.25">
      <c r="A4" s="59" t="s">
        <v>10</v>
      </c>
      <c r="B4" s="59" t="s">
        <v>8</v>
      </c>
      <c r="C4" s="59" t="str">
        <f t="shared" si="0"/>
        <v>438014255_4</v>
      </c>
      <c r="D4" s="7">
        <f>COUNTIF($A$1:A4,A4)</f>
        <v>3</v>
      </c>
      <c r="E4" s="7" t="s">
        <v>70</v>
      </c>
      <c r="F4" s="7">
        <f>VLOOKUP(E4,'[1]TIPOLOGIE COMP'!A:B,2,0)</f>
        <v>4</v>
      </c>
      <c r="G4" s="148" t="s">
        <v>71</v>
      </c>
      <c r="H4" s="59" t="s">
        <v>72</v>
      </c>
      <c r="I4" s="59" t="s">
        <v>63</v>
      </c>
      <c r="J4" s="59" t="s">
        <v>64</v>
      </c>
      <c r="K4" s="59">
        <v>1.8E-3</v>
      </c>
      <c r="L4" s="59" t="s">
        <v>65</v>
      </c>
      <c r="M4" s="59" t="s">
        <v>66</v>
      </c>
      <c r="N4" s="59" t="str">
        <f t="shared" si="1"/>
        <v>438014255</v>
      </c>
    </row>
    <row r="5" spans="1:14" x14ac:dyDescent="0.25">
      <c r="A5" s="59" t="s">
        <v>10</v>
      </c>
      <c r="B5" s="59" t="s">
        <v>8</v>
      </c>
      <c r="C5" s="59" t="str">
        <f t="shared" si="0"/>
        <v>438014255_5</v>
      </c>
      <c r="D5" s="7">
        <f>COUNTIF($A$1:A5,A5)</f>
        <v>4</v>
      </c>
      <c r="E5" s="7" t="s">
        <v>73</v>
      </c>
      <c r="F5" s="7">
        <f>VLOOKUP(E5,'[1]TIPOLOGIE COMP'!A:B,2,0)</f>
        <v>5</v>
      </c>
      <c r="G5" s="148" t="s">
        <v>74</v>
      </c>
      <c r="H5" s="59" t="s">
        <v>75</v>
      </c>
      <c r="I5" s="59" t="s">
        <v>63</v>
      </c>
      <c r="J5" s="59" t="s">
        <v>64</v>
      </c>
      <c r="K5" s="59">
        <v>5.9999999999999995E-4</v>
      </c>
      <c r="L5" s="59" t="s">
        <v>65</v>
      </c>
      <c r="M5" s="59" t="s">
        <v>66</v>
      </c>
      <c r="N5" s="59" t="str">
        <f t="shared" si="1"/>
        <v>438014255</v>
      </c>
    </row>
    <row r="6" spans="1:14" x14ac:dyDescent="0.25">
      <c r="A6" s="59" t="s">
        <v>10</v>
      </c>
      <c r="B6" s="59" t="s">
        <v>8</v>
      </c>
      <c r="C6" s="59" t="str">
        <f t="shared" si="0"/>
        <v>438014255_6</v>
      </c>
      <c r="D6" s="7">
        <f>COUNTIF($A$1:A6,A6)</f>
        <v>5</v>
      </c>
      <c r="E6" s="7" t="s">
        <v>76</v>
      </c>
      <c r="F6" s="7">
        <f>VLOOKUP(E6,'[1]TIPOLOGIE COMP'!A:B,2,0)</f>
        <v>6</v>
      </c>
      <c r="G6" s="148" t="s">
        <v>77</v>
      </c>
      <c r="H6" s="59" t="s">
        <v>78</v>
      </c>
      <c r="I6" s="59" t="s">
        <v>63</v>
      </c>
      <c r="J6" s="59" t="s">
        <v>64</v>
      </c>
      <c r="K6" s="59">
        <v>3.0099999999999998E-2</v>
      </c>
      <c r="L6" s="59" t="s">
        <v>65</v>
      </c>
      <c r="M6" s="59" t="s">
        <v>66</v>
      </c>
      <c r="N6" s="59" t="str">
        <f t="shared" si="1"/>
        <v>438014255</v>
      </c>
    </row>
    <row r="7" spans="1:14" x14ac:dyDescent="0.25">
      <c r="A7" s="59" t="s">
        <v>79</v>
      </c>
      <c r="B7" s="59" t="s">
        <v>80</v>
      </c>
      <c r="C7" s="59" t="str">
        <f t="shared" si="0"/>
        <v>438001325_1</v>
      </c>
      <c r="D7" s="7">
        <f>COUNTIF($A$1:A7,A7)</f>
        <v>1</v>
      </c>
      <c r="E7" s="7" t="s">
        <v>60</v>
      </c>
      <c r="F7" s="7">
        <f>VLOOKUP(E7,'[1]TIPOLOGIE COMP'!A:B,2,0)</f>
        <v>1</v>
      </c>
      <c r="G7" s="59" t="s">
        <v>81</v>
      </c>
      <c r="H7" s="59" t="s">
        <v>62</v>
      </c>
      <c r="I7" s="59" t="s">
        <v>63</v>
      </c>
      <c r="J7" s="59" t="s">
        <v>64</v>
      </c>
      <c r="K7" s="59">
        <v>0.83509999999999995</v>
      </c>
      <c r="L7" s="59" t="s">
        <v>82</v>
      </c>
      <c r="M7" s="59" t="s">
        <v>83</v>
      </c>
      <c r="N7" s="59" t="str">
        <f t="shared" si="1"/>
        <v>438001325</v>
      </c>
    </row>
    <row r="8" spans="1:14" x14ac:dyDescent="0.25">
      <c r="A8" s="59" t="s">
        <v>79</v>
      </c>
      <c r="B8" s="59" t="s">
        <v>80</v>
      </c>
      <c r="C8" s="59" t="str">
        <f t="shared" si="0"/>
        <v>438001325_2</v>
      </c>
      <c r="D8" s="7">
        <f>COUNTIF($A$1:A8,A8)</f>
        <v>2</v>
      </c>
      <c r="E8" s="7" t="s">
        <v>67</v>
      </c>
      <c r="F8" s="7">
        <f>VLOOKUP(E8,'[1]TIPOLOGIE COMP'!A:B,2,0)</f>
        <v>2</v>
      </c>
      <c r="G8" s="59" t="s">
        <v>84</v>
      </c>
      <c r="H8" s="59" t="s">
        <v>85</v>
      </c>
      <c r="I8" s="59" t="s">
        <v>63</v>
      </c>
      <c r="J8" s="59" t="s">
        <v>64</v>
      </c>
      <c r="K8" s="59">
        <v>0.1487</v>
      </c>
      <c r="L8" s="59" t="s">
        <v>82</v>
      </c>
      <c r="M8" s="59" t="s">
        <v>83</v>
      </c>
      <c r="N8" s="59" t="str">
        <f t="shared" si="1"/>
        <v>438001325</v>
      </c>
    </row>
    <row r="9" spans="1:14" x14ac:dyDescent="0.25">
      <c r="A9" s="59" t="s">
        <v>79</v>
      </c>
      <c r="B9" s="59" t="s">
        <v>80</v>
      </c>
      <c r="C9" s="59" t="str">
        <f t="shared" si="0"/>
        <v>438001325_4</v>
      </c>
      <c r="D9" s="7">
        <f>COUNTIF($A$1:A9,A9)</f>
        <v>3</v>
      </c>
      <c r="E9" s="7" t="s">
        <v>70</v>
      </c>
      <c r="F9" s="7">
        <f>VLOOKUP(E9,'[1]TIPOLOGIE COMP'!A:B,2,0)</f>
        <v>4</v>
      </c>
      <c r="G9" s="59" t="s">
        <v>86</v>
      </c>
      <c r="H9" s="59" t="s">
        <v>87</v>
      </c>
      <c r="I9" s="59" t="s">
        <v>63</v>
      </c>
      <c r="J9" s="59" t="s">
        <v>64</v>
      </c>
      <c r="K9" s="59">
        <v>2.5000000000000001E-3</v>
      </c>
      <c r="L9" s="59" t="s">
        <v>82</v>
      </c>
      <c r="M9" s="59" t="s">
        <v>83</v>
      </c>
      <c r="N9" s="59" t="str">
        <f t="shared" si="1"/>
        <v>438001325</v>
      </c>
    </row>
    <row r="10" spans="1:14" x14ac:dyDescent="0.25">
      <c r="A10" s="59" t="s">
        <v>79</v>
      </c>
      <c r="B10" s="59" t="s">
        <v>80</v>
      </c>
      <c r="C10" s="59" t="str">
        <f t="shared" si="0"/>
        <v>438001325_5</v>
      </c>
      <c r="D10" s="7">
        <f>COUNTIF($A$1:A10,A10)</f>
        <v>4</v>
      </c>
      <c r="E10" s="7" t="s">
        <v>73</v>
      </c>
      <c r="F10" s="7">
        <f>VLOOKUP(E10,'[1]TIPOLOGIE COMP'!A:B,2,0)</f>
        <v>5</v>
      </c>
      <c r="G10" s="59" t="s">
        <v>88</v>
      </c>
      <c r="H10" s="59" t="s">
        <v>75</v>
      </c>
      <c r="I10" s="59" t="s">
        <v>63</v>
      </c>
      <c r="J10" s="59" t="s">
        <v>64</v>
      </c>
      <c r="K10" s="59">
        <v>5.9999999999999995E-4</v>
      </c>
      <c r="L10" s="59" t="s">
        <v>82</v>
      </c>
      <c r="M10" s="59" t="s">
        <v>83</v>
      </c>
      <c r="N10" s="59" t="str">
        <f t="shared" si="1"/>
        <v>438001325</v>
      </c>
    </row>
    <row r="11" spans="1:14" x14ac:dyDescent="0.25">
      <c r="A11" s="59" t="s">
        <v>79</v>
      </c>
      <c r="B11" s="59" t="s">
        <v>80</v>
      </c>
      <c r="C11" s="59" t="str">
        <f t="shared" si="0"/>
        <v>438001325_6</v>
      </c>
      <c r="D11" s="7">
        <f>COUNTIF($A$1:A11,A11)</f>
        <v>5</v>
      </c>
      <c r="E11" s="7" t="s">
        <v>76</v>
      </c>
      <c r="F11" s="7">
        <f>VLOOKUP(E11,'[1]TIPOLOGIE COMP'!A:B,2,0)</f>
        <v>6</v>
      </c>
      <c r="G11" s="59" t="s">
        <v>89</v>
      </c>
      <c r="H11" s="59" t="s">
        <v>90</v>
      </c>
      <c r="I11" s="59" t="s">
        <v>63</v>
      </c>
      <c r="J11" s="59" t="s">
        <v>64</v>
      </c>
      <c r="K11" s="59">
        <v>1.32E-2</v>
      </c>
      <c r="L11" s="59" t="s">
        <v>82</v>
      </c>
      <c r="M11" s="59" t="s">
        <v>83</v>
      </c>
      <c r="N11" s="59" t="str">
        <f t="shared" si="1"/>
        <v>438001325</v>
      </c>
    </row>
    <row r="12" spans="1:14" x14ac:dyDescent="0.25">
      <c r="A12" s="59" t="s">
        <v>28</v>
      </c>
      <c r="B12" s="59" t="s">
        <v>26</v>
      </c>
      <c r="C12" s="59" t="str">
        <f t="shared" si="0"/>
        <v>438014259_1</v>
      </c>
      <c r="D12" s="7">
        <f>COUNTIF($A$1:A12,A12)</f>
        <v>1</v>
      </c>
      <c r="E12" s="7" t="s">
        <v>60</v>
      </c>
      <c r="F12" s="7">
        <f>VLOOKUP(E12,'[1]TIPOLOGIE COMP'!A:B,2,0)</f>
        <v>1</v>
      </c>
      <c r="G12" s="148" t="s">
        <v>91</v>
      </c>
      <c r="H12" s="59" t="s">
        <v>92</v>
      </c>
      <c r="I12" s="59" t="s">
        <v>63</v>
      </c>
      <c r="J12" s="59" t="s">
        <v>64</v>
      </c>
      <c r="K12" s="59">
        <v>0.4849</v>
      </c>
      <c r="L12" s="59" t="s">
        <v>93</v>
      </c>
      <c r="M12" s="59" t="s">
        <v>94</v>
      </c>
      <c r="N12" s="59" t="str">
        <f t="shared" si="1"/>
        <v>438014259</v>
      </c>
    </row>
    <row r="13" spans="1:14" x14ac:dyDescent="0.25">
      <c r="A13" s="59" t="s">
        <v>28</v>
      </c>
      <c r="B13" s="59" t="s">
        <v>26</v>
      </c>
      <c r="C13" s="59" t="str">
        <f t="shared" si="0"/>
        <v>438014259_2</v>
      </c>
      <c r="D13" s="7">
        <f>COUNTIF($A$1:A13,A13)</f>
        <v>2</v>
      </c>
      <c r="E13" s="7" t="s">
        <v>67</v>
      </c>
      <c r="F13" s="7">
        <f>VLOOKUP(E13,'[1]TIPOLOGIE COMP'!A:B,2,0)</f>
        <v>2</v>
      </c>
      <c r="G13" s="148" t="s">
        <v>95</v>
      </c>
      <c r="H13" s="59" t="s">
        <v>96</v>
      </c>
      <c r="I13" s="59" t="s">
        <v>63</v>
      </c>
      <c r="J13" s="59" t="s">
        <v>64</v>
      </c>
      <c r="K13" s="59">
        <v>0.4955</v>
      </c>
      <c r="L13" s="59" t="s">
        <v>93</v>
      </c>
      <c r="M13" s="59" t="s">
        <v>94</v>
      </c>
      <c r="N13" s="59" t="str">
        <f t="shared" si="1"/>
        <v>438014259</v>
      </c>
    </row>
    <row r="14" spans="1:14" x14ac:dyDescent="0.25">
      <c r="A14" s="59" t="s">
        <v>28</v>
      </c>
      <c r="B14" s="59" t="s">
        <v>26</v>
      </c>
      <c r="C14" s="59" t="str">
        <f t="shared" si="0"/>
        <v>438014259_4</v>
      </c>
      <c r="D14" s="7">
        <f>COUNTIF($A$1:A14,A14)</f>
        <v>3</v>
      </c>
      <c r="E14" s="7" t="s">
        <v>70</v>
      </c>
      <c r="F14" s="7">
        <f>VLOOKUP(E14,'[1]TIPOLOGIE COMP'!A:B,2,0)</f>
        <v>4</v>
      </c>
      <c r="G14" s="148" t="s">
        <v>71</v>
      </c>
      <c r="H14" s="59" t="s">
        <v>87</v>
      </c>
      <c r="I14" s="59" t="s">
        <v>63</v>
      </c>
      <c r="J14" s="59" t="s">
        <v>64</v>
      </c>
      <c r="K14" s="59">
        <v>2E-3</v>
      </c>
      <c r="L14" s="59" t="s">
        <v>93</v>
      </c>
      <c r="M14" s="59" t="s">
        <v>94</v>
      </c>
      <c r="N14" s="59" t="str">
        <f t="shared" si="1"/>
        <v>438014259</v>
      </c>
    </row>
    <row r="15" spans="1:14" x14ac:dyDescent="0.25">
      <c r="A15" s="59">
        <v>438014259</v>
      </c>
      <c r="B15" s="59" t="s">
        <v>26</v>
      </c>
      <c r="C15" s="59" t="str">
        <f t="shared" si="0"/>
        <v>438014259_5</v>
      </c>
      <c r="D15" s="7">
        <f>COUNTIF($A$1:A15,A15)</f>
        <v>4</v>
      </c>
      <c r="E15" s="7" t="s">
        <v>73</v>
      </c>
      <c r="F15" s="7">
        <f>VLOOKUP(E15,'[1]TIPOLOGIE COMP'!A:B,2,0)</f>
        <v>5</v>
      </c>
      <c r="G15" s="148" t="s">
        <v>74</v>
      </c>
      <c r="H15" s="59" t="s">
        <v>75</v>
      </c>
      <c r="I15" s="59" t="s">
        <v>63</v>
      </c>
      <c r="J15" s="59" t="s">
        <v>64</v>
      </c>
      <c r="K15" s="59">
        <v>1E-3</v>
      </c>
      <c r="L15" s="59" t="s">
        <v>93</v>
      </c>
      <c r="M15" s="59" t="s">
        <v>94</v>
      </c>
      <c r="N15" s="59">
        <f t="shared" si="1"/>
        <v>438014259</v>
      </c>
    </row>
    <row r="16" spans="1:14" x14ac:dyDescent="0.25">
      <c r="A16" s="59" t="s">
        <v>14</v>
      </c>
      <c r="B16" s="59" t="s">
        <v>12</v>
      </c>
      <c r="C16" s="59" t="str">
        <f t="shared" si="0"/>
        <v>438014261_1</v>
      </c>
      <c r="D16" s="7">
        <f>COUNTIF($A$1:A16,A16)</f>
        <v>1</v>
      </c>
      <c r="E16" s="7" t="s">
        <v>60</v>
      </c>
      <c r="F16" s="7">
        <f>VLOOKUP(E16,'[1]TIPOLOGIE COMP'!A:B,2,0)</f>
        <v>1</v>
      </c>
      <c r="G16" s="148" t="s">
        <v>91</v>
      </c>
      <c r="H16" s="59" t="s">
        <v>92</v>
      </c>
      <c r="I16" s="59" t="s">
        <v>63</v>
      </c>
      <c r="J16" s="59" t="s">
        <v>64</v>
      </c>
      <c r="K16" s="59">
        <v>0.67</v>
      </c>
      <c r="L16" s="59" t="s">
        <v>97</v>
      </c>
      <c r="M16" s="59" t="s">
        <v>98</v>
      </c>
      <c r="N16" s="59" t="str">
        <f t="shared" si="1"/>
        <v>438014261</v>
      </c>
    </row>
    <row r="17" spans="1:14" x14ac:dyDescent="0.25">
      <c r="A17" s="59">
        <v>438014261</v>
      </c>
      <c r="B17" s="59" t="s">
        <v>12</v>
      </c>
      <c r="C17" s="59" t="str">
        <f t="shared" si="0"/>
        <v>438014261_2</v>
      </c>
      <c r="D17" s="7">
        <f>COUNTIF($A$1:A17,A17)</f>
        <v>2</v>
      </c>
      <c r="E17" s="7" t="s">
        <v>67</v>
      </c>
      <c r="F17" s="7">
        <f>VLOOKUP(E17,'[1]TIPOLOGIE COMP'!A:B,2,0)</f>
        <v>2</v>
      </c>
      <c r="G17" s="148" t="s">
        <v>99</v>
      </c>
      <c r="H17" s="59" t="s">
        <v>100</v>
      </c>
      <c r="I17" s="59" t="s">
        <v>63</v>
      </c>
      <c r="J17" s="59" t="s">
        <v>64</v>
      </c>
      <c r="K17" s="59">
        <v>0.31619999999999998</v>
      </c>
      <c r="L17" s="59" t="s">
        <v>97</v>
      </c>
      <c r="M17" s="59" t="s">
        <v>98</v>
      </c>
      <c r="N17" s="59">
        <f t="shared" si="1"/>
        <v>438014261</v>
      </c>
    </row>
    <row r="18" spans="1:14" x14ac:dyDescent="0.25">
      <c r="A18" s="59" t="s">
        <v>14</v>
      </c>
      <c r="B18" s="59" t="s">
        <v>12</v>
      </c>
      <c r="C18" s="59" t="str">
        <f t="shared" si="0"/>
        <v>438014261_4</v>
      </c>
      <c r="D18" s="7">
        <f>COUNTIF($A$1:A18,A18)</f>
        <v>3</v>
      </c>
      <c r="E18" s="7" t="s">
        <v>70</v>
      </c>
      <c r="F18" s="7">
        <f>VLOOKUP(E18,'[1]TIPOLOGIE COMP'!A:B,2,0)</f>
        <v>4</v>
      </c>
      <c r="G18" s="148" t="s">
        <v>71</v>
      </c>
      <c r="H18" s="59" t="s">
        <v>87</v>
      </c>
      <c r="I18" s="59" t="s">
        <v>63</v>
      </c>
      <c r="J18" s="59" t="s">
        <v>64</v>
      </c>
      <c r="K18" s="59">
        <v>1.1999999999999999E-3</v>
      </c>
      <c r="L18" s="59" t="s">
        <v>97</v>
      </c>
      <c r="M18" s="59" t="s">
        <v>98</v>
      </c>
      <c r="N18" s="59" t="str">
        <f t="shared" si="1"/>
        <v>438014261</v>
      </c>
    </row>
    <row r="19" spans="1:14" x14ac:dyDescent="0.25">
      <c r="A19" s="59" t="s">
        <v>14</v>
      </c>
      <c r="B19" s="59" t="s">
        <v>12</v>
      </c>
      <c r="C19" s="59" t="str">
        <f t="shared" si="0"/>
        <v>438014261_5</v>
      </c>
      <c r="D19" s="7">
        <f>COUNTIF($A$1:A19,A19)</f>
        <v>4</v>
      </c>
      <c r="E19" s="7" t="s">
        <v>73</v>
      </c>
      <c r="F19" s="7">
        <f>VLOOKUP(E19,'[1]TIPOLOGIE COMP'!A:B,2,0)</f>
        <v>5</v>
      </c>
      <c r="G19" s="148" t="s">
        <v>74</v>
      </c>
      <c r="H19" s="59" t="s">
        <v>75</v>
      </c>
      <c r="I19" s="59" t="s">
        <v>63</v>
      </c>
      <c r="J19" s="59" t="s">
        <v>64</v>
      </c>
      <c r="K19" s="59">
        <v>1E-3</v>
      </c>
      <c r="L19" s="59" t="s">
        <v>97</v>
      </c>
      <c r="M19" s="59" t="s">
        <v>98</v>
      </c>
      <c r="N19" s="59" t="str">
        <f t="shared" si="1"/>
        <v>438014261</v>
      </c>
    </row>
    <row r="20" spans="1:14" x14ac:dyDescent="0.25">
      <c r="A20" s="59" t="s">
        <v>101</v>
      </c>
      <c r="B20" s="59" t="s">
        <v>102</v>
      </c>
      <c r="C20" s="59" t="str">
        <f t="shared" si="0"/>
        <v>438010844_1</v>
      </c>
      <c r="D20" s="7">
        <f>COUNTIF($A$1:A20,A20)</f>
        <v>1</v>
      </c>
      <c r="E20" s="7" t="s">
        <v>60</v>
      </c>
      <c r="F20" s="7">
        <f>VLOOKUP(E20,'[1]TIPOLOGIE COMP'!A:B,2,0)</f>
        <v>1</v>
      </c>
      <c r="G20" s="59" t="s">
        <v>81</v>
      </c>
      <c r="H20" s="59" t="s">
        <v>62</v>
      </c>
      <c r="I20" s="59" t="s">
        <v>63</v>
      </c>
      <c r="J20" s="59" t="s">
        <v>64</v>
      </c>
      <c r="K20" s="59">
        <v>0.81320000000000003</v>
      </c>
      <c r="L20" s="59" t="s">
        <v>103</v>
      </c>
      <c r="M20" s="59" t="s">
        <v>104</v>
      </c>
      <c r="N20" s="59" t="str">
        <f t="shared" si="1"/>
        <v>438010844</v>
      </c>
    </row>
    <row r="21" spans="1:14" x14ac:dyDescent="0.25">
      <c r="A21" s="59" t="s">
        <v>101</v>
      </c>
      <c r="B21" s="59" t="s">
        <v>102</v>
      </c>
      <c r="C21" s="59" t="str">
        <f t="shared" si="0"/>
        <v>438010844_2</v>
      </c>
      <c r="D21" s="7">
        <f>COUNTIF($A$1:A21,A21)</f>
        <v>2</v>
      </c>
      <c r="E21" s="7" t="s">
        <v>67</v>
      </c>
      <c r="F21" s="7">
        <f>VLOOKUP(E21,'[1]TIPOLOGIE COMP'!A:B,2,0)</f>
        <v>2</v>
      </c>
      <c r="G21" s="59" t="s">
        <v>84</v>
      </c>
      <c r="H21" s="59" t="s">
        <v>85</v>
      </c>
      <c r="I21" s="59" t="s">
        <v>63</v>
      </c>
      <c r="J21" s="59" t="s">
        <v>64</v>
      </c>
      <c r="K21" s="59">
        <v>0.1244</v>
      </c>
      <c r="L21" s="59" t="s">
        <v>103</v>
      </c>
      <c r="M21" s="59" t="s">
        <v>104</v>
      </c>
      <c r="N21" s="59" t="str">
        <f t="shared" si="1"/>
        <v>438010844</v>
      </c>
    </row>
    <row r="22" spans="1:14" x14ac:dyDescent="0.25">
      <c r="A22" s="59" t="s">
        <v>101</v>
      </c>
      <c r="B22" s="59" t="s">
        <v>102</v>
      </c>
      <c r="C22" s="59" t="str">
        <f t="shared" si="0"/>
        <v>438010844_4</v>
      </c>
      <c r="D22" s="7">
        <f>COUNTIF($A$1:A22,A22)</f>
        <v>3</v>
      </c>
      <c r="E22" s="7" t="s">
        <v>70</v>
      </c>
      <c r="F22" s="7">
        <f>VLOOKUP(E22,'[1]TIPOLOGIE COMP'!A:B,2,0)</f>
        <v>4</v>
      </c>
      <c r="G22" s="59" t="s">
        <v>86</v>
      </c>
      <c r="H22" s="59" t="s">
        <v>87</v>
      </c>
      <c r="I22" s="59" t="s">
        <v>63</v>
      </c>
      <c r="J22" s="59" t="s">
        <v>64</v>
      </c>
      <c r="K22" s="59">
        <v>2.3E-3</v>
      </c>
      <c r="L22" s="59" t="s">
        <v>103</v>
      </c>
      <c r="M22" s="59" t="s">
        <v>104</v>
      </c>
      <c r="N22" s="59" t="str">
        <f t="shared" si="1"/>
        <v>438010844</v>
      </c>
    </row>
    <row r="23" spans="1:14" x14ac:dyDescent="0.25">
      <c r="A23" s="59" t="s">
        <v>101</v>
      </c>
      <c r="B23" s="59" t="s">
        <v>102</v>
      </c>
      <c r="C23" s="59" t="str">
        <f t="shared" si="0"/>
        <v>438010844_5</v>
      </c>
      <c r="D23" s="7">
        <f>COUNTIF($A$1:A23,A23)</f>
        <v>4</v>
      </c>
      <c r="E23" s="7" t="s">
        <v>73</v>
      </c>
      <c r="F23" s="7">
        <f>VLOOKUP(E23,'[1]TIPOLOGIE COMP'!A:B,2,0)</f>
        <v>5</v>
      </c>
      <c r="G23" s="59" t="s">
        <v>88</v>
      </c>
      <c r="H23" s="59" t="s">
        <v>75</v>
      </c>
      <c r="I23" s="59" t="s">
        <v>63</v>
      </c>
      <c r="J23" s="59" t="s">
        <v>64</v>
      </c>
      <c r="K23" s="59">
        <v>5.9999999999999995E-4</v>
      </c>
      <c r="L23" s="59" t="s">
        <v>103</v>
      </c>
      <c r="M23" s="59" t="s">
        <v>104</v>
      </c>
      <c r="N23" s="59" t="str">
        <f t="shared" si="1"/>
        <v>438010844</v>
      </c>
    </row>
    <row r="24" spans="1:14" x14ac:dyDescent="0.25">
      <c r="A24" s="59" t="s">
        <v>101</v>
      </c>
      <c r="B24" s="59" t="s">
        <v>102</v>
      </c>
      <c r="C24" s="59" t="str">
        <f t="shared" si="0"/>
        <v>438010844_6</v>
      </c>
      <c r="D24" s="7">
        <f>COUNTIF($A$1:A24,A24)</f>
        <v>5</v>
      </c>
      <c r="E24" s="7" t="s">
        <v>76</v>
      </c>
      <c r="F24" s="7">
        <f>VLOOKUP(E24,'[1]TIPOLOGIE COMP'!A:B,2,0)</f>
        <v>6</v>
      </c>
      <c r="G24" s="59" t="s">
        <v>105</v>
      </c>
      <c r="H24" s="59" t="s">
        <v>78</v>
      </c>
      <c r="I24" s="59" t="s">
        <v>63</v>
      </c>
      <c r="J24" s="59" t="s">
        <v>64</v>
      </c>
      <c r="K24" s="59">
        <v>4.6899999999999997E-2</v>
      </c>
      <c r="L24" s="59" t="s">
        <v>103</v>
      </c>
      <c r="M24" s="59" t="s">
        <v>104</v>
      </c>
      <c r="N24" s="59" t="str">
        <f t="shared" si="1"/>
        <v>438010844</v>
      </c>
    </row>
    <row r="25" spans="1:14" x14ac:dyDescent="0.25">
      <c r="A25" s="59" t="s">
        <v>101</v>
      </c>
      <c r="B25" s="59" t="s">
        <v>102</v>
      </c>
      <c r="C25" s="59" t="str">
        <f t="shared" si="0"/>
        <v>438010844_7</v>
      </c>
      <c r="D25" s="7">
        <f>COUNTIF($A$1:A25,A25)</f>
        <v>6</v>
      </c>
      <c r="E25" s="7" t="s">
        <v>106</v>
      </c>
      <c r="F25" s="7">
        <f>VLOOKUP(E25,'[1]TIPOLOGIE COMP'!A:B,2,0)</f>
        <v>7</v>
      </c>
      <c r="G25" s="59" t="s">
        <v>89</v>
      </c>
      <c r="H25" s="59" t="s">
        <v>90</v>
      </c>
      <c r="I25" s="59" t="s">
        <v>63</v>
      </c>
      <c r="J25" s="59" t="s">
        <v>64</v>
      </c>
      <c r="K25" s="59">
        <v>1.26E-2</v>
      </c>
      <c r="L25" s="59" t="s">
        <v>103</v>
      </c>
      <c r="M25" s="59" t="s">
        <v>104</v>
      </c>
      <c r="N25" s="59" t="str">
        <f t="shared" si="1"/>
        <v>438010844</v>
      </c>
    </row>
    <row r="26" spans="1:14" x14ac:dyDescent="0.25">
      <c r="A26" s="59" t="s">
        <v>107</v>
      </c>
      <c r="B26" s="59" t="s">
        <v>16</v>
      </c>
      <c r="C26" s="59" t="str">
        <f t="shared" si="0"/>
        <v>438011103_1</v>
      </c>
      <c r="D26" s="7">
        <f>COUNTIF($A$1:A26,A26)</f>
        <v>1</v>
      </c>
      <c r="E26" s="7" t="s">
        <v>60</v>
      </c>
      <c r="F26" s="7">
        <f>VLOOKUP(E26,'[1]TIPOLOGIE COMP'!A:B,2,0)</f>
        <v>1</v>
      </c>
      <c r="G26" s="59" t="s">
        <v>108</v>
      </c>
      <c r="H26" s="59" t="s">
        <v>92</v>
      </c>
      <c r="I26" s="59" t="s">
        <v>63</v>
      </c>
      <c r="J26" s="59" t="s">
        <v>64</v>
      </c>
      <c r="K26" s="59">
        <v>0.66010000000000002</v>
      </c>
      <c r="L26" s="59" t="s">
        <v>109</v>
      </c>
      <c r="M26" s="59" t="s">
        <v>110</v>
      </c>
      <c r="N26" s="59" t="str">
        <f t="shared" si="1"/>
        <v>438011103</v>
      </c>
    </row>
    <row r="27" spans="1:14" x14ac:dyDescent="0.25">
      <c r="A27" s="59" t="s">
        <v>107</v>
      </c>
      <c r="B27" s="59" t="s">
        <v>16</v>
      </c>
      <c r="C27" s="59" t="str">
        <f t="shared" si="0"/>
        <v>438011103_2</v>
      </c>
      <c r="D27" s="7">
        <f>COUNTIF($A$1:A27,A27)</f>
        <v>2</v>
      </c>
      <c r="E27" s="7" t="s">
        <v>67</v>
      </c>
      <c r="F27" s="7">
        <f>VLOOKUP(E27,'[1]TIPOLOGIE COMP'!A:B,2,0)</f>
        <v>2</v>
      </c>
      <c r="G27" s="59" t="s">
        <v>111</v>
      </c>
      <c r="H27" s="59" t="s">
        <v>100</v>
      </c>
      <c r="I27" s="59" t="s">
        <v>63</v>
      </c>
      <c r="J27" s="59" t="s">
        <v>64</v>
      </c>
      <c r="K27" s="59">
        <v>0.27589999999999998</v>
      </c>
      <c r="L27" s="59" t="s">
        <v>109</v>
      </c>
      <c r="M27" s="59" t="s">
        <v>110</v>
      </c>
      <c r="N27" s="59" t="str">
        <f t="shared" si="1"/>
        <v>438011103</v>
      </c>
    </row>
    <row r="28" spans="1:14" x14ac:dyDescent="0.25">
      <c r="A28" s="59" t="s">
        <v>107</v>
      </c>
      <c r="B28" s="59" t="s">
        <v>16</v>
      </c>
      <c r="C28" s="59" t="str">
        <f t="shared" si="0"/>
        <v>438011103_4</v>
      </c>
      <c r="D28" s="7">
        <f>COUNTIF($A$1:A28,A28)</f>
        <v>3</v>
      </c>
      <c r="E28" s="7" t="s">
        <v>70</v>
      </c>
      <c r="F28" s="7">
        <f>VLOOKUP(E28,'[1]TIPOLOGIE COMP'!A:B,2,0)</f>
        <v>4</v>
      </c>
      <c r="G28" s="59" t="s">
        <v>86</v>
      </c>
      <c r="H28" s="59" t="s">
        <v>87</v>
      </c>
      <c r="I28" s="59" t="s">
        <v>63</v>
      </c>
      <c r="J28" s="59" t="s">
        <v>64</v>
      </c>
      <c r="K28" s="59">
        <v>1.1999999999999999E-3</v>
      </c>
      <c r="L28" s="59" t="s">
        <v>109</v>
      </c>
      <c r="M28" s="59" t="s">
        <v>110</v>
      </c>
      <c r="N28" s="59" t="str">
        <f t="shared" si="1"/>
        <v>438011103</v>
      </c>
    </row>
    <row r="29" spans="1:14" x14ac:dyDescent="0.25">
      <c r="A29" s="59" t="s">
        <v>107</v>
      </c>
      <c r="B29" s="59" t="s">
        <v>16</v>
      </c>
      <c r="C29" s="59" t="str">
        <f t="shared" si="0"/>
        <v>438011103_5</v>
      </c>
      <c r="D29" s="7">
        <f>COUNTIF($A$1:A29,A29)</f>
        <v>4</v>
      </c>
      <c r="E29" s="7" t="s">
        <v>73</v>
      </c>
      <c r="F29" s="7">
        <f>VLOOKUP(E29,'[1]TIPOLOGIE COMP'!A:B,2,0)</f>
        <v>5</v>
      </c>
      <c r="G29" s="59" t="s">
        <v>88</v>
      </c>
      <c r="H29" s="59" t="s">
        <v>75</v>
      </c>
      <c r="I29" s="59" t="s">
        <v>63</v>
      </c>
      <c r="J29" s="59" t="s">
        <v>64</v>
      </c>
      <c r="K29" s="59">
        <v>1E-3</v>
      </c>
      <c r="L29" s="59" t="s">
        <v>109</v>
      </c>
      <c r="M29" s="59" t="s">
        <v>110</v>
      </c>
      <c r="N29" s="59" t="str">
        <f t="shared" si="1"/>
        <v>438011103</v>
      </c>
    </row>
    <row r="30" spans="1:14" x14ac:dyDescent="0.25">
      <c r="A30" s="59" t="s">
        <v>107</v>
      </c>
      <c r="B30" s="59" t="s">
        <v>16</v>
      </c>
      <c r="C30" s="59" t="str">
        <f t="shared" si="0"/>
        <v>438011103_6</v>
      </c>
      <c r="D30" s="7">
        <f>COUNTIF($A$1:A30,A30)</f>
        <v>5</v>
      </c>
      <c r="E30" s="7" t="s">
        <v>76</v>
      </c>
      <c r="F30" s="7">
        <f>VLOOKUP(E30,'[1]TIPOLOGIE COMP'!A:B,2,0)</f>
        <v>6</v>
      </c>
      <c r="G30" s="59" t="s">
        <v>105</v>
      </c>
      <c r="H30" s="59" t="s">
        <v>78</v>
      </c>
      <c r="I30" s="59" t="s">
        <v>63</v>
      </c>
      <c r="J30" s="59" t="s">
        <v>64</v>
      </c>
      <c r="K30" s="59">
        <v>5.0200000000000002E-2</v>
      </c>
      <c r="L30" s="59" t="s">
        <v>109</v>
      </c>
      <c r="M30" s="59" t="s">
        <v>110</v>
      </c>
      <c r="N30" s="59" t="str">
        <f t="shared" si="1"/>
        <v>438011103</v>
      </c>
    </row>
    <row r="31" spans="1:14" x14ac:dyDescent="0.25">
      <c r="A31" s="59" t="s">
        <v>107</v>
      </c>
      <c r="B31" s="59" t="s">
        <v>16</v>
      </c>
      <c r="C31" s="59" t="str">
        <f t="shared" si="0"/>
        <v>438011103_7</v>
      </c>
      <c r="D31" s="7">
        <f>COUNTIF($A$1:A31,A31)</f>
        <v>6</v>
      </c>
      <c r="E31" s="7" t="s">
        <v>106</v>
      </c>
      <c r="F31" s="7">
        <f>VLOOKUP(E31,'[1]TIPOLOGIE COMP'!A:B,2,0)</f>
        <v>7</v>
      </c>
      <c r="G31" s="59" t="s">
        <v>89</v>
      </c>
      <c r="H31" s="59" t="s">
        <v>90</v>
      </c>
      <c r="I31" s="59" t="s">
        <v>63</v>
      </c>
      <c r="J31" s="59" t="s">
        <v>64</v>
      </c>
      <c r="K31" s="59">
        <v>1.1599999999999999E-2</v>
      </c>
      <c r="L31" s="59" t="s">
        <v>109</v>
      </c>
      <c r="M31" s="59" t="s">
        <v>110</v>
      </c>
      <c r="N31" s="59" t="str">
        <f t="shared" si="1"/>
        <v>438011103</v>
      </c>
    </row>
    <row r="32" spans="1:14" x14ac:dyDescent="0.25">
      <c r="A32" s="59" t="s">
        <v>112</v>
      </c>
      <c r="B32" s="59" t="s">
        <v>113</v>
      </c>
      <c r="C32" s="59" t="str">
        <f t="shared" si="0"/>
        <v>438011345_1</v>
      </c>
      <c r="D32" s="7">
        <f>COUNTIF($A$1:A32,A32)</f>
        <v>1</v>
      </c>
      <c r="E32" s="7" t="s">
        <v>60</v>
      </c>
      <c r="F32" s="7">
        <f>VLOOKUP(E32,'[1]TIPOLOGIE COMP'!A:B,2,0)</f>
        <v>1</v>
      </c>
      <c r="G32" s="59" t="s">
        <v>114</v>
      </c>
      <c r="H32" s="59" t="s">
        <v>115</v>
      </c>
      <c r="I32" s="59" t="s">
        <v>63</v>
      </c>
      <c r="J32" s="59" t="s">
        <v>64</v>
      </c>
      <c r="K32" s="59">
        <v>0.6593</v>
      </c>
      <c r="L32" s="59" t="s">
        <v>116</v>
      </c>
      <c r="M32" s="59" t="s">
        <v>117</v>
      </c>
      <c r="N32" s="59" t="str">
        <f t="shared" si="1"/>
        <v>438011345</v>
      </c>
    </row>
    <row r="33" spans="1:14" x14ac:dyDescent="0.25">
      <c r="A33" s="59" t="s">
        <v>112</v>
      </c>
      <c r="B33" s="59" t="s">
        <v>113</v>
      </c>
      <c r="C33" s="59" t="str">
        <f t="shared" si="0"/>
        <v>438011345_2</v>
      </c>
      <c r="D33" s="7">
        <f>COUNTIF($A$1:A33,A33)</f>
        <v>2</v>
      </c>
      <c r="E33" s="7" t="s">
        <v>67</v>
      </c>
      <c r="F33" s="7">
        <f>VLOOKUP(E33,'[1]TIPOLOGIE COMP'!A:B,2,0)</f>
        <v>2</v>
      </c>
      <c r="G33" s="59" t="s">
        <v>118</v>
      </c>
      <c r="H33" s="59" t="s">
        <v>119</v>
      </c>
      <c r="I33" s="59" t="s">
        <v>63</v>
      </c>
      <c r="J33" s="59" t="s">
        <v>64</v>
      </c>
      <c r="K33" s="59">
        <v>0.26040000000000002</v>
      </c>
      <c r="L33" s="59" t="s">
        <v>116</v>
      </c>
      <c r="M33" s="59" t="s">
        <v>117</v>
      </c>
      <c r="N33" s="59" t="str">
        <f t="shared" si="1"/>
        <v>438011345</v>
      </c>
    </row>
    <row r="34" spans="1:14" x14ac:dyDescent="0.25">
      <c r="A34" s="59" t="s">
        <v>112</v>
      </c>
      <c r="B34" s="59" t="s">
        <v>113</v>
      </c>
      <c r="C34" s="59" t="str">
        <f t="shared" si="0"/>
        <v>438011345_3</v>
      </c>
      <c r="D34" s="7">
        <f>COUNTIF($A$1:A34,A34)</f>
        <v>3</v>
      </c>
      <c r="E34" s="7" t="s">
        <v>120</v>
      </c>
      <c r="F34" s="7">
        <f>VLOOKUP(E34,'[1]TIPOLOGIE COMP'!A:B,2,0)</f>
        <v>3</v>
      </c>
      <c r="G34" s="59" t="s">
        <v>121</v>
      </c>
      <c r="H34" s="59" t="s">
        <v>122</v>
      </c>
      <c r="I34" s="59" t="s">
        <v>63</v>
      </c>
      <c r="J34" s="59" t="s">
        <v>64</v>
      </c>
      <c r="K34" s="59">
        <v>6.0699999999999997E-2</v>
      </c>
      <c r="L34" s="59" t="s">
        <v>116</v>
      </c>
      <c r="M34" s="59" t="s">
        <v>117</v>
      </c>
      <c r="N34" s="59" t="str">
        <f t="shared" si="1"/>
        <v>438011345</v>
      </c>
    </row>
    <row r="35" spans="1:14" x14ac:dyDescent="0.25">
      <c r="A35" s="59" t="s">
        <v>112</v>
      </c>
      <c r="B35" s="59" t="s">
        <v>113</v>
      </c>
      <c r="C35" s="59" t="str">
        <f t="shared" si="0"/>
        <v>438011345_4</v>
      </c>
      <c r="D35" s="7">
        <f>COUNTIF($A$1:A35,A35)</f>
        <v>4</v>
      </c>
      <c r="E35" s="7" t="s">
        <v>70</v>
      </c>
      <c r="F35" s="7">
        <f>VLOOKUP(E35,'[1]TIPOLOGIE COMP'!A:B,2,0)</f>
        <v>4</v>
      </c>
      <c r="G35" s="59" t="s">
        <v>86</v>
      </c>
      <c r="H35" s="59" t="s">
        <v>87</v>
      </c>
      <c r="I35" s="59" t="s">
        <v>63</v>
      </c>
      <c r="J35" s="59" t="s">
        <v>64</v>
      </c>
      <c r="K35" s="59">
        <v>6.9999999999999999E-4</v>
      </c>
      <c r="L35" s="59" t="s">
        <v>116</v>
      </c>
      <c r="M35" s="59" t="s">
        <v>117</v>
      </c>
      <c r="N35" s="59" t="str">
        <f t="shared" si="1"/>
        <v>438011345</v>
      </c>
    </row>
    <row r="36" spans="1:14" x14ac:dyDescent="0.25">
      <c r="A36" s="59" t="s">
        <v>112</v>
      </c>
      <c r="B36" s="59" t="s">
        <v>113</v>
      </c>
      <c r="C36" s="59" t="str">
        <f t="shared" si="0"/>
        <v>438011345_5</v>
      </c>
      <c r="D36" s="7">
        <f>COUNTIF($A$1:A36,A36)</f>
        <v>5</v>
      </c>
      <c r="E36" s="7" t="s">
        <v>73</v>
      </c>
      <c r="F36" s="7">
        <f>VLOOKUP(E36,'[1]TIPOLOGIE COMP'!A:B,2,0)</f>
        <v>5</v>
      </c>
      <c r="G36" s="59" t="s">
        <v>123</v>
      </c>
      <c r="H36" s="59" t="s">
        <v>124</v>
      </c>
      <c r="I36" s="59" t="s">
        <v>63</v>
      </c>
      <c r="J36" s="59" t="s">
        <v>64</v>
      </c>
      <c r="K36" s="59">
        <v>4.8999999999999998E-3</v>
      </c>
      <c r="L36" s="59" t="s">
        <v>116</v>
      </c>
      <c r="M36" s="59" t="s">
        <v>117</v>
      </c>
      <c r="N36" s="59" t="str">
        <f t="shared" si="1"/>
        <v>438011345</v>
      </c>
    </row>
    <row r="37" spans="1:14" x14ac:dyDescent="0.25">
      <c r="A37" s="59" t="s">
        <v>112</v>
      </c>
      <c r="B37" s="59" t="s">
        <v>113</v>
      </c>
      <c r="C37" s="59" t="str">
        <f t="shared" si="0"/>
        <v>438011345_6</v>
      </c>
      <c r="D37" s="7">
        <f>COUNTIF($A$1:A37,A37)</f>
        <v>6</v>
      </c>
      <c r="E37" s="7" t="s">
        <v>76</v>
      </c>
      <c r="F37" s="7">
        <f>VLOOKUP(E37,'[1]TIPOLOGIE COMP'!A:B,2,0)</f>
        <v>6</v>
      </c>
      <c r="G37" s="59" t="s">
        <v>89</v>
      </c>
      <c r="H37" s="59" t="s">
        <v>90</v>
      </c>
      <c r="I37" s="59" t="s">
        <v>63</v>
      </c>
      <c r="J37" s="59" t="s">
        <v>64</v>
      </c>
      <c r="K37" s="59">
        <v>1.41E-2</v>
      </c>
      <c r="L37" s="59" t="s">
        <v>116</v>
      </c>
      <c r="M37" s="59" t="s">
        <v>117</v>
      </c>
      <c r="N37" s="59" t="str">
        <f t="shared" si="1"/>
        <v>438011345</v>
      </c>
    </row>
    <row r="38" spans="1:14" x14ac:dyDescent="0.25">
      <c r="A38" s="59" t="s">
        <v>125</v>
      </c>
      <c r="B38" s="59" t="s">
        <v>126</v>
      </c>
      <c r="C38" s="59" t="str">
        <f t="shared" si="0"/>
        <v>438011346_1</v>
      </c>
      <c r="D38" s="7">
        <f>COUNTIF($A$1:A38,A38)</f>
        <v>1</v>
      </c>
      <c r="E38" s="7" t="s">
        <v>60</v>
      </c>
      <c r="F38" s="7">
        <f>VLOOKUP(E38,'[1]TIPOLOGIE COMP'!A:B,2,0)</f>
        <v>1</v>
      </c>
      <c r="G38" s="59" t="s">
        <v>114</v>
      </c>
      <c r="H38" s="59" t="s">
        <v>115</v>
      </c>
      <c r="I38" s="59" t="s">
        <v>63</v>
      </c>
      <c r="J38" s="59" t="s">
        <v>64</v>
      </c>
      <c r="K38" s="59">
        <v>0.45019999999999999</v>
      </c>
      <c r="L38" s="59" t="s">
        <v>127</v>
      </c>
      <c r="M38" s="59" t="s">
        <v>128</v>
      </c>
      <c r="N38" s="59" t="str">
        <f t="shared" si="1"/>
        <v>438011346</v>
      </c>
    </row>
    <row r="39" spans="1:14" x14ac:dyDescent="0.25">
      <c r="A39" s="59" t="s">
        <v>125</v>
      </c>
      <c r="B39" s="59" t="s">
        <v>126</v>
      </c>
      <c r="C39" s="59" t="str">
        <f t="shared" si="0"/>
        <v>438011346_2</v>
      </c>
      <c r="D39" s="7">
        <f>COUNTIF($A$1:A39,A39)</f>
        <v>2</v>
      </c>
      <c r="E39" s="7" t="s">
        <v>67</v>
      </c>
      <c r="F39" s="7">
        <f>VLOOKUP(E39,'[1]TIPOLOGIE COMP'!A:B,2,0)</f>
        <v>2</v>
      </c>
      <c r="G39" s="59" t="s">
        <v>118</v>
      </c>
      <c r="H39" s="59" t="s">
        <v>119</v>
      </c>
      <c r="I39" s="59" t="s">
        <v>63</v>
      </c>
      <c r="J39" s="59" t="s">
        <v>64</v>
      </c>
      <c r="K39" s="59">
        <v>0.51190000000000002</v>
      </c>
      <c r="L39" s="59" t="s">
        <v>127</v>
      </c>
      <c r="M39" s="59" t="s">
        <v>128</v>
      </c>
      <c r="N39" s="59" t="str">
        <f t="shared" si="1"/>
        <v>438011346</v>
      </c>
    </row>
    <row r="40" spans="1:14" x14ac:dyDescent="0.25">
      <c r="A40" s="59" t="s">
        <v>125</v>
      </c>
      <c r="B40" s="59" t="s">
        <v>126</v>
      </c>
      <c r="C40" s="59" t="str">
        <f t="shared" si="0"/>
        <v>438011346_3</v>
      </c>
      <c r="D40" s="7">
        <f>COUNTIF($A$1:A40,A40)</f>
        <v>3</v>
      </c>
      <c r="E40" s="7" t="s">
        <v>120</v>
      </c>
      <c r="F40" s="7">
        <f>VLOOKUP(E40,'[1]TIPOLOGIE COMP'!A:B,2,0)</f>
        <v>3</v>
      </c>
      <c r="G40" s="59" t="s">
        <v>121</v>
      </c>
      <c r="H40" s="59" t="s">
        <v>122</v>
      </c>
      <c r="I40" s="59" t="s">
        <v>63</v>
      </c>
      <c r="J40" s="59" t="s">
        <v>64</v>
      </c>
      <c r="K40" s="59">
        <v>1.35E-2</v>
      </c>
      <c r="L40" s="59" t="s">
        <v>127</v>
      </c>
      <c r="M40" s="59" t="s">
        <v>128</v>
      </c>
      <c r="N40" s="59" t="str">
        <f t="shared" si="1"/>
        <v>438011346</v>
      </c>
    </row>
    <row r="41" spans="1:14" x14ac:dyDescent="0.25">
      <c r="A41" s="59" t="s">
        <v>125</v>
      </c>
      <c r="B41" s="59" t="s">
        <v>126</v>
      </c>
      <c r="C41" s="59" t="str">
        <f t="shared" si="0"/>
        <v>438011346_4</v>
      </c>
      <c r="D41" s="7">
        <f>COUNTIF($A$1:A41,A41)</f>
        <v>4</v>
      </c>
      <c r="E41" s="7" t="s">
        <v>70</v>
      </c>
      <c r="F41" s="7">
        <f>VLOOKUP(E41,'[1]TIPOLOGIE COMP'!A:B,2,0)</f>
        <v>4</v>
      </c>
      <c r="G41" s="59" t="s">
        <v>86</v>
      </c>
      <c r="H41" s="59" t="s">
        <v>87</v>
      </c>
      <c r="I41" s="59" t="s">
        <v>63</v>
      </c>
      <c r="J41" s="59" t="s">
        <v>64</v>
      </c>
      <c r="K41" s="59">
        <v>1E-3</v>
      </c>
      <c r="L41" s="59" t="s">
        <v>127</v>
      </c>
      <c r="M41" s="59" t="s">
        <v>128</v>
      </c>
      <c r="N41" s="59" t="str">
        <f t="shared" si="1"/>
        <v>438011346</v>
      </c>
    </row>
    <row r="42" spans="1:14" x14ac:dyDescent="0.25">
      <c r="A42" s="59" t="s">
        <v>125</v>
      </c>
      <c r="B42" s="59" t="s">
        <v>126</v>
      </c>
      <c r="C42" s="59" t="str">
        <f t="shared" si="0"/>
        <v>438011346_5</v>
      </c>
      <c r="D42" s="7">
        <f>COUNTIF($A$1:A42,A42)</f>
        <v>5</v>
      </c>
      <c r="E42" s="7" t="s">
        <v>73</v>
      </c>
      <c r="F42" s="7">
        <f>VLOOKUP(E42,'[1]TIPOLOGIE COMP'!A:B,2,0)</f>
        <v>5</v>
      </c>
      <c r="G42" s="59" t="s">
        <v>123</v>
      </c>
      <c r="H42" s="59" t="s">
        <v>124</v>
      </c>
      <c r="I42" s="59" t="s">
        <v>63</v>
      </c>
      <c r="J42" s="59" t="s">
        <v>64</v>
      </c>
      <c r="K42" s="59">
        <v>4.8999999999999998E-3</v>
      </c>
      <c r="L42" s="59" t="s">
        <v>127</v>
      </c>
      <c r="M42" s="59" t="s">
        <v>128</v>
      </c>
      <c r="N42" s="59" t="str">
        <f t="shared" si="1"/>
        <v>438011346</v>
      </c>
    </row>
    <row r="43" spans="1:14" x14ac:dyDescent="0.25">
      <c r="A43" s="59" t="s">
        <v>125</v>
      </c>
      <c r="B43" s="59" t="s">
        <v>126</v>
      </c>
      <c r="C43" s="59" t="str">
        <f t="shared" si="0"/>
        <v>438011346_6</v>
      </c>
      <c r="D43" s="7">
        <f>COUNTIF($A$1:A43,A43)</f>
        <v>6</v>
      </c>
      <c r="E43" s="7" t="s">
        <v>76</v>
      </c>
      <c r="F43" s="7">
        <f>VLOOKUP(E43,'[1]TIPOLOGIE COMP'!A:B,2,0)</f>
        <v>6</v>
      </c>
      <c r="G43" s="59" t="s">
        <v>89</v>
      </c>
      <c r="H43" s="59" t="s">
        <v>90</v>
      </c>
      <c r="I43" s="59" t="s">
        <v>63</v>
      </c>
      <c r="J43" s="59" t="s">
        <v>64</v>
      </c>
      <c r="K43" s="59">
        <v>1.8499999999999999E-2</v>
      </c>
      <c r="L43" s="59" t="s">
        <v>127</v>
      </c>
      <c r="M43" s="59" t="s">
        <v>128</v>
      </c>
      <c r="N43" s="59" t="str">
        <f t="shared" si="1"/>
        <v>438011346</v>
      </c>
    </row>
    <row r="44" spans="1:14" x14ac:dyDescent="0.25">
      <c r="A44" s="59" t="s">
        <v>129</v>
      </c>
      <c r="B44" s="59" t="s">
        <v>130</v>
      </c>
      <c r="C44" s="59" t="str">
        <f t="shared" si="0"/>
        <v>438011585_1</v>
      </c>
      <c r="D44" s="7">
        <f>COUNTIF($A$1:A44,A44)</f>
        <v>1</v>
      </c>
      <c r="E44" s="7" t="s">
        <v>60</v>
      </c>
      <c r="F44" s="7">
        <f>VLOOKUP(E44,'[1]TIPOLOGIE COMP'!A:B,2,0)</f>
        <v>1</v>
      </c>
      <c r="G44" s="59" t="s">
        <v>81</v>
      </c>
      <c r="H44" s="59" t="s">
        <v>62</v>
      </c>
      <c r="I44" s="59" t="s">
        <v>63</v>
      </c>
      <c r="J44" s="59" t="s">
        <v>64</v>
      </c>
      <c r="K44" s="59">
        <v>0.66669999999999996</v>
      </c>
      <c r="L44" s="59" t="s">
        <v>131</v>
      </c>
      <c r="M44" s="59" t="s">
        <v>132</v>
      </c>
      <c r="N44" s="59" t="str">
        <f t="shared" si="1"/>
        <v>438011585</v>
      </c>
    </row>
    <row r="45" spans="1:14" x14ac:dyDescent="0.25">
      <c r="A45" s="59" t="s">
        <v>129</v>
      </c>
      <c r="B45" s="59" t="s">
        <v>130</v>
      </c>
      <c r="C45" s="59" t="str">
        <f t="shared" si="0"/>
        <v>438011585_2</v>
      </c>
      <c r="D45" s="7">
        <f>COUNTIF($A$1:A45,A45)</f>
        <v>2</v>
      </c>
      <c r="E45" s="7" t="s">
        <v>67</v>
      </c>
      <c r="F45" s="7">
        <f>VLOOKUP(E45,'[1]TIPOLOGIE COMP'!A:B,2,0)</f>
        <v>2</v>
      </c>
      <c r="G45" s="59" t="s">
        <v>133</v>
      </c>
      <c r="H45" s="59" t="s">
        <v>134</v>
      </c>
      <c r="I45" s="59" t="s">
        <v>63</v>
      </c>
      <c r="J45" s="59" t="s">
        <v>64</v>
      </c>
      <c r="K45" s="59">
        <v>0.2984</v>
      </c>
      <c r="L45" s="59" t="s">
        <v>131</v>
      </c>
      <c r="M45" s="59" t="s">
        <v>132</v>
      </c>
      <c r="N45" s="59" t="str">
        <f t="shared" si="1"/>
        <v>438011585</v>
      </c>
    </row>
    <row r="46" spans="1:14" x14ac:dyDescent="0.25">
      <c r="A46" s="59" t="s">
        <v>129</v>
      </c>
      <c r="B46" s="59" t="s">
        <v>130</v>
      </c>
      <c r="C46" s="59" t="str">
        <f t="shared" si="0"/>
        <v>438011585_4</v>
      </c>
      <c r="D46" s="7">
        <f>COUNTIF($A$1:A46,A46)</f>
        <v>3</v>
      </c>
      <c r="E46" s="7" t="s">
        <v>70</v>
      </c>
      <c r="F46" s="7">
        <f>VLOOKUP(E46,'[1]TIPOLOGIE COMP'!A:B,2,0)</f>
        <v>4</v>
      </c>
      <c r="G46" s="59" t="s">
        <v>135</v>
      </c>
      <c r="H46" s="59" t="s">
        <v>72</v>
      </c>
      <c r="I46" s="59" t="s">
        <v>63</v>
      </c>
      <c r="J46" s="59" t="s">
        <v>64</v>
      </c>
      <c r="K46" s="59">
        <v>4.4999999999999997E-3</v>
      </c>
      <c r="L46" s="59" t="s">
        <v>131</v>
      </c>
      <c r="M46" s="59" t="s">
        <v>132</v>
      </c>
      <c r="N46" s="59" t="str">
        <f t="shared" si="1"/>
        <v>438011585</v>
      </c>
    </row>
    <row r="47" spans="1:14" x14ac:dyDescent="0.25">
      <c r="A47" s="59" t="s">
        <v>129</v>
      </c>
      <c r="B47" s="59" t="s">
        <v>130</v>
      </c>
      <c r="C47" s="59" t="str">
        <f t="shared" si="0"/>
        <v>438011585_5</v>
      </c>
      <c r="D47" s="7">
        <f>COUNTIF($A$1:A47,A47)</f>
        <v>4</v>
      </c>
      <c r="E47" s="7" t="s">
        <v>73</v>
      </c>
      <c r="F47" s="7">
        <f>VLOOKUP(E47,'[1]TIPOLOGIE COMP'!A:B,2,0)</f>
        <v>5</v>
      </c>
      <c r="G47" s="59" t="s">
        <v>88</v>
      </c>
      <c r="H47" s="59" t="s">
        <v>75</v>
      </c>
      <c r="I47" s="59" t="s">
        <v>63</v>
      </c>
      <c r="J47" s="59" t="s">
        <v>64</v>
      </c>
      <c r="K47" s="59">
        <v>5.9999999999999995E-4</v>
      </c>
      <c r="L47" s="59" t="s">
        <v>131</v>
      </c>
      <c r="M47" s="59" t="s">
        <v>132</v>
      </c>
      <c r="N47" s="59" t="str">
        <f t="shared" si="1"/>
        <v>438011585</v>
      </c>
    </row>
    <row r="48" spans="1:14" x14ac:dyDescent="0.25">
      <c r="A48" s="59" t="s">
        <v>129</v>
      </c>
      <c r="B48" s="59" t="s">
        <v>130</v>
      </c>
      <c r="C48" s="59" t="str">
        <f t="shared" si="0"/>
        <v>438011585_6</v>
      </c>
      <c r="D48" s="7">
        <f>COUNTIF($A$1:A48,A48)</f>
        <v>5</v>
      </c>
      <c r="E48" s="7" t="s">
        <v>76</v>
      </c>
      <c r="F48" s="7">
        <f>VLOOKUP(E48,'[1]TIPOLOGIE COMP'!A:B,2,0)</f>
        <v>6</v>
      </c>
      <c r="G48" s="59" t="s">
        <v>105</v>
      </c>
      <c r="H48" s="59" t="s">
        <v>78</v>
      </c>
      <c r="I48" s="59" t="s">
        <v>63</v>
      </c>
      <c r="J48" s="59" t="s">
        <v>64</v>
      </c>
      <c r="K48" s="59">
        <v>2.98E-2</v>
      </c>
      <c r="L48" s="59" t="s">
        <v>131</v>
      </c>
      <c r="M48" s="59" t="s">
        <v>132</v>
      </c>
      <c r="N48" s="59" t="str">
        <f t="shared" si="1"/>
        <v>438011585</v>
      </c>
    </row>
    <row r="49" spans="1:14" x14ac:dyDescent="0.25">
      <c r="A49" s="59" t="s">
        <v>136</v>
      </c>
      <c r="B49" s="59" t="s">
        <v>137</v>
      </c>
      <c r="C49" s="59" t="str">
        <f t="shared" si="0"/>
        <v>438011586_1</v>
      </c>
      <c r="D49" s="7">
        <f>COUNTIF($A$1:A49,A49)</f>
        <v>1</v>
      </c>
      <c r="E49" s="7" t="s">
        <v>60</v>
      </c>
      <c r="F49" s="7">
        <f>VLOOKUP(E49,'[1]TIPOLOGIE COMP'!A:B,2,0)</f>
        <v>1</v>
      </c>
      <c r="G49" s="59" t="s">
        <v>81</v>
      </c>
      <c r="H49" s="59" t="s">
        <v>62</v>
      </c>
      <c r="I49" s="59" t="s">
        <v>63</v>
      </c>
      <c r="J49" s="59" t="s">
        <v>64</v>
      </c>
      <c r="K49" s="59">
        <v>0.62660000000000005</v>
      </c>
      <c r="L49" s="59" t="s">
        <v>138</v>
      </c>
      <c r="M49" s="59" t="s">
        <v>139</v>
      </c>
      <c r="N49" s="59" t="str">
        <f t="shared" si="1"/>
        <v>438011586</v>
      </c>
    </row>
    <row r="50" spans="1:14" x14ac:dyDescent="0.25">
      <c r="A50" s="59" t="s">
        <v>136</v>
      </c>
      <c r="B50" s="59" t="s">
        <v>137</v>
      </c>
      <c r="C50" s="59" t="str">
        <f t="shared" si="0"/>
        <v>438011586_2</v>
      </c>
      <c r="D50" s="7">
        <f>COUNTIF($A$1:A50,A50)</f>
        <v>2</v>
      </c>
      <c r="E50" s="7" t="s">
        <v>67</v>
      </c>
      <c r="F50" s="7">
        <f>VLOOKUP(E50,'[1]TIPOLOGIE COMP'!A:B,2,0)</f>
        <v>2</v>
      </c>
      <c r="G50" s="59" t="s">
        <v>140</v>
      </c>
      <c r="H50" s="59" t="s">
        <v>141</v>
      </c>
      <c r="I50" s="59" t="s">
        <v>63</v>
      </c>
      <c r="J50" s="59" t="s">
        <v>64</v>
      </c>
      <c r="K50" s="59">
        <v>0.34899999999999998</v>
      </c>
      <c r="L50" s="59" t="s">
        <v>138</v>
      </c>
      <c r="M50" s="59" t="s">
        <v>139</v>
      </c>
      <c r="N50" s="59" t="str">
        <f t="shared" si="1"/>
        <v>438011586</v>
      </c>
    </row>
    <row r="51" spans="1:14" x14ac:dyDescent="0.25">
      <c r="A51" s="59" t="s">
        <v>136</v>
      </c>
      <c r="B51" s="59" t="s">
        <v>137</v>
      </c>
      <c r="C51" s="59" t="str">
        <f t="shared" si="0"/>
        <v>438011586_4</v>
      </c>
      <c r="D51" s="7">
        <f>COUNTIF($A$1:A51,A51)</f>
        <v>3</v>
      </c>
      <c r="E51" s="7" t="s">
        <v>70</v>
      </c>
      <c r="F51" s="7">
        <f>VLOOKUP(E51,'[1]TIPOLOGIE COMP'!A:B,2,0)</f>
        <v>4</v>
      </c>
      <c r="G51" s="59" t="s">
        <v>86</v>
      </c>
      <c r="H51" s="59" t="s">
        <v>87</v>
      </c>
      <c r="I51" s="59" t="s">
        <v>63</v>
      </c>
      <c r="J51" s="59" t="s">
        <v>64</v>
      </c>
      <c r="K51" s="59">
        <v>3.7000000000000002E-3</v>
      </c>
      <c r="L51" s="59" t="s">
        <v>138</v>
      </c>
      <c r="M51" s="59" t="s">
        <v>139</v>
      </c>
      <c r="N51" s="59" t="str">
        <f t="shared" si="1"/>
        <v>438011586</v>
      </c>
    </row>
    <row r="52" spans="1:14" x14ac:dyDescent="0.25">
      <c r="A52" s="59" t="s">
        <v>136</v>
      </c>
      <c r="B52" s="59" t="s">
        <v>137</v>
      </c>
      <c r="C52" s="59" t="str">
        <f t="shared" si="0"/>
        <v>438011586_5</v>
      </c>
      <c r="D52" s="7">
        <f>COUNTIF($A$1:A52,A52)</f>
        <v>4</v>
      </c>
      <c r="E52" s="7" t="s">
        <v>73</v>
      </c>
      <c r="F52" s="7">
        <f>VLOOKUP(E52,'[1]TIPOLOGIE COMP'!A:B,2,0)</f>
        <v>5</v>
      </c>
      <c r="G52" s="59" t="s">
        <v>142</v>
      </c>
      <c r="H52" s="59" t="s">
        <v>143</v>
      </c>
      <c r="I52" s="59" t="s">
        <v>63</v>
      </c>
      <c r="J52" s="59" t="s">
        <v>64</v>
      </c>
      <c r="K52" s="59">
        <v>4.8999999999999998E-3</v>
      </c>
      <c r="L52" s="59" t="s">
        <v>138</v>
      </c>
      <c r="M52" s="59" t="s">
        <v>139</v>
      </c>
      <c r="N52" s="59" t="str">
        <f t="shared" si="1"/>
        <v>438011586</v>
      </c>
    </row>
    <row r="53" spans="1:14" x14ac:dyDescent="0.25">
      <c r="A53" s="59" t="s">
        <v>136</v>
      </c>
      <c r="B53" s="59" t="s">
        <v>137</v>
      </c>
      <c r="C53" s="59" t="str">
        <f t="shared" si="0"/>
        <v>438011586_6</v>
      </c>
      <c r="D53" s="7">
        <f>COUNTIF($A$1:A53,A53)</f>
        <v>5</v>
      </c>
      <c r="E53" s="7" t="s">
        <v>76</v>
      </c>
      <c r="F53" s="7">
        <f>VLOOKUP(E53,'[1]TIPOLOGIE COMP'!A:B,2,0)</f>
        <v>6</v>
      </c>
      <c r="G53" s="59" t="s">
        <v>89</v>
      </c>
      <c r="H53" s="59" t="s">
        <v>90</v>
      </c>
      <c r="I53" s="59" t="s">
        <v>63</v>
      </c>
      <c r="J53" s="59" t="s">
        <v>64</v>
      </c>
      <c r="K53" s="59">
        <v>1.5900000000000001E-2</v>
      </c>
      <c r="L53" s="59" t="s">
        <v>138</v>
      </c>
      <c r="M53" s="59" t="s">
        <v>139</v>
      </c>
      <c r="N53" s="59" t="str">
        <f t="shared" si="1"/>
        <v>438011586</v>
      </c>
    </row>
    <row r="54" spans="1:14" x14ac:dyDescent="0.25">
      <c r="A54" s="59" t="s">
        <v>144</v>
      </c>
      <c r="B54" s="59" t="s">
        <v>145</v>
      </c>
      <c r="C54" s="59" t="str">
        <f t="shared" si="0"/>
        <v>438011587_1</v>
      </c>
      <c r="D54" s="7">
        <f>COUNTIF($A$1:A54,A54)</f>
        <v>1</v>
      </c>
      <c r="E54" s="7" t="s">
        <v>60</v>
      </c>
      <c r="F54" s="7">
        <f>VLOOKUP(E54,'[1]TIPOLOGIE COMP'!A:B,2,0)</f>
        <v>1</v>
      </c>
      <c r="G54" s="59" t="s">
        <v>81</v>
      </c>
      <c r="H54" s="59" t="s">
        <v>62</v>
      </c>
      <c r="I54" s="59" t="s">
        <v>63</v>
      </c>
      <c r="J54" s="59" t="s">
        <v>64</v>
      </c>
      <c r="K54" s="59">
        <v>0.6371</v>
      </c>
      <c r="L54" s="59" t="s">
        <v>146</v>
      </c>
      <c r="M54" s="59" t="s">
        <v>147</v>
      </c>
      <c r="N54" s="59" t="str">
        <f t="shared" si="1"/>
        <v>438011587</v>
      </c>
    </row>
    <row r="55" spans="1:14" x14ac:dyDescent="0.25">
      <c r="A55" s="59" t="s">
        <v>144</v>
      </c>
      <c r="B55" s="59" t="s">
        <v>145</v>
      </c>
      <c r="C55" s="59" t="str">
        <f t="shared" si="0"/>
        <v>438011587_2</v>
      </c>
      <c r="D55" s="7">
        <f>COUNTIF($A$1:A55,A55)</f>
        <v>2</v>
      </c>
      <c r="E55" s="7" t="s">
        <v>67</v>
      </c>
      <c r="F55" s="7">
        <f>VLOOKUP(E55,'[1]TIPOLOGIE COMP'!A:B,2,0)</f>
        <v>2</v>
      </c>
      <c r="G55" s="59" t="s">
        <v>140</v>
      </c>
      <c r="H55" s="59" t="s">
        <v>141</v>
      </c>
      <c r="I55" s="59" t="s">
        <v>63</v>
      </c>
      <c r="J55" s="59" t="s">
        <v>64</v>
      </c>
      <c r="K55" s="59">
        <v>0.29310000000000003</v>
      </c>
      <c r="L55" s="59" t="s">
        <v>146</v>
      </c>
      <c r="M55" s="59" t="s">
        <v>147</v>
      </c>
      <c r="N55" s="59" t="str">
        <f t="shared" si="1"/>
        <v>438011587</v>
      </c>
    </row>
    <row r="56" spans="1:14" x14ac:dyDescent="0.25">
      <c r="A56" s="59" t="s">
        <v>144</v>
      </c>
      <c r="B56" s="59" t="s">
        <v>145</v>
      </c>
      <c r="C56" s="59" t="str">
        <f t="shared" si="0"/>
        <v>438011587_4</v>
      </c>
      <c r="D56" s="7">
        <f>COUNTIF($A$1:A56,A56)</f>
        <v>3</v>
      </c>
      <c r="E56" s="7" t="s">
        <v>70</v>
      </c>
      <c r="F56" s="7">
        <f>VLOOKUP(E56,'[1]TIPOLOGIE COMP'!A:B,2,0)</f>
        <v>4</v>
      </c>
      <c r="G56" s="59" t="s">
        <v>86</v>
      </c>
      <c r="H56" s="59" t="s">
        <v>87</v>
      </c>
      <c r="I56" s="59" t="s">
        <v>63</v>
      </c>
      <c r="J56" s="59" t="s">
        <v>64</v>
      </c>
      <c r="K56" s="59">
        <v>3.5000000000000001E-3</v>
      </c>
      <c r="L56" s="59" t="s">
        <v>146</v>
      </c>
      <c r="M56" s="59" t="s">
        <v>147</v>
      </c>
      <c r="N56" s="59" t="str">
        <f t="shared" si="1"/>
        <v>438011587</v>
      </c>
    </row>
    <row r="57" spans="1:14" x14ac:dyDescent="0.25">
      <c r="A57" s="59" t="s">
        <v>144</v>
      </c>
      <c r="B57" s="59" t="s">
        <v>145</v>
      </c>
      <c r="C57" s="59" t="str">
        <f t="shared" si="0"/>
        <v>438011587_5</v>
      </c>
      <c r="D57" s="7">
        <f>COUNTIF($A$1:A57,A57)</f>
        <v>4</v>
      </c>
      <c r="E57" s="7" t="s">
        <v>73</v>
      </c>
      <c r="F57" s="7">
        <f>VLOOKUP(E57,'[1]TIPOLOGIE COMP'!A:B,2,0)</f>
        <v>5</v>
      </c>
      <c r="G57" s="59" t="s">
        <v>142</v>
      </c>
      <c r="H57" s="59" t="s">
        <v>143</v>
      </c>
      <c r="I57" s="59" t="s">
        <v>63</v>
      </c>
      <c r="J57" s="59" t="s">
        <v>64</v>
      </c>
      <c r="K57" s="59">
        <v>4.7000000000000002E-3</v>
      </c>
      <c r="L57" s="59" t="s">
        <v>146</v>
      </c>
      <c r="M57" s="59" t="s">
        <v>147</v>
      </c>
      <c r="N57" s="59" t="str">
        <f t="shared" si="1"/>
        <v>438011587</v>
      </c>
    </row>
    <row r="58" spans="1:14" x14ac:dyDescent="0.25">
      <c r="A58" s="59" t="s">
        <v>144</v>
      </c>
      <c r="B58" s="59" t="s">
        <v>145</v>
      </c>
      <c r="C58" s="59" t="str">
        <f t="shared" si="0"/>
        <v>438011587_6</v>
      </c>
      <c r="D58" s="7">
        <f>COUNTIF($A$1:A58,A58)</f>
        <v>5</v>
      </c>
      <c r="E58" s="7" t="s">
        <v>76</v>
      </c>
      <c r="F58" s="7">
        <f>VLOOKUP(E58,'[1]TIPOLOGIE COMP'!A:B,2,0)</f>
        <v>6</v>
      </c>
      <c r="G58" s="59" t="s">
        <v>105</v>
      </c>
      <c r="H58" s="59" t="s">
        <v>78</v>
      </c>
      <c r="I58" s="59" t="s">
        <v>63</v>
      </c>
      <c r="J58" s="59" t="s">
        <v>64</v>
      </c>
      <c r="K58" s="59">
        <v>4.65E-2</v>
      </c>
      <c r="L58" s="59" t="s">
        <v>146</v>
      </c>
      <c r="M58" s="59" t="s">
        <v>147</v>
      </c>
      <c r="N58" s="59" t="str">
        <f t="shared" si="1"/>
        <v>438011587</v>
      </c>
    </row>
    <row r="59" spans="1:14" x14ac:dyDescent="0.25">
      <c r="A59" s="59" t="s">
        <v>144</v>
      </c>
      <c r="B59" s="59" t="s">
        <v>145</v>
      </c>
      <c r="C59" s="59" t="str">
        <f t="shared" si="0"/>
        <v>438011587_7</v>
      </c>
      <c r="D59" s="7">
        <f>COUNTIF($A$1:A59,A59)</f>
        <v>6</v>
      </c>
      <c r="E59" s="7" t="s">
        <v>106</v>
      </c>
      <c r="F59" s="7">
        <f>VLOOKUP(E59,'[1]TIPOLOGIE COMP'!A:B,2,0)</f>
        <v>7</v>
      </c>
      <c r="G59" s="59" t="s">
        <v>89</v>
      </c>
      <c r="H59" s="59" t="s">
        <v>90</v>
      </c>
      <c r="I59" s="59" t="s">
        <v>63</v>
      </c>
      <c r="J59" s="59" t="s">
        <v>64</v>
      </c>
      <c r="K59" s="59">
        <v>1.5100000000000001E-2</v>
      </c>
      <c r="L59" s="59" t="s">
        <v>146</v>
      </c>
      <c r="M59" s="59" t="s">
        <v>147</v>
      </c>
      <c r="N59" s="59" t="str">
        <f t="shared" si="1"/>
        <v>438011587</v>
      </c>
    </row>
    <row r="60" spans="1:14" x14ac:dyDescent="0.25">
      <c r="A60" s="59" t="s">
        <v>148</v>
      </c>
      <c r="B60" s="59" t="s">
        <v>149</v>
      </c>
      <c r="C60" s="59" t="str">
        <f t="shared" si="0"/>
        <v>438011588_1</v>
      </c>
      <c r="D60" s="7">
        <f>COUNTIF($A$1:A60,A60)</f>
        <v>1</v>
      </c>
      <c r="E60" s="7" t="s">
        <v>60</v>
      </c>
      <c r="F60" s="7">
        <f>VLOOKUP(E60,'[1]TIPOLOGIE COMP'!A:B,2,0)</f>
        <v>1</v>
      </c>
      <c r="G60" s="59" t="s">
        <v>81</v>
      </c>
      <c r="H60" s="59" t="s">
        <v>62</v>
      </c>
      <c r="I60" s="59" t="s">
        <v>63</v>
      </c>
      <c r="J60" s="59" t="s">
        <v>64</v>
      </c>
      <c r="K60" s="59">
        <v>0.62660000000000005</v>
      </c>
      <c r="L60" s="59" t="s">
        <v>150</v>
      </c>
      <c r="M60" s="59" t="s">
        <v>151</v>
      </c>
      <c r="N60" s="59" t="str">
        <f t="shared" si="1"/>
        <v>438011588</v>
      </c>
    </row>
    <row r="61" spans="1:14" x14ac:dyDescent="0.25">
      <c r="A61" s="59" t="s">
        <v>148</v>
      </c>
      <c r="B61" s="59" t="s">
        <v>149</v>
      </c>
      <c r="C61" s="59" t="str">
        <f t="shared" si="0"/>
        <v>438011588_2</v>
      </c>
      <c r="D61" s="7">
        <f>COUNTIF($A$1:A61,A61)</f>
        <v>2</v>
      </c>
      <c r="E61" s="7" t="s">
        <v>67</v>
      </c>
      <c r="F61" s="7">
        <f>VLOOKUP(E61,'[1]TIPOLOGIE COMP'!A:B,2,0)</f>
        <v>2</v>
      </c>
      <c r="G61" s="59" t="s">
        <v>140</v>
      </c>
      <c r="H61" s="59" t="s">
        <v>141</v>
      </c>
      <c r="I61" s="59" t="s">
        <v>63</v>
      </c>
      <c r="J61" s="59" t="s">
        <v>64</v>
      </c>
      <c r="K61" s="59">
        <v>0.34899999999999998</v>
      </c>
      <c r="L61" s="59" t="s">
        <v>150</v>
      </c>
      <c r="M61" s="59" t="s">
        <v>151</v>
      </c>
      <c r="N61" s="59" t="str">
        <f t="shared" si="1"/>
        <v>438011588</v>
      </c>
    </row>
    <row r="62" spans="1:14" x14ac:dyDescent="0.25">
      <c r="A62" s="59" t="s">
        <v>148</v>
      </c>
      <c r="B62" s="59" t="s">
        <v>149</v>
      </c>
      <c r="C62" s="59" t="str">
        <f t="shared" si="0"/>
        <v>438011588_4</v>
      </c>
      <c r="D62" s="7">
        <f>COUNTIF($A$1:A62,A62)</f>
        <v>3</v>
      </c>
      <c r="E62" s="7" t="s">
        <v>70</v>
      </c>
      <c r="F62" s="7">
        <f>VLOOKUP(E62,'[1]TIPOLOGIE COMP'!A:B,2,0)</f>
        <v>4</v>
      </c>
      <c r="G62" s="59" t="s">
        <v>86</v>
      </c>
      <c r="H62" s="59" t="s">
        <v>87</v>
      </c>
      <c r="I62" s="59" t="s">
        <v>63</v>
      </c>
      <c r="J62" s="59" t="s">
        <v>64</v>
      </c>
      <c r="K62" s="59">
        <v>3.7000000000000002E-3</v>
      </c>
      <c r="L62" s="59" t="s">
        <v>150</v>
      </c>
      <c r="M62" s="59" t="s">
        <v>151</v>
      </c>
      <c r="N62" s="59" t="str">
        <f t="shared" si="1"/>
        <v>438011588</v>
      </c>
    </row>
    <row r="63" spans="1:14" x14ac:dyDescent="0.25">
      <c r="A63" s="59" t="s">
        <v>148</v>
      </c>
      <c r="B63" s="59" t="s">
        <v>149</v>
      </c>
      <c r="C63" s="59" t="str">
        <f t="shared" si="0"/>
        <v>438011588_5</v>
      </c>
      <c r="D63" s="7">
        <f>COUNTIF($A$1:A63,A63)</f>
        <v>4</v>
      </c>
      <c r="E63" s="7" t="s">
        <v>73</v>
      </c>
      <c r="F63" s="7">
        <f>VLOOKUP(E63,'[1]TIPOLOGIE COMP'!A:B,2,0)</f>
        <v>5</v>
      </c>
      <c r="G63" s="59" t="s">
        <v>152</v>
      </c>
      <c r="H63" s="59" t="s">
        <v>153</v>
      </c>
      <c r="I63" s="59" t="s">
        <v>63</v>
      </c>
      <c r="J63" s="59" t="s">
        <v>64</v>
      </c>
      <c r="K63" s="59">
        <v>4.0000000000000002E-4</v>
      </c>
      <c r="L63" s="59" t="s">
        <v>150</v>
      </c>
      <c r="M63" s="59" t="s">
        <v>151</v>
      </c>
      <c r="N63" s="59" t="str">
        <f t="shared" si="1"/>
        <v>438011588</v>
      </c>
    </row>
    <row r="64" spans="1:14" x14ac:dyDescent="0.25">
      <c r="A64" s="59" t="s">
        <v>148</v>
      </c>
      <c r="B64" s="59" t="s">
        <v>149</v>
      </c>
      <c r="C64" s="59" t="str">
        <f t="shared" si="0"/>
        <v>438011588_6</v>
      </c>
      <c r="D64" s="7">
        <f>COUNTIF($A$1:A64,A64)</f>
        <v>5</v>
      </c>
      <c r="E64" s="7" t="s">
        <v>76</v>
      </c>
      <c r="F64" s="7">
        <f>VLOOKUP(E64,'[1]TIPOLOGIE COMP'!A:B,2,0)</f>
        <v>6</v>
      </c>
      <c r="G64" s="59" t="s">
        <v>154</v>
      </c>
      <c r="H64" s="59" t="s">
        <v>155</v>
      </c>
      <c r="I64" s="59" t="s">
        <v>63</v>
      </c>
      <c r="J64" s="59" t="s">
        <v>64</v>
      </c>
      <c r="K64" s="59">
        <v>4.4000000000000003E-3</v>
      </c>
      <c r="L64" s="59" t="s">
        <v>150</v>
      </c>
      <c r="M64" s="59" t="s">
        <v>151</v>
      </c>
      <c r="N64" s="59" t="str">
        <f t="shared" si="1"/>
        <v>438011588</v>
      </c>
    </row>
    <row r="65" spans="1:14" x14ac:dyDescent="0.25">
      <c r="A65" s="59" t="s">
        <v>148</v>
      </c>
      <c r="B65" s="59" t="s">
        <v>149</v>
      </c>
      <c r="C65" s="59" t="str">
        <f t="shared" si="0"/>
        <v>438011588_7</v>
      </c>
      <c r="D65" s="7">
        <f>COUNTIF($A$1:A65,A65)</f>
        <v>6</v>
      </c>
      <c r="E65" s="7" t="s">
        <v>106</v>
      </c>
      <c r="F65" s="7">
        <f>VLOOKUP(E65,'[1]TIPOLOGIE COMP'!A:B,2,0)</f>
        <v>7</v>
      </c>
      <c r="G65" s="59" t="s">
        <v>89</v>
      </c>
      <c r="H65" s="59" t="s">
        <v>90</v>
      </c>
      <c r="I65" s="59" t="s">
        <v>63</v>
      </c>
      <c r="J65" s="59" t="s">
        <v>64</v>
      </c>
      <c r="K65" s="59">
        <v>1.5900000000000001E-2</v>
      </c>
      <c r="L65" s="59" t="s">
        <v>150</v>
      </c>
      <c r="M65" s="59" t="s">
        <v>151</v>
      </c>
      <c r="N65" s="59" t="str">
        <f t="shared" si="1"/>
        <v>438011588</v>
      </c>
    </row>
    <row r="66" spans="1:14" x14ac:dyDescent="0.25">
      <c r="A66" s="59" t="s">
        <v>156</v>
      </c>
      <c r="B66" s="59" t="s">
        <v>157</v>
      </c>
      <c r="C66" s="59" t="str">
        <f t="shared" si="0"/>
        <v>438011589_1</v>
      </c>
      <c r="D66" s="7">
        <f>COUNTIF($A$1:A66,A66)</f>
        <v>1</v>
      </c>
      <c r="E66" s="7" t="s">
        <v>60</v>
      </c>
      <c r="F66" s="7">
        <f>VLOOKUP(E66,'[1]TIPOLOGIE COMP'!A:B,2,0)</f>
        <v>1</v>
      </c>
      <c r="G66" s="59" t="s">
        <v>81</v>
      </c>
      <c r="H66" s="59" t="s">
        <v>62</v>
      </c>
      <c r="I66" s="59" t="s">
        <v>63</v>
      </c>
      <c r="J66" s="59" t="s">
        <v>64</v>
      </c>
      <c r="K66" s="59">
        <v>0.6371</v>
      </c>
      <c r="L66" s="59" t="s">
        <v>158</v>
      </c>
      <c r="M66" s="59" t="s">
        <v>159</v>
      </c>
      <c r="N66" s="59" t="str">
        <f t="shared" si="1"/>
        <v>438011589</v>
      </c>
    </row>
    <row r="67" spans="1:14" x14ac:dyDescent="0.25">
      <c r="A67" s="59" t="s">
        <v>156</v>
      </c>
      <c r="B67" s="59" t="s">
        <v>157</v>
      </c>
      <c r="C67" s="59" t="str">
        <f t="shared" ref="C67:C130" si="2">CONCATENATE(A67,"_",F67)</f>
        <v>438011589_2</v>
      </c>
      <c r="D67" s="7">
        <f>COUNTIF($A$1:A67,A67)</f>
        <v>2</v>
      </c>
      <c r="E67" s="7" t="s">
        <v>67</v>
      </c>
      <c r="F67" s="7">
        <f>VLOOKUP(E67,'[1]TIPOLOGIE COMP'!A:B,2,0)</f>
        <v>2</v>
      </c>
      <c r="G67" s="59" t="s">
        <v>140</v>
      </c>
      <c r="H67" s="59" t="s">
        <v>141</v>
      </c>
      <c r="I67" s="59" t="s">
        <v>63</v>
      </c>
      <c r="J67" s="59" t="s">
        <v>64</v>
      </c>
      <c r="K67" s="59">
        <v>0.29310000000000003</v>
      </c>
      <c r="L67" s="59" t="s">
        <v>158</v>
      </c>
      <c r="M67" s="59" t="s">
        <v>159</v>
      </c>
      <c r="N67" s="59" t="str">
        <f t="shared" ref="N67:N130" si="3">A67</f>
        <v>438011589</v>
      </c>
    </row>
    <row r="68" spans="1:14" x14ac:dyDescent="0.25">
      <c r="A68" s="59" t="s">
        <v>156</v>
      </c>
      <c r="B68" s="59" t="s">
        <v>157</v>
      </c>
      <c r="C68" s="59" t="str">
        <f t="shared" si="2"/>
        <v>438011589_4</v>
      </c>
      <c r="D68" s="7">
        <f>COUNTIF($A$1:A68,A68)</f>
        <v>3</v>
      </c>
      <c r="E68" s="7" t="s">
        <v>70</v>
      </c>
      <c r="F68" s="7">
        <f>VLOOKUP(E68,'[1]TIPOLOGIE COMP'!A:B,2,0)</f>
        <v>4</v>
      </c>
      <c r="G68" s="59" t="s">
        <v>86</v>
      </c>
      <c r="H68" s="59" t="s">
        <v>87</v>
      </c>
      <c r="I68" s="59" t="s">
        <v>63</v>
      </c>
      <c r="J68" s="59" t="s">
        <v>64</v>
      </c>
      <c r="K68" s="59">
        <v>3.5000000000000001E-3</v>
      </c>
      <c r="L68" s="59" t="s">
        <v>158</v>
      </c>
      <c r="M68" s="59" t="s">
        <v>159</v>
      </c>
      <c r="N68" s="59" t="str">
        <f t="shared" si="3"/>
        <v>438011589</v>
      </c>
    </row>
    <row r="69" spans="1:14" x14ac:dyDescent="0.25">
      <c r="A69" s="59" t="s">
        <v>156</v>
      </c>
      <c r="B69" s="59" t="s">
        <v>157</v>
      </c>
      <c r="C69" s="59" t="str">
        <f t="shared" si="2"/>
        <v>438011589_5</v>
      </c>
      <c r="D69" s="7">
        <f>COUNTIF($A$1:A69,A69)</f>
        <v>4</v>
      </c>
      <c r="E69" s="7" t="s">
        <v>73</v>
      </c>
      <c r="F69" s="7">
        <f>VLOOKUP(E69,'[1]TIPOLOGIE COMP'!A:B,2,0)</f>
        <v>5</v>
      </c>
      <c r="G69" s="59" t="s">
        <v>152</v>
      </c>
      <c r="H69" s="59" t="s">
        <v>153</v>
      </c>
      <c r="I69" s="59" t="s">
        <v>63</v>
      </c>
      <c r="J69" s="59" t="s">
        <v>64</v>
      </c>
      <c r="K69" s="59">
        <v>4.0000000000000002E-4</v>
      </c>
      <c r="L69" s="59" t="s">
        <v>158</v>
      </c>
      <c r="M69" s="59" t="s">
        <v>159</v>
      </c>
      <c r="N69" s="59" t="str">
        <f t="shared" si="3"/>
        <v>438011589</v>
      </c>
    </row>
    <row r="70" spans="1:14" x14ac:dyDescent="0.25">
      <c r="A70" s="59" t="s">
        <v>156</v>
      </c>
      <c r="B70" s="59" t="s">
        <v>157</v>
      </c>
      <c r="C70" s="59" t="str">
        <f t="shared" si="2"/>
        <v>438011589_6</v>
      </c>
      <c r="D70" s="7">
        <f>COUNTIF($A$1:A70,A70)</f>
        <v>5</v>
      </c>
      <c r="E70" s="7" t="s">
        <v>76</v>
      </c>
      <c r="F70" s="7">
        <f>VLOOKUP(E70,'[1]TIPOLOGIE COMP'!A:B,2,0)</f>
        <v>6</v>
      </c>
      <c r="G70" s="59" t="s">
        <v>154</v>
      </c>
      <c r="H70" s="59" t="s">
        <v>155</v>
      </c>
      <c r="I70" s="59" t="s">
        <v>63</v>
      </c>
      <c r="J70" s="59" t="s">
        <v>64</v>
      </c>
      <c r="K70" s="59">
        <v>4.1999999999999997E-3</v>
      </c>
      <c r="L70" s="59" t="s">
        <v>158</v>
      </c>
      <c r="M70" s="59" t="s">
        <v>159</v>
      </c>
      <c r="N70" s="59" t="str">
        <f t="shared" si="3"/>
        <v>438011589</v>
      </c>
    </row>
    <row r="71" spans="1:14" x14ac:dyDescent="0.25">
      <c r="A71" s="59" t="s">
        <v>156</v>
      </c>
      <c r="B71" s="59" t="s">
        <v>157</v>
      </c>
      <c r="C71" s="59" t="str">
        <f t="shared" si="2"/>
        <v>438011589_7</v>
      </c>
      <c r="D71" s="7">
        <f>COUNTIF($A$1:A71,A71)</f>
        <v>6</v>
      </c>
      <c r="E71" s="7" t="s">
        <v>106</v>
      </c>
      <c r="F71" s="7">
        <f>VLOOKUP(E71,'[1]TIPOLOGIE COMP'!A:B,2,0)</f>
        <v>7</v>
      </c>
      <c r="G71" s="59" t="s">
        <v>105</v>
      </c>
      <c r="H71" s="59" t="s">
        <v>78</v>
      </c>
      <c r="I71" s="59" t="s">
        <v>63</v>
      </c>
      <c r="J71" s="59" t="s">
        <v>64</v>
      </c>
      <c r="K71" s="59">
        <v>4.65E-2</v>
      </c>
      <c r="L71" s="59" t="s">
        <v>158</v>
      </c>
      <c r="M71" s="59" t="s">
        <v>159</v>
      </c>
      <c r="N71" s="59" t="str">
        <f t="shared" si="3"/>
        <v>438011589</v>
      </c>
    </row>
    <row r="72" spans="1:14" x14ac:dyDescent="0.25">
      <c r="A72" s="59" t="s">
        <v>156</v>
      </c>
      <c r="B72" s="59" t="s">
        <v>157</v>
      </c>
      <c r="C72" s="59" t="str">
        <f t="shared" si="2"/>
        <v>438011589_8</v>
      </c>
      <c r="D72" s="7">
        <f>COUNTIF($A$1:A72,A72)</f>
        <v>7</v>
      </c>
      <c r="E72" s="7" t="s">
        <v>160</v>
      </c>
      <c r="F72" s="7">
        <f>VLOOKUP(E72,'[1]TIPOLOGIE COMP'!A:B,2,0)</f>
        <v>8</v>
      </c>
      <c r="G72" s="59" t="s">
        <v>89</v>
      </c>
      <c r="H72" s="59" t="s">
        <v>90</v>
      </c>
      <c r="I72" s="59" t="s">
        <v>63</v>
      </c>
      <c r="J72" s="59" t="s">
        <v>64</v>
      </c>
      <c r="K72" s="59">
        <v>1.5100000000000001E-2</v>
      </c>
      <c r="L72" s="59" t="s">
        <v>158</v>
      </c>
      <c r="M72" s="59" t="s">
        <v>159</v>
      </c>
      <c r="N72" s="59" t="str">
        <f t="shared" si="3"/>
        <v>438011589</v>
      </c>
    </row>
    <row r="73" spans="1:14" x14ac:dyDescent="0.25">
      <c r="A73" s="59" t="s">
        <v>161</v>
      </c>
      <c r="B73" s="59" t="s">
        <v>162</v>
      </c>
      <c r="C73" s="59" t="str">
        <f t="shared" si="2"/>
        <v>438011590_1</v>
      </c>
      <c r="D73" s="7">
        <f>COUNTIF($A$1:A73,A73)</f>
        <v>1</v>
      </c>
      <c r="E73" s="7" t="s">
        <v>60</v>
      </c>
      <c r="F73" s="7">
        <f>VLOOKUP(E73,'[1]TIPOLOGIE COMP'!A:B,2,0)</f>
        <v>1</v>
      </c>
      <c r="G73" s="59" t="s">
        <v>81</v>
      </c>
      <c r="H73" s="59" t="s">
        <v>62</v>
      </c>
      <c r="I73" s="59" t="s">
        <v>63</v>
      </c>
      <c r="J73" s="59" t="s">
        <v>64</v>
      </c>
      <c r="K73" s="59">
        <v>0.62660000000000005</v>
      </c>
      <c r="L73" s="59" t="s">
        <v>163</v>
      </c>
      <c r="M73" s="59" t="s">
        <v>164</v>
      </c>
      <c r="N73" s="59" t="str">
        <f t="shared" si="3"/>
        <v>438011590</v>
      </c>
    </row>
    <row r="74" spans="1:14" x14ac:dyDescent="0.25">
      <c r="A74" s="59" t="s">
        <v>161</v>
      </c>
      <c r="B74" s="59" t="s">
        <v>162</v>
      </c>
      <c r="C74" s="59" t="str">
        <f t="shared" si="2"/>
        <v>438011590_2</v>
      </c>
      <c r="D74" s="7">
        <f>COUNTIF($A$1:A74,A74)</f>
        <v>2</v>
      </c>
      <c r="E74" s="7" t="s">
        <v>67</v>
      </c>
      <c r="F74" s="7">
        <f>VLOOKUP(E74,'[1]TIPOLOGIE COMP'!A:B,2,0)</f>
        <v>2</v>
      </c>
      <c r="G74" s="59" t="s">
        <v>140</v>
      </c>
      <c r="H74" s="59" t="s">
        <v>141</v>
      </c>
      <c r="I74" s="59" t="s">
        <v>63</v>
      </c>
      <c r="J74" s="59" t="s">
        <v>64</v>
      </c>
      <c r="K74" s="59">
        <v>0.34899999999999998</v>
      </c>
      <c r="L74" s="59" t="s">
        <v>163</v>
      </c>
      <c r="M74" s="59" t="s">
        <v>164</v>
      </c>
      <c r="N74" s="59" t="str">
        <f t="shared" si="3"/>
        <v>438011590</v>
      </c>
    </row>
    <row r="75" spans="1:14" x14ac:dyDescent="0.25">
      <c r="A75" s="59" t="s">
        <v>161</v>
      </c>
      <c r="B75" s="59" t="s">
        <v>162</v>
      </c>
      <c r="C75" s="59" t="str">
        <f t="shared" si="2"/>
        <v>438011590_4</v>
      </c>
      <c r="D75" s="7">
        <f>COUNTIF($A$1:A75,A75)</f>
        <v>3</v>
      </c>
      <c r="E75" s="7" t="s">
        <v>70</v>
      </c>
      <c r="F75" s="7">
        <f>VLOOKUP(E75,'[1]TIPOLOGIE COMP'!A:B,2,0)</f>
        <v>4</v>
      </c>
      <c r="G75" s="59" t="s">
        <v>86</v>
      </c>
      <c r="H75" s="59" t="s">
        <v>87</v>
      </c>
      <c r="I75" s="59" t="s">
        <v>63</v>
      </c>
      <c r="J75" s="59" t="s">
        <v>64</v>
      </c>
      <c r="K75" s="59">
        <v>3.7000000000000002E-3</v>
      </c>
      <c r="L75" s="59" t="s">
        <v>163</v>
      </c>
      <c r="M75" s="59" t="s">
        <v>164</v>
      </c>
      <c r="N75" s="59" t="str">
        <f t="shared" si="3"/>
        <v>438011590</v>
      </c>
    </row>
    <row r="76" spans="1:14" x14ac:dyDescent="0.25">
      <c r="A76" s="59" t="s">
        <v>161</v>
      </c>
      <c r="B76" s="59" t="s">
        <v>162</v>
      </c>
      <c r="C76" s="59" t="str">
        <f t="shared" si="2"/>
        <v>438011590_5</v>
      </c>
      <c r="D76" s="7">
        <f>COUNTIF($A$1:A76,A76)</f>
        <v>4</v>
      </c>
      <c r="E76" s="7" t="s">
        <v>73</v>
      </c>
      <c r="F76" s="7">
        <f>VLOOKUP(E76,'[1]TIPOLOGIE COMP'!A:B,2,0)</f>
        <v>5</v>
      </c>
      <c r="G76" s="59" t="s">
        <v>123</v>
      </c>
      <c r="H76" s="59" t="s">
        <v>124</v>
      </c>
      <c r="I76" s="59" t="s">
        <v>63</v>
      </c>
      <c r="J76" s="59" t="s">
        <v>64</v>
      </c>
      <c r="K76" s="59">
        <v>4.8999999999999998E-3</v>
      </c>
      <c r="L76" s="59" t="s">
        <v>163</v>
      </c>
      <c r="M76" s="59" t="s">
        <v>164</v>
      </c>
      <c r="N76" s="59" t="str">
        <f t="shared" si="3"/>
        <v>438011590</v>
      </c>
    </row>
    <row r="77" spans="1:14" x14ac:dyDescent="0.25">
      <c r="A77" s="59" t="s">
        <v>161</v>
      </c>
      <c r="B77" s="59" t="s">
        <v>162</v>
      </c>
      <c r="C77" s="59" t="str">
        <f t="shared" si="2"/>
        <v>438011590_6</v>
      </c>
      <c r="D77" s="7">
        <f>COUNTIF($A$1:A77,A77)</f>
        <v>5</v>
      </c>
      <c r="E77" s="7" t="s">
        <v>76</v>
      </c>
      <c r="F77" s="7">
        <f>VLOOKUP(E77,'[1]TIPOLOGIE COMP'!A:B,2,0)</f>
        <v>6</v>
      </c>
      <c r="G77" s="59" t="s">
        <v>89</v>
      </c>
      <c r="H77" s="59" t="s">
        <v>90</v>
      </c>
      <c r="I77" s="59" t="s">
        <v>63</v>
      </c>
      <c r="J77" s="59" t="s">
        <v>64</v>
      </c>
      <c r="K77" s="59">
        <v>1.5900000000000001E-2</v>
      </c>
      <c r="L77" s="59" t="s">
        <v>163</v>
      </c>
      <c r="M77" s="59" t="s">
        <v>164</v>
      </c>
      <c r="N77" s="59" t="str">
        <f t="shared" si="3"/>
        <v>438011590</v>
      </c>
    </row>
    <row r="78" spans="1:14" x14ac:dyDescent="0.25">
      <c r="A78" s="59" t="s">
        <v>165</v>
      </c>
      <c r="B78" s="59" t="s">
        <v>166</v>
      </c>
      <c r="C78" s="59" t="str">
        <f t="shared" si="2"/>
        <v>438011591_1</v>
      </c>
      <c r="D78" s="7">
        <f>COUNTIF($A$1:A78,A78)</f>
        <v>1</v>
      </c>
      <c r="E78" s="7" t="s">
        <v>60</v>
      </c>
      <c r="F78" s="7">
        <f>VLOOKUP(E78,'[1]TIPOLOGIE COMP'!A:B,2,0)</f>
        <v>1</v>
      </c>
      <c r="G78" s="59" t="s">
        <v>81</v>
      </c>
      <c r="H78" s="59" t="s">
        <v>62</v>
      </c>
      <c r="I78" s="59" t="s">
        <v>63</v>
      </c>
      <c r="J78" s="59" t="s">
        <v>64</v>
      </c>
      <c r="K78" s="59">
        <v>0.6371</v>
      </c>
      <c r="L78" s="59" t="s">
        <v>167</v>
      </c>
      <c r="M78" s="59" t="s">
        <v>168</v>
      </c>
      <c r="N78" s="59" t="str">
        <f t="shared" si="3"/>
        <v>438011591</v>
      </c>
    </row>
    <row r="79" spans="1:14" x14ac:dyDescent="0.25">
      <c r="A79" s="59" t="s">
        <v>165</v>
      </c>
      <c r="B79" s="59" t="s">
        <v>166</v>
      </c>
      <c r="C79" s="59" t="str">
        <f t="shared" si="2"/>
        <v>438011591_2</v>
      </c>
      <c r="D79" s="7">
        <f>COUNTIF($A$1:A79,A79)</f>
        <v>2</v>
      </c>
      <c r="E79" s="7" t="s">
        <v>67</v>
      </c>
      <c r="F79" s="7">
        <f>VLOOKUP(E79,'[1]TIPOLOGIE COMP'!A:B,2,0)</f>
        <v>2</v>
      </c>
      <c r="G79" s="59" t="s">
        <v>140</v>
      </c>
      <c r="H79" s="59" t="s">
        <v>141</v>
      </c>
      <c r="I79" s="59" t="s">
        <v>63</v>
      </c>
      <c r="J79" s="59" t="s">
        <v>64</v>
      </c>
      <c r="K79" s="59">
        <v>0.29310000000000003</v>
      </c>
      <c r="L79" s="59" t="s">
        <v>167</v>
      </c>
      <c r="M79" s="59" t="s">
        <v>168</v>
      </c>
      <c r="N79" s="59" t="str">
        <f t="shared" si="3"/>
        <v>438011591</v>
      </c>
    </row>
    <row r="80" spans="1:14" x14ac:dyDescent="0.25">
      <c r="A80" s="59" t="s">
        <v>165</v>
      </c>
      <c r="B80" s="59" t="s">
        <v>166</v>
      </c>
      <c r="C80" s="59" t="str">
        <f t="shared" si="2"/>
        <v>438011591_4</v>
      </c>
      <c r="D80" s="7">
        <f>COUNTIF($A$1:A80,A80)</f>
        <v>3</v>
      </c>
      <c r="E80" s="7" t="s">
        <v>70</v>
      </c>
      <c r="F80" s="7">
        <f>VLOOKUP(E80,'[1]TIPOLOGIE COMP'!A:B,2,0)</f>
        <v>4</v>
      </c>
      <c r="G80" s="59" t="s">
        <v>86</v>
      </c>
      <c r="H80" s="59" t="s">
        <v>87</v>
      </c>
      <c r="I80" s="59" t="s">
        <v>63</v>
      </c>
      <c r="J80" s="59" t="s">
        <v>64</v>
      </c>
      <c r="K80" s="59">
        <v>3.5000000000000001E-3</v>
      </c>
      <c r="L80" s="59" t="s">
        <v>167</v>
      </c>
      <c r="M80" s="59" t="s">
        <v>168</v>
      </c>
      <c r="N80" s="59" t="str">
        <f t="shared" si="3"/>
        <v>438011591</v>
      </c>
    </row>
    <row r="81" spans="1:14" x14ac:dyDescent="0.25">
      <c r="A81" s="59" t="s">
        <v>165</v>
      </c>
      <c r="B81" s="59" t="s">
        <v>166</v>
      </c>
      <c r="C81" s="59" t="str">
        <f t="shared" si="2"/>
        <v>438011591_5</v>
      </c>
      <c r="D81" s="7">
        <f>COUNTIF($A$1:A81,A81)</f>
        <v>4</v>
      </c>
      <c r="E81" s="7" t="s">
        <v>73</v>
      </c>
      <c r="F81" s="7">
        <f>VLOOKUP(E81,'[1]TIPOLOGIE COMP'!A:B,2,0)</f>
        <v>5</v>
      </c>
      <c r="G81" s="59" t="s">
        <v>123</v>
      </c>
      <c r="H81" s="59" t="s">
        <v>124</v>
      </c>
      <c r="I81" s="59" t="s">
        <v>63</v>
      </c>
      <c r="J81" s="59" t="s">
        <v>64</v>
      </c>
      <c r="K81" s="59">
        <v>4.7000000000000002E-3</v>
      </c>
      <c r="L81" s="59" t="s">
        <v>167</v>
      </c>
      <c r="M81" s="59" t="s">
        <v>168</v>
      </c>
      <c r="N81" s="59" t="str">
        <f t="shared" si="3"/>
        <v>438011591</v>
      </c>
    </row>
    <row r="82" spans="1:14" x14ac:dyDescent="0.25">
      <c r="A82" s="59" t="s">
        <v>165</v>
      </c>
      <c r="B82" s="59" t="s">
        <v>166</v>
      </c>
      <c r="C82" s="59" t="str">
        <f t="shared" si="2"/>
        <v>438011591_6</v>
      </c>
      <c r="D82" s="7">
        <f>COUNTIF($A$1:A82,A82)</f>
        <v>5</v>
      </c>
      <c r="E82" s="7" t="s">
        <v>76</v>
      </c>
      <c r="F82" s="7">
        <f>VLOOKUP(E82,'[1]TIPOLOGIE COMP'!A:B,2,0)</f>
        <v>6</v>
      </c>
      <c r="G82" s="59" t="s">
        <v>105</v>
      </c>
      <c r="H82" s="59" t="s">
        <v>78</v>
      </c>
      <c r="I82" s="59" t="s">
        <v>63</v>
      </c>
      <c r="J82" s="59" t="s">
        <v>64</v>
      </c>
      <c r="K82" s="59">
        <v>4.65E-2</v>
      </c>
      <c r="L82" s="59" t="s">
        <v>167</v>
      </c>
      <c r="M82" s="59" t="s">
        <v>168</v>
      </c>
      <c r="N82" s="59" t="str">
        <f t="shared" si="3"/>
        <v>438011591</v>
      </c>
    </row>
    <row r="83" spans="1:14" x14ac:dyDescent="0.25">
      <c r="A83" s="59" t="s">
        <v>165</v>
      </c>
      <c r="B83" s="59" t="s">
        <v>166</v>
      </c>
      <c r="C83" s="59" t="str">
        <f t="shared" si="2"/>
        <v>438011591_7</v>
      </c>
      <c r="D83" s="7">
        <f>COUNTIF($A$1:A83,A83)</f>
        <v>6</v>
      </c>
      <c r="E83" s="7" t="s">
        <v>106</v>
      </c>
      <c r="F83" s="7">
        <f>VLOOKUP(E83,'[1]TIPOLOGIE COMP'!A:B,2,0)</f>
        <v>7</v>
      </c>
      <c r="G83" s="59" t="s">
        <v>89</v>
      </c>
      <c r="H83" s="59" t="s">
        <v>90</v>
      </c>
      <c r="I83" s="59" t="s">
        <v>63</v>
      </c>
      <c r="J83" s="59" t="s">
        <v>64</v>
      </c>
      <c r="K83" s="59">
        <v>1.5100000000000001E-2</v>
      </c>
      <c r="L83" s="59" t="s">
        <v>167</v>
      </c>
      <c r="M83" s="59" t="s">
        <v>168</v>
      </c>
      <c r="N83" s="59" t="str">
        <f t="shared" si="3"/>
        <v>438011591</v>
      </c>
    </row>
    <row r="84" spans="1:14" x14ac:dyDescent="0.25">
      <c r="A84" s="59" t="s">
        <v>169</v>
      </c>
      <c r="B84" s="59" t="s">
        <v>170</v>
      </c>
      <c r="C84" s="59" t="str">
        <f t="shared" si="2"/>
        <v>438011592_1</v>
      </c>
      <c r="D84" s="7">
        <f>COUNTIF($A$1:A84,A84)</f>
        <v>1</v>
      </c>
      <c r="E84" s="7" t="s">
        <v>60</v>
      </c>
      <c r="F84" s="7">
        <f>VLOOKUP(E84,'[1]TIPOLOGIE COMP'!A:B,2,0)</f>
        <v>1</v>
      </c>
      <c r="G84" s="59" t="s">
        <v>81</v>
      </c>
      <c r="H84" s="59" t="s">
        <v>62</v>
      </c>
      <c r="I84" s="59" t="s">
        <v>63</v>
      </c>
      <c r="J84" s="59" t="s">
        <v>64</v>
      </c>
      <c r="K84" s="59">
        <v>0.83230000000000004</v>
      </c>
      <c r="L84" s="59" t="s">
        <v>171</v>
      </c>
      <c r="M84" s="59" t="s">
        <v>172</v>
      </c>
      <c r="N84" s="59" t="str">
        <f t="shared" si="3"/>
        <v>438011592</v>
      </c>
    </row>
    <row r="85" spans="1:14" x14ac:dyDescent="0.25">
      <c r="A85" s="59" t="s">
        <v>169</v>
      </c>
      <c r="B85" s="59" t="s">
        <v>170</v>
      </c>
      <c r="C85" s="59" t="str">
        <f t="shared" si="2"/>
        <v>438011592_2</v>
      </c>
      <c r="D85" s="7">
        <f>COUNTIF($A$1:A85,A85)</f>
        <v>2</v>
      </c>
      <c r="E85" s="7" t="s">
        <v>67</v>
      </c>
      <c r="F85" s="7">
        <f>VLOOKUP(E85,'[1]TIPOLOGIE COMP'!A:B,2,0)</f>
        <v>2</v>
      </c>
      <c r="G85" s="59" t="s">
        <v>84</v>
      </c>
      <c r="H85" s="59" t="s">
        <v>85</v>
      </c>
      <c r="I85" s="59" t="s">
        <v>63</v>
      </c>
      <c r="J85" s="59" t="s">
        <v>64</v>
      </c>
      <c r="K85" s="59">
        <v>0.14810000000000001</v>
      </c>
      <c r="L85" s="59" t="s">
        <v>171</v>
      </c>
      <c r="M85" s="59" t="s">
        <v>172</v>
      </c>
      <c r="N85" s="59" t="str">
        <f t="shared" si="3"/>
        <v>438011592</v>
      </c>
    </row>
    <row r="86" spans="1:14" x14ac:dyDescent="0.25">
      <c r="A86" s="59" t="s">
        <v>169</v>
      </c>
      <c r="B86" s="59" t="s">
        <v>170</v>
      </c>
      <c r="C86" s="59" t="str">
        <f t="shared" si="2"/>
        <v>438011592_4</v>
      </c>
      <c r="D86" s="7">
        <f>COUNTIF($A$1:A86,A86)</f>
        <v>3</v>
      </c>
      <c r="E86" s="7" t="s">
        <v>70</v>
      </c>
      <c r="F86" s="7">
        <f>VLOOKUP(E86,'[1]TIPOLOGIE COMP'!A:B,2,0)</f>
        <v>4</v>
      </c>
      <c r="G86" s="59" t="s">
        <v>86</v>
      </c>
      <c r="H86" s="59" t="s">
        <v>87</v>
      </c>
      <c r="I86" s="59" t="s">
        <v>63</v>
      </c>
      <c r="J86" s="59" t="s">
        <v>64</v>
      </c>
      <c r="K86" s="59">
        <v>2.5000000000000001E-3</v>
      </c>
      <c r="L86" s="59" t="s">
        <v>171</v>
      </c>
      <c r="M86" s="59" t="s">
        <v>172</v>
      </c>
      <c r="N86" s="59" t="str">
        <f t="shared" si="3"/>
        <v>438011592</v>
      </c>
    </row>
    <row r="87" spans="1:14" x14ac:dyDescent="0.25">
      <c r="A87" s="59" t="s">
        <v>169</v>
      </c>
      <c r="B87" s="59" t="s">
        <v>170</v>
      </c>
      <c r="C87" s="59" t="str">
        <f t="shared" si="2"/>
        <v>438011592_5</v>
      </c>
      <c r="D87" s="7">
        <f>COUNTIF($A$1:A87,A87)</f>
        <v>4</v>
      </c>
      <c r="E87" s="7" t="s">
        <v>73</v>
      </c>
      <c r="F87" s="7">
        <f>VLOOKUP(E87,'[1]TIPOLOGIE COMP'!A:B,2,0)</f>
        <v>5</v>
      </c>
      <c r="G87" s="59" t="s">
        <v>142</v>
      </c>
      <c r="H87" s="59" t="s">
        <v>143</v>
      </c>
      <c r="I87" s="59" t="s">
        <v>63</v>
      </c>
      <c r="J87" s="59" t="s">
        <v>64</v>
      </c>
      <c r="K87" s="59">
        <v>4.8999999999999998E-3</v>
      </c>
      <c r="L87" s="59" t="s">
        <v>171</v>
      </c>
      <c r="M87" s="59" t="s">
        <v>172</v>
      </c>
      <c r="N87" s="59" t="str">
        <f t="shared" si="3"/>
        <v>438011592</v>
      </c>
    </row>
    <row r="88" spans="1:14" x14ac:dyDescent="0.25">
      <c r="A88" s="59" t="s">
        <v>169</v>
      </c>
      <c r="B88" s="59" t="s">
        <v>170</v>
      </c>
      <c r="C88" s="59" t="str">
        <f t="shared" si="2"/>
        <v>438011592_6</v>
      </c>
      <c r="D88" s="7">
        <f>COUNTIF($A$1:A88,A88)</f>
        <v>5</v>
      </c>
      <c r="E88" s="7" t="s">
        <v>76</v>
      </c>
      <c r="F88" s="7">
        <f>VLOOKUP(E88,'[1]TIPOLOGIE COMP'!A:B,2,0)</f>
        <v>6</v>
      </c>
      <c r="G88" s="59" t="s">
        <v>89</v>
      </c>
      <c r="H88" s="59" t="s">
        <v>90</v>
      </c>
      <c r="I88" s="59" t="s">
        <v>63</v>
      </c>
      <c r="J88" s="59" t="s">
        <v>64</v>
      </c>
      <c r="K88" s="59">
        <v>1.23E-2</v>
      </c>
      <c r="L88" s="59" t="s">
        <v>171</v>
      </c>
      <c r="M88" s="59" t="s">
        <v>172</v>
      </c>
      <c r="N88" s="59" t="str">
        <f t="shared" si="3"/>
        <v>438011592</v>
      </c>
    </row>
    <row r="89" spans="1:14" x14ac:dyDescent="0.25">
      <c r="A89" s="59" t="s">
        <v>173</v>
      </c>
      <c r="B89" s="59" t="s">
        <v>174</v>
      </c>
      <c r="C89" s="59" t="str">
        <f t="shared" si="2"/>
        <v>438011593_1</v>
      </c>
      <c r="D89" s="7">
        <f>COUNTIF($A$1:A89,A89)</f>
        <v>1</v>
      </c>
      <c r="E89" s="7" t="s">
        <v>60</v>
      </c>
      <c r="F89" s="7">
        <f>VLOOKUP(E89,'[1]TIPOLOGIE COMP'!A:B,2,0)</f>
        <v>1</v>
      </c>
      <c r="G89" s="59" t="s">
        <v>81</v>
      </c>
      <c r="H89" s="59" t="s">
        <v>62</v>
      </c>
      <c r="I89" s="59" t="s">
        <v>63</v>
      </c>
      <c r="J89" s="59" t="s">
        <v>64</v>
      </c>
      <c r="K89" s="59">
        <v>0.81059999999999999</v>
      </c>
      <c r="L89" s="59" t="s">
        <v>175</v>
      </c>
      <c r="M89" s="59" t="s">
        <v>176</v>
      </c>
      <c r="N89" s="59" t="str">
        <f t="shared" si="3"/>
        <v>438011593</v>
      </c>
    </row>
    <row r="90" spans="1:14" x14ac:dyDescent="0.25">
      <c r="A90" s="59" t="s">
        <v>173</v>
      </c>
      <c r="B90" s="59" t="s">
        <v>174</v>
      </c>
      <c r="C90" s="59" t="str">
        <f t="shared" si="2"/>
        <v>438011593_2</v>
      </c>
      <c r="D90" s="7">
        <f>COUNTIF($A$1:A90,A90)</f>
        <v>2</v>
      </c>
      <c r="E90" s="7" t="s">
        <v>67</v>
      </c>
      <c r="F90" s="7">
        <f>VLOOKUP(E90,'[1]TIPOLOGIE COMP'!A:B,2,0)</f>
        <v>2</v>
      </c>
      <c r="G90" s="59" t="s">
        <v>84</v>
      </c>
      <c r="H90" s="59" t="s">
        <v>85</v>
      </c>
      <c r="I90" s="59" t="s">
        <v>63</v>
      </c>
      <c r="J90" s="59" t="s">
        <v>64</v>
      </c>
      <c r="K90" s="59">
        <v>0.124</v>
      </c>
      <c r="L90" s="59" t="s">
        <v>175</v>
      </c>
      <c r="M90" s="59" t="s">
        <v>176</v>
      </c>
      <c r="N90" s="59" t="str">
        <f t="shared" si="3"/>
        <v>438011593</v>
      </c>
    </row>
    <row r="91" spans="1:14" x14ac:dyDescent="0.25">
      <c r="A91" s="59" t="s">
        <v>173</v>
      </c>
      <c r="B91" s="59" t="s">
        <v>174</v>
      </c>
      <c r="C91" s="59" t="str">
        <f t="shared" si="2"/>
        <v>438011593_4</v>
      </c>
      <c r="D91" s="7">
        <f>COUNTIF($A$1:A91,A91)</f>
        <v>3</v>
      </c>
      <c r="E91" s="7" t="s">
        <v>70</v>
      </c>
      <c r="F91" s="7">
        <f>VLOOKUP(E91,'[1]TIPOLOGIE COMP'!A:B,2,0)</f>
        <v>4</v>
      </c>
      <c r="G91" s="59" t="s">
        <v>86</v>
      </c>
      <c r="H91" s="59" t="s">
        <v>87</v>
      </c>
      <c r="I91" s="59" t="s">
        <v>63</v>
      </c>
      <c r="J91" s="59" t="s">
        <v>64</v>
      </c>
      <c r="K91" s="59">
        <v>2.3E-3</v>
      </c>
      <c r="L91" s="59" t="s">
        <v>175</v>
      </c>
      <c r="M91" s="59" t="s">
        <v>176</v>
      </c>
      <c r="N91" s="59" t="str">
        <f t="shared" si="3"/>
        <v>438011593</v>
      </c>
    </row>
    <row r="92" spans="1:14" x14ac:dyDescent="0.25">
      <c r="A92" s="59" t="s">
        <v>173</v>
      </c>
      <c r="B92" s="59" t="s">
        <v>174</v>
      </c>
      <c r="C92" s="59" t="str">
        <f t="shared" si="2"/>
        <v>438011593_5</v>
      </c>
      <c r="D92" s="7">
        <f>COUNTIF($A$1:A92,A92)</f>
        <v>4</v>
      </c>
      <c r="E92" s="7" t="s">
        <v>73</v>
      </c>
      <c r="F92" s="7">
        <f>VLOOKUP(E92,'[1]TIPOLOGIE COMP'!A:B,2,0)</f>
        <v>5</v>
      </c>
      <c r="G92" s="59" t="s">
        <v>142</v>
      </c>
      <c r="H92" s="59" t="s">
        <v>143</v>
      </c>
      <c r="I92" s="59" t="s">
        <v>63</v>
      </c>
      <c r="J92" s="59" t="s">
        <v>64</v>
      </c>
      <c r="K92" s="59">
        <v>4.7000000000000002E-3</v>
      </c>
      <c r="L92" s="59" t="s">
        <v>175</v>
      </c>
      <c r="M92" s="59" t="s">
        <v>176</v>
      </c>
      <c r="N92" s="59" t="str">
        <f t="shared" si="3"/>
        <v>438011593</v>
      </c>
    </row>
    <row r="93" spans="1:14" x14ac:dyDescent="0.25">
      <c r="A93" s="59" t="s">
        <v>173</v>
      </c>
      <c r="B93" s="59" t="s">
        <v>174</v>
      </c>
      <c r="C93" s="59" t="str">
        <f t="shared" si="2"/>
        <v>438011593_6</v>
      </c>
      <c r="D93" s="7">
        <f>COUNTIF($A$1:A93,A93)</f>
        <v>5</v>
      </c>
      <c r="E93" s="7" t="s">
        <v>76</v>
      </c>
      <c r="F93" s="7">
        <f>VLOOKUP(E93,'[1]TIPOLOGIE COMP'!A:B,2,0)</f>
        <v>6</v>
      </c>
      <c r="G93" s="59" t="s">
        <v>105</v>
      </c>
      <c r="H93" s="59" t="s">
        <v>78</v>
      </c>
      <c r="I93" s="59" t="s">
        <v>63</v>
      </c>
      <c r="J93" s="59" t="s">
        <v>64</v>
      </c>
      <c r="K93" s="59">
        <v>4.6699999999999998E-2</v>
      </c>
      <c r="L93" s="59" t="s">
        <v>175</v>
      </c>
      <c r="M93" s="59" t="s">
        <v>176</v>
      </c>
      <c r="N93" s="59" t="str">
        <f t="shared" si="3"/>
        <v>438011593</v>
      </c>
    </row>
    <row r="94" spans="1:14" x14ac:dyDescent="0.25">
      <c r="A94" s="59" t="s">
        <v>173</v>
      </c>
      <c r="B94" s="59" t="s">
        <v>174</v>
      </c>
      <c r="C94" s="59" t="str">
        <f t="shared" si="2"/>
        <v>438011593_7</v>
      </c>
      <c r="D94" s="7">
        <f>COUNTIF($A$1:A94,A94)</f>
        <v>6</v>
      </c>
      <c r="E94" s="7" t="s">
        <v>106</v>
      </c>
      <c r="F94" s="7">
        <f>VLOOKUP(E94,'[1]TIPOLOGIE COMP'!A:B,2,0)</f>
        <v>7</v>
      </c>
      <c r="G94" s="59" t="s">
        <v>89</v>
      </c>
      <c r="H94" s="59" t="s">
        <v>90</v>
      </c>
      <c r="I94" s="59" t="s">
        <v>63</v>
      </c>
      <c r="J94" s="59" t="s">
        <v>64</v>
      </c>
      <c r="K94" s="59">
        <v>1.17E-2</v>
      </c>
      <c r="L94" s="59" t="s">
        <v>175</v>
      </c>
      <c r="M94" s="59" t="s">
        <v>176</v>
      </c>
      <c r="N94" s="59" t="str">
        <f t="shared" si="3"/>
        <v>438011593</v>
      </c>
    </row>
    <row r="95" spans="1:14" x14ac:dyDescent="0.25">
      <c r="A95" s="59" t="s">
        <v>177</v>
      </c>
      <c r="B95" s="59" t="s">
        <v>178</v>
      </c>
      <c r="C95" s="59" t="str">
        <f t="shared" si="2"/>
        <v>438011594_1</v>
      </c>
      <c r="D95" s="7">
        <f>COUNTIF($A$1:A95,A95)</f>
        <v>1</v>
      </c>
      <c r="E95" s="7" t="s">
        <v>60</v>
      </c>
      <c r="F95" s="7">
        <f>VLOOKUP(E95,'[1]TIPOLOGIE COMP'!A:B,2,0)</f>
        <v>1</v>
      </c>
      <c r="G95" s="59" t="s">
        <v>81</v>
      </c>
      <c r="H95" s="59" t="s">
        <v>62</v>
      </c>
      <c r="I95" s="59" t="s">
        <v>63</v>
      </c>
      <c r="J95" s="59" t="s">
        <v>64</v>
      </c>
      <c r="K95" s="59">
        <v>0.83230000000000004</v>
      </c>
      <c r="L95" s="59" t="s">
        <v>179</v>
      </c>
      <c r="M95" s="59" t="s">
        <v>180</v>
      </c>
      <c r="N95" s="59" t="str">
        <f t="shared" si="3"/>
        <v>438011594</v>
      </c>
    </row>
    <row r="96" spans="1:14" x14ac:dyDescent="0.25">
      <c r="A96" s="59" t="s">
        <v>177</v>
      </c>
      <c r="B96" s="59" t="s">
        <v>178</v>
      </c>
      <c r="C96" s="59" t="str">
        <f t="shared" si="2"/>
        <v>438011594_2</v>
      </c>
      <c r="D96" s="7">
        <f>COUNTIF($A$1:A96,A96)</f>
        <v>2</v>
      </c>
      <c r="E96" s="7" t="s">
        <v>67</v>
      </c>
      <c r="F96" s="7">
        <f>VLOOKUP(E96,'[1]TIPOLOGIE COMP'!A:B,2,0)</f>
        <v>2</v>
      </c>
      <c r="G96" s="59" t="s">
        <v>84</v>
      </c>
      <c r="H96" s="59" t="s">
        <v>85</v>
      </c>
      <c r="I96" s="59" t="s">
        <v>63</v>
      </c>
      <c r="J96" s="59" t="s">
        <v>64</v>
      </c>
      <c r="K96" s="59">
        <v>0.14810000000000001</v>
      </c>
      <c r="L96" s="59" t="s">
        <v>179</v>
      </c>
      <c r="M96" s="59" t="s">
        <v>180</v>
      </c>
      <c r="N96" s="59" t="str">
        <f t="shared" si="3"/>
        <v>438011594</v>
      </c>
    </row>
    <row r="97" spans="1:14" x14ac:dyDescent="0.25">
      <c r="A97" s="59" t="s">
        <v>177</v>
      </c>
      <c r="B97" s="59" t="s">
        <v>178</v>
      </c>
      <c r="C97" s="59" t="str">
        <f t="shared" si="2"/>
        <v>438011594_4</v>
      </c>
      <c r="D97" s="7">
        <f>COUNTIF($A$1:A97,A97)</f>
        <v>3</v>
      </c>
      <c r="E97" s="7" t="s">
        <v>70</v>
      </c>
      <c r="F97" s="7">
        <f>VLOOKUP(E97,'[1]TIPOLOGIE COMP'!A:B,2,0)</f>
        <v>4</v>
      </c>
      <c r="G97" s="59" t="s">
        <v>86</v>
      </c>
      <c r="H97" s="59" t="s">
        <v>87</v>
      </c>
      <c r="I97" s="59" t="s">
        <v>63</v>
      </c>
      <c r="J97" s="59" t="s">
        <v>64</v>
      </c>
      <c r="K97" s="59">
        <v>2.5000000000000001E-3</v>
      </c>
      <c r="L97" s="59" t="s">
        <v>179</v>
      </c>
      <c r="M97" s="59" t="s">
        <v>180</v>
      </c>
      <c r="N97" s="59" t="str">
        <f t="shared" si="3"/>
        <v>438011594</v>
      </c>
    </row>
    <row r="98" spans="1:14" x14ac:dyDescent="0.25">
      <c r="A98" s="59" t="s">
        <v>177</v>
      </c>
      <c r="B98" s="59" t="s">
        <v>178</v>
      </c>
      <c r="C98" s="59" t="str">
        <f t="shared" si="2"/>
        <v>438011594_5</v>
      </c>
      <c r="D98" s="7">
        <f>COUNTIF($A$1:A98,A98)</f>
        <v>4</v>
      </c>
      <c r="E98" s="7" t="s">
        <v>73</v>
      </c>
      <c r="F98" s="7">
        <f>VLOOKUP(E98,'[1]TIPOLOGIE COMP'!A:B,2,0)</f>
        <v>5</v>
      </c>
      <c r="G98" s="59" t="s">
        <v>152</v>
      </c>
      <c r="H98" s="59" t="s">
        <v>153</v>
      </c>
      <c r="I98" s="59" t="s">
        <v>63</v>
      </c>
      <c r="J98" s="59" t="s">
        <v>64</v>
      </c>
      <c r="K98" s="59">
        <v>4.0000000000000002E-4</v>
      </c>
      <c r="L98" s="59" t="s">
        <v>179</v>
      </c>
      <c r="M98" s="59" t="s">
        <v>180</v>
      </c>
      <c r="N98" s="59" t="str">
        <f t="shared" si="3"/>
        <v>438011594</v>
      </c>
    </row>
    <row r="99" spans="1:14" x14ac:dyDescent="0.25">
      <c r="A99" s="59" t="s">
        <v>177</v>
      </c>
      <c r="B99" s="59" t="s">
        <v>178</v>
      </c>
      <c r="C99" s="59" t="str">
        <f t="shared" si="2"/>
        <v>438011594_6</v>
      </c>
      <c r="D99" s="7">
        <f>COUNTIF($A$1:A99,A99)</f>
        <v>5</v>
      </c>
      <c r="E99" s="7" t="s">
        <v>76</v>
      </c>
      <c r="F99" s="7">
        <f>VLOOKUP(E99,'[1]TIPOLOGIE COMP'!A:B,2,0)</f>
        <v>6</v>
      </c>
      <c r="G99" s="59" t="s">
        <v>154</v>
      </c>
      <c r="H99" s="59" t="s">
        <v>155</v>
      </c>
      <c r="I99" s="59" t="s">
        <v>63</v>
      </c>
      <c r="J99" s="59" t="s">
        <v>64</v>
      </c>
      <c r="K99" s="59">
        <v>4.4999999999999997E-3</v>
      </c>
      <c r="L99" s="59" t="s">
        <v>179</v>
      </c>
      <c r="M99" s="59" t="s">
        <v>180</v>
      </c>
      <c r="N99" s="59" t="str">
        <f t="shared" si="3"/>
        <v>438011594</v>
      </c>
    </row>
    <row r="100" spans="1:14" x14ac:dyDescent="0.25">
      <c r="A100" s="59" t="s">
        <v>177</v>
      </c>
      <c r="B100" s="59" t="s">
        <v>178</v>
      </c>
      <c r="C100" s="59" t="str">
        <f t="shared" si="2"/>
        <v>438011594_7</v>
      </c>
      <c r="D100" s="7">
        <f>COUNTIF($A$1:A100,A100)</f>
        <v>6</v>
      </c>
      <c r="E100" s="7" t="s">
        <v>106</v>
      </c>
      <c r="F100" s="7">
        <f>VLOOKUP(E100,'[1]TIPOLOGIE COMP'!A:B,2,0)</f>
        <v>7</v>
      </c>
      <c r="G100" s="59" t="s">
        <v>89</v>
      </c>
      <c r="H100" s="59" t="s">
        <v>90</v>
      </c>
      <c r="I100" s="59" t="s">
        <v>63</v>
      </c>
      <c r="J100" s="59" t="s">
        <v>64</v>
      </c>
      <c r="K100" s="59">
        <v>1.23E-2</v>
      </c>
      <c r="L100" s="59" t="s">
        <v>179</v>
      </c>
      <c r="M100" s="59" t="s">
        <v>180</v>
      </c>
      <c r="N100" s="59" t="str">
        <f t="shared" si="3"/>
        <v>438011594</v>
      </c>
    </row>
    <row r="101" spans="1:14" x14ac:dyDescent="0.25">
      <c r="A101" s="59" t="s">
        <v>181</v>
      </c>
      <c r="B101" s="59" t="s">
        <v>182</v>
      </c>
      <c r="C101" s="59" t="str">
        <f t="shared" si="2"/>
        <v>438011595_1</v>
      </c>
      <c r="D101" s="7">
        <f>COUNTIF($A$1:A101,A101)</f>
        <v>1</v>
      </c>
      <c r="E101" s="7" t="s">
        <v>60</v>
      </c>
      <c r="F101" s="7">
        <f>VLOOKUP(E101,'[1]TIPOLOGIE COMP'!A:B,2,0)</f>
        <v>1</v>
      </c>
      <c r="G101" s="59" t="s">
        <v>81</v>
      </c>
      <c r="H101" s="59" t="s">
        <v>62</v>
      </c>
      <c r="I101" s="59" t="s">
        <v>63</v>
      </c>
      <c r="J101" s="59" t="s">
        <v>64</v>
      </c>
      <c r="K101" s="59">
        <v>0.81059999999999999</v>
      </c>
      <c r="L101" s="59" t="s">
        <v>183</v>
      </c>
      <c r="M101" s="59" t="s">
        <v>184</v>
      </c>
      <c r="N101" s="59" t="str">
        <f t="shared" si="3"/>
        <v>438011595</v>
      </c>
    </row>
    <row r="102" spans="1:14" x14ac:dyDescent="0.25">
      <c r="A102" s="59" t="s">
        <v>181</v>
      </c>
      <c r="B102" s="59" t="s">
        <v>182</v>
      </c>
      <c r="C102" s="59" t="str">
        <f t="shared" si="2"/>
        <v>438011595_2</v>
      </c>
      <c r="D102" s="7">
        <f>COUNTIF($A$1:A102,A102)</f>
        <v>2</v>
      </c>
      <c r="E102" s="7" t="s">
        <v>67</v>
      </c>
      <c r="F102" s="7">
        <f>VLOOKUP(E102,'[1]TIPOLOGIE COMP'!A:B,2,0)</f>
        <v>2</v>
      </c>
      <c r="G102" s="59" t="s">
        <v>84</v>
      </c>
      <c r="H102" s="59" t="s">
        <v>85</v>
      </c>
      <c r="I102" s="59" t="s">
        <v>63</v>
      </c>
      <c r="J102" s="59" t="s">
        <v>64</v>
      </c>
      <c r="K102" s="59">
        <v>0.124</v>
      </c>
      <c r="L102" s="59" t="s">
        <v>183</v>
      </c>
      <c r="M102" s="59" t="s">
        <v>184</v>
      </c>
      <c r="N102" s="59" t="str">
        <f t="shared" si="3"/>
        <v>438011595</v>
      </c>
    </row>
    <row r="103" spans="1:14" x14ac:dyDescent="0.25">
      <c r="A103" s="59" t="s">
        <v>181</v>
      </c>
      <c r="B103" s="59" t="s">
        <v>182</v>
      </c>
      <c r="C103" s="59" t="str">
        <f t="shared" si="2"/>
        <v>438011595_4</v>
      </c>
      <c r="D103" s="7">
        <f>COUNTIF($A$1:A103,A103)</f>
        <v>3</v>
      </c>
      <c r="E103" s="7" t="s">
        <v>70</v>
      </c>
      <c r="F103" s="7">
        <f>VLOOKUP(E103,'[1]TIPOLOGIE COMP'!A:B,2,0)</f>
        <v>4</v>
      </c>
      <c r="G103" s="59" t="s">
        <v>86</v>
      </c>
      <c r="H103" s="59" t="s">
        <v>87</v>
      </c>
      <c r="I103" s="59" t="s">
        <v>63</v>
      </c>
      <c r="J103" s="59" t="s">
        <v>64</v>
      </c>
      <c r="K103" s="59">
        <v>2.3E-3</v>
      </c>
      <c r="L103" s="59" t="s">
        <v>183</v>
      </c>
      <c r="M103" s="59" t="s">
        <v>184</v>
      </c>
      <c r="N103" s="59" t="str">
        <f t="shared" si="3"/>
        <v>438011595</v>
      </c>
    </row>
    <row r="104" spans="1:14" x14ac:dyDescent="0.25">
      <c r="A104" s="59" t="s">
        <v>181</v>
      </c>
      <c r="B104" s="59" t="s">
        <v>182</v>
      </c>
      <c r="C104" s="59" t="str">
        <f t="shared" si="2"/>
        <v>438011595_5</v>
      </c>
      <c r="D104" s="7">
        <f>COUNTIF($A$1:A104,A104)</f>
        <v>4</v>
      </c>
      <c r="E104" s="7" t="s">
        <v>73</v>
      </c>
      <c r="F104" s="7">
        <f>VLOOKUP(E104,'[1]TIPOLOGIE COMP'!A:B,2,0)</f>
        <v>5</v>
      </c>
      <c r="G104" s="59" t="s">
        <v>152</v>
      </c>
      <c r="H104" s="59" t="s">
        <v>153</v>
      </c>
      <c r="I104" s="59" t="s">
        <v>63</v>
      </c>
      <c r="J104" s="59" t="s">
        <v>64</v>
      </c>
      <c r="K104" s="59">
        <v>4.0000000000000002E-4</v>
      </c>
      <c r="L104" s="59" t="s">
        <v>183</v>
      </c>
      <c r="M104" s="59" t="s">
        <v>184</v>
      </c>
      <c r="N104" s="59" t="str">
        <f t="shared" si="3"/>
        <v>438011595</v>
      </c>
    </row>
    <row r="105" spans="1:14" x14ac:dyDescent="0.25">
      <c r="A105" s="59" t="s">
        <v>181</v>
      </c>
      <c r="B105" s="59" t="s">
        <v>182</v>
      </c>
      <c r="C105" s="59" t="str">
        <f t="shared" si="2"/>
        <v>438011595_6</v>
      </c>
      <c r="D105" s="7">
        <f>COUNTIF($A$1:A105,A105)</f>
        <v>5</v>
      </c>
      <c r="E105" s="7" t="s">
        <v>76</v>
      </c>
      <c r="F105" s="7">
        <f>VLOOKUP(E105,'[1]TIPOLOGIE COMP'!A:B,2,0)</f>
        <v>6</v>
      </c>
      <c r="G105" s="59" t="s">
        <v>154</v>
      </c>
      <c r="H105" s="59" t="s">
        <v>155</v>
      </c>
      <c r="I105" s="59" t="s">
        <v>63</v>
      </c>
      <c r="J105" s="59" t="s">
        <v>64</v>
      </c>
      <c r="K105" s="59">
        <v>4.1999999999999997E-3</v>
      </c>
      <c r="L105" s="59" t="s">
        <v>183</v>
      </c>
      <c r="M105" s="59" t="s">
        <v>184</v>
      </c>
      <c r="N105" s="59" t="str">
        <f t="shared" si="3"/>
        <v>438011595</v>
      </c>
    </row>
    <row r="106" spans="1:14" x14ac:dyDescent="0.25">
      <c r="A106" s="59" t="s">
        <v>181</v>
      </c>
      <c r="B106" s="59" t="s">
        <v>182</v>
      </c>
      <c r="C106" s="59" t="str">
        <f t="shared" si="2"/>
        <v>438011595_7</v>
      </c>
      <c r="D106" s="7">
        <f>COUNTIF($A$1:A106,A106)</f>
        <v>6</v>
      </c>
      <c r="E106" s="7" t="s">
        <v>106</v>
      </c>
      <c r="F106" s="7">
        <f>VLOOKUP(E106,'[1]TIPOLOGIE COMP'!A:B,2,0)</f>
        <v>7</v>
      </c>
      <c r="G106" s="59" t="s">
        <v>105</v>
      </c>
      <c r="H106" s="59" t="s">
        <v>78</v>
      </c>
      <c r="I106" s="59" t="s">
        <v>63</v>
      </c>
      <c r="J106" s="59" t="s">
        <v>64</v>
      </c>
      <c r="K106" s="59">
        <v>4.6699999999999998E-2</v>
      </c>
      <c r="L106" s="59" t="s">
        <v>183</v>
      </c>
      <c r="M106" s="59" t="s">
        <v>184</v>
      </c>
      <c r="N106" s="59" t="str">
        <f t="shared" si="3"/>
        <v>438011595</v>
      </c>
    </row>
    <row r="107" spans="1:14" x14ac:dyDescent="0.25">
      <c r="A107" s="59" t="s">
        <v>181</v>
      </c>
      <c r="B107" s="59" t="s">
        <v>182</v>
      </c>
      <c r="C107" s="59" t="str">
        <f t="shared" si="2"/>
        <v>438011595_8</v>
      </c>
      <c r="D107" s="7">
        <f>COUNTIF($A$1:A107,A107)</f>
        <v>7</v>
      </c>
      <c r="E107" s="7" t="s">
        <v>160</v>
      </c>
      <c r="F107" s="7">
        <f>VLOOKUP(E107,'[1]TIPOLOGIE COMP'!A:B,2,0)</f>
        <v>8</v>
      </c>
      <c r="G107" s="59" t="s">
        <v>89</v>
      </c>
      <c r="H107" s="59" t="s">
        <v>90</v>
      </c>
      <c r="I107" s="59" t="s">
        <v>63</v>
      </c>
      <c r="J107" s="59" t="s">
        <v>64</v>
      </c>
      <c r="K107" s="59">
        <v>1.17E-2</v>
      </c>
      <c r="L107" s="59" t="s">
        <v>183</v>
      </c>
      <c r="M107" s="59" t="s">
        <v>184</v>
      </c>
      <c r="N107" s="59" t="str">
        <f t="shared" si="3"/>
        <v>438011595</v>
      </c>
    </row>
    <row r="108" spans="1:14" x14ac:dyDescent="0.25">
      <c r="A108" s="59" t="s">
        <v>185</v>
      </c>
      <c r="B108" s="59" t="s">
        <v>186</v>
      </c>
      <c r="C108" s="59" t="str">
        <f t="shared" si="2"/>
        <v>438011596_1</v>
      </c>
      <c r="D108" s="7">
        <f>COUNTIF($A$1:A108,A108)</f>
        <v>1</v>
      </c>
      <c r="E108" s="7" t="s">
        <v>60</v>
      </c>
      <c r="F108" s="7">
        <f>VLOOKUP(E108,'[1]TIPOLOGIE COMP'!A:B,2,0)</f>
        <v>1</v>
      </c>
      <c r="G108" s="59" t="s">
        <v>81</v>
      </c>
      <c r="H108" s="59" t="s">
        <v>62</v>
      </c>
      <c r="I108" s="59" t="s">
        <v>63</v>
      </c>
      <c r="J108" s="59" t="s">
        <v>64</v>
      </c>
      <c r="K108" s="59">
        <v>0.83230000000000004</v>
      </c>
      <c r="L108" s="59" t="s">
        <v>187</v>
      </c>
      <c r="M108" s="59" t="s">
        <v>188</v>
      </c>
      <c r="N108" s="59" t="str">
        <f t="shared" si="3"/>
        <v>438011596</v>
      </c>
    </row>
    <row r="109" spans="1:14" x14ac:dyDescent="0.25">
      <c r="A109" s="59" t="s">
        <v>185</v>
      </c>
      <c r="B109" s="59" t="s">
        <v>186</v>
      </c>
      <c r="C109" s="59" t="str">
        <f t="shared" si="2"/>
        <v>438011596_2</v>
      </c>
      <c r="D109" s="7">
        <f>COUNTIF($A$1:A109,A109)</f>
        <v>2</v>
      </c>
      <c r="E109" s="7" t="s">
        <v>67</v>
      </c>
      <c r="F109" s="7">
        <f>VLOOKUP(E109,'[1]TIPOLOGIE COMP'!A:B,2,0)</f>
        <v>2</v>
      </c>
      <c r="G109" s="59" t="s">
        <v>84</v>
      </c>
      <c r="H109" s="59" t="s">
        <v>85</v>
      </c>
      <c r="I109" s="59" t="s">
        <v>63</v>
      </c>
      <c r="J109" s="59" t="s">
        <v>64</v>
      </c>
      <c r="K109" s="59">
        <v>0.14810000000000001</v>
      </c>
      <c r="L109" s="59" t="s">
        <v>187</v>
      </c>
      <c r="M109" s="59" t="s">
        <v>188</v>
      </c>
      <c r="N109" s="59" t="str">
        <f t="shared" si="3"/>
        <v>438011596</v>
      </c>
    </row>
    <row r="110" spans="1:14" x14ac:dyDescent="0.25">
      <c r="A110" s="59" t="s">
        <v>185</v>
      </c>
      <c r="B110" s="59" t="s">
        <v>186</v>
      </c>
      <c r="C110" s="59" t="str">
        <f t="shared" si="2"/>
        <v>438011596_4</v>
      </c>
      <c r="D110" s="7">
        <f>COUNTIF($A$1:A110,A110)</f>
        <v>3</v>
      </c>
      <c r="E110" s="7" t="s">
        <v>70</v>
      </c>
      <c r="F110" s="7">
        <f>VLOOKUP(E110,'[1]TIPOLOGIE COMP'!A:B,2,0)</f>
        <v>4</v>
      </c>
      <c r="G110" s="59" t="s">
        <v>86</v>
      </c>
      <c r="H110" s="59" t="s">
        <v>87</v>
      </c>
      <c r="I110" s="59" t="s">
        <v>63</v>
      </c>
      <c r="J110" s="59" t="s">
        <v>64</v>
      </c>
      <c r="K110" s="59">
        <v>2.5000000000000001E-3</v>
      </c>
      <c r="L110" s="59" t="s">
        <v>187</v>
      </c>
      <c r="M110" s="59" t="s">
        <v>188</v>
      </c>
      <c r="N110" s="59" t="str">
        <f t="shared" si="3"/>
        <v>438011596</v>
      </c>
    </row>
    <row r="111" spans="1:14" x14ac:dyDescent="0.25">
      <c r="A111" s="59" t="s">
        <v>185</v>
      </c>
      <c r="B111" s="59" t="s">
        <v>186</v>
      </c>
      <c r="C111" s="59" t="str">
        <f t="shared" si="2"/>
        <v>438011596_5</v>
      </c>
      <c r="D111" s="7">
        <f>COUNTIF($A$1:A111,A111)</f>
        <v>4</v>
      </c>
      <c r="E111" s="7" t="s">
        <v>73</v>
      </c>
      <c r="F111" s="7">
        <f>VLOOKUP(E111,'[1]TIPOLOGIE COMP'!A:B,2,0)</f>
        <v>5</v>
      </c>
      <c r="G111" s="59" t="s">
        <v>123</v>
      </c>
      <c r="H111" s="59" t="s">
        <v>124</v>
      </c>
      <c r="I111" s="59" t="s">
        <v>63</v>
      </c>
      <c r="J111" s="59" t="s">
        <v>64</v>
      </c>
      <c r="K111" s="59">
        <v>4.8999999999999998E-3</v>
      </c>
      <c r="L111" s="59" t="s">
        <v>187</v>
      </c>
      <c r="M111" s="59" t="s">
        <v>188</v>
      </c>
      <c r="N111" s="59" t="str">
        <f t="shared" si="3"/>
        <v>438011596</v>
      </c>
    </row>
    <row r="112" spans="1:14" x14ac:dyDescent="0.25">
      <c r="A112" s="59" t="s">
        <v>185</v>
      </c>
      <c r="B112" s="59" t="s">
        <v>186</v>
      </c>
      <c r="C112" s="59" t="str">
        <f t="shared" si="2"/>
        <v>438011596_6</v>
      </c>
      <c r="D112" s="7">
        <f>COUNTIF($A$1:A112,A112)</f>
        <v>5</v>
      </c>
      <c r="E112" s="7" t="s">
        <v>76</v>
      </c>
      <c r="F112" s="7">
        <f>VLOOKUP(E112,'[1]TIPOLOGIE COMP'!A:B,2,0)</f>
        <v>6</v>
      </c>
      <c r="G112" s="59" t="s">
        <v>89</v>
      </c>
      <c r="H112" s="59" t="s">
        <v>90</v>
      </c>
      <c r="I112" s="59" t="s">
        <v>63</v>
      </c>
      <c r="J112" s="59" t="s">
        <v>64</v>
      </c>
      <c r="K112" s="59">
        <v>1.23E-2</v>
      </c>
      <c r="L112" s="59" t="s">
        <v>187</v>
      </c>
      <c r="M112" s="59" t="s">
        <v>188</v>
      </c>
      <c r="N112" s="59" t="str">
        <f t="shared" si="3"/>
        <v>438011596</v>
      </c>
    </row>
    <row r="113" spans="1:14" x14ac:dyDescent="0.25">
      <c r="A113" s="59" t="s">
        <v>189</v>
      </c>
      <c r="B113" s="59" t="s">
        <v>190</v>
      </c>
      <c r="C113" s="59" t="str">
        <f t="shared" si="2"/>
        <v>438011597_1</v>
      </c>
      <c r="D113" s="7">
        <f>COUNTIF($A$1:A113,A113)</f>
        <v>1</v>
      </c>
      <c r="E113" s="7" t="s">
        <v>60</v>
      </c>
      <c r="F113" s="7">
        <f>VLOOKUP(E113,'[1]TIPOLOGIE COMP'!A:B,2,0)</f>
        <v>1</v>
      </c>
      <c r="G113" s="59" t="s">
        <v>81</v>
      </c>
      <c r="H113" s="59" t="s">
        <v>62</v>
      </c>
      <c r="I113" s="59" t="s">
        <v>63</v>
      </c>
      <c r="J113" s="59" t="s">
        <v>64</v>
      </c>
      <c r="K113" s="59">
        <v>0.81059999999999999</v>
      </c>
      <c r="L113" s="59" t="s">
        <v>191</v>
      </c>
      <c r="M113" s="59" t="s">
        <v>192</v>
      </c>
      <c r="N113" s="59" t="str">
        <f t="shared" si="3"/>
        <v>438011597</v>
      </c>
    </row>
    <row r="114" spans="1:14" x14ac:dyDescent="0.25">
      <c r="A114" s="59" t="s">
        <v>189</v>
      </c>
      <c r="B114" s="59" t="s">
        <v>190</v>
      </c>
      <c r="C114" s="59" t="str">
        <f t="shared" si="2"/>
        <v>438011597_2</v>
      </c>
      <c r="D114" s="7">
        <f>COUNTIF($A$1:A114,A114)</f>
        <v>2</v>
      </c>
      <c r="E114" s="7" t="s">
        <v>67</v>
      </c>
      <c r="F114" s="7">
        <f>VLOOKUP(E114,'[1]TIPOLOGIE COMP'!A:B,2,0)</f>
        <v>2</v>
      </c>
      <c r="G114" s="59" t="s">
        <v>84</v>
      </c>
      <c r="H114" s="59" t="s">
        <v>85</v>
      </c>
      <c r="I114" s="59" t="s">
        <v>63</v>
      </c>
      <c r="J114" s="59" t="s">
        <v>64</v>
      </c>
      <c r="K114" s="59">
        <v>0.124</v>
      </c>
      <c r="L114" s="59" t="s">
        <v>191</v>
      </c>
      <c r="M114" s="59" t="s">
        <v>192</v>
      </c>
      <c r="N114" s="59" t="str">
        <f t="shared" si="3"/>
        <v>438011597</v>
      </c>
    </row>
    <row r="115" spans="1:14" x14ac:dyDescent="0.25">
      <c r="A115" s="59" t="s">
        <v>189</v>
      </c>
      <c r="B115" s="59" t="s">
        <v>190</v>
      </c>
      <c r="C115" s="59" t="str">
        <f t="shared" si="2"/>
        <v>438011597_4</v>
      </c>
      <c r="D115" s="7">
        <f>COUNTIF($A$1:A115,A115)</f>
        <v>3</v>
      </c>
      <c r="E115" s="7" t="s">
        <v>70</v>
      </c>
      <c r="F115" s="7">
        <f>VLOOKUP(E115,'[1]TIPOLOGIE COMP'!A:B,2,0)</f>
        <v>4</v>
      </c>
      <c r="G115" s="59" t="s">
        <v>86</v>
      </c>
      <c r="H115" s="59" t="s">
        <v>87</v>
      </c>
      <c r="I115" s="59" t="s">
        <v>63</v>
      </c>
      <c r="J115" s="59" t="s">
        <v>64</v>
      </c>
      <c r="K115" s="59">
        <v>2.3E-3</v>
      </c>
      <c r="L115" s="59" t="s">
        <v>191</v>
      </c>
      <c r="M115" s="59" t="s">
        <v>192</v>
      </c>
      <c r="N115" s="59" t="str">
        <f t="shared" si="3"/>
        <v>438011597</v>
      </c>
    </row>
    <row r="116" spans="1:14" x14ac:dyDescent="0.25">
      <c r="A116" s="59" t="s">
        <v>189</v>
      </c>
      <c r="B116" s="59" t="s">
        <v>190</v>
      </c>
      <c r="C116" s="59" t="str">
        <f t="shared" si="2"/>
        <v>438011597_5</v>
      </c>
      <c r="D116" s="7">
        <f>COUNTIF($A$1:A116,A116)</f>
        <v>4</v>
      </c>
      <c r="E116" s="7" t="s">
        <v>73</v>
      </c>
      <c r="F116" s="7">
        <f>VLOOKUP(E116,'[1]TIPOLOGIE COMP'!A:B,2,0)</f>
        <v>5</v>
      </c>
      <c r="G116" s="59" t="s">
        <v>123</v>
      </c>
      <c r="H116" s="59" t="s">
        <v>124</v>
      </c>
      <c r="I116" s="59" t="s">
        <v>63</v>
      </c>
      <c r="J116" s="59" t="s">
        <v>64</v>
      </c>
      <c r="K116" s="59">
        <v>4.7000000000000002E-3</v>
      </c>
      <c r="L116" s="59" t="s">
        <v>191</v>
      </c>
      <c r="M116" s="59" t="s">
        <v>192</v>
      </c>
      <c r="N116" s="59" t="str">
        <f t="shared" si="3"/>
        <v>438011597</v>
      </c>
    </row>
    <row r="117" spans="1:14" x14ac:dyDescent="0.25">
      <c r="A117" s="59" t="s">
        <v>189</v>
      </c>
      <c r="B117" s="59" t="s">
        <v>190</v>
      </c>
      <c r="C117" s="59" t="str">
        <f t="shared" si="2"/>
        <v>438011597_6</v>
      </c>
      <c r="D117" s="7">
        <f>COUNTIF($A$1:A117,A117)</f>
        <v>5</v>
      </c>
      <c r="E117" s="7" t="s">
        <v>76</v>
      </c>
      <c r="F117" s="7">
        <f>VLOOKUP(E117,'[1]TIPOLOGIE COMP'!A:B,2,0)</f>
        <v>6</v>
      </c>
      <c r="G117" s="59" t="s">
        <v>105</v>
      </c>
      <c r="H117" s="59" t="s">
        <v>78</v>
      </c>
      <c r="I117" s="59" t="s">
        <v>63</v>
      </c>
      <c r="J117" s="59" t="s">
        <v>64</v>
      </c>
      <c r="K117" s="59">
        <v>4.6699999999999998E-2</v>
      </c>
      <c r="L117" s="59" t="s">
        <v>191</v>
      </c>
      <c r="M117" s="59" t="s">
        <v>192</v>
      </c>
      <c r="N117" s="59" t="str">
        <f t="shared" si="3"/>
        <v>438011597</v>
      </c>
    </row>
    <row r="118" spans="1:14" x14ac:dyDescent="0.25">
      <c r="A118" s="59" t="s">
        <v>189</v>
      </c>
      <c r="B118" s="59" t="s">
        <v>190</v>
      </c>
      <c r="C118" s="59" t="str">
        <f t="shared" si="2"/>
        <v>438011597_7</v>
      </c>
      <c r="D118" s="7">
        <f>COUNTIF($A$1:A118,A118)</f>
        <v>6</v>
      </c>
      <c r="E118" s="7" t="s">
        <v>106</v>
      </c>
      <c r="F118" s="7">
        <f>VLOOKUP(E118,'[1]TIPOLOGIE COMP'!A:B,2,0)</f>
        <v>7</v>
      </c>
      <c r="G118" s="59" t="s">
        <v>89</v>
      </c>
      <c r="H118" s="59" t="s">
        <v>90</v>
      </c>
      <c r="I118" s="59" t="s">
        <v>63</v>
      </c>
      <c r="J118" s="59" t="s">
        <v>64</v>
      </c>
      <c r="K118" s="59">
        <v>1.17E-2</v>
      </c>
      <c r="L118" s="59" t="s">
        <v>191</v>
      </c>
      <c r="M118" s="59" t="s">
        <v>192</v>
      </c>
      <c r="N118" s="59" t="str">
        <f t="shared" si="3"/>
        <v>438011597</v>
      </c>
    </row>
    <row r="119" spans="1:14" x14ac:dyDescent="0.25">
      <c r="A119" s="59" t="s">
        <v>20</v>
      </c>
      <c r="B119" s="59" t="s">
        <v>18</v>
      </c>
      <c r="C119" s="59" t="str">
        <f t="shared" si="2"/>
        <v>438014260_1</v>
      </c>
      <c r="D119" s="7">
        <f>COUNTIF($A$1:A119,A119)</f>
        <v>1</v>
      </c>
      <c r="E119" s="7" t="s">
        <v>60</v>
      </c>
      <c r="F119" s="7">
        <f>VLOOKUP(E119,'[1]TIPOLOGIE COMP'!A:B,2,0)</f>
        <v>1</v>
      </c>
      <c r="G119" s="148" t="s">
        <v>91</v>
      </c>
      <c r="H119" s="59" t="s">
        <v>92</v>
      </c>
      <c r="I119" s="59" t="s">
        <v>63</v>
      </c>
      <c r="J119" s="59" t="s">
        <v>64</v>
      </c>
      <c r="K119" s="59">
        <v>0.49940000000000001</v>
      </c>
      <c r="L119" s="59" t="s">
        <v>193</v>
      </c>
      <c r="M119" s="59" t="s">
        <v>194</v>
      </c>
      <c r="N119" s="59" t="str">
        <f t="shared" si="3"/>
        <v>438014260</v>
      </c>
    </row>
    <row r="120" spans="1:14" x14ac:dyDescent="0.25">
      <c r="A120" s="59" t="s">
        <v>20</v>
      </c>
      <c r="B120" s="59" t="s">
        <v>18</v>
      </c>
      <c r="C120" s="59" t="str">
        <f t="shared" si="2"/>
        <v>438014260_2</v>
      </c>
      <c r="D120" s="7">
        <f>COUNTIF($A$1:A120,A120)</f>
        <v>2</v>
      </c>
      <c r="E120" s="7" t="s">
        <v>67</v>
      </c>
      <c r="F120" s="7">
        <f>VLOOKUP(E120,'[1]TIPOLOGIE COMP'!A:B,2,0)</f>
        <v>2</v>
      </c>
      <c r="G120" s="148" t="s">
        <v>95</v>
      </c>
      <c r="H120" s="59" t="s">
        <v>96</v>
      </c>
      <c r="I120" s="59" t="s">
        <v>63</v>
      </c>
      <c r="J120" s="59" t="s">
        <v>64</v>
      </c>
      <c r="K120" s="59">
        <v>0.43099999999999999</v>
      </c>
      <c r="L120" s="59" t="s">
        <v>193</v>
      </c>
      <c r="M120" s="59" t="s">
        <v>194</v>
      </c>
      <c r="N120" s="59" t="str">
        <f t="shared" si="3"/>
        <v>438014260</v>
      </c>
    </row>
    <row r="121" spans="1:14" x14ac:dyDescent="0.25">
      <c r="A121" s="59">
        <v>438014260</v>
      </c>
      <c r="B121" s="59" t="s">
        <v>18</v>
      </c>
      <c r="C121" s="59" t="str">
        <f t="shared" si="2"/>
        <v>438014260_4</v>
      </c>
      <c r="D121" s="7">
        <f>COUNTIF($A$1:A121,A121)</f>
        <v>3</v>
      </c>
      <c r="E121" s="7" t="s">
        <v>70</v>
      </c>
      <c r="F121" s="7">
        <f>VLOOKUP(E121,'[1]TIPOLOGIE COMP'!A:B,2,0)</f>
        <v>4</v>
      </c>
      <c r="G121" s="148" t="s">
        <v>71</v>
      </c>
      <c r="H121" s="59" t="s">
        <v>87</v>
      </c>
      <c r="I121" s="59" t="s">
        <v>63</v>
      </c>
      <c r="J121" s="59" t="s">
        <v>64</v>
      </c>
      <c r="K121" s="59">
        <v>2E-3</v>
      </c>
      <c r="L121" s="59" t="s">
        <v>193</v>
      </c>
      <c r="M121" s="59" t="s">
        <v>194</v>
      </c>
      <c r="N121" s="59">
        <f t="shared" si="3"/>
        <v>438014260</v>
      </c>
    </row>
    <row r="122" spans="1:14" x14ac:dyDescent="0.25">
      <c r="A122" s="59" t="s">
        <v>20</v>
      </c>
      <c r="B122" s="59" t="s">
        <v>18</v>
      </c>
      <c r="C122" s="59" t="str">
        <f t="shared" si="2"/>
        <v>438014260_5</v>
      </c>
      <c r="D122" s="7">
        <f>COUNTIF($A$1:A122,A122)</f>
        <v>4</v>
      </c>
      <c r="E122" s="7" t="s">
        <v>73</v>
      </c>
      <c r="F122" s="7">
        <f>VLOOKUP(E122,'[1]TIPOLOGIE COMP'!A:B,2,0)</f>
        <v>5</v>
      </c>
      <c r="G122" s="148" t="s">
        <v>74</v>
      </c>
      <c r="H122" s="59" t="s">
        <v>75</v>
      </c>
      <c r="I122" s="59" t="s">
        <v>63</v>
      </c>
      <c r="J122" s="59" t="s">
        <v>64</v>
      </c>
      <c r="K122" s="59">
        <v>1E-3</v>
      </c>
      <c r="L122" s="59" t="s">
        <v>193</v>
      </c>
      <c r="M122" s="59" t="s">
        <v>194</v>
      </c>
      <c r="N122" s="59" t="str">
        <f t="shared" si="3"/>
        <v>438014260</v>
      </c>
    </row>
    <row r="123" spans="1:14" x14ac:dyDescent="0.25">
      <c r="A123" s="59" t="s">
        <v>20</v>
      </c>
      <c r="B123" s="59" t="s">
        <v>18</v>
      </c>
      <c r="C123" s="59" t="str">
        <f t="shared" si="2"/>
        <v>438014260_6</v>
      </c>
      <c r="D123" s="7">
        <f>COUNTIF($A$1:A123,A123)</f>
        <v>5</v>
      </c>
      <c r="E123" s="7" t="s">
        <v>76</v>
      </c>
      <c r="F123" s="7">
        <f>VLOOKUP(E123,'[1]TIPOLOGIE COMP'!A:B,2,0)</f>
        <v>6</v>
      </c>
      <c r="G123" s="148" t="s">
        <v>77</v>
      </c>
      <c r="H123" s="59" t="s">
        <v>78</v>
      </c>
      <c r="I123" s="59" t="s">
        <v>63</v>
      </c>
      <c r="J123" s="59" t="s">
        <v>64</v>
      </c>
      <c r="K123" s="59">
        <v>4.99E-2</v>
      </c>
      <c r="L123" s="59" t="s">
        <v>193</v>
      </c>
      <c r="M123" s="59" t="s">
        <v>194</v>
      </c>
      <c r="N123" s="59" t="str">
        <f t="shared" si="3"/>
        <v>438014260</v>
      </c>
    </row>
    <row r="124" spans="1:14" x14ac:dyDescent="0.25">
      <c r="A124" s="59" t="s">
        <v>195</v>
      </c>
      <c r="B124" s="59" t="s">
        <v>196</v>
      </c>
      <c r="C124" s="59" t="str">
        <f t="shared" si="2"/>
        <v>438011599_1</v>
      </c>
      <c r="D124" s="7">
        <f>COUNTIF($A$1:A124,A124)</f>
        <v>1</v>
      </c>
      <c r="E124" s="7" t="s">
        <v>60</v>
      </c>
      <c r="F124" s="7">
        <f>VLOOKUP(E124,'[1]TIPOLOGIE COMP'!A:B,2,0)</f>
        <v>1</v>
      </c>
      <c r="G124" s="59" t="s">
        <v>108</v>
      </c>
      <c r="H124" s="59" t="s">
        <v>92</v>
      </c>
      <c r="I124" s="59" t="s">
        <v>63</v>
      </c>
      <c r="J124" s="59" t="s">
        <v>64</v>
      </c>
      <c r="K124" s="59">
        <v>0.6673</v>
      </c>
      <c r="L124" s="59" t="s">
        <v>197</v>
      </c>
      <c r="M124" s="59" t="s">
        <v>198</v>
      </c>
      <c r="N124" s="59" t="str">
        <f t="shared" si="3"/>
        <v>438011599</v>
      </c>
    </row>
    <row r="125" spans="1:14" x14ac:dyDescent="0.25">
      <c r="A125" s="59" t="s">
        <v>195</v>
      </c>
      <c r="B125" s="59" t="s">
        <v>196</v>
      </c>
      <c r="C125" s="59" t="str">
        <f t="shared" si="2"/>
        <v>438011599_2</v>
      </c>
      <c r="D125" s="7">
        <f>COUNTIF($A$1:A125,A125)</f>
        <v>2</v>
      </c>
      <c r="E125" s="7" t="s">
        <v>67</v>
      </c>
      <c r="F125" s="7">
        <f>VLOOKUP(E125,'[1]TIPOLOGIE COMP'!A:B,2,0)</f>
        <v>2</v>
      </c>
      <c r="G125" s="59" t="s">
        <v>111</v>
      </c>
      <c r="H125" s="59" t="s">
        <v>100</v>
      </c>
      <c r="I125" s="59" t="s">
        <v>63</v>
      </c>
      <c r="J125" s="59" t="s">
        <v>64</v>
      </c>
      <c r="K125" s="59">
        <v>0.315</v>
      </c>
      <c r="L125" s="59" t="s">
        <v>197</v>
      </c>
      <c r="M125" s="59" t="s">
        <v>198</v>
      </c>
      <c r="N125" s="59" t="str">
        <f t="shared" si="3"/>
        <v>438011599</v>
      </c>
    </row>
    <row r="126" spans="1:14" x14ac:dyDescent="0.25">
      <c r="A126" s="59" t="s">
        <v>195</v>
      </c>
      <c r="B126" s="59" t="s">
        <v>196</v>
      </c>
      <c r="C126" s="59" t="str">
        <f t="shared" si="2"/>
        <v>438011599_4</v>
      </c>
      <c r="D126" s="7">
        <f>COUNTIF($A$1:A126,A126)</f>
        <v>3</v>
      </c>
      <c r="E126" s="7" t="s">
        <v>70</v>
      </c>
      <c r="F126" s="7">
        <f>VLOOKUP(E126,'[1]TIPOLOGIE COMP'!A:B,2,0)</f>
        <v>4</v>
      </c>
      <c r="G126" s="59" t="s">
        <v>86</v>
      </c>
      <c r="H126" s="59" t="s">
        <v>87</v>
      </c>
      <c r="I126" s="59" t="s">
        <v>63</v>
      </c>
      <c r="J126" s="59" t="s">
        <v>64</v>
      </c>
      <c r="K126" s="59">
        <v>1.1999999999999999E-3</v>
      </c>
      <c r="L126" s="59" t="s">
        <v>197</v>
      </c>
      <c r="M126" s="59" t="s">
        <v>198</v>
      </c>
      <c r="N126" s="59" t="str">
        <f t="shared" si="3"/>
        <v>438011599</v>
      </c>
    </row>
    <row r="127" spans="1:14" x14ac:dyDescent="0.25">
      <c r="A127" s="59" t="s">
        <v>195</v>
      </c>
      <c r="B127" s="59" t="s">
        <v>196</v>
      </c>
      <c r="C127" s="59" t="str">
        <f t="shared" si="2"/>
        <v>438011599_5</v>
      </c>
      <c r="D127" s="7">
        <f>COUNTIF($A$1:A127,A127)</f>
        <v>4</v>
      </c>
      <c r="E127" s="7" t="s">
        <v>73</v>
      </c>
      <c r="F127" s="7">
        <f>VLOOKUP(E127,'[1]TIPOLOGIE COMP'!A:B,2,0)</f>
        <v>5</v>
      </c>
      <c r="G127" s="59" t="s">
        <v>88</v>
      </c>
      <c r="H127" s="59" t="s">
        <v>75</v>
      </c>
      <c r="I127" s="59" t="s">
        <v>63</v>
      </c>
      <c r="J127" s="59" t="s">
        <v>64</v>
      </c>
      <c r="K127" s="59">
        <v>3.8999999999999998E-3</v>
      </c>
      <c r="L127" s="59" t="s">
        <v>197</v>
      </c>
      <c r="M127" s="59" t="s">
        <v>198</v>
      </c>
      <c r="N127" s="59" t="str">
        <f t="shared" si="3"/>
        <v>438011599</v>
      </c>
    </row>
    <row r="128" spans="1:14" x14ac:dyDescent="0.25">
      <c r="A128" s="59" t="s">
        <v>195</v>
      </c>
      <c r="B128" s="59" t="s">
        <v>196</v>
      </c>
      <c r="C128" s="59" t="str">
        <f t="shared" si="2"/>
        <v>438011599_6</v>
      </c>
      <c r="D128" s="7">
        <f>COUNTIF($A$1:A128,A128)</f>
        <v>5</v>
      </c>
      <c r="E128" s="7" t="s">
        <v>76</v>
      </c>
      <c r="F128" s="7">
        <f>VLOOKUP(E128,'[1]TIPOLOGIE COMP'!A:B,2,0)</f>
        <v>6</v>
      </c>
      <c r="G128" s="59" t="s">
        <v>199</v>
      </c>
      <c r="H128" s="59" t="s">
        <v>200</v>
      </c>
      <c r="I128" s="59" t="s">
        <v>63</v>
      </c>
      <c r="J128" s="59" t="s">
        <v>64</v>
      </c>
      <c r="K128" s="59">
        <v>3.8999999999999998E-3</v>
      </c>
      <c r="L128" s="59" t="s">
        <v>197</v>
      </c>
      <c r="M128" s="59" t="s">
        <v>198</v>
      </c>
      <c r="N128" s="59" t="str">
        <f t="shared" si="3"/>
        <v>438011599</v>
      </c>
    </row>
    <row r="129" spans="1:14" x14ac:dyDescent="0.25">
      <c r="A129" s="59" t="s">
        <v>195</v>
      </c>
      <c r="B129" s="59" t="s">
        <v>196</v>
      </c>
      <c r="C129" s="59" t="str">
        <f t="shared" si="2"/>
        <v>438011599_7</v>
      </c>
      <c r="D129" s="7">
        <f>COUNTIF($A$1:A129,A129)</f>
        <v>6</v>
      </c>
      <c r="E129" s="7" t="s">
        <v>106</v>
      </c>
      <c r="F129" s="7">
        <f>VLOOKUP(E129,'[1]TIPOLOGIE COMP'!A:B,2,0)</f>
        <v>7</v>
      </c>
      <c r="G129" s="59" t="s">
        <v>89</v>
      </c>
      <c r="H129" s="59" t="s">
        <v>90</v>
      </c>
      <c r="I129" s="59" t="s">
        <v>63</v>
      </c>
      <c r="J129" s="59" t="s">
        <v>64</v>
      </c>
      <c r="K129" s="59">
        <v>8.6E-3</v>
      </c>
      <c r="L129" s="59" t="s">
        <v>197</v>
      </c>
      <c r="M129" s="59" t="s">
        <v>198</v>
      </c>
      <c r="N129" s="59" t="str">
        <f t="shared" si="3"/>
        <v>438011599</v>
      </c>
    </row>
    <row r="130" spans="1:14" x14ac:dyDescent="0.25">
      <c r="A130" s="59" t="s">
        <v>201</v>
      </c>
      <c r="B130" s="59" t="s">
        <v>202</v>
      </c>
      <c r="C130" s="59" t="str">
        <f t="shared" si="2"/>
        <v>438011600_1</v>
      </c>
      <c r="D130" s="7">
        <f>COUNTIF($A$1:A130,A130)</f>
        <v>1</v>
      </c>
      <c r="E130" s="7" t="s">
        <v>60</v>
      </c>
      <c r="F130" s="7">
        <f>VLOOKUP(E130,'[1]TIPOLOGIE COMP'!A:B,2,0)</f>
        <v>1</v>
      </c>
      <c r="G130" s="59" t="s">
        <v>114</v>
      </c>
      <c r="H130" s="59" t="s">
        <v>115</v>
      </c>
      <c r="I130" s="59" t="s">
        <v>63</v>
      </c>
      <c r="J130" s="59" t="s">
        <v>64</v>
      </c>
      <c r="K130" s="59">
        <v>0.45019999999999999</v>
      </c>
      <c r="L130" s="59" t="s">
        <v>203</v>
      </c>
      <c r="M130" s="59" t="s">
        <v>204</v>
      </c>
      <c r="N130" s="59" t="str">
        <f t="shared" si="3"/>
        <v>438011600</v>
      </c>
    </row>
    <row r="131" spans="1:14" x14ac:dyDescent="0.25">
      <c r="A131" s="59" t="s">
        <v>201</v>
      </c>
      <c r="B131" s="59" t="s">
        <v>202</v>
      </c>
      <c r="C131" s="59" t="str">
        <f t="shared" ref="C131:C194" si="4">CONCATENATE(A131,"_",F131)</f>
        <v>438011600_2</v>
      </c>
      <c r="D131" s="7">
        <f>COUNTIF($A$1:A131,A131)</f>
        <v>2</v>
      </c>
      <c r="E131" s="7" t="s">
        <v>67</v>
      </c>
      <c r="F131" s="7">
        <f>VLOOKUP(E131,'[1]TIPOLOGIE COMP'!A:B,2,0)</f>
        <v>2</v>
      </c>
      <c r="G131" s="59" t="s">
        <v>118</v>
      </c>
      <c r="H131" s="59" t="s">
        <v>119</v>
      </c>
      <c r="I131" s="59" t="s">
        <v>63</v>
      </c>
      <c r="J131" s="59" t="s">
        <v>64</v>
      </c>
      <c r="K131" s="59">
        <v>0.51190000000000002</v>
      </c>
      <c r="L131" s="59" t="s">
        <v>203</v>
      </c>
      <c r="M131" s="59" t="s">
        <v>204</v>
      </c>
      <c r="N131" s="59" t="str">
        <f t="shared" ref="N131:N195" si="5">A131</f>
        <v>438011600</v>
      </c>
    </row>
    <row r="132" spans="1:14" x14ac:dyDescent="0.25">
      <c r="A132" s="59" t="s">
        <v>201</v>
      </c>
      <c r="B132" s="59" t="s">
        <v>202</v>
      </c>
      <c r="C132" s="59" t="str">
        <f t="shared" si="4"/>
        <v>438011600_3</v>
      </c>
      <c r="D132" s="7">
        <f>COUNTIF($A$1:A132,A132)</f>
        <v>3</v>
      </c>
      <c r="E132" s="7" t="s">
        <v>120</v>
      </c>
      <c r="F132" s="7">
        <f>VLOOKUP(E132,'[1]TIPOLOGIE COMP'!A:B,2,0)</f>
        <v>3</v>
      </c>
      <c r="G132" s="59" t="s">
        <v>121</v>
      </c>
      <c r="H132" s="59" t="s">
        <v>122</v>
      </c>
      <c r="I132" s="59" t="s">
        <v>63</v>
      </c>
      <c r="J132" s="59" t="s">
        <v>64</v>
      </c>
      <c r="K132" s="59">
        <v>1.35E-2</v>
      </c>
      <c r="L132" s="59" t="s">
        <v>203</v>
      </c>
      <c r="M132" s="59" t="s">
        <v>204</v>
      </c>
      <c r="N132" s="59" t="str">
        <f t="shared" si="5"/>
        <v>438011600</v>
      </c>
    </row>
    <row r="133" spans="1:14" x14ac:dyDescent="0.25">
      <c r="A133" s="59" t="s">
        <v>201</v>
      </c>
      <c r="B133" s="59" t="s">
        <v>202</v>
      </c>
      <c r="C133" s="59" t="str">
        <f t="shared" si="4"/>
        <v>438011600_4</v>
      </c>
      <c r="D133" s="7">
        <f>COUNTIF($A$1:A133,A133)</f>
        <v>4</v>
      </c>
      <c r="E133" s="7" t="s">
        <v>70</v>
      </c>
      <c r="F133" s="7">
        <f>VLOOKUP(E133,'[1]TIPOLOGIE COMP'!A:B,2,0)</f>
        <v>4</v>
      </c>
      <c r="G133" s="59" t="s">
        <v>86</v>
      </c>
      <c r="H133" s="59" t="s">
        <v>87</v>
      </c>
      <c r="I133" s="59" t="s">
        <v>63</v>
      </c>
      <c r="J133" s="59" t="s">
        <v>64</v>
      </c>
      <c r="K133" s="59">
        <v>1E-3</v>
      </c>
      <c r="L133" s="59" t="s">
        <v>203</v>
      </c>
      <c r="M133" s="59" t="s">
        <v>204</v>
      </c>
      <c r="N133" s="59" t="str">
        <f t="shared" si="5"/>
        <v>438011600</v>
      </c>
    </row>
    <row r="134" spans="1:14" x14ac:dyDescent="0.25">
      <c r="A134" s="59" t="s">
        <v>201</v>
      </c>
      <c r="B134" s="59" t="s">
        <v>202</v>
      </c>
      <c r="C134" s="59" t="str">
        <f t="shared" si="4"/>
        <v>438011600_5</v>
      </c>
      <c r="D134" s="7">
        <f>COUNTIF($A$1:A134,A134)</f>
        <v>5</v>
      </c>
      <c r="E134" s="7" t="s">
        <v>73</v>
      </c>
      <c r="F134" s="7">
        <f>VLOOKUP(E134,'[1]TIPOLOGIE COMP'!A:B,2,0)</f>
        <v>5</v>
      </c>
      <c r="G134" s="59" t="s">
        <v>152</v>
      </c>
      <c r="H134" s="59" t="s">
        <v>153</v>
      </c>
      <c r="I134" s="59" t="s">
        <v>63</v>
      </c>
      <c r="J134" s="59" t="s">
        <v>64</v>
      </c>
      <c r="K134" s="59">
        <v>4.0000000000000002E-4</v>
      </c>
      <c r="L134" s="59" t="s">
        <v>203</v>
      </c>
      <c r="M134" s="59" t="s">
        <v>204</v>
      </c>
      <c r="N134" s="59" t="str">
        <f t="shared" si="5"/>
        <v>438011600</v>
      </c>
    </row>
    <row r="135" spans="1:14" x14ac:dyDescent="0.25">
      <c r="A135" s="59" t="s">
        <v>201</v>
      </c>
      <c r="B135" s="59" t="s">
        <v>202</v>
      </c>
      <c r="C135" s="59" t="str">
        <f t="shared" si="4"/>
        <v>438011600_6</v>
      </c>
      <c r="D135" s="7">
        <f>COUNTIF($A$1:A135,A135)</f>
        <v>6</v>
      </c>
      <c r="E135" s="7" t="s">
        <v>76</v>
      </c>
      <c r="F135" s="7">
        <f>VLOOKUP(E135,'[1]TIPOLOGIE COMP'!A:B,2,0)</f>
        <v>6</v>
      </c>
      <c r="G135" s="59" t="s">
        <v>154</v>
      </c>
      <c r="H135" s="59" t="s">
        <v>155</v>
      </c>
      <c r="I135" s="59" t="s">
        <v>63</v>
      </c>
      <c r="J135" s="59" t="s">
        <v>64</v>
      </c>
      <c r="K135" s="59">
        <v>4.4000000000000003E-3</v>
      </c>
      <c r="L135" s="59" t="s">
        <v>203</v>
      </c>
      <c r="M135" s="59" t="s">
        <v>204</v>
      </c>
      <c r="N135" s="59" t="str">
        <f t="shared" si="5"/>
        <v>438011600</v>
      </c>
    </row>
    <row r="136" spans="1:14" x14ac:dyDescent="0.25">
      <c r="A136" s="59" t="s">
        <v>201</v>
      </c>
      <c r="B136" s="59" t="s">
        <v>202</v>
      </c>
      <c r="C136" s="59" t="str">
        <f t="shared" si="4"/>
        <v>438011600_7</v>
      </c>
      <c r="D136" s="7">
        <f>COUNTIF($A$1:A136,A136)</f>
        <v>7</v>
      </c>
      <c r="E136" s="7" t="s">
        <v>106</v>
      </c>
      <c r="F136" s="7">
        <f>VLOOKUP(E136,'[1]TIPOLOGIE COMP'!A:B,2,0)</f>
        <v>7</v>
      </c>
      <c r="G136" s="59" t="s">
        <v>89</v>
      </c>
      <c r="H136" s="59" t="s">
        <v>90</v>
      </c>
      <c r="I136" s="59" t="s">
        <v>63</v>
      </c>
      <c r="J136" s="59" t="s">
        <v>64</v>
      </c>
      <c r="K136" s="59">
        <v>1.8499999999999999E-2</v>
      </c>
      <c r="L136" s="59" t="s">
        <v>203</v>
      </c>
      <c r="M136" s="59" t="s">
        <v>204</v>
      </c>
      <c r="N136" s="59" t="str">
        <f t="shared" si="5"/>
        <v>438011600</v>
      </c>
    </row>
    <row r="137" spans="1:14" x14ac:dyDescent="0.25">
      <c r="A137" s="59" t="s">
        <v>205</v>
      </c>
      <c r="B137" s="59" t="s">
        <v>206</v>
      </c>
      <c r="C137" s="59" t="str">
        <f t="shared" si="4"/>
        <v>438011601_1</v>
      </c>
      <c r="D137" s="7">
        <f>COUNTIF($A$1:A137,A137)</f>
        <v>1</v>
      </c>
      <c r="E137" s="7" t="s">
        <v>60</v>
      </c>
      <c r="F137" s="7">
        <f>VLOOKUP(E137,'[1]TIPOLOGIE COMP'!A:B,2,0)</f>
        <v>1</v>
      </c>
      <c r="G137" s="59" t="s">
        <v>114</v>
      </c>
      <c r="H137" s="59" t="s">
        <v>115</v>
      </c>
      <c r="I137" s="59" t="s">
        <v>63</v>
      </c>
      <c r="J137" s="59" t="s">
        <v>64</v>
      </c>
      <c r="K137" s="59">
        <v>0.6593</v>
      </c>
      <c r="L137" s="59" t="s">
        <v>207</v>
      </c>
      <c r="M137" s="59" t="s">
        <v>208</v>
      </c>
      <c r="N137" s="59" t="str">
        <f t="shared" si="5"/>
        <v>438011601</v>
      </c>
    </row>
    <row r="138" spans="1:14" x14ac:dyDescent="0.25">
      <c r="A138" s="59" t="s">
        <v>205</v>
      </c>
      <c r="B138" s="59" t="s">
        <v>206</v>
      </c>
      <c r="C138" s="59" t="str">
        <f t="shared" si="4"/>
        <v>438011601_2</v>
      </c>
      <c r="D138" s="7">
        <f>COUNTIF($A$1:A138,A138)</f>
        <v>2</v>
      </c>
      <c r="E138" s="7" t="s">
        <v>67</v>
      </c>
      <c r="F138" s="7">
        <f>VLOOKUP(E138,'[1]TIPOLOGIE COMP'!A:B,2,0)</f>
        <v>2</v>
      </c>
      <c r="G138" s="59" t="s">
        <v>118</v>
      </c>
      <c r="H138" s="59" t="s">
        <v>119</v>
      </c>
      <c r="I138" s="59" t="s">
        <v>63</v>
      </c>
      <c r="J138" s="59" t="s">
        <v>64</v>
      </c>
      <c r="K138" s="59">
        <v>0.26040000000000002</v>
      </c>
      <c r="L138" s="59" t="s">
        <v>207</v>
      </c>
      <c r="M138" s="59" t="s">
        <v>208</v>
      </c>
      <c r="N138" s="59" t="str">
        <f t="shared" si="5"/>
        <v>438011601</v>
      </c>
    </row>
    <row r="139" spans="1:14" x14ac:dyDescent="0.25">
      <c r="A139" s="59" t="s">
        <v>205</v>
      </c>
      <c r="B139" s="59" t="s">
        <v>206</v>
      </c>
      <c r="C139" s="59" t="str">
        <f t="shared" si="4"/>
        <v>438011601_3</v>
      </c>
      <c r="D139" s="7">
        <f>COUNTIF($A$1:A139,A139)</f>
        <v>3</v>
      </c>
      <c r="E139" s="7" t="s">
        <v>120</v>
      </c>
      <c r="F139" s="7">
        <f>VLOOKUP(E139,'[1]TIPOLOGIE COMP'!A:B,2,0)</f>
        <v>3</v>
      </c>
      <c r="G139" s="59" t="s">
        <v>121</v>
      </c>
      <c r="H139" s="59" t="s">
        <v>122</v>
      </c>
      <c r="I139" s="59" t="s">
        <v>63</v>
      </c>
      <c r="J139" s="59" t="s">
        <v>64</v>
      </c>
      <c r="K139" s="59">
        <v>6.0699999999999997E-2</v>
      </c>
      <c r="L139" s="59" t="s">
        <v>207</v>
      </c>
      <c r="M139" s="59" t="s">
        <v>208</v>
      </c>
      <c r="N139" s="59" t="str">
        <f t="shared" si="5"/>
        <v>438011601</v>
      </c>
    </row>
    <row r="140" spans="1:14" x14ac:dyDescent="0.25">
      <c r="A140" s="59" t="s">
        <v>205</v>
      </c>
      <c r="B140" s="59" t="s">
        <v>206</v>
      </c>
      <c r="C140" s="59" t="str">
        <f t="shared" si="4"/>
        <v>438011601_4</v>
      </c>
      <c r="D140" s="7">
        <f>COUNTIF($A$1:A140,A140)</f>
        <v>4</v>
      </c>
      <c r="E140" s="7" t="s">
        <v>70</v>
      </c>
      <c r="F140" s="7">
        <f>VLOOKUP(E140,'[1]TIPOLOGIE COMP'!A:B,2,0)</f>
        <v>4</v>
      </c>
      <c r="G140" s="59" t="s">
        <v>86</v>
      </c>
      <c r="H140" s="59" t="s">
        <v>87</v>
      </c>
      <c r="I140" s="59" t="s">
        <v>63</v>
      </c>
      <c r="J140" s="59" t="s">
        <v>64</v>
      </c>
      <c r="K140" s="59">
        <v>6.9999999999999999E-4</v>
      </c>
      <c r="L140" s="59" t="s">
        <v>207</v>
      </c>
      <c r="M140" s="59" t="s">
        <v>208</v>
      </c>
      <c r="N140" s="59" t="str">
        <f t="shared" si="5"/>
        <v>438011601</v>
      </c>
    </row>
    <row r="141" spans="1:14" x14ac:dyDescent="0.25">
      <c r="A141" s="59" t="s">
        <v>205</v>
      </c>
      <c r="B141" s="59" t="s">
        <v>206</v>
      </c>
      <c r="C141" s="59" t="str">
        <f t="shared" si="4"/>
        <v>438011601_5</v>
      </c>
      <c r="D141" s="7">
        <f>COUNTIF($A$1:A141,A141)</f>
        <v>5</v>
      </c>
      <c r="E141" s="7" t="s">
        <v>73</v>
      </c>
      <c r="F141" s="7">
        <f>VLOOKUP(E141,'[1]TIPOLOGIE COMP'!A:B,2,0)</f>
        <v>5</v>
      </c>
      <c r="G141" s="59" t="s">
        <v>152</v>
      </c>
      <c r="H141" s="59" t="s">
        <v>153</v>
      </c>
      <c r="I141" s="59" t="s">
        <v>63</v>
      </c>
      <c r="J141" s="59" t="s">
        <v>64</v>
      </c>
      <c r="K141" s="59">
        <v>4.0000000000000002E-4</v>
      </c>
      <c r="L141" s="59" t="s">
        <v>207</v>
      </c>
      <c r="M141" s="59" t="s">
        <v>208</v>
      </c>
      <c r="N141" s="59" t="str">
        <f t="shared" si="5"/>
        <v>438011601</v>
      </c>
    </row>
    <row r="142" spans="1:14" x14ac:dyDescent="0.25">
      <c r="A142" s="59" t="s">
        <v>205</v>
      </c>
      <c r="B142" s="59" t="s">
        <v>206</v>
      </c>
      <c r="C142" s="59" t="str">
        <f t="shared" si="4"/>
        <v>438011601_6</v>
      </c>
      <c r="D142" s="7">
        <f>COUNTIF($A$1:A142,A142)</f>
        <v>6</v>
      </c>
      <c r="E142" s="7" t="s">
        <v>76</v>
      </c>
      <c r="F142" s="7">
        <f>VLOOKUP(E142,'[1]TIPOLOGIE COMP'!A:B,2,0)</f>
        <v>6</v>
      </c>
      <c r="G142" s="59" t="s">
        <v>154</v>
      </c>
      <c r="H142" s="59" t="s">
        <v>155</v>
      </c>
      <c r="I142" s="59" t="s">
        <v>63</v>
      </c>
      <c r="J142" s="59" t="s">
        <v>64</v>
      </c>
      <c r="K142" s="59">
        <v>4.4999999999999997E-3</v>
      </c>
      <c r="L142" s="59" t="s">
        <v>207</v>
      </c>
      <c r="M142" s="59" t="s">
        <v>208</v>
      </c>
      <c r="N142" s="59" t="str">
        <f t="shared" si="5"/>
        <v>438011601</v>
      </c>
    </row>
    <row r="143" spans="1:14" x14ac:dyDescent="0.25">
      <c r="A143" s="59" t="s">
        <v>205</v>
      </c>
      <c r="B143" s="59" t="s">
        <v>206</v>
      </c>
      <c r="C143" s="59" t="str">
        <f t="shared" si="4"/>
        <v>438011601_7</v>
      </c>
      <c r="D143" s="7">
        <f>COUNTIF($A$1:A143,A143)</f>
        <v>7</v>
      </c>
      <c r="E143" s="7" t="s">
        <v>106</v>
      </c>
      <c r="F143" s="7">
        <f>VLOOKUP(E143,'[1]TIPOLOGIE COMP'!A:B,2,0)</f>
        <v>7</v>
      </c>
      <c r="G143" s="59" t="s">
        <v>89</v>
      </c>
      <c r="H143" s="59" t="s">
        <v>90</v>
      </c>
      <c r="I143" s="59" t="s">
        <v>63</v>
      </c>
      <c r="J143" s="59" t="s">
        <v>64</v>
      </c>
      <c r="K143" s="59">
        <v>1.41E-2</v>
      </c>
      <c r="L143" s="59" t="s">
        <v>207</v>
      </c>
      <c r="M143" s="59" t="s">
        <v>208</v>
      </c>
      <c r="N143" s="59" t="str">
        <f t="shared" si="5"/>
        <v>438011601</v>
      </c>
    </row>
    <row r="144" spans="1:14" x14ac:dyDescent="0.25">
      <c r="A144" s="144" t="s">
        <v>209</v>
      </c>
      <c r="B144" s="59" t="s">
        <v>210</v>
      </c>
      <c r="C144" s="59" t="str">
        <f t="shared" si="4"/>
        <v>438011602_1</v>
      </c>
      <c r="D144" s="7">
        <f>COUNTIF($A$1:A144,A144)</f>
        <v>1</v>
      </c>
      <c r="E144" s="7" t="s">
        <v>60</v>
      </c>
      <c r="F144" s="7">
        <f>VLOOKUP(E144,'[1]TIPOLOGIE COMP'!A:B,2,0)</f>
        <v>1</v>
      </c>
      <c r="G144" s="59" t="s">
        <v>211</v>
      </c>
      <c r="H144" s="59" t="s">
        <v>212</v>
      </c>
      <c r="I144" s="59" t="s">
        <v>63</v>
      </c>
      <c r="J144" s="59" t="s">
        <v>64</v>
      </c>
      <c r="K144" s="59">
        <v>0.6845</v>
      </c>
      <c r="L144" s="59" t="s">
        <v>213</v>
      </c>
      <c r="M144" s="59" t="s">
        <v>214</v>
      </c>
      <c r="N144" s="59" t="str">
        <f t="shared" si="5"/>
        <v>438011602</v>
      </c>
    </row>
    <row r="145" spans="1:14" x14ac:dyDescent="0.25">
      <c r="A145" s="144" t="s">
        <v>209</v>
      </c>
      <c r="B145" s="59" t="s">
        <v>210</v>
      </c>
      <c r="C145" s="59" t="str">
        <f t="shared" si="4"/>
        <v>438011602_2</v>
      </c>
      <c r="D145" s="7">
        <f>COUNTIF($A$1:A145,A145)</f>
        <v>2</v>
      </c>
      <c r="E145" s="7" t="s">
        <v>67</v>
      </c>
      <c r="F145" s="7">
        <f>VLOOKUP(E145,'[1]TIPOLOGIE COMP'!A:B,2,0)</f>
        <v>2</v>
      </c>
      <c r="G145" s="59" t="s">
        <v>215</v>
      </c>
      <c r="H145" s="59" t="s">
        <v>216</v>
      </c>
      <c r="I145" s="59" t="s">
        <v>63</v>
      </c>
      <c r="J145" s="59" t="s">
        <v>64</v>
      </c>
      <c r="K145" s="59">
        <v>0.31340000000000001</v>
      </c>
      <c r="L145" s="59" t="s">
        <v>213</v>
      </c>
      <c r="M145" s="59" t="s">
        <v>214</v>
      </c>
      <c r="N145" s="59" t="str">
        <f t="shared" si="5"/>
        <v>438011602</v>
      </c>
    </row>
    <row r="146" spans="1:14" x14ac:dyDescent="0.25">
      <c r="A146" s="144" t="s">
        <v>209</v>
      </c>
      <c r="B146" s="59" t="s">
        <v>210</v>
      </c>
      <c r="C146" s="59" t="str">
        <f t="shared" si="4"/>
        <v>438011602_3</v>
      </c>
      <c r="D146" s="7">
        <f>COUNTIF($A$1:A146,A146)</f>
        <v>3</v>
      </c>
      <c r="E146" s="7" t="s">
        <v>120</v>
      </c>
      <c r="F146" s="7">
        <v>3</v>
      </c>
      <c r="G146" s="59" t="s">
        <v>217</v>
      </c>
      <c r="H146" s="59" t="s">
        <v>218</v>
      </c>
      <c r="I146" s="59" t="s">
        <v>63</v>
      </c>
      <c r="J146" s="59" t="s">
        <v>64</v>
      </c>
      <c r="L146" s="59" t="s">
        <v>213</v>
      </c>
      <c r="M146" s="59" t="s">
        <v>214</v>
      </c>
      <c r="N146" s="59" t="str">
        <f t="shared" si="5"/>
        <v>438011602</v>
      </c>
    </row>
    <row r="147" spans="1:14" x14ac:dyDescent="0.25">
      <c r="A147" s="144" t="s">
        <v>209</v>
      </c>
      <c r="B147" s="59" t="s">
        <v>210</v>
      </c>
      <c r="C147" s="59" t="str">
        <f t="shared" si="4"/>
        <v>438011602_4</v>
      </c>
      <c r="D147" s="7">
        <f>COUNTIF($A$1:A147,A147)</f>
        <v>4</v>
      </c>
      <c r="E147" s="7" t="s">
        <v>70</v>
      </c>
      <c r="F147" s="7">
        <f>VLOOKUP(E147,'[1]TIPOLOGIE COMP'!A:B,2,0)</f>
        <v>4</v>
      </c>
      <c r="G147" s="59" t="s">
        <v>219</v>
      </c>
      <c r="H147" s="59" t="s">
        <v>220</v>
      </c>
      <c r="I147" s="59" t="s">
        <v>63</v>
      </c>
      <c r="J147" s="59" t="s">
        <v>64</v>
      </c>
      <c r="K147" s="59">
        <v>8.9999999999999998E-4</v>
      </c>
      <c r="L147" s="59" t="s">
        <v>213</v>
      </c>
      <c r="M147" s="59" t="s">
        <v>214</v>
      </c>
      <c r="N147" s="59" t="str">
        <f t="shared" si="5"/>
        <v>438011602</v>
      </c>
    </row>
    <row r="148" spans="1:14" x14ac:dyDescent="0.25">
      <c r="A148" s="144" t="s">
        <v>209</v>
      </c>
      <c r="B148" s="59" t="s">
        <v>210</v>
      </c>
      <c r="C148" s="59" t="str">
        <f t="shared" si="4"/>
        <v>438011602_5</v>
      </c>
      <c r="D148" s="7">
        <f>COUNTIF($A$1:A148,A148)</f>
        <v>5</v>
      </c>
      <c r="E148" s="7" t="s">
        <v>73</v>
      </c>
      <c r="F148" s="7">
        <v>5</v>
      </c>
      <c r="G148" s="59" t="s">
        <v>221</v>
      </c>
      <c r="H148" s="59" t="s">
        <v>222</v>
      </c>
      <c r="I148" s="59" t="s">
        <v>63</v>
      </c>
      <c r="J148" s="59" t="s">
        <v>64</v>
      </c>
    </row>
    <row r="149" spans="1:14" x14ac:dyDescent="0.25">
      <c r="A149" s="144" t="s">
        <v>209</v>
      </c>
      <c r="B149" s="59" t="s">
        <v>210</v>
      </c>
      <c r="C149" s="59" t="str">
        <f t="shared" si="4"/>
        <v>438011602_6</v>
      </c>
      <c r="D149" s="7">
        <f>COUNTIF($A$1:A149,A149)</f>
        <v>6</v>
      </c>
      <c r="E149" s="7" t="s">
        <v>76</v>
      </c>
      <c r="F149" s="7">
        <f>VLOOKUP(E149,'[1]TIPOLOGIE COMP'!A:B,2,0)</f>
        <v>6</v>
      </c>
      <c r="G149" s="59" t="s">
        <v>152</v>
      </c>
      <c r="H149" s="59" t="s">
        <v>223</v>
      </c>
      <c r="I149" s="59" t="s">
        <v>63</v>
      </c>
      <c r="J149" s="59" t="s">
        <v>64</v>
      </c>
      <c r="K149" s="59">
        <v>1.2999999999999999E-3</v>
      </c>
      <c r="L149" s="59" t="s">
        <v>213</v>
      </c>
      <c r="M149" s="59" t="s">
        <v>214</v>
      </c>
      <c r="N149" s="59" t="str">
        <f t="shared" si="5"/>
        <v>438011602</v>
      </c>
    </row>
    <row r="150" spans="1:14" x14ac:dyDescent="0.25">
      <c r="A150" s="59" t="s">
        <v>224</v>
      </c>
      <c r="B150" s="59" t="s">
        <v>225</v>
      </c>
      <c r="C150" s="59" t="str">
        <f t="shared" si="4"/>
        <v>438013744_1</v>
      </c>
      <c r="D150" s="7">
        <f>COUNTIF($A$1:A150,A150)</f>
        <v>1</v>
      </c>
      <c r="E150" s="7" t="s">
        <v>60</v>
      </c>
      <c r="F150" s="7">
        <f>VLOOKUP(E150,'[1]TIPOLOGIE COMP'!A:B,2,0)</f>
        <v>1</v>
      </c>
      <c r="G150" s="59" t="s">
        <v>81</v>
      </c>
      <c r="H150" s="59" t="s">
        <v>62</v>
      </c>
      <c r="I150" s="59" t="s">
        <v>63</v>
      </c>
      <c r="J150" s="59" t="s">
        <v>64</v>
      </c>
      <c r="K150" s="59">
        <v>0.62870000000000004</v>
      </c>
      <c r="L150" s="59" t="s">
        <v>226</v>
      </c>
      <c r="M150" s="59" t="s">
        <v>227</v>
      </c>
      <c r="N150" s="59" t="str">
        <f t="shared" si="5"/>
        <v>438013744</v>
      </c>
    </row>
    <row r="151" spans="1:14" x14ac:dyDescent="0.25">
      <c r="A151" s="59" t="s">
        <v>224</v>
      </c>
      <c r="B151" s="59" t="s">
        <v>225</v>
      </c>
      <c r="C151" s="59" t="str">
        <f t="shared" si="4"/>
        <v>438013744_2</v>
      </c>
      <c r="D151" s="7">
        <f>COUNTIF($A$1:A151,A151)</f>
        <v>2</v>
      </c>
      <c r="E151" s="7" t="s">
        <v>67</v>
      </c>
      <c r="F151" s="7">
        <f>VLOOKUP(E151,'[1]TIPOLOGIE COMP'!A:B,2,0)</f>
        <v>2</v>
      </c>
      <c r="G151" s="59" t="s">
        <v>140</v>
      </c>
      <c r="H151" s="59" t="s">
        <v>141</v>
      </c>
      <c r="I151" s="59" t="s">
        <v>63</v>
      </c>
      <c r="J151" s="59" t="s">
        <v>64</v>
      </c>
      <c r="K151" s="59">
        <v>0.35020000000000001</v>
      </c>
      <c r="L151" s="59" t="s">
        <v>226</v>
      </c>
      <c r="M151" s="59" t="s">
        <v>227</v>
      </c>
      <c r="N151" s="59" t="str">
        <f t="shared" si="5"/>
        <v>438013744</v>
      </c>
    </row>
    <row r="152" spans="1:14" x14ac:dyDescent="0.25">
      <c r="A152" s="59" t="s">
        <v>224</v>
      </c>
      <c r="B152" s="59" t="s">
        <v>225</v>
      </c>
      <c r="C152" s="59" t="str">
        <f t="shared" si="4"/>
        <v>438013744_4</v>
      </c>
      <c r="D152" s="7">
        <f>COUNTIF($A$1:A152,A152)</f>
        <v>3</v>
      </c>
      <c r="E152" s="7" t="s">
        <v>70</v>
      </c>
      <c r="F152" s="7">
        <f>VLOOKUP(E152,'[1]TIPOLOGIE COMP'!A:B,2,0)</f>
        <v>4</v>
      </c>
      <c r="G152" s="59" t="s">
        <v>86</v>
      </c>
      <c r="H152" s="59" t="s">
        <v>87</v>
      </c>
      <c r="I152" s="59" t="s">
        <v>63</v>
      </c>
      <c r="J152" s="59" t="s">
        <v>64</v>
      </c>
      <c r="K152" s="59">
        <v>3.7000000000000002E-3</v>
      </c>
      <c r="L152" s="59" t="s">
        <v>226</v>
      </c>
      <c r="M152" s="59" t="s">
        <v>227</v>
      </c>
      <c r="N152" s="59" t="str">
        <f t="shared" si="5"/>
        <v>438013744</v>
      </c>
    </row>
    <row r="153" spans="1:14" x14ac:dyDescent="0.25">
      <c r="A153" s="59" t="s">
        <v>224</v>
      </c>
      <c r="B153" s="59" t="s">
        <v>225</v>
      </c>
      <c r="C153" s="59" t="str">
        <f t="shared" si="4"/>
        <v>438013744_5</v>
      </c>
      <c r="D153" s="7">
        <f>COUNTIF($A$1:A153,A153)</f>
        <v>4</v>
      </c>
      <c r="E153" s="7" t="s">
        <v>73</v>
      </c>
      <c r="F153" s="7">
        <f>VLOOKUP(E153,'[1]TIPOLOGIE COMP'!A:B,2,0)</f>
        <v>5</v>
      </c>
      <c r="G153" s="59" t="s">
        <v>88</v>
      </c>
      <c r="H153" s="59" t="s">
        <v>75</v>
      </c>
      <c r="I153" s="59" t="s">
        <v>63</v>
      </c>
      <c r="J153" s="59" t="s">
        <v>64</v>
      </c>
      <c r="K153" s="59">
        <v>5.9999999999999995E-4</v>
      </c>
      <c r="L153" s="59" t="s">
        <v>226</v>
      </c>
      <c r="M153" s="59" t="s">
        <v>227</v>
      </c>
      <c r="N153" s="59" t="str">
        <f t="shared" si="5"/>
        <v>438013744</v>
      </c>
    </row>
    <row r="154" spans="1:14" x14ac:dyDescent="0.25">
      <c r="A154" s="59" t="s">
        <v>224</v>
      </c>
      <c r="B154" s="59" t="s">
        <v>225</v>
      </c>
      <c r="C154" s="59" t="str">
        <f t="shared" si="4"/>
        <v>438013744_6</v>
      </c>
      <c r="D154" s="7">
        <f>COUNTIF($A$1:A154,A154)</f>
        <v>5</v>
      </c>
      <c r="E154" s="7" t="s">
        <v>76</v>
      </c>
      <c r="F154" s="7">
        <f>VLOOKUP(E154,'[1]TIPOLOGIE COMP'!A:B,2,0)</f>
        <v>6</v>
      </c>
      <c r="G154" s="59" t="s">
        <v>89</v>
      </c>
      <c r="H154" s="59" t="s">
        <v>90</v>
      </c>
      <c r="I154" s="59" t="s">
        <v>63</v>
      </c>
      <c r="J154" s="59" t="s">
        <v>64</v>
      </c>
      <c r="K154" s="59">
        <v>1.6799999999999999E-2</v>
      </c>
      <c r="L154" s="59" t="s">
        <v>226</v>
      </c>
      <c r="M154" s="59" t="s">
        <v>227</v>
      </c>
      <c r="N154" s="59" t="str">
        <f t="shared" si="5"/>
        <v>438013744</v>
      </c>
    </row>
    <row r="155" spans="1:14" x14ac:dyDescent="0.25">
      <c r="A155" s="59" t="s">
        <v>228</v>
      </c>
      <c r="B155" s="59" t="s">
        <v>229</v>
      </c>
      <c r="C155" s="59" t="str">
        <f t="shared" si="4"/>
        <v>438015200_1</v>
      </c>
      <c r="D155" s="7">
        <f>COUNTIF($A$1:A155,A155)</f>
        <v>1</v>
      </c>
      <c r="E155" s="7" t="s">
        <v>60</v>
      </c>
      <c r="F155" s="7">
        <f>VLOOKUP(E155,'[1]TIPOLOGIE COMP'!A:B,2,0)</f>
        <v>1</v>
      </c>
      <c r="G155" s="59" t="s">
        <v>114</v>
      </c>
      <c r="H155" s="59" t="s">
        <v>115</v>
      </c>
      <c r="I155" s="59" t="s">
        <v>63</v>
      </c>
      <c r="J155" s="59" t="s">
        <v>64</v>
      </c>
      <c r="K155" s="59">
        <v>0.55149999999999999</v>
      </c>
      <c r="L155" s="59" t="s">
        <v>230</v>
      </c>
      <c r="M155" s="59" t="s">
        <v>231</v>
      </c>
      <c r="N155" s="59" t="str">
        <f t="shared" si="5"/>
        <v>438015200</v>
      </c>
    </row>
    <row r="156" spans="1:14" x14ac:dyDescent="0.25">
      <c r="A156" s="59" t="s">
        <v>228</v>
      </c>
      <c r="B156" s="59" t="s">
        <v>229</v>
      </c>
      <c r="C156" s="59" t="str">
        <f t="shared" si="4"/>
        <v>438015200_2</v>
      </c>
      <c r="D156" s="7">
        <f>COUNTIF($A$1:A156,A156)</f>
        <v>2</v>
      </c>
      <c r="E156" s="7" t="s">
        <v>67</v>
      </c>
      <c r="F156" s="7">
        <f>VLOOKUP(E156,'[1]TIPOLOGIE COMP'!A:B,2,0)</f>
        <v>2</v>
      </c>
      <c r="G156" s="59" t="s">
        <v>118</v>
      </c>
      <c r="H156" s="59" t="s">
        <v>119</v>
      </c>
      <c r="I156" s="59" t="s">
        <v>63</v>
      </c>
      <c r="J156" s="59" t="s">
        <v>64</v>
      </c>
      <c r="K156" s="59">
        <v>0.38769999999999999</v>
      </c>
      <c r="L156" s="59" t="s">
        <v>230</v>
      </c>
      <c r="M156" s="59" t="s">
        <v>231</v>
      </c>
      <c r="N156" s="59" t="str">
        <f t="shared" si="5"/>
        <v>438015200</v>
      </c>
    </row>
    <row r="157" spans="1:14" x14ac:dyDescent="0.25">
      <c r="A157" s="59" t="s">
        <v>228</v>
      </c>
      <c r="B157" s="59" t="s">
        <v>229</v>
      </c>
      <c r="C157" s="59" t="str">
        <f t="shared" si="4"/>
        <v>438015200_3</v>
      </c>
      <c r="D157" s="7">
        <f>COUNTIF($A$1:A157,A157)</f>
        <v>3</v>
      </c>
      <c r="E157" s="7" t="s">
        <v>120</v>
      </c>
      <c r="F157" s="7">
        <f>VLOOKUP(E157,'[1]TIPOLOGIE COMP'!A:B,2,0)</f>
        <v>3</v>
      </c>
      <c r="G157" s="59" t="s">
        <v>121</v>
      </c>
      <c r="H157" s="59" t="s">
        <v>122</v>
      </c>
      <c r="I157" s="59" t="s">
        <v>63</v>
      </c>
      <c r="J157" s="59" t="s">
        <v>64</v>
      </c>
      <c r="K157" s="59">
        <v>3.6400000000000002E-2</v>
      </c>
      <c r="L157" s="59" t="s">
        <v>230</v>
      </c>
      <c r="M157" s="59" t="s">
        <v>231</v>
      </c>
      <c r="N157" s="59" t="str">
        <f t="shared" si="5"/>
        <v>438015200</v>
      </c>
    </row>
    <row r="158" spans="1:14" x14ac:dyDescent="0.25">
      <c r="A158" s="59" t="s">
        <v>228</v>
      </c>
      <c r="B158" s="59" t="s">
        <v>229</v>
      </c>
      <c r="C158" s="59" t="str">
        <f t="shared" si="4"/>
        <v>438015200_4</v>
      </c>
      <c r="D158" s="7">
        <f>COUNTIF($A$1:A158,A158)</f>
        <v>4</v>
      </c>
      <c r="E158" s="7" t="s">
        <v>70</v>
      </c>
      <c r="F158" s="7">
        <f>VLOOKUP(E158,'[1]TIPOLOGIE COMP'!A:B,2,0)</f>
        <v>4</v>
      </c>
      <c r="G158" s="59" t="s">
        <v>86</v>
      </c>
      <c r="H158" s="59" t="s">
        <v>87</v>
      </c>
      <c r="I158" s="59" t="s">
        <v>63</v>
      </c>
      <c r="J158" s="59" t="s">
        <v>64</v>
      </c>
      <c r="K158" s="59">
        <v>1E-3</v>
      </c>
      <c r="L158" s="59" t="s">
        <v>230</v>
      </c>
      <c r="M158" s="59" t="s">
        <v>231</v>
      </c>
      <c r="N158" s="59" t="str">
        <f t="shared" si="5"/>
        <v>438015200</v>
      </c>
    </row>
    <row r="159" spans="1:14" x14ac:dyDescent="0.25">
      <c r="A159" s="59" t="s">
        <v>228</v>
      </c>
      <c r="B159" s="59" t="s">
        <v>229</v>
      </c>
      <c r="C159" s="59" t="str">
        <f t="shared" si="4"/>
        <v>438015200_5</v>
      </c>
      <c r="D159" s="7">
        <f>COUNTIF($A$1:A159,A159)</f>
        <v>5</v>
      </c>
      <c r="E159" s="7" t="s">
        <v>73</v>
      </c>
      <c r="F159" s="7">
        <f>VLOOKUP(E159,'[1]TIPOLOGIE COMP'!A:B,2,0)</f>
        <v>5</v>
      </c>
      <c r="G159" s="59" t="s">
        <v>152</v>
      </c>
      <c r="H159" s="59" t="s">
        <v>153</v>
      </c>
      <c r="I159" s="59" t="s">
        <v>63</v>
      </c>
      <c r="J159" s="59" t="s">
        <v>64</v>
      </c>
      <c r="K159" s="59">
        <v>4.0000000000000002E-4</v>
      </c>
      <c r="L159" s="59" t="s">
        <v>230</v>
      </c>
      <c r="M159" s="59" t="s">
        <v>231</v>
      </c>
      <c r="N159" s="59" t="str">
        <f t="shared" si="5"/>
        <v>438015200</v>
      </c>
    </row>
    <row r="160" spans="1:14" x14ac:dyDescent="0.25">
      <c r="A160" s="59" t="s">
        <v>228</v>
      </c>
      <c r="B160" s="59" t="s">
        <v>229</v>
      </c>
      <c r="C160" s="59" t="str">
        <f t="shared" si="4"/>
        <v>438015200_6</v>
      </c>
      <c r="D160" s="7">
        <f>COUNTIF($A$1:A160,A160)</f>
        <v>6</v>
      </c>
      <c r="E160" s="7" t="s">
        <v>76</v>
      </c>
      <c r="F160" s="7">
        <f>VLOOKUP(E160,'[1]TIPOLOGIE COMP'!A:B,2,0)</f>
        <v>6</v>
      </c>
      <c r="G160" s="59" t="s">
        <v>154</v>
      </c>
      <c r="H160" s="59" t="s">
        <v>155</v>
      </c>
      <c r="I160" s="59" t="s">
        <v>63</v>
      </c>
      <c r="J160" s="59" t="s">
        <v>64</v>
      </c>
      <c r="K160" s="59">
        <v>4.4000000000000003E-3</v>
      </c>
      <c r="L160" s="59" t="s">
        <v>230</v>
      </c>
      <c r="M160" s="59" t="s">
        <v>231</v>
      </c>
      <c r="N160" s="59" t="str">
        <f t="shared" si="5"/>
        <v>438015200</v>
      </c>
    </row>
    <row r="161" spans="1:14" x14ac:dyDescent="0.25">
      <c r="A161" s="59" t="s">
        <v>228</v>
      </c>
      <c r="B161" s="59" t="s">
        <v>229</v>
      </c>
      <c r="C161" s="59" t="str">
        <f t="shared" si="4"/>
        <v>438015200_7</v>
      </c>
      <c r="D161" s="7">
        <f>COUNTIF($A$1:A161,A161)</f>
        <v>7</v>
      </c>
      <c r="E161" s="7" t="s">
        <v>106</v>
      </c>
      <c r="F161" s="7">
        <f>VLOOKUP(E161,'[1]TIPOLOGIE COMP'!A:B,2,0)</f>
        <v>7</v>
      </c>
      <c r="G161" s="59" t="s">
        <v>89</v>
      </c>
      <c r="H161" s="59" t="s">
        <v>90</v>
      </c>
      <c r="I161" s="59" t="s">
        <v>63</v>
      </c>
      <c r="J161" s="59" t="s">
        <v>64</v>
      </c>
      <c r="K161" s="59">
        <v>1.8499999999999999E-2</v>
      </c>
      <c r="L161" s="59" t="s">
        <v>230</v>
      </c>
      <c r="M161" s="59" t="s">
        <v>231</v>
      </c>
      <c r="N161" s="59" t="str">
        <f t="shared" si="5"/>
        <v>438015200</v>
      </c>
    </row>
    <row r="162" spans="1:14" x14ac:dyDescent="0.25">
      <c r="A162" s="59" t="s">
        <v>232</v>
      </c>
      <c r="B162" s="59" t="s">
        <v>233</v>
      </c>
      <c r="C162" s="59" t="str">
        <f t="shared" si="4"/>
        <v>438015201_1</v>
      </c>
      <c r="D162" s="7">
        <f>COUNTIF($A$1:A162,A162)</f>
        <v>1</v>
      </c>
      <c r="E162" s="7" t="s">
        <v>60</v>
      </c>
      <c r="F162" s="7">
        <f>VLOOKUP(E162,'[1]TIPOLOGIE COMP'!A:B,2,0)</f>
        <v>1</v>
      </c>
      <c r="G162" s="59" t="s">
        <v>81</v>
      </c>
      <c r="H162" s="59" t="s">
        <v>62</v>
      </c>
      <c r="I162" s="59" t="s">
        <v>63</v>
      </c>
      <c r="J162" s="59" t="s">
        <v>64</v>
      </c>
      <c r="K162" s="59">
        <v>0.72950000000000004</v>
      </c>
      <c r="L162" s="59" t="s">
        <v>234</v>
      </c>
      <c r="M162" s="59" t="s">
        <v>235</v>
      </c>
      <c r="N162" s="59" t="str">
        <f t="shared" si="5"/>
        <v>438015201</v>
      </c>
    </row>
    <row r="163" spans="1:14" x14ac:dyDescent="0.25">
      <c r="A163" s="59" t="s">
        <v>232</v>
      </c>
      <c r="B163" s="59" t="s">
        <v>233</v>
      </c>
      <c r="C163" s="59" t="str">
        <f t="shared" si="4"/>
        <v>438015201_2</v>
      </c>
      <c r="D163" s="7">
        <f>COUNTIF($A$1:A163,A163)</f>
        <v>2</v>
      </c>
      <c r="E163" s="7" t="s">
        <v>67</v>
      </c>
      <c r="F163" s="7">
        <f>VLOOKUP(E163,'[1]TIPOLOGIE COMP'!A:B,2,0)</f>
        <v>2</v>
      </c>
      <c r="G163" s="59" t="s">
        <v>84</v>
      </c>
      <c r="H163" s="59" t="s">
        <v>85</v>
      </c>
      <c r="I163" s="59" t="s">
        <v>63</v>
      </c>
      <c r="J163" s="59" t="s">
        <v>64</v>
      </c>
      <c r="K163" s="59">
        <v>7.3700000000000002E-2</v>
      </c>
      <c r="L163" s="59" t="s">
        <v>234</v>
      </c>
      <c r="M163" s="59" t="s">
        <v>235</v>
      </c>
      <c r="N163" s="59" t="str">
        <f t="shared" si="5"/>
        <v>438015201</v>
      </c>
    </row>
    <row r="164" spans="1:14" x14ac:dyDescent="0.25">
      <c r="A164" s="59" t="s">
        <v>232</v>
      </c>
      <c r="B164" s="59" t="s">
        <v>233</v>
      </c>
      <c r="C164" s="59" t="str">
        <f t="shared" si="4"/>
        <v>438015201_3</v>
      </c>
      <c r="D164" s="7">
        <f>COUNTIF($A$1:A164,A164)</f>
        <v>3</v>
      </c>
      <c r="E164" s="7" t="s">
        <v>120</v>
      </c>
      <c r="F164" s="7">
        <f>VLOOKUP(E164,'[1]TIPOLOGIE COMP'!A:B,2,0)</f>
        <v>3</v>
      </c>
      <c r="G164" s="59" t="s">
        <v>140</v>
      </c>
      <c r="H164" s="59" t="s">
        <v>141</v>
      </c>
      <c r="I164" s="59" t="s">
        <v>63</v>
      </c>
      <c r="J164" s="59" t="s">
        <v>64</v>
      </c>
      <c r="K164" s="59">
        <v>0.17580000000000001</v>
      </c>
      <c r="L164" s="59" t="s">
        <v>234</v>
      </c>
      <c r="M164" s="59" t="s">
        <v>235</v>
      </c>
      <c r="N164" s="59" t="str">
        <f t="shared" si="5"/>
        <v>438015201</v>
      </c>
    </row>
    <row r="165" spans="1:14" x14ac:dyDescent="0.25">
      <c r="A165" s="59" t="s">
        <v>232</v>
      </c>
      <c r="B165" s="59" t="s">
        <v>233</v>
      </c>
      <c r="C165" s="59" t="str">
        <f t="shared" si="4"/>
        <v>438015201_4</v>
      </c>
      <c r="D165" s="7">
        <f>COUNTIF($A$1:A165,A165)</f>
        <v>4</v>
      </c>
      <c r="E165" s="7" t="s">
        <v>70</v>
      </c>
      <c r="F165" s="7">
        <f>VLOOKUP(E165,'[1]TIPOLOGIE COMP'!A:B,2,0)</f>
        <v>4</v>
      </c>
      <c r="G165" s="59" t="s">
        <v>86</v>
      </c>
      <c r="H165" s="59" t="s">
        <v>87</v>
      </c>
      <c r="I165" s="59" t="s">
        <v>63</v>
      </c>
      <c r="J165" s="59" t="s">
        <v>64</v>
      </c>
      <c r="K165" s="59">
        <v>3.7000000000000002E-3</v>
      </c>
      <c r="L165" s="59" t="s">
        <v>234</v>
      </c>
      <c r="M165" s="59" t="s">
        <v>235</v>
      </c>
      <c r="N165" s="59" t="str">
        <f t="shared" si="5"/>
        <v>438015201</v>
      </c>
    </row>
    <row r="166" spans="1:14" x14ac:dyDescent="0.25">
      <c r="A166" s="59" t="s">
        <v>232</v>
      </c>
      <c r="B166" s="59" t="s">
        <v>233</v>
      </c>
      <c r="C166" s="59" t="str">
        <f t="shared" si="4"/>
        <v>438015201_5</v>
      </c>
      <c r="D166" s="7">
        <f>COUNTIF($A$1:A166,A166)</f>
        <v>5</v>
      </c>
      <c r="E166" s="7" t="s">
        <v>73</v>
      </c>
      <c r="F166" s="7">
        <f>VLOOKUP(E166,'[1]TIPOLOGIE COMP'!A:B,2,0)</f>
        <v>5</v>
      </c>
      <c r="G166" s="59" t="s">
        <v>88</v>
      </c>
      <c r="H166" s="59" t="s">
        <v>75</v>
      </c>
      <c r="I166" s="59" t="s">
        <v>63</v>
      </c>
      <c r="J166" s="59" t="s">
        <v>64</v>
      </c>
      <c r="K166" s="59">
        <v>5.9999999999999995E-4</v>
      </c>
      <c r="L166" s="59" t="s">
        <v>234</v>
      </c>
      <c r="M166" s="59" t="s">
        <v>235</v>
      </c>
      <c r="N166" s="59" t="str">
        <f t="shared" si="5"/>
        <v>438015201</v>
      </c>
    </row>
    <row r="167" spans="1:14" x14ac:dyDescent="0.25">
      <c r="A167" s="59" t="s">
        <v>232</v>
      </c>
      <c r="B167" s="59" t="s">
        <v>233</v>
      </c>
      <c r="C167" s="59" t="str">
        <f t="shared" si="4"/>
        <v>438015201_6</v>
      </c>
      <c r="D167" s="7">
        <f>COUNTIF($A$1:A167,A167)</f>
        <v>6</v>
      </c>
      <c r="E167" s="7" t="s">
        <v>76</v>
      </c>
      <c r="F167" s="7">
        <f>VLOOKUP(E167,'[1]TIPOLOGIE COMP'!A:B,2,0)</f>
        <v>6</v>
      </c>
      <c r="G167" s="59" t="s">
        <v>89</v>
      </c>
      <c r="H167" s="59" t="s">
        <v>90</v>
      </c>
      <c r="I167" s="59" t="s">
        <v>63</v>
      </c>
      <c r="J167" s="59" t="s">
        <v>64</v>
      </c>
      <c r="K167" s="59">
        <v>1.6799999999999999E-2</v>
      </c>
      <c r="L167" s="59" t="s">
        <v>234</v>
      </c>
      <c r="M167" s="59" t="s">
        <v>235</v>
      </c>
      <c r="N167" s="59" t="str">
        <f t="shared" si="5"/>
        <v>438015201</v>
      </c>
    </row>
    <row r="168" spans="1:14" x14ac:dyDescent="0.25">
      <c r="A168" s="144" t="s">
        <v>236</v>
      </c>
      <c r="B168" s="96" t="s">
        <v>237</v>
      </c>
      <c r="C168" s="59" t="str">
        <f t="shared" si="4"/>
        <v>997004145_1</v>
      </c>
      <c r="D168" s="7">
        <f>COUNTIF($A$1:A168,A168)</f>
        <v>1</v>
      </c>
      <c r="E168" s="7" t="s">
        <v>60</v>
      </c>
      <c r="F168" s="7">
        <f>VLOOKUP(E168,'[1]TIPOLOGIE COMP'!A:B,2,0)</f>
        <v>1</v>
      </c>
      <c r="G168" s="59" t="s">
        <v>211</v>
      </c>
      <c r="H168" s="59" t="s">
        <v>212</v>
      </c>
      <c r="I168" s="59" t="s">
        <v>63</v>
      </c>
      <c r="J168" s="59" t="s">
        <v>64</v>
      </c>
      <c r="K168" s="59">
        <v>0.4924</v>
      </c>
      <c r="L168" s="59" t="s">
        <v>238</v>
      </c>
      <c r="M168" s="59" t="s">
        <v>239</v>
      </c>
      <c r="N168" s="59" t="str">
        <f t="shared" si="5"/>
        <v>997004145</v>
      </c>
    </row>
    <row r="169" spans="1:14" x14ac:dyDescent="0.25">
      <c r="A169" s="144" t="s">
        <v>236</v>
      </c>
      <c r="B169" s="96" t="s">
        <v>237</v>
      </c>
      <c r="C169" s="59" t="str">
        <f t="shared" si="4"/>
        <v>997004145_2</v>
      </c>
      <c r="D169" s="7">
        <f>COUNTIF($A$1:A169,A169)</f>
        <v>2</v>
      </c>
      <c r="E169" s="7" t="s">
        <v>67</v>
      </c>
      <c r="F169" s="7">
        <f>VLOOKUP(E169,'[1]TIPOLOGIE COMP'!A:B,2,0)</f>
        <v>2</v>
      </c>
      <c r="G169" s="59" t="s">
        <v>215</v>
      </c>
      <c r="H169" s="59" t="s">
        <v>216</v>
      </c>
      <c r="I169" s="59" t="s">
        <v>63</v>
      </c>
      <c r="J169" s="59" t="s">
        <v>64</v>
      </c>
      <c r="K169" s="59">
        <v>0.50439999999999996</v>
      </c>
      <c r="L169" s="59" t="s">
        <v>238</v>
      </c>
      <c r="M169" s="59" t="s">
        <v>239</v>
      </c>
      <c r="N169" s="59" t="str">
        <f t="shared" si="5"/>
        <v>997004145</v>
      </c>
    </row>
    <row r="170" spans="1:14" x14ac:dyDescent="0.25">
      <c r="A170" s="144" t="s">
        <v>236</v>
      </c>
      <c r="B170" s="96" t="s">
        <v>237</v>
      </c>
      <c r="C170" s="59" t="str">
        <f t="shared" si="4"/>
        <v>997004145_3</v>
      </c>
      <c r="D170" s="7">
        <f>COUNTIF($A$1:A170,A170)</f>
        <v>3</v>
      </c>
      <c r="E170" s="7" t="s">
        <v>120</v>
      </c>
      <c r="F170" s="7">
        <v>3</v>
      </c>
      <c r="G170" s="59" t="s">
        <v>217</v>
      </c>
      <c r="H170" s="59" t="s">
        <v>218</v>
      </c>
      <c r="I170" s="59" t="s">
        <v>63</v>
      </c>
      <c r="J170" s="59" t="s">
        <v>64</v>
      </c>
      <c r="L170" s="59" t="s">
        <v>238</v>
      </c>
      <c r="M170" s="59" t="s">
        <v>239</v>
      </c>
      <c r="N170" s="59" t="str">
        <f t="shared" si="5"/>
        <v>997004145</v>
      </c>
    </row>
    <row r="171" spans="1:14" x14ac:dyDescent="0.25">
      <c r="A171" s="144" t="s">
        <v>236</v>
      </c>
      <c r="B171" s="96" t="s">
        <v>237</v>
      </c>
      <c r="C171" s="59" t="str">
        <f t="shared" si="4"/>
        <v>997004145_4</v>
      </c>
      <c r="D171" s="7">
        <f>COUNTIF($A$1:A171,A171)</f>
        <v>4</v>
      </c>
      <c r="E171" s="7" t="s">
        <v>70</v>
      </c>
      <c r="F171" s="7">
        <f>VLOOKUP(E171,'[1]TIPOLOGIE COMP'!A:B,2,0)</f>
        <v>4</v>
      </c>
      <c r="G171" s="59" t="s">
        <v>219</v>
      </c>
      <c r="H171" s="59" t="s">
        <v>220</v>
      </c>
      <c r="I171" s="59" t="s">
        <v>63</v>
      </c>
      <c r="J171" s="59" t="s">
        <v>64</v>
      </c>
      <c r="K171" s="59">
        <v>1.1999999999999999E-3</v>
      </c>
      <c r="L171" s="59" t="s">
        <v>238</v>
      </c>
      <c r="M171" s="59" t="s">
        <v>239</v>
      </c>
      <c r="N171" s="59" t="str">
        <f t="shared" si="5"/>
        <v>997004145</v>
      </c>
    </row>
    <row r="172" spans="1:14" x14ac:dyDescent="0.25">
      <c r="A172" s="144" t="s">
        <v>236</v>
      </c>
      <c r="B172" s="96" t="s">
        <v>237</v>
      </c>
      <c r="C172" s="59" t="str">
        <f t="shared" si="4"/>
        <v>997004145_5</v>
      </c>
      <c r="D172" s="7">
        <f>COUNTIF($A$1:A172,A172)</f>
        <v>5</v>
      </c>
      <c r="E172" s="7" t="s">
        <v>73</v>
      </c>
      <c r="F172" s="7">
        <f>VLOOKUP(E172,'[1]TIPOLOGIE COMP'!A:B,2,0)</f>
        <v>5</v>
      </c>
      <c r="G172" s="59" t="s">
        <v>152</v>
      </c>
      <c r="H172" s="59" t="s">
        <v>223</v>
      </c>
      <c r="I172" s="59" t="s">
        <v>63</v>
      </c>
      <c r="J172" s="59" t="s">
        <v>64</v>
      </c>
      <c r="K172" s="59">
        <v>2E-3</v>
      </c>
      <c r="L172" s="59" t="s">
        <v>238</v>
      </c>
      <c r="M172" s="59" t="s">
        <v>239</v>
      </c>
      <c r="N172" s="59" t="str">
        <f t="shared" si="5"/>
        <v>997004145</v>
      </c>
    </row>
    <row r="173" spans="1:14" x14ac:dyDescent="0.25">
      <c r="A173" s="148" t="s">
        <v>240</v>
      </c>
      <c r="B173" s="148" t="s">
        <v>241</v>
      </c>
      <c r="C173" s="59" t="str">
        <f t="shared" si="4"/>
        <v>438019283_1</v>
      </c>
      <c r="D173" s="7">
        <f>COUNTIF($A$1:A173,A173)</f>
        <v>1</v>
      </c>
      <c r="E173" s="7" t="s">
        <v>60</v>
      </c>
      <c r="F173" s="7">
        <f>VLOOKUP(E173,'[1]TIPOLOGIE COMP'!A:B,2,0)</f>
        <v>1</v>
      </c>
      <c r="G173" s="148" t="s">
        <v>108</v>
      </c>
      <c r="H173" s="59" t="s">
        <v>92</v>
      </c>
      <c r="I173" s="59" t="s">
        <v>63</v>
      </c>
      <c r="J173" s="59" t="s">
        <v>64</v>
      </c>
      <c r="K173" s="59">
        <v>0.50139999999999996</v>
      </c>
      <c r="L173" s="59" t="s">
        <v>242</v>
      </c>
      <c r="M173" s="59" t="s">
        <v>243</v>
      </c>
      <c r="N173" s="59" t="str">
        <f t="shared" si="5"/>
        <v>438019283</v>
      </c>
    </row>
    <row r="174" spans="1:14" x14ac:dyDescent="0.25">
      <c r="A174" s="148" t="s">
        <v>240</v>
      </c>
      <c r="B174" s="148" t="s">
        <v>241</v>
      </c>
      <c r="C174" s="59" t="str">
        <f t="shared" si="4"/>
        <v>438019283_2</v>
      </c>
      <c r="D174" s="7">
        <f>COUNTIF($A$1:A174,A174)</f>
        <v>2</v>
      </c>
      <c r="E174" s="7" t="s">
        <v>67</v>
      </c>
      <c r="F174" s="7">
        <f>VLOOKUP(E174,'[1]TIPOLOGIE COMP'!A:B,2,0)</f>
        <v>2</v>
      </c>
      <c r="G174" s="148" t="s">
        <v>244</v>
      </c>
      <c r="H174" s="59" t="s">
        <v>96</v>
      </c>
      <c r="I174" s="59" t="s">
        <v>63</v>
      </c>
      <c r="J174" s="59" t="s">
        <v>64</v>
      </c>
      <c r="K174" s="59">
        <v>0.43269999999999997</v>
      </c>
      <c r="L174" s="59" t="s">
        <v>242</v>
      </c>
      <c r="M174" s="59" t="s">
        <v>243</v>
      </c>
      <c r="N174" s="59" t="str">
        <f t="shared" si="5"/>
        <v>438019283</v>
      </c>
    </row>
    <row r="175" spans="1:14" x14ac:dyDescent="0.25">
      <c r="A175" s="148" t="s">
        <v>240</v>
      </c>
      <c r="B175" s="148" t="s">
        <v>241</v>
      </c>
      <c r="C175" s="59" t="str">
        <f t="shared" si="4"/>
        <v>438019283_4</v>
      </c>
      <c r="D175" s="7">
        <f>COUNTIF($A$1:A175,A175)</f>
        <v>3</v>
      </c>
      <c r="E175" s="7" t="s">
        <v>70</v>
      </c>
      <c r="F175" s="7">
        <f>VLOOKUP(E175,'[1]TIPOLOGIE COMP'!A:B,2,0)</f>
        <v>4</v>
      </c>
      <c r="G175" s="148" t="s">
        <v>86</v>
      </c>
      <c r="H175" s="59" t="s">
        <v>87</v>
      </c>
      <c r="I175" s="59" t="s">
        <v>63</v>
      </c>
      <c r="J175" s="59" t="s">
        <v>64</v>
      </c>
      <c r="K175" s="59">
        <v>2E-3</v>
      </c>
      <c r="L175" s="59" t="s">
        <v>242</v>
      </c>
      <c r="M175" s="59" t="s">
        <v>243</v>
      </c>
      <c r="N175" s="59" t="str">
        <f t="shared" si="5"/>
        <v>438019283</v>
      </c>
    </row>
    <row r="176" spans="1:14" x14ac:dyDescent="0.25">
      <c r="A176" s="148" t="s">
        <v>240</v>
      </c>
      <c r="B176" s="148" t="s">
        <v>241</v>
      </c>
      <c r="C176" s="59" t="str">
        <f t="shared" si="4"/>
        <v>438019283_5</v>
      </c>
      <c r="D176" s="7">
        <f>COUNTIF($A$1:A176,A176)</f>
        <v>4</v>
      </c>
      <c r="E176" s="7" t="s">
        <v>73</v>
      </c>
      <c r="F176" s="7">
        <f>VLOOKUP(E176,'[1]TIPOLOGIE COMP'!A:B,2,0)</f>
        <v>5</v>
      </c>
      <c r="G176" s="148" t="s">
        <v>105</v>
      </c>
      <c r="H176" s="59" t="s">
        <v>78</v>
      </c>
      <c r="I176" s="59" t="s">
        <v>63</v>
      </c>
      <c r="J176" s="59" t="s">
        <v>64</v>
      </c>
      <c r="K176" s="59">
        <v>5.0099999999999999E-2</v>
      </c>
      <c r="L176" s="59" t="s">
        <v>242</v>
      </c>
      <c r="M176" s="59" t="s">
        <v>243</v>
      </c>
      <c r="N176" s="59" t="str">
        <f t="shared" si="5"/>
        <v>438019283</v>
      </c>
    </row>
    <row r="177" spans="1:14" x14ac:dyDescent="0.25">
      <c r="A177" s="148" t="s">
        <v>240</v>
      </c>
      <c r="B177" s="148" t="s">
        <v>241</v>
      </c>
      <c r="C177" s="59" t="str">
        <f t="shared" si="4"/>
        <v>438019283_6</v>
      </c>
      <c r="D177" s="7">
        <f>COUNTIF($A$1:A177,A177)</f>
        <v>5</v>
      </c>
      <c r="E177" s="7" t="s">
        <v>76</v>
      </c>
      <c r="F177" s="7">
        <f>VLOOKUP(E177,'[1]TIPOLOGIE COMP'!A:B,2,0)</f>
        <v>6</v>
      </c>
      <c r="G177" s="59" t="s">
        <v>89</v>
      </c>
      <c r="H177" s="59" t="s">
        <v>90</v>
      </c>
      <c r="I177" s="59" t="s">
        <v>63</v>
      </c>
      <c r="J177" s="59" t="s">
        <v>64</v>
      </c>
      <c r="K177" s="59">
        <v>1.38E-2</v>
      </c>
      <c r="L177" s="59" t="s">
        <v>242</v>
      </c>
      <c r="M177" s="59" t="s">
        <v>243</v>
      </c>
      <c r="N177" s="59" t="str">
        <f t="shared" si="5"/>
        <v>438019283</v>
      </c>
    </row>
    <row r="178" spans="1:14" x14ac:dyDescent="0.25">
      <c r="A178" s="148" t="s">
        <v>24</v>
      </c>
      <c r="B178" s="59" t="s">
        <v>22</v>
      </c>
      <c r="C178" s="59" t="str">
        <f t="shared" si="4"/>
        <v>438020339_1</v>
      </c>
      <c r="D178" s="7">
        <f>COUNTIF($A$1:A178,A178)</f>
        <v>1</v>
      </c>
      <c r="E178" s="7" t="s">
        <v>60</v>
      </c>
      <c r="F178" s="7">
        <f>VLOOKUP(E178,'[1]TIPOLOGIE COMP'!A:B,2,0)</f>
        <v>1</v>
      </c>
      <c r="G178" s="148" t="s">
        <v>245</v>
      </c>
      <c r="H178" s="59" t="s">
        <v>246</v>
      </c>
      <c r="J178" s="59" t="s">
        <v>64</v>
      </c>
      <c r="K178" s="59">
        <v>0.67700000000000005</v>
      </c>
      <c r="L178" s="59" t="s">
        <v>247</v>
      </c>
      <c r="M178" s="59" t="s">
        <v>248</v>
      </c>
      <c r="N178" s="59" t="str">
        <f t="shared" si="5"/>
        <v>438020339</v>
      </c>
    </row>
    <row r="179" spans="1:14" x14ac:dyDescent="0.25">
      <c r="A179" s="148" t="s">
        <v>24</v>
      </c>
      <c r="B179" s="59" t="s">
        <v>22</v>
      </c>
      <c r="C179" s="59" t="str">
        <f t="shared" si="4"/>
        <v>438020339_2</v>
      </c>
      <c r="D179" s="7">
        <f>COUNTIF($A$1:A179,A179)</f>
        <v>2</v>
      </c>
      <c r="E179" s="7" t="s">
        <v>67</v>
      </c>
      <c r="F179" s="7">
        <f>VLOOKUP(E179,'[1]TIPOLOGIE COMP'!A:B,2,0)</f>
        <v>2</v>
      </c>
      <c r="G179" s="148" t="s">
        <v>249</v>
      </c>
      <c r="H179" s="59" t="s">
        <v>250</v>
      </c>
      <c r="J179" s="59" t="s">
        <v>64</v>
      </c>
      <c r="K179" s="59">
        <v>0.32</v>
      </c>
      <c r="L179" s="59" t="s">
        <v>247</v>
      </c>
      <c r="M179" s="59" t="s">
        <v>248</v>
      </c>
      <c r="N179" s="59" t="str">
        <f t="shared" si="5"/>
        <v>438020339</v>
      </c>
    </row>
    <row r="180" spans="1:14" x14ac:dyDescent="0.25">
      <c r="A180" s="148">
        <v>438020339</v>
      </c>
      <c r="B180" s="59" t="s">
        <v>22</v>
      </c>
      <c r="C180" s="59" t="str">
        <f t="shared" si="4"/>
        <v>438020339_4</v>
      </c>
      <c r="D180" s="7">
        <f>COUNTIF($A$1:A180,A180)</f>
        <v>3</v>
      </c>
      <c r="E180" s="7" t="s">
        <v>70</v>
      </c>
      <c r="F180" s="7">
        <f>VLOOKUP(E180,'[1]TIPOLOGIE COMP'!A:B,2,0)</f>
        <v>4</v>
      </c>
      <c r="G180" s="149" t="s">
        <v>251</v>
      </c>
      <c r="H180" s="59" t="s">
        <v>252</v>
      </c>
      <c r="J180" s="59" t="s">
        <v>64</v>
      </c>
      <c r="K180" s="59">
        <v>2E-3</v>
      </c>
      <c r="L180" s="59" t="s">
        <v>247</v>
      </c>
      <c r="M180" s="59" t="s">
        <v>248</v>
      </c>
      <c r="N180" s="59">
        <f t="shared" si="5"/>
        <v>438020339</v>
      </c>
    </row>
    <row r="181" spans="1:14" x14ac:dyDescent="0.25">
      <c r="A181" s="148" t="s">
        <v>24</v>
      </c>
      <c r="B181" s="59" t="s">
        <v>22</v>
      </c>
      <c r="C181" s="59" t="str">
        <f t="shared" si="4"/>
        <v>438020339_5</v>
      </c>
      <c r="D181" s="7">
        <f>COUNTIF($A$1:A181,A181)</f>
        <v>4</v>
      </c>
      <c r="E181" s="7" t="s">
        <v>73</v>
      </c>
      <c r="F181" s="7">
        <f>VLOOKUP(E181,'[1]TIPOLOGIE COMP'!A:B,2,0)</f>
        <v>5</v>
      </c>
      <c r="G181" s="148" t="s">
        <v>253</v>
      </c>
      <c r="H181" s="59" t="s">
        <v>254</v>
      </c>
      <c r="J181" s="59" t="s">
        <v>64</v>
      </c>
      <c r="K181" s="59">
        <v>1E-3</v>
      </c>
      <c r="L181" s="59" t="s">
        <v>247</v>
      </c>
      <c r="M181" s="59" t="s">
        <v>248</v>
      </c>
      <c r="N181" s="59" t="str">
        <f t="shared" si="5"/>
        <v>438020339</v>
      </c>
    </row>
    <row r="182" spans="1:14" x14ac:dyDescent="0.25">
      <c r="A182" s="148">
        <v>438044935</v>
      </c>
      <c r="B182" s="59" t="s">
        <v>30</v>
      </c>
      <c r="C182" s="59" t="str">
        <f t="shared" si="4"/>
        <v>438044935_1</v>
      </c>
      <c r="D182" s="7">
        <f>COUNTIF($A$1:A182,A182)</f>
        <v>1</v>
      </c>
      <c r="E182" s="7" t="s">
        <v>60</v>
      </c>
      <c r="F182" s="7">
        <f>VLOOKUP(E182,'[1]TIPOLOGIE COMP'!A:B,2,0)</f>
        <v>1</v>
      </c>
      <c r="G182" s="148" t="s">
        <v>91</v>
      </c>
      <c r="H182" s="59" t="s">
        <v>92</v>
      </c>
      <c r="J182" s="59" t="s">
        <v>64</v>
      </c>
      <c r="K182" s="59">
        <v>0.48899999999999999</v>
      </c>
      <c r="L182" s="150" t="s">
        <v>255</v>
      </c>
      <c r="M182" s="59" t="s">
        <v>256</v>
      </c>
      <c r="N182" s="59">
        <f t="shared" si="5"/>
        <v>438044935</v>
      </c>
    </row>
    <row r="183" spans="1:14" x14ac:dyDescent="0.25">
      <c r="A183" s="148">
        <v>438044935</v>
      </c>
      <c r="B183" s="59" t="s">
        <v>30</v>
      </c>
      <c r="C183" s="59" t="str">
        <f t="shared" si="4"/>
        <v>438044935_2</v>
      </c>
      <c r="D183" s="7">
        <f>COUNTIF($A$1:A183,A183)</f>
        <v>2</v>
      </c>
      <c r="E183" s="7" t="s">
        <v>67</v>
      </c>
      <c r="F183" s="7">
        <f>VLOOKUP(E183,'[1]TIPOLOGIE COMP'!A:B,2,0)</f>
        <v>2</v>
      </c>
      <c r="G183" s="148" t="s">
        <v>95</v>
      </c>
      <c r="H183" s="59" t="s">
        <v>257</v>
      </c>
      <c r="J183" s="59" t="s">
        <v>64</v>
      </c>
      <c r="K183" s="59">
        <v>0.50090000000000001</v>
      </c>
      <c r="L183" s="150" t="s">
        <v>255</v>
      </c>
      <c r="M183" s="59" t="s">
        <v>256</v>
      </c>
      <c r="N183" s="59">
        <f t="shared" si="5"/>
        <v>438044935</v>
      </c>
    </row>
    <row r="184" spans="1:14" x14ac:dyDescent="0.25">
      <c r="A184" s="148">
        <v>438044935</v>
      </c>
      <c r="B184" s="59" t="s">
        <v>30</v>
      </c>
      <c r="C184" s="59" t="str">
        <f t="shared" si="4"/>
        <v>438044935_4</v>
      </c>
      <c r="D184" s="7">
        <f>COUNTIF($A$1:A184,A184)</f>
        <v>3</v>
      </c>
      <c r="E184" s="7" t="s">
        <v>70</v>
      </c>
      <c r="F184" s="7">
        <f>VLOOKUP(E184,'[1]TIPOLOGIE COMP'!A:B,2,0)</f>
        <v>4</v>
      </c>
      <c r="G184" s="148" t="s">
        <v>71</v>
      </c>
      <c r="H184" s="59" t="s">
        <v>258</v>
      </c>
      <c r="J184" s="59" t="s">
        <v>64</v>
      </c>
      <c r="K184" s="59">
        <v>1.9E-3</v>
      </c>
      <c r="L184" s="150" t="s">
        <v>255</v>
      </c>
      <c r="M184" s="59" t="s">
        <v>256</v>
      </c>
      <c r="N184" s="59">
        <f t="shared" si="5"/>
        <v>438044935</v>
      </c>
    </row>
    <row r="185" spans="1:14" x14ac:dyDescent="0.25">
      <c r="A185" s="148">
        <v>438044935</v>
      </c>
      <c r="B185" s="59" t="s">
        <v>30</v>
      </c>
      <c r="C185" s="59" t="str">
        <f t="shared" si="4"/>
        <v>438044935_5</v>
      </c>
      <c r="D185" s="7">
        <f>COUNTIF($A$1:A185,A185)</f>
        <v>4</v>
      </c>
      <c r="E185" s="7" t="s">
        <v>73</v>
      </c>
      <c r="F185" s="7">
        <f>VLOOKUP(E185,'[1]TIPOLOGIE COMP'!A:B,2,0)</f>
        <v>5</v>
      </c>
      <c r="G185" s="148" t="s">
        <v>74</v>
      </c>
      <c r="H185" s="59" t="s">
        <v>259</v>
      </c>
      <c r="J185" s="59" t="s">
        <v>64</v>
      </c>
      <c r="K185" s="59">
        <v>4.1000000000000003E-3</v>
      </c>
      <c r="L185" s="150" t="s">
        <v>255</v>
      </c>
      <c r="M185" s="59" t="s">
        <v>256</v>
      </c>
      <c r="N185" s="59">
        <f t="shared" si="5"/>
        <v>438044935</v>
      </c>
    </row>
    <row r="186" spans="1:14" x14ac:dyDescent="0.25">
      <c r="A186" s="148">
        <v>438044935</v>
      </c>
      <c r="B186" s="59" t="s">
        <v>30</v>
      </c>
      <c r="C186" s="59" t="str">
        <f t="shared" si="4"/>
        <v>438044935_6</v>
      </c>
      <c r="D186" s="7">
        <f>COUNTIF($A$1:A186,A186)</f>
        <v>5</v>
      </c>
      <c r="E186" s="7" t="s">
        <v>76</v>
      </c>
      <c r="F186" s="7">
        <f>VLOOKUP(E186,'[1]TIPOLOGIE COMP'!A:B,2,0)</f>
        <v>6</v>
      </c>
      <c r="G186" s="149" t="s">
        <v>260</v>
      </c>
      <c r="H186" s="59" t="s">
        <v>261</v>
      </c>
      <c r="J186" s="59" t="s">
        <v>64</v>
      </c>
      <c r="K186" s="59">
        <v>4.1000000000000003E-3</v>
      </c>
      <c r="L186" s="150" t="s">
        <v>255</v>
      </c>
      <c r="M186" s="59" t="s">
        <v>256</v>
      </c>
      <c r="N186" s="59">
        <f t="shared" si="5"/>
        <v>438044935</v>
      </c>
    </row>
    <row r="187" spans="1:14" x14ac:dyDescent="0.25">
      <c r="A187" s="148" t="s">
        <v>42</v>
      </c>
      <c r="B187" s="59" t="s">
        <v>40</v>
      </c>
      <c r="C187" s="59" t="str">
        <f t="shared" si="4"/>
        <v>438019965_1</v>
      </c>
      <c r="D187" s="7">
        <f>COUNTIF($A$1:A187,A187)</f>
        <v>1</v>
      </c>
      <c r="E187" s="7" t="s">
        <v>60</v>
      </c>
      <c r="F187" s="7">
        <f>VLOOKUP(E187,'[1]TIPOLOGIE COMP'!A:B,2,0)</f>
        <v>1</v>
      </c>
      <c r="G187" s="150" t="s">
        <v>262</v>
      </c>
      <c r="H187" s="59" t="s">
        <v>212</v>
      </c>
      <c r="J187" s="59" t="s">
        <v>64</v>
      </c>
      <c r="K187" s="59">
        <v>0.53600000000000003</v>
      </c>
      <c r="L187" s="150" t="s">
        <v>263</v>
      </c>
      <c r="M187" s="59" t="s">
        <v>264</v>
      </c>
      <c r="N187" s="59" t="str">
        <f t="shared" si="5"/>
        <v>438019965</v>
      </c>
    </row>
    <row r="188" spans="1:14" x14ac:dyDescent="0.25">
      <c r="A188" s="148" t="s">
        <v>42</v>
      </c>
      <c r="B188" s="59" t="s">
        <v>40</v>
      </c>
      <c r="C188" s="59" t="str">
        <f t="shared" si="4"/>
        <v>438019965_2</v>
      </c>
      <c r="D188" s="7">
        <f>COUNTIF($A$1:A188,A188)</f>
        <v>2</v>
      </c>
      <c r="E188" s="7" t="s">
        <v>67</v>
      </c>
      <c r="F188" s="7">
        <f>VLOOKUP(E188,'[1]TIPOLOGIE COMP'!A:B,2,0)</f>
        <v>2</v>
      </c>
      <c r="G188" s="150" t="s">
        <v>265</v>
      </c>
      <c r="H188" s="59" t="s">
        <v>266</v>
      </c>
      <c r="J188" s="59" t="s">
        <v>64</v>
      </c>
      <c r="K188" s="59">
        <v>0.45800000000000002</v>
      </c>
      <c r="L188" s="150" t="s">
        <v>263</v>
      </c>
      <c r="M188" s="59" t="s">
        <v>264</v>
      </c>
      <c r="N188" s="59" t="str">
        <f t="shared" si="5"/>
        <v>438019965</v>
      </c>
    </row>
    <row r="189" spans="1:14" x14ac:dyDescent="0.25">
      <c r="A189" s="148">
        <v>438019965</v>
      </c>
      <c r="B189" s="59" t="s">
        <v>40</v>
      </c>
      <c r="C189" s="59" t="str">
        <f t="shared" si="4"/>
        <v>438019965_4</v>
      </c>
      <c r="D189" s="7">
        <f>COUNTIF($A$1:A189,A189)</f>
        <v>3</v>
      </c>
      <c r="E189" s="7" t="s">
        <v>70</v>
      </c>
      <c r="F189" s="7">
        <f>VLOOKUP(E189,'[1]TIPOLOGIE COMP'!A:B,2,0)</f>
        <v>4</v>
      </c>
      <c r="G189" s="150" t="s">
        <v>251</v>
      </c>
      <c r="H189" s="59" t="s">
        <v>252</v>
      </c>
      <c r="J189" s="59" t="s">
        <v>64</v>
      </c>
      <c r="K189" s="59">
        <v>4.0000000000000001E-3</v>
      </c>
      <c r="L189" s="150" t="s">
        <v>263</v>
      </c>
      <c r="M189" s="59" t="s">
        <v>264</v>
      </c>
      <c r="N189" s="59">
        <f t="shared" si="5"/>
        <v>438019965</v>
      </c>
    </row>
    <row r="190" spans="1:14" x14ac:dyDescent="0.25">
      <c r="A190" s="148" t="s">
        <v>42</v>
      </c>
      <c r="B190" s="59" t="s">
        <v>40</v>
      </c>
      <c r="C190" s="59" t="str">
        <f t="shared" si="4"/>
        <v>438019965_5</v>
      </c>
      <c r="D190" s="7">
        <f>COUNTIF($A$1:A190,A190)</f>
        <v>4</v>
      </c>
      <c r="E190" s="7" t="s">
        <v>73</v>
      </c>
      <c r="F190" s="7">
        <f>VLOOKUP(E190,'[1]TIPOLOGIE COMP'!A:B,2,0)</f>
        <v>5</v>
      </c>
      <c r="G190" s="150" t="s">
        <v>253</v>
      </c>
      <c r="H190" s="59" t="s">
        <v>254</v>
      </c>
      <c r="J190" s="59" t="s">
        <v>64</v>
      </c>
      <c r="K190" s="59">
        <v>2E-3</v>
      </c>
      <c r="L190" s="150" t="s">
        <v>263</v>
      </c>
      <c r="M190" s="59" t="s">
        <v>264</v>
      </c>
      <c r="N190" s="59" t="str">
        <f t="shared" si="5"/>
        <v>438019965</v>
      </c>
    </row>
    <row r="191" spans="1:14" x14ac:dyDescent="0.25">
      <c r="A191" s="148">
        <v>438014257</v>
      </c>
      <c r="B191" s="59" t="s">
        <v>33</v>
      </c>
      <c r="C191" s="59" t="str">
        <f t="shared" si="4"/>
        <v>438014257_1</v>
      </c>
      <c r="D191" s="7">
        <f>COUNTIF($A$1:A191,A191)</f>
        <v>1</v>
      </c>
      <c r="E191" s="7" t="s">
        <v>60</v>
      </c>
      <c r="F191" s="7">
        <f>VLOOKUP(E191,'[1]TIPOLOGIE COMP'!A:B,2,0)</f>
        <v>1</v>
      </c>
      <c r="G191" s="150" t="s">
        <v>61</v>
      </c>
      <c r="H191" s="59" t="s">
        <v>62</v>
      </c>
      <c r="J191" s="59" t="s">
        <v>64</v>
      </c>
      <c r="K191" s="59">
        <v>0.64400000000000002</v>
      </c>
      <c r="L191" s="150" t="s">
        <v>267</v>
      </c>
      <c r="M191" s="59" t="s">
        <v>268</v>
      </c>
      <c r="N191" s="59">
        <f t="shared" si="5"/>
        <v>438014257</v>
      </c>
    </row>
    <row r="192" spans="1:14" x14ac:dyDescent="0.25">
      <c r="A192" s="148" t="s">
        <v>35</v>
      </c>
      <c r="B192" s="59" t="s">
        <v>33</v>
      </c>
      <c r="C192" s="59" t="str">
        <f t="shared" si="4"/>
        <v>438014257_2</v>
      </c>
      <c r="D192" s="7">
        <f>COUNTIF($A$1:A192,A192)</f>
        <v>2</v>
      </c>
      <c r="E192" s="7" t="s">
        <v>67</v>
      </c>
      <c r="F192" s="7">
        <f>VLOOKUP(E192,'[1]TIPOLOGIE COMP'!A:B,2,0)</f>
        <v>2</v>
      </c>
      <c r="G192" s="150" t="s">
        <v>269</v>
      </c>
      <c r="H192" s="59" t="s">
        <v>134</v>
      </c>
      <c r="J192" s="59" t="s">
        <v>64</v>
      </c>
      <c r="K192" s="59">
        <v>0.32100000000000001</v>
      </c>
      <c r="L192" s="150" t="s">
        <v>267</v>
      </c>
      <c r="M192" s="59" t="s">
        <v>268</v>
      </c>
      <c r="N192" s="59" t="str">
        <f t="shared" si="5"/>
        <v>438014257</v>
      </c>
    </row>
    <row r="193" spans="1:14" x14ac:dyDescent="0.25">
      <c r="A193" s="148" t="s">
        <v>35</v>
      </c>
      <c r="B193" s="59" t="s">
        <v>33</v>
      </c>
      <c r="C193" s="59" t="str">
        <f t="shared" si="4"/>
        <v>438014257_4</v>
      </c>
      <c r="D193" s="7">
        <f>COUNTIF($A$1:A193,A193)</f>
        <v>3</v>
      </c>
      <c r="E193" s="7" t="s">
        <v>70</v>
      </c>
      <c r="F193" s="7">
        <f>VLOOKUP(E193,'[1]TIPOLOGIE COMP'!A:B,2,0)</f>
        <v>4</v>
      </c>
      <c r="G193" s="150" t="s">
        <v>71</v>
      </c>
      <c r="H193" s="59" t="s">
        <v>258</v>
      </c>
      <c r="J193" s="59" t="s">
        <v>64</v>
      </c>
      <c r="K193" s="59">
        <v>3.0000000000000001E-3</v>
      </c>
      <c r="L193" s="150" t="s">
        <v>267</v>
      </c>
      <c r="M193" s="59" t="s">
        <v>268</v>
      </c>
      <c r="N193" s="59" t="str">
        <f t="shared" si="5"/>
        <v>438014257</v>
      </c>
    </row>
    <row r="194" spans="1:14" x14ac:dyDescent="0.25">
      <c r="A194" s="148" t="s">
        <v>35</v>
      </c>
      <c r="B194" s="59" t="s">
        <v>33</v>
      </c>
      <c r="C194" s="59" t="str">
        <f t="shared" si="4"/>
        <v>438014257_5</v>
      </c>
      <c r="D194" s="7">
        <f>COUNTIF($A$1:A194,A194)</f>
        <v>4</v>
      </c>
      <c r="E194" s="7" t="s">
        <v>73</v>
      </c>
      <c r="F194" s="7">
        <f>VLOOKUP(E194,'[1]TIPOLOGIE COMP'!A:B,2,0)</f>
        <v>5</v>
      </c>
      <c r="G194" s="150" t="s">
        <v>77</v>
      </c>
      <c r="H194" s="59" t="s">
        <v>78</v>
      </c>
      <c r="J194" s="59" t="s">
        <v>64</v>
      </c>
      <c r="K194" s="59">
        <v>3.2000000000000001E-2</v>
      </c>
      <c r="L194" s="150" t="s">
        <v>267</v>
      </c>
      <c r="M194" s="59" t="s">
        <v>268</v>
      </c>
      <c r="N194" s="59" t="str">
        <f t="shared" si="5"/>
        <v>438014257</v>
      </c>
    </row>
    <row r="195" spans="1:14" x14ac:dyDescent="0.25">
      <c r="A195" s="148" t="s">
        <v>38</v>
      </c>
      <c r="B195" s="59" t="s">
        <v>37</v>
      </c>
      <c r="C195" s="59" t="str">
        <f t="shared" ref="C195:C197" si="6">CONCATENATE(A195,"_",F195)</f>
        <v>438014258_1</v>
      </c>
      <c r="D195" s="7">
        <f>COUNTIF($A$1:A195,A195)</f>
        <v>1</v>
      </c>
      <c r="E195" s="7" t="s">
        <v>60</v>
      </c>
      <c r="F195" s="7">
        <f>VLOOKUP(E195,'[1]TIPOLOGIE COMP'!A:B,2,0)</f>
        <v>1</v>
      </c>
      <c r="G195" s="150" t="s">
        <v>270</v>
      </c>
      <c r="H195" s="59" t="s">
        <v>271</v>
      </c>
      <c r="J195" s="59" t="s">
        <v>64</v>
      </c>
      <c r="K195" s="151">
        <v>0.68905137332762068</v>
      </c>
      <c r="L195" s="150" t="s">
        <v>272</v>
      </c>
      <c r="M195" s="59" t="s">
        <v>273</v>
      </c>
      <c r="N195" s="59" t="str">
        <f t="shared" si="5"/>
        <v>438014258</v>
      </c>
    </row>
    <row r="196" spans="1:14" x14ac:dyDescent="0.25">
      <c r="A196" s="148">
        <v>438014258</v>
      </c>
      <c r="B196" s="59" t="s">
        <v>37</v>
      </c>
      <c r="C196" s="59" t="str">
        <f t="shared" si="6"/>
        <v>438014258_2</v>
      </c>
      <c r="D196" s="7">
        <f>COUNTIF($A$1:A196,A196)</f>
        <v>2</v>
      </c>
      <c r="E196" s="7" t="s">
        <v>67</v>
      </c>
      <c r="F196" s="7">
        <f>VLOOKUP(E196,'[1]TIPOLOGIE COMP'!A:B,2,0)</f>
        <v>2</v>
      </c>
      <c r="G196" s="150" t="s">
        <v>274</v>
      </c>
      <c r="H196" s="59" t="s">
        <v>275</v>
      </c>
      <c r="J196" s="59" t="s">
        <v>64</v>
      </c>
      <c r="K196" s="151">
        <v>0.3107621693707569</v>
      </c>
      <c r="L196" s="150" t="s">
        <v>272</v>
      </c>
      <c r="M196" s="59" t="s">
        <v>273</v>
      </c>
      <c r="N196" s="59">
        <f t="shared" ref="N196:N197" si="7">A196</f>
        <v>438014258</v>
      </c>
    </row>
    <row r="197" spans="1:14" x14ac:dyDescent="0.25">
      <c r="A197" s="148" t="s">
        <v>38</v>
      </c>
      <c r="B197" s="59" t="s">
        <v>37</v>
      </c>
      <c r="C197" s="59" t="str">
        <f t="shared" si="6"/>
        <v>438014258_4</v>
      </c>
      <c r="D197" s="7">
        <f>COUNTIF($A$1:A197,A197)</f>
        <v>3</v>
      </c>
      <c r="E197" s="7" t="s">
        <v>70</v>
      </c>
      <c r="F197" s="7">
        <f>VLOOKUP(E197,'[1]TIPOLOGIE COMP'!A:B,2,0)</f>
        <v>4</v>
      </c>
      <c r="G197" s="150" t="s">
        <v>71</v>
      </c>
      <c r="H197" s="59" t="s">
        <v>258</v>
      </c>
      <c r="J197" s="59" t="s">
        <v>64</v>
      </c>
      <c r="K197" s="152">
        <v>1.8645730162245413E-4</v>
      </c>
      <c r="L197" s="150" t="s">
        <v>272</v>
      </c>
      <c r="M197" s="59" t="s">
        <v>273</v>
      </c>
      <c r="N197" s="59" t="str">
        <f t="shared" si="7"/>
        <v>438014258</v>
      </c>
    </row>
  </sheetData>
  <autoFilter ref="A1:N197" xr:uid="{00000000-0009-0000-0000-000001000000}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2"/>
  <dimension ref="A1:AD2000"/>
  <sheetViews>
    <sheetView showGridLines="0" zoomScale="70" zoomScaleNormal="7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C80" sqref="C80"/>
    </sheetView>
  </sheetViews>
  <sheetFormatPr defaultColWidth="9.140625" defaultRowHeight="35.1" customHeight="1" x14ac:dyDescent="0.25"/>
  <cols>
    <col min="1" max="1" width="15.140625" style="59" customWidth="1"/>
    <col min="2" max="2" width="17.140625" style="59" bestFit="1" customWidth="1"/>
    <col min="3" max="3" width="27.140625" style="59" customWidth="1"/>
    <col min="4" max="4" width="16.140625" style="59" bestFit="1" customWidth="1"/>
    <col min="5" max="5" width="14.7109375" style="59" customWidth="1"/>
    <col min="6" max="6" width="11.28515625" style="59" customWidth="1"/>
    <col min="7" max="7" width="25.7109375" style="59" customWidth="1"/>
    <col min="8" max="8" width="12.7109375" style="59" customWidth="1"/>
    <col min="9" max="9" width="11.28515625" style="59" customWidth="1"/>
    <col min="10" max="10" width="25.7109375" style="59" customWidth="1"/>
    <col min="11" max="11" width="12.7109375" style="59" customWidth="1"/>
    <col min="12" max="12" width="11.28515625" style="59" customWidth="1"/>
    <col min="13" max="13" width="25.7109375" style="59" customWidth="1"/>
    <col min="14" max="14" width="12.7109375" style="59" customWidth="1"/>
    <col min="15" max="15" width="11.28515625" style="59" customWidth="1"/>
    <col min="16" max="16" width="25.7109375" style="59" customWidth="1"/>
    <col min="17" max="17" width="12.7109375" style="59" customWidth="1"/>
    <col min="18" max="18" width="11.28515625" style="59" customWidth="1"/>
    <col min="19" max="19" width="25.7109375" style="59" customWidth="1"/>
    <col min="20" max="21" width="12.7109375" style="59" customWidth="1"/>
    <col min="22" max="23" width="19.7109375" style="59" customWidth="1"/>
    <col min="24" max="24" width="19.7109375" style="94" customWidth="1"/>
    <col min="25" max="27" width="19.7109375" style="59" customWidth="1"/>
    <col min="28" max="29" width="23.85546875" style="91" customWidth="1"/>
    <col min="30" max="30" width="75.5703125" style="99" customWidth="1"/>
    <col min="31" max="16384" width="9.140625" style="59"/>
  </cols>
  <sheetData>
    <row r="1" spans="1:30" ht="15" x14ac:dyDescent="0.25">
      <c r="F1" s="74" t="s">
        <v>276</v>
      </c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V1" s="75" t="s">
        <v>277</v>
      </c>
      <c r="W1" s="75"/>
      <c r="X1" s="111"/>
      <c r="Y1" s="75"/>
      <c r="Z1" s="75"/>
      <c r="AA1" s="75"/>
      <c r="AB1" s="76"/>
      <c r="AC1" s="76"/>
      <c r="AD1" s="77"/>
    </row>
    <row r="2" spans="1:30" s="7" customFormat="1" ht="15" x14ac:dyDescent="0.25">
      <c r="F2" s="78" t="s">
        <v>60</v>
      </c>
      <c r="G2" s="78"/>
      <c r="H2" s="78"/>
      <c r="I2" s="79" t="s">
        <v>67</v>
      </c>
      <c r="J2" s="79"/>
      <c r="K2" s="79"/>
      <c r="L2" s="80" t="s">
        <v>70</v>
      </c>
      <c r="M2" s="80"/>
      <c r="N2" s="80"/>
      <c r="O2" s="81" t="s">
        <v>73</v>
      </c>
      <c r="P2" s="81"/>
      <c r="Q2" s="81"/>
      <c r="R2" s="82" t="s">
        <v>76</v>
      </c>
      <c r="S2" s="82"/>
      <c r="T2" s="82"/>
      <c r="V2" s="63" t="s">
        <v>278</v>
      </c>
      <c r="W2" s="63" t="s">
        <v>279</v>
      </c>
      <c r="X2" s="112" t="s">
        <v>280</v>
      </c>
      <c r="Y2" s="63" t="s">
        <v>281</v>
      </c>
      <c r="Z2" s="63" t="s">
        <v>281</v>
      </c>
      <c r="AA2" s="63" t="s">
        <v>282</v>
      </c>
      <c r="AB2" s="64" t="s">
        <v>283</v>
      </c>
      <c r="AC2" s="64"/>
      <c r="AD2" s="65" t="s">
        <v>284</v>
      </c>
    </row>
    <row r="3" spans="1:30" s="7" customFormat="1" ht="15" hidden="1" x14ac:dyDescent="0.25">
      <c r="F3" s="78">
        <v>1</v>
      </c>
      <c r="G3" s="78">
        <v>1</v>
      </c>
      <c r="H3" s="78"/>
      <c r="I3" s="79">
        <v>2</v>
      </c>
      <c r="J3" s="79">
        <v>2</v>
      </c>
      <c r="K3" s="79"/>
      <c r="L3" s="80">
        <v>3</v>
      </c>
      <c r="M3" s="80">
        <v>3</v>
      </c>
      <c r="N3" s="80"/>
      <c r="O3" s="81">
        <v>4</v>
      </c>
      <c r="P3" s="81">
        <v>4</v>
      </c>
      <c r="Q3" s="81"/>
      <c r="R3" s="82">
        <v>5</v>
      </c>
      <c r="S3" s="82">
        <v>5</v>
      </c>
      <c r="T3" s="82"/>
      <c r="V3" s="63"/>
      <c r="W3" s="63"/>
      <c r="X3" s="112"/>
      <c r="Y3" s="63"/>
      <c r="Z3" s="63"/>
      <c r="AA3" s="63"/>
      <c r="AB3" s="64"/>
      <c r="AC3" s="64"/>
      <c r="AD3" s="65"/>
    </row>
    <row r="4" spans="1:30" s="73" customFormat="1" ht="24.95" customHeight="1" x14ac:dyDescent="0.25">
      <c r="A4" s="66" t="s">
        <v>285</v>
      </c>
      <c r="B4" s="66" t="s">
        <v>286</v>
      </c>
      <c r="C4" s="66" t="s">
        <v>287</v>
      </c>
      <c r="D4" s="66" t="s">
        <v>288</v>
      </c>
      <c r="E4" s="67" t="s">
        <v>289</v>
      </c>
      <c r="F4" s="66" t="s">
        <v>290</v>
      </c>
      <c r="G4" s="66" t="s">
        <v>291</v>
      </c>
      <c r="H4" s="68" t="s">
        <v>292</v>
      </c>
      <c r="I4" s="66" t="s">
        <v>293</v>
      </c>
      <c r="J4" s="66" t="s">
        <v>294</v>
      </c>
      <c r="K4" s="68" t="s">
        <v>295</v>
      </c>
      <c r="L4" s="66" t="s">
        <v>296</v>
      </c>
      <c r="M4" s="66" t="s">
        <v>297</v>
      </c>
      <c r="N4" s="68" t="s">
        <v>298</v>
      </c>
      <c r="O4" s="66" t="s">
        <v>299</v>
      </c>
      <c r="P4" s="66" t="s">
        <v>300</v>
      </c>
      <c r="Q4" s="68" t="s">
        <v>301</v>
      </c>
      <c r="R4" s="66" t="s">
        <v>302</v>
      </c>
      <c r="S4" s="66" t="s">
        <v>303</v>
      </c>
      <c r="T4" s="68" t="s">
        <v>304</v>
      </c>
      <c r="U4" s="69" t="s">
        <v>305</v>
      </c>
      <c r="V4" s="70" t="s">
        <v>306</v>
      </c>
      <c r="W4" s="70" t="s">
        <v>307</v>
      </c>
      <c r="X4" s="113" t="s">
        <v>308</v>
      </c>
      <c r="Y4" s="70" t="s">
        <v>309</v>
      </c>
      <c r="Z4" s="70" t="s">
        <v>310</v>
      </c>
      <c r="AA4" s="71" t="s">
        <v>311</v>
      </c>
      <c r="AB4" s="72" t="s">
        <v>312</v>
      </c>
      <c r="AC4" s="72" t="s">
        <v>313</v>
      </c>
      <c r="AD4" s="71" t="s">
        <v>314</v>
      </c>
    </row>
    <row r="5" spans="1:30" s="87" customFormat="1" ht="30" hidden="1" x14ac:dyDescent="0.25">
      <c r="A5" s="83">
        <v>44230</v>
      </c>
      <c r="B5" s="7" t="s">
        <v>20</v>
      </c>
      <c r="C5" s="8" t="s">
        <v>21</v>
      </c>
      <c r="D5" s="8" t="s">
        <v>315</v>
      </c>
      <c r="E5" s="60" t="s">
        <v>316</v>
      </c>
      <c r="F5" s="84" t="str">
        <f>IFERROR(VLOOKUP(CONCATENATE($B5,"_",F$3),materiali_old2!$C:$K,5,0),"")</f>
        <v>997001513</v>
      </c>
      <c r="G5" s="85" t="str">
        <f>IFERROR(VLOOKUP(CONCATENATE($B5,"_",G$3),materiali_old2!$C:$K,6,0),"")</f>
        <v>RESINA TECNOTHANE MPC2013SG</v>
      </c>
      <c r="H5" s="86" t="s">
        <v>317</v>
      </c>
      <c r="I5" s="84" t="str">
        <f>IFERROR(VLOOKUP(CONCATENATE($B5,"_",I$3),materiali_old2!$C:$K,5,0),"")</f>
        <v>997001514</v>
      </c>
      <c r="J5" s="85" t="str">
        <f>IFERROR(VLOOKUP(CONCATENATE($B5,"_",J$3),materiali_old2!$C:$K,6,0),"")</f>
        <v>RETICOLANTE TECNOTHANE RCH360 (N.B.FUSTI DA 200 KG)</v>
      </c>
      <c r="K5" s="86" t="s">
        <v>318</v>
      </c>
      <c r="L5" s="84" t="str">
        <f>IFERROR(VLOOKUP(CONCATENATE($B5,"_",L$3),materiali_old2!$C:$K,5,0),"")</f>
        <v>040001013</v>
      </c>
      <c r="M5" s="85" t="str">
        <f>IFERROR(VLOOKUP(CONCATENATE($B5,"_",M$3),materiali_old2!$C:$K,6,0),"")</f>
        <v>CATALIZZATORE TECNOKAT E, 10KG</v>
      </c>
      <c r="N5" s="86" t="s">
        <v>319</v>
      </c>
      <c r="O5" s="84" t="str">
        <f>IFERROR(VLOOKUP(CONCATENATE($B5,"_",O$3),materiali_old2!$C:$K,5,0),"")</f>
        <v>997001508</v>
      </c>
      <c r="P5" s="85" t="str">
        <f>IFERROR(VLOOKUP(CONCATENATE($B5,"_",P$3),materiali_old2!$C:$K,6,0),"")</f>
        <v>COLORANTE GIALLO REPIPLAST/CE 28713</v>
      </c>
      <c r="Q5" s="86" t="s">
        <v>320</v>
      </c>
      <c r="R5" s="84" t="str">
        <f>IFERROR(VLOOKUP(CONCATENATE($B5,"_",R$3),materiali_old2!$C:$K,5,0),"")</f>
        <v>040001014</v>
      </c>
      <c r="S5" s="85" t="str">
        <f>IFERROR(VLOOKUP(CONCATENATE($B5,"_",S$3),materiali_old2!$C:$K,6,0),"")</f>
        <v>ADDITTIVO ANTISTAT.PER POLIOLO POLIEST.CATAFOR PU</v>
      </c>
      <c r="T5" s="86">
        <v>7240</v>
      </c>
      <c r="U5" s="31">
        <v>44230</v>
      </c>
      <c r="V5" s="59">
        <v>76</v>
      </c>
      <c r="W5" s="59">
        <v>30</v>
      </c>
      <c r="X5" s="234">
        <v>694</v>
      </c>
      <c r="Y5" s="59">
        <v>61</v>
      </c>
      <c r="Z5" s="59">
        <v>60</v>
      </c>
      <c r="AA5" s="59">
        <v>17</v>
      </c>
      <c r="AB5" s="91">
        <v>300000000</v>
      </c>
      <c r="AC5" s="91"/>
      <c r="AD5" s="92"/>
    </row>
    <row r="6" spans="1:30" ht="35.1" hidden="1" customHeight="1" x14ac:dyDescent="0.25">
      <c r="A6" s="83">
        <v>44230</v>
      </c>
      <c r="B6" s="7" t="s">
        <v>321</v>
      </c>
      <c r="C6" s="8" t="s">
        <v>322</v>
      </c>
      <c r="D6" s="8" t="s">
        <v>247</v>
      </c>
      <c r="E6" s="61" t="s">
        <v>323</v>
      </c>
      <c r="F6" s="84" t="str">
        <f>IFERROR(VLOOKUP(CONCATENATE($B6,"_",F$3),materiali_old2!$C:$K,5,0),"")</f>
        <v/>
      </c>
      <c r="G6" s="85" t="str">
        <f>IFERROR(VLOOKUP(CONCATENATE($B6,"_",G$3),materiali_old2!$C:$K,6,0),"")</f>
        <v/>
      </c>
      <c r="H6" s="90" t="s">
        <v>324</v>
      </c>
      <c r="I6" s="84" t="str">
        <f>IFERROR(VLOOKUP(CONCATENATE($B6,"_",I$3),materiali_old2!$C:$K,5,0),"")</f>
        <v/>
      </c>
      <c r="J6" s="85" t="str">
        <f>IFERROR(VLOOKUP(CONCATENATE($B6,"_",J$3),materiali_old2!$C:$K,6,0),"")</f>
        <v/>
      </c>
      <c r="K6" s="90" t="s">
        <v>325</v>
      </c>
      <c r="L6" s="84" t="str">
        <f>IFERROR(VLOOKUP(CONCATENATE($B6,"_",L$3),materiali_old2!$C:$K,5,0),"")</f>
        <v/>
      </c>
      <c r="M6" s="85" t="str">
        <f>IFERROR(VLOOKUP(CONCATENATE($B6,"_",M$3),materiali_old2!$C:$K,6,0),"")</f>
        <v/>
      </c>
      <c r="N6" s="90"/>
      <c r="O6" s="84" t="str">
        <f>IFERROR(VLOOKUP(CONCATENATE($B6,"_",O$3),materiali_old2!$C:$K,5,0),"")</f>
        <v/>
      </c>
      <c r="P6" s="85" t="str">
        <f>IFERROR(VLOOKUP(CONCATENATE($B6,"_",P$3),materiali_old2!$C:$K,6,0),"")</f>
        <v/>
      </c>
      <c r="Q6" s="93" t="s">
        <v>326</v>
      </c>
      <c r="R6" s="84" t="str">
        <f>IFERROR(VLOOKUP(CONCATENATE($B6,"_",R$3),materiali_old2!$C:$K,5,0),"")</f>
        <v/>
      </c>
      <c r="S6" s="85" t="str">
        <f>IFERROR(VLOOKUP(CONCATENATE($B6,"_",S$3),materiali_old2!$C:$K,6,0),"")</f>
        <v/>
      </c>
      <c r="T6" s="90"/>
      <c r="U6" s="31">
        <v>44237</v>
      </c>
      <c r="V6" s="59">
        <v>76</v>
      </c>
      <c r="W6" s="59">
        <v>24</v>
      </c>
      <c r="X6" s="234">
        <v>553</v>
      </c>
      <c r="Y6" s="59">
        <v>46</v>
      </c>
      <c r="Z6" s="59">
        <v>57</v>
      </c>
      <c r="AA6" s="59">
        <v>64</v>
      </c>
      <c r="AD6" s="92"/>
    </row>
    <row r="7" spans="1:30" ht="35.1" hidden="1" customHeight="1" x14ac:dyDescent="0.25">
      <c r="A7" s="83">
        <v>44230</v>
      </c>
      <c r="B7" s="7" t="s">
        <v>28</v>
      </c>
      <c r="C7" s="8" t="s">
        <v>29</v>
      </c>
      <c r="D7" s="8" t="s">
        <v>327</v>
      </c>
      <c r="E7" s="61" t="s">
        <v>328</v>
      </c>
      <c r="F7" s="84" t="str">
        <f>IFERROR(VLOOKUP(CONCATENATE($B7,"_",F$3),materiali!$C:$K,5,0),"")</f>
        <v>997001513</v>
      </c>
      <c r="G7" s="85" t="str">
        <f>IFERROR(VLOOKUP(CONCATENATE($B7,"_",G$3),materiali!$C:$K,6,0),"")</f>
        <v>RESINA TECNOTHANE MPC2013SG</v>
      </c>
      <c r="H7" s="90" t="s">
        <v>329</v>
      </c>
      <c r="I7" s="84" t="str">
        <f>IFERROR(VLOOKUP(CONCATENATE($B7,"_",I$3),materiali!$C:$K,5,0),"")</f>
        <v>997001514</v>
      </c>
      <c r="J7" s="85" t="str">
        <f>IFERROR(VLOOKUP(CONCATENATE($B7,"_",J$3),materiali!$C:$K,6,0),"")</f>
        <v>RETICOLANTE TECNOTHANE RCH361</v>
      </c>
      <c r="K7" s="90" t="s">
        <v>330</v>
      </c>
      <c r="L7" s="84" t="str">
        <f>IFERROR(VLOOKUP(CONCATENATE($B7,"_",L$3),materiali!$C:$K,5,0),"")</f>
        <v/>
      </c>
      <c r="M7" s="85" t="str">
        <f>IFERROR(VLOOKUP(CONCATENATE($B7,"_",M$3),materiali!$C:$K,6,0),"")</f>
        <v/>
      </c>
      <c r="N7" s="90" t="s">
        <v>319</v>
      </c>
      <c r="O7" s="84" t="str">
        <f>IFERROR(VLOOKUP(CONCATENATE($B7,"_",O$3),materiali!$C:$K,5,0),"")</f>
        <v>040001013</v>
      </c>
      <c r="P7" s="85" t="str">
        <f>IFERROR(VLOOKUP(CONCATENATE($B7,"_",P$3),materiali!$C:$K,6,0),"")</f>
        <v>ACCELERANTE X POLIOLO POLIESTERE TECNOKAT  PURO NON DILUITO</v>
      </c>
      <c r="Q7" s="90" t="s">
        <v>320</v>
      </c>
      <c r="R7" s="84" t="str">
        <f>IFERROR(VLOOKUP(CONCATENATE($B7,"_",R$3),materiali!$C:$K,5,0),"")</f>
        <v>997001508</v>
      </c>
      <c r="S7" s="85" t="str">
        <f>IFERROR(VLOOKUP(CONCATENATE($B7,"_",S$3),materiali!$C:$K,6,0),"")</f>
        <v>COLORE GIALLO PER POLIOLO</v>
      </c>
      <c r="T7" s="90"/>
      <c r="U7" s="31">
        <v>44230</v>
      </c>
      <c r="V7" s="59">
        <v>76</v>
      </c>
      <c r="W7" s="59">
        <v>19</v>
      </c>
      <c r="X7" s="234">
        <v>540</v>
      </c>
      <c r="Y7" s="59">
        <v>44</v>
      </c>
      <c r="Z7" s="59">
        <v>53</v>
      </c>
      <c r="AA7" s="59">
        <v>18</v>
      </c>
      <c r="AD7" s="92"/>
    </row>
    <row r="8" spans="1:30" ht="35.1" hidden="1" customHeight="1" x14ac:dyDescent="0.25">
      <c r="A8" s="83">
        <v>44230</v>
      </c>
      <c r="B8" s="7" t="s">
        <v>35</v>
      </c>
      <c r="C8" s="8" t="s">
        <v>36</v>
      </c>
      <c r="D8" s="8" t="s">
        <v>267</v>
      </c>
      <c r="E8" s="61" t="s">
        <v>331</v>
      </c>
      <c r="F8" s="84" t="str">
        <f>IFERROR(VLOOKUP(CONCATENATE($B8,"_",F$3),materiali!$C:$K,5,0),"")</f>
        <v>997001502</v>
      </c>
      <c r="G8" s="85" t="str">
        <f>IFERROR(VLOOKUP(CONCATENATE($B8,"_",G$3),materiali!$C:$K,6,0),"")</f>
        <v>ISOCIANATO POLIETERE SH.70/90 TECNOTHANE MPT 109SG</v>
      </c>
      <c r="H8" s="90" t="s">
        <v>332</v>
      </c>
      <c r="I8" s="84" t="str">
        <f>IFERROR(VLOOKUP(CONCATENATE($B8,"_",I$3),materiali!$C:$K,5,0),"")</f>
        <v>997001503</v>
      </c>
      <c r="J8" s="85" t="str">
        <f>IFERROR(VLOOKUP(CONCATENATE($B8,"_",J$3),materiali!$C:$K,6,0),"")</f>
        <v>POLIOLO POLIETERE SH.70 TECNOTHANE RH 275</v>
      </c>
      <c r="K8" s="90" t="s">
        <v>333</v>
      </c>
      <c r="L8" s="84" t="str">
        <f>IFERROR(VLOOKUP(CONCATENATE($B8,"_",L$3),materiali!$C:$K,5,0),"")</f>
        <v/>
      </c>
      <c r="M8" s="85" t="str">
        <f>IFERROR(VLOOKUP(CONCATENATE($B8,"_",M$3),materiali!$C:$K,6,0),"")</f>
        <v/>
      </c>
      <c r="N8" s="90" t="s">
        <v>319</v>
      </c>
      <c r="O8" s="84" t="str">
        <f>IFERROR(VLOOKUP(CONCATENATE($B8,"_",O$3),materiali!$C:$K,5,0),"")</f>
        <v>040001013</v>
      </c>
      <c r="P8" s="85" t="str">
        <f>IFERROR(VLOOKUP(CONCATENATE($B8,"_",P$3),materiali!$C:$K,6,0),"")</f>
        <v>CATALIZZATORE TECNOKAT E, 10KG</v>
      </c>
      <c r="Q8" s="90">
        <v>7240</v>
      </c>
      <c r="R8" s="84" t="str">
        <f>IFERROR(VLOOKUP(CONCATENATE($B8,"_",R$3),materiali!$C:$K,5,0),"")</f>
        <v>040001014</v>
      </c>
      <c r="S8" s="85" t="str">
        <f>IFERROR(VLOOKUP(CONCATENATE($B8,"_",S$3),materiali!$C:$K,6,0),"")</f>
        <v>ADDITTIVO ANTISTAT.PER POLIOLO POLIEST.CATAFOR PU</v>
      </c>
      <c r="T8" s="90"/>
      <c r="U8" s="31">
        <v>44230</v>
      </c>
      <c r="V8" s="59">
        <v>78</v>
      </c>
      <c r="W8" s="59">
        <v>11</v>
      </c>
      <c r="X8" s="234">
        <v>410</v>
      </c>
      <c r="Y8" s="59">
        <v>38</v>
      </c>
      <c r="Z8" s="59">
        <v>51</v>
      </c>
      <c r="AA8" s="59">
        <v>20</v>
      </c>
      <c r="AB8" s="91">
        <v>980000000</v>
      </c>
      <c r="AD8" s="92"/>
    </row>
    <row r="9" spans="1:30" ht="35.1" hidden="1" customHeight="1" x14ac:dyDescent="0.25">
      <c r="A9" s="83">
        <v>44230</v>
      </c>
      <c r="B9" s="7" t="s">
        <v>42</v>
      </c>
      <c r="C9" s="8" t="s">
        <v>334</v>
      </c>
      <c r="D9" s="8" t="s">
        <v>263</v>
      </c>
      <c r="E9" s="61" t="s">
        <v>335</v>
      </c>
      <c r="F9" s="84" t="str">
        <f>IFERROR(VLOOKUP(CONCATENATE($B9,"_",F$3),materiali!$C:$K,5,0),"")</f>
        <v>997005963</v>
      </c>
      <c r="G9" s="85" t="str">
        <f>IFERROR(VLOOKUP(CONCATENATE($B9,"_",G$3),materiali!$C:$K,6,0),"")</f>
        <v>MPC 2013F (FUSTI 50 KG)</v>
      </c>
      <c r="H9" s="90" t="s">
        <v>336</v>
      </c>
      <c r="I9" s="84" t="str">
        <f>IFERROR(VLOOKUP(CONCATENATE($B9,"_",I$3),materiali!$C:$K,5,0),"")</f>
        <v>997005965</v>
      </c>
      <c r="J9" s="85" t="str">
        <f>IFERROR(VLOOKUP(CONCATENATE($B9,"_",J$3),materiali!$C:$K,6,0),"")</f>
        <v>RCH 350F (FUSTI 25 KG)</v>
      </c>
      <c r="K9" s="90" t="s">
        <v>337</v>
      </c>
      <c r="L9" s="84" t="str">
        <f>IFERROR(VLOOKUP(CONCATENATE($B9,"_",L$3),materiali!$C:$K,5,0),"")</f>
        <v/>
      </c>
      <c r="M9" s="85" t="str">
        <f>IFERROR(VLOOKUP(CONCATENATE($B9,"_",M$3),materiali!$C:$K,6,0),"")</f>
        <v/>
      </c>
      <c r="N9" s="90" t="s">
        <v>338</v>
      </c>
      <c r="O9" s="84" t="str">
        <f>IFERROR(VLOOKUP(CONCATENATE($B9,"_",O$3),materiali!$C:$K,5,0),"")</f>
        <v>997006168</v>
      </c>
      <c r="P9" s="85" t="str">
        <f>IFERROR(VLOOKUP(CONCATENATE($B9,"_",P$3),materiali!$C:$K,6,0),"")</f>
        <v>CATALIZZATORE TECNOKAT T12-500</v>
      </c>
      <c r="Q9" s="93" t="s">
        <v>326</v>
      </c>
      <c r="R9" s="84" t="str">
        <f>IFERROR(VLOOKUP(CONCATENATE($B9,"_",R$3),materiali!$C:$K,5,0),"")</f>
        <v>997004318</v>
      </c>
      <c r="S9" s="85" t="str">
        <f>IFERROR(VLOOKUP(CONCATENATE($B9,"_",S$3),materiali!$C:$K,6,0),"")</f>
        <v>BIANCO REMAP 10080 FDA 178.3297 (COLORANTE FDA PER SISTEMI)</v>
      </c>
      <c r="T9" s="90"/>
      <c r="U9" s="31">
        <v>44230</v>
      </c>
      <c r="V9" s="59">
        <v>75</v>
      </c>
      <c r="W9" s="59">
        <v>16</v>
      </c>
      <c r="X9" s="234">
        <v>500</v>
      </c>
      <c r="Y9" s="59">
        <v>42</v>
      </c>
      <c r="Z9" s="59">
        <v>54</v>
      </c>
      <c r="AA9" s="59">
        <v>90</v>
      </c>
      <c r="AD9" s="92"/>
    </row>
    <row r="10" spans="1:30" ht="35.1" hidden="1" customHeight="1" x14ac:dyDescent="0.25">
      <c r="A10" s="83">
        <v>44230</v>
      </c>
      <c r="B10" s="7" t="s">
        <v>14</v>
      </c>
      <c r="C10" s="8" t="s">
        <v>15</v>
      </c>
      <c r="D10" s="8" t="s">
        <v>339</v>
      </c>
      <c r="E10" s="61" t="s">
        <v>323</v>
      </c>
      <c r="F10" s="84" t="str">
        <f>IFERROR(VLOOKUP(CONCATENATE($B10,"_",F$3),materiali!$C:$K,5,0),"")</f>
        <v>997001513</v>
      </c>
      <c r="G10" s="85" t="str">
        <f>IFERROR(VLOOKUP(CONCATENATE($B10,"_",G$3),materiali!$C:$K,6,0),"")</f>
        <v>RESINA TECNOTHANE MPC2013SG</v>
      </c>
      <c r="H10" s="90" t="s">
        <v>317</v>
      </c>
      <c r="I10" s="84" t="str">
        <f>IFERROR(VLOOKUP(CONCATENATE($B10,"_",I$3),materiali!$C:$K,5,0),"")</f>
        <v>997001515</v>
      </c>
      <c r="J10" s="85" t="str">
        <f>IFERROR(VLOOKUP(CONCATENATE($B10,"_",J$3),materiali!$C:$K,6,0),"")</f>
        <v>RETICOLANTE TECNOTHANE RCH160 (50 KG)</v>
      </c>
      <c r="K10" s="90" t="s">
        <v>340</v>
      </c>
      <c r="L10" s="84" t="str">
        <f>IFERROR(VLOOKUP(CONCATENATE($B10,"_",L$3),materiali!$C:$K,5,0),"")</f>
        <v/>
      </c>
      <c r="M10" s="85" t="str">
        <f>IFERROR(VLOOKUP(CONCATENATE($B10,"_",M$3),materiali!$C:$K,6,0),"")</f>
        <v/>
      </c>
      <c r="N10" s="90" t="s">
        <v>319</v>
      </c>
      <c r="O10" s="84" t="str">
        <f>IFERROR(VLOOKUP(CONCATENATE($B10,"_",O$3),materiali!$C:$K,5,0),"")</f>
        <v>040001013</v>
      </c>
      <c r="P10" s="85" t="str">
        <f>IFERROR(VLOOKUP(CONCATENATE($B10,"_",P$3),materiali!$C:$K,6,0),"")</f>
        <v>ACCELERANTE X POLIOLO POLIESTERE TECNOKAT  PURO NON DILUITO</v>
      </c>
      <c r="Q10" s="90" t="s">
        <v>320</v>
      </c>
      <c r="R10" s="84" t="str">
        <f>IFERROR(VLOOKUP(CONCATENATE($B10,"_",R$3),materiali!$C:$K,5,0),"")</f>
        <v>997001508</v>
      </c>
      <c r="S10" s="85" t="str">
        <f>IFERROR(VLOOKUP(CONCATENATE($B10,"_",S$3),materiali!$C:$K,6,0),"")</f>
        <v>COLORE GIALLO PER POLIOLO</v>
      </c>
      <c r="T10" s="90"/>
      <c r="U10" s="31">
        <v>44237</v>
      </c>
      <c r="V10" s="59">
        <v>92</v>
      </c>
      <c r="W10" s="59">
        <v>23</v>
      </c>
      <c r="X10" s="234">
        <v>470</v>
      </c>
      <c r="Y10" s="59">
        <v>79</v>
      </c>
      <c r="Z10" s="59">
        <v>99</v>
      </c>
      <c r="AA10" s="59">
        <v>31</v>
      </c>
      <c r="AD10" s="92"/>
    </row>
    <row r="11" spans="1:30" ht="35.1" hidden="1" customHeight="1" x14ac:dyDescent="0.25">
      <c r="A11" s="83">
        <v>44230</v>
      </c>
      <c r="B11" s="7" t="s">
        <v>10</v>
      </c>
      <c r="C11" s="8" t="s">
        <v>11</v>
      </c>
      <c r="D11" s="8" t="s">
        <v>341</v>
      </c>
      <c r="E11" s="61" t="s">
        <v>342</v>
      </c>
      <c r="F11" s="84" t="str">
        <f>IFERROR(VLOOKUP(CONCATENATE($B11,"_",F$3),materiali!$C:$K,5,0),"")</f>
        <v>997001502</v>
      </c>
      <c r="G11" s="85" t="str">
        <f>IFERROR(VLOOKUP(CONCATENATE($B11,"_",G$3),materiali!$C:$K,6,0),"")</f>
        <v>ISOCIANATO POLIETERE SH.70/90 TECNOTHANE MPT 109SG</v>
      </c>
      <c r="H11" s="90" t="s">
        <v>343</v>
      </c>
      <c r="I11" s="84" t="str">
        <f>IFERROR(VLOOKUP(CONCATENATE($B11,"_",I$3),materiali!$C:$K,5,0),"")</f>
        <v>997005228</v>
      </c>
      <c r="J11" s="85" t="str">
        <f>IFERROR(VLOOKUP(CONCATENATE($B11,"_",J$3),materiali!$C:$K,6,0),"")</f>
        <v>POLIOLO POLIETERE SH.70 TECNOTHANE RH 246  FORMATO 200 KG.</v>
      </c>
      <c r="K11" s="90" t="s">
        <v>344</v>
      </c>
      <c r="L11" s="84" t="str">
        <f>IFERROR(VLOOKUP(CONCATENATE($B11,"_",L$3),materiali!$C:$K,5,0),"")</f>
        <v/>
      </c>
      <c r="M11" s="85" t="str">
        <f>IFERROR(VLOOKUP(CONCATENATE($B11,"_",M$3),materiali!$C:$K,6,0),"")</f>
        <v/>
      </c>
      <c r="N11" s="90" t="s">
        <v>319</v>
      </c>
      <c r="O11" s="84" t="str">
        <f>IFERROR(VLOOKUP(CONCATENATE($B11,"_",O$3),materiali!$C:$K,5,0),"")</f>
        <v>040001013</v>
      </c>
      <c r="P11" s="85" t="str">
        <f>IFERROR(VLOOKUP(CONCATENATE($B11,"_",P$3),materiali!$C:$K,6,0),"")</f>
        <v>ACCELERANTE X POLIOLO POLIESTE RE (per macchine pur old)</v>
      </c>
      <c r="Q11" s="90" t="s">
        <v>320</v>
      </c>
      <c r="R11" s="84" t="str">
        <f>IFERROR(VLOOKUP(CONCATENATE($B11,"_",R$3),materiali!$C:$K,5,0),"")</f>
        <v>997001508</v>
      </c>
      <c r="S11" s="85" t="str">
        <f>IFERROR(VLOOKUP(CONCATENATE($B11,"_",S$3),materiali!$C:$K,6,0),"")</f>
        <v>COLORE GIALLO PER POLIOLO</v>
      </c>
      <c r="T11" s="90">
        <v>7240</v>
      </c>
      <c r="U11" s="31">
        <v>44230</v>
      </c>
      <c r="V11" s="59">
        <v>73</v>
      </c>
      <c r="W11" s="59">
        <v>10</v>
      </c>
      <c r="X11" s="234">
        <v>400</v>
      </c>
      <c r="Y11" s="59">
        <v>32</v>
      </c>
      <c r="Z11" s="59">
        <v>38</v>
      </c>
      <c r="AA11" s="59">
        <v>16</v>
      </c>
      <c r="AB11" s="91">
        <v>290000000</v>
      </c>
      <c r="AD11" s="92"/>
    </row>
    <row r="12" spans="1:30" ht="35.1" hidden="1" customHeight="1" x14ac:dyDescent="0.25">
      <c r="A12" s="83">
        <v>44230</v>
      </c>
      <c r="B12" s="7" t="s">
        <v>38</v>
      </c>
      <c r="C12" s="8" t="s">
        <v>39</v>
      </c>
      <c r="D12" s="8" t="s">
        <v>272</v>
      </c>
      <c r="E12" s="61" t="s">
        <v>345</v>
      </c>
      <c r="F12" s="84" t="str">
        <f>IFERROR(VLOOKUP(CONCATENATE($B12,"_",F$3),materiali!$C:$K,5,0),"")</f>
        <v>997001518</v>
      </c>
      <c r="G12" s="85" t="str">
        <f>IFERROR(VLOOKUP(CONCATENATE($B12,"_",G$3),materiali!$C:$K,6,0),"")</f>
        <v>PREPOLIMERO HTR 2011 (FUSTI DA 60 KG)</v>
      </c>
      <c r="H12" s="90" t="s">
        <v>346</v>
      </c>
      <c r="I12" s="84" t="str">
        <f>IFERROR(VLOOKUP(CONCATENATE($B12,"_",I$3),materiali!$C:$K,5,0),"")</f>
        <v>997001519</v>
      </c>
      <c r="J12" s="85" t="str">
        <f>IFERROR(VLOOKUP(CONCATENATE($B12,"_",J$3),materiali!$C:$K,6,0),"")</f>
        <v>RETICOLANTE TH 380 (FUSTI DA 20 KG.)</v>
      </c>
      <c r="K12" s="90" t="s">
        <v>347</v>
      </c>
      <c r="L12" s="84" t="str">
        <f>IFERROR(VLOOKUP(CONCATENATE($B12,"_",L$3),materiali!$C:$K,5,0),"")</f>
        <v/>
      </c>
      <c r="M12" s="85" t="str">
        <f>IFERROR(VLOOKUP(CONCATENATE($B12,"_",M$3),materiali!$C:$K,6,0),"")</f>
        <v/>
      </c>
      <c r="N12" s="90" t="s">
        <v>319</v>
      </c>
      <c r="O12" s="84" t="str">
        <f>IFERROR(VLOOKUP(CONCATENATE($B12,"_",O$3),materiali!$C:$K,5,0),"")</f>
        <v>040001013</v>
      </c>
      <c r="P12" s="85" t="str">
        <f>IFERROR(VLOOKUP(CONCATENATE($B12,"_",P$3),materiali!$C:$K,6,0),"")</f>
        <v>CATALIZZATORE TECNOKAT E, 10KG</v>
      </c>
      <c r="Q12" s="90"/>
      <c r="R12" s="84" t="str">
        <f>IFERROR(VLOOKUP(CONCATENATE($B12,"_",R$3),materiali!$C:$K,5,0),"")</f>
        <v/>
      </c>
      <c r="S12" s="85" t="str">
        <f>IFERROR(VLOOKUP(CONCATENATE($B12,"_",S$3),materiali!$C:$K,6,0),"")</f>
        <v/>
      </c>
      <c r="T12" s="90"/>
      <c r="U12" s="31">
        <v>44237</v>
      </c>
      <c r="V12" s="59">
        <v>85</v>
      </c>
      <c r="W12" s="59">
        <v>17</v>
      </c>
      <c r="X12" s="234">
        <v>300</v>
      </c>
      <c r="Y12" s="59">
        <v>49</v>
      </c>
      <c r="Z12" s="59">
        <v>53</v>
      </c>
      <c r="AA12" s="59">
        <v>134</v>
      </c>
      <c r="AD12" s="92"/>
    </row>
    <row r="13" spans="1:30" ht="35.1" hidden="1" customHeight="1" x14ac:dyDescent="0.25">
      <c r="A13" s="83">
        <v>44237</v>
      </c>
      <c r="B13" s="7" t="s">
        <v>20</v>
      </c>
      <c r="C13" s="8" t="s">
        <v>21</v>
      </c>
      <c r="D13" s="8" t="s">
        <v>315</v>
      </c>
      <c r="E13" s="61" t="s">
        <v>348</v>
      </c>
      <c r="F13" s="84" t="str">
        <f>IFERROR(VLOOKUP(CONCATENATE($B13,"_",F$3),materiali!$C:$K,5,0),"")</f>
        <v>997001513</v>
      </c>
      <c r="G13" s="85" t="str">
        <f>IFERROR(VLOOKUP(CONCATENATE($B13,"_",G$3),materiali!$C:$K,6,0),"")</f>
        <v>RESINA TECNOTHANE MPC2013SG</v>
      </c>
      <c r="H13" s="90" t="s">
        <v>349</v>
      </c>
      <c r="I13" s="84" t="str">
        <f>IFERROR(VLOOKUP(CONCATENATE($B13,"_",I$3),materiali!$C:$K,5,0),"")</f>
        <v>997001514</v>
      </c>
      <c r="J13" s="85" t="str">
        <f>IFERROR(VLOOKUP(CONCATENATE($B13,"_",J$3),materiali!$C:$K,6,0),"")</f>
        <v>RETICOLANTE TECNOTHANE RCH361</v>
      </c>
      <c r="K13" s="90" t="s">
        <v>350</v>
      </c>
      <c r="L13" s="84" t="str">
        <f>IFERROR(VLOOKUP(CONCATENATE($B13,"_",L$3),materiali!$C:$K,5,0),"")</f>
        <v/>
      </c>
      <c r="M13" s="85" t="str">
        <f>IFERROR(VLOOKUP(CONCATENATE($B13,"_",M$3),materiali!$C:$K,6,0),"")</f>
        <v/>
      </c>
      <c r="N13" s="90" t="s">
        <v>351</v>
      </c>
      <c r="O13" s="84" t="str">
        <f>IFERROR(VLOOKUP(CONCATENATE($B13,"_",O$3),materiali!$C:$K,5,0),"")</f>
        <v>040001013</v>
      </c>
      <c r="P13" s="85" t="str">
        <f>IFERROR(VLOOKUP(CONCATENATE($B13,"_",P$3),materiali!$C:$K,6,0),"")</f>
        <v>ACCELERANTE X POLIOLO POLIESTERE TECNOKAT  PURO NON DILUITO</v>
      </c>
      <c r="Q13" s="90" t="s">
        <v>320</v>
      </c>
      <c r="R13" s="84" t="str">
        <f>IFERROR(VLOOKUP(CONCATENATE($B13,"_",R$3),materiali!$C:$K,5,0),"")</f>
        <v>997001508</v>
      </c>
      <c r="S13" s="85" t="str">
        <f>IFERROR(VLOOKUP(CONCATENATE($B13,"_",S$3),materiali!$C:$K,6,0),"")</f>
        <v>COLORE GIALLO PER POLIOLO</v>
      </c>
      <c r="T13" s="90">
        <v>7988</v>
      </c>
      <c r="U13" s="31">
        <v>44302</v>
      </c>
      <c r="V13" s="59">
        <v>71</v>
      </c>
      <c r="W13" s="59">
        <v>27</v>
      </c>
      <c r="X13" s="235">
        <v>915</v>
      </c>
      <c r="Y13" s="59">
        <v>56</v>
      </c>
      <c r="Z13" s="59">
        <v>56</v>
      </c>
      <c r="AA13" s="59">
        <v>21</v>
      </c>
      <c r="AB13" s="91">
        <v>870000000</v>
      </c>
      <c r="AD13" s="92"/>
    </row>
    <row r="14" spans="1:30" ht="35.1" hidden="1" customHeight="1" x14ac:dyDescent="0.25">
      <c r="A14" s="83">
        <v>44237</v>
      </c>
      <c r="B14" s="7" t="s">
        <v>42</v>
      </c>
      <c r="C14" s="8" t="s">
        <v>43</v>
      </c>
      <c r="D14" s="8" t="s">
        <v>263</v>
      </c>
      <c r="E14" s="61" t="s">
        <v>352</v>
      </c>
      <c r="F14" s="84" t="str">
        <f>IFERROR(VLOOKUP(CONCATENATE($B14,"_",F$3),materiali!$C:$K,5,0),"")</f>
        <v>997005963</v>
      </c>
      <c r="G14" s="85" t="str">
        <f>IFERROR(VLOOKUP(CONCATENATE($B14,"_",G$3),materiali!$C:$K,6,0),"")</f>
        <v>MPC 2013F (FUSTI 50 KG)</v>
      </c>
      <c r="H14" s="90" t="s">
        <v>353</v>
      </c>
      <c r="I14" s="84" t="str">
        <f>IFERROR(VLOOKUP(CONCATENATE($B14,"_",I$3),materiali!$C:$K,5,0),"")</f>
        <v>997005965</v>
      </c>
      <c r="J14" s="85" t="str">
        <f>IFERROR(VLOOKUP(CONCATENATE($B14,"_",J$3),materiali!$C:$K,6,0),"")</f>
        <v>RCH 350F (FUSTI 25 KG)</v>
      </c>
      <c r="K14" s="90" t="s">
        <v>354</v>
      </c>
      <c r="L14" s="84" t="str">
        <f>IFERROR(VLOOKUP(CONCATENATE($B14,"_",L$3),materiali!$C:$K,5,0),"")</f>
        <v/>
      </c>
      <c r="M14" s="85" t="str">
        <f>IFERROR(VLOOKUP(CONCATENATE($B14,"_",M$3),materiali!$C:$K,6,0),"")</f>
        <v/>
      </c>
      <c r="N14" s="90" t="s">
        <v>338</v>
      </c>
      <c r="O14" s="84" t="str">
        <f>IFERROR(VLOOKUP(CONCATENATE($B14,"_",O$3),materiali!$C:$K,5,0),"")</f>
        <v>997006168</v>
      </c>
      <c r="P14" s="85" t="str">
        <f>IFERROR(VLOOKUP(CONCATENATE($B14,"_",P$3),materiali!$C:$K,6,0),"")</f>
        <v>CATALIZZATORE TECNOKAT T12-500</v>
      </c>
      <c r="Q14" s="93" t="s">
        <v>326</v>
      </c>
      <c r="R14" s="84" t="str">
        <f>IFERROR(VLOOKUP(CONCATENATE($B14,"_",R$3),materiali!$C:$K,5,0),"")</f>
        <v>997004318</v>
      </c>
      <c r="S14" s="85" t="str">
        <f>IFERROR(VLOOKUP(CONCATENATE($B14,"_",S$3),materiali!$C:$K,6,0),"")</f>
        <v>BIANCO REMAP 10080 FDA 178.3297 (COLORANTE FDA PER SISTEMI)</v>
      </c>
      <c r="T14" s="90"/>
      <c r="U14" s="31">
        <v>44300</v>
      </c>
      <c r="V14" s="59">
        <v>76</v>
      </c>
      <c r="W14" s="59">
        <v>30</v>
      </c>
      <c r="X14" s="183">
        <v>837</v>
      </c>
      <c r="Y14" s="59">
        <v>67</v>
      </c>
      <c r="Z14" s="59">
        <v>70</v>
      </c>
      <c r="AA14" s="59">
        <v>59</v>
      </c>
      <c r="AD14" s="92"/>
    </row>
    <row r="15" spans="1:30" ht="35.1" hidden="1" customHeight="1" x14ac:dyDescent="0.25">
      <c r="A15" s="83">
        <v>44237</v>
      </c>
      <c r="B15" s="7" t="s">
        <v>14</v>
      </c>
      <c r="C15" s="8" t="s">
        <v>15</v>
      </c>
      <c r="D15" s="8" t="s">
        <v>339</v>
      </c>
      <c r="E15" s="61" t="s">
        <v>355</v>
      </c>
      <c r="F15" s="84" t="str">
        <f>IFERROR(VLOOKUP(CONCATENATE($B15,"_",F$3),materiali!$C:$K,5,0),"")</f>
        <v>997001513</v>
      </c>
      <c r="G15" s="85" t="str">
        <f>IFERROR(VLOOKUP(CONCATENATE($B15,"_",G$3),materiali!$C:$K,6,0),"")</f>
        <v>RESINA TECNOTHANE MPC2013SG</v>
      </c>
      <c r="H15" s="90" t="s">
        <v>317</v>
      </c>
      <c r="I15" s="84" t="str">
        <f>IFERROR(VLOOKUP(CONCATENATE($B15,"_",I$3),materiali!$C:$K,5,0),"")</f>
        <v>997001515</v>
      </c>
      <c r="J15" s="85" t="str">
        <f>IFERROR(VLOOKUP(CONCATENATE($B15,"_",J$3),materiali!$C:$K,6,0),"")</f>
        <v>RETICOLANTE TECNOTHANE RCH160 (50 KG)</v>
      </c>
      <c r="K15" s="90" t="s">
        <v>356</v>
      </c>
      <c r="L15" s="84" t="str">
        <f>IFERROR(VLOOKUP(CONCATENATE($B15,"_",L$3),materiali!$C:$K,5,0),"")</f>
        <v/>
      </c>
      <c r="M15" s="85" t="str">
        <f>IFERROR(VLOOKUP(CONCATENATE($B15,"_",M$3),materiali!$C:$K,6,0),"")</f>
        <v/>
      </c>
      <c r="N15" s="90" t="s">
        <v>319</v>
      </c>
      <c r="O15" s="84" t="str">
        <f>IFERROR(VLOOKUP(CONCATENATE($B15,"_",O$3),materiali!$C:$K,5,0),"")</f>
        <v>040001013</v>
      </c>
      <c r="P15" s="85" t="str">
        <f>IFERROR(VLOOKUP(CONCATENATE($B15,"_",P$3),materiali!$C:$K,6,0),"")</f>
        <v>ACCELERANTE X POLIOLO POLIESTERE TECNOKAT  PURO NON DILUITO</v>
      </c>
      <c r="Q15" s="90" t="s">
        <v>320</v>
      </c>
      <c r="R15" s="84" t="str">
        <f>IFERROR(VLOOKUP(CONCATENATE($B15,"_",R$3),materiali!$C:$K,5,0),"")</f>
        <v>997001508</v>
      </c>
      <c r="S15" s="85" t="str">
        <f>IFERROR(VLOOKUP(CONCATENATE($B15,"_",S$3),materiali!$C:$K,6,0),"")</f>
        <v>COLORE GIALLO PER POLIOLO</v>
      </c>
      <c r="T15" s="90"/>
      <c r="U15" s="31">
        <v>44302</v>
      </c>
      <c r="V15" s="59">
        <v>92</v>
      </c>
      <c r="W15" s="59">
        <v>31</v>
      </c>
      <c r="X15" s="183">
        <v>773</v>
      </c>
      <c r="Y15" s="59">
        <v>83</v>
      </c>
      <c r="Z15" s="59">
        <v>102</v>
      </c>
      <c r="AA15" s="59">
        <v>25</v>
      </c>
      <c r="AD15" s="92"/>
    </row>
    <row r="16" spans="1:30" ht="35.1" hidden="1" customHeight="1" x14ac:dyDescent="0.25">
      <c r="A16" s="83">
        <v>44237</v>
      </c>
      <c r="B16" s="7" t="s">
        <v>321</v>
      </c>
      <c r="C16" s="8" t="s">
        <v>322</v>
      </c>
      <c r="D16" s="8" t="s">
        <v>247</v>
      </c>
      <c r="E16" s="61" t="s">
        <v>357</v>
      </c>
      <c r="F16" s="84" t="str">
        <f>IFERROR(VLOOKUP(CONCATENATE($B16,"_",F$3),materiali!$C:$K,5,0),"")</f>
        <v/>
      </c>
      <c r="G16" s="85" t="str">
        <f>IFERROR(VLOOKUP(CONCATENATE($B16,"_",G$3),materiali!$C:$K,6,0),"")</f>
        <v/>
      </c>
      <c r="H16" s="90" t="s">
        <v>358</v>
      </c>
      <c r="I16" s="84" t="str">
        <f>IFERROR(VLOOKUP(CONCATENATE($B16,"_",I$3),materiali!$C:$K,5,0),"")</f>
        <v/>
      </c>
      <c r="J16" s="85" t="str">
        <f>IFERROR(VLOOKUP(CONCATENATE($B16,"_",J$3),materiali!$C:$K,6,0),"")</f>
        <v/>
      </c>
      <c r="K16" s="90" t="s">
        <v>359</v>
      </c>
      <c r="L16" s="84" t="str">
        <f>IFERROR(VLOOKUP(CONCATENATE($B16,"_",L$3),materiali!$C:$K,5,0),"")</f>
        <v/>
      </c>
      <c r="M16" s="85" t="str">
        <f>IFERROR(VLOOKUP(CONCATENATE($B16,"_",M$3),materiali!$C:$K,6,0),"")</f>
        <v/>
      </c>
      <c r="N16" s="90"/>
      <c r="O16" s="84" t="str">
        <f>IFERROR(VLOOKUP(CONCATENATE($B16,"_",O$3),materiali!$C:$K,5,0),"")</f>
        <v/>
      </c>
      <c r="P16" s="85" t="str">
        <f>IFERROR(VLOOKUP(CONCATENATE($B16,"_",P$3),materiali!$C:$K,6,0),"")</f>
        <v/>
      </c>
      <c r="Q16" s="93" t="s">
        <v>326</v>
      </c>
      <c r="R16" s="84" t="str">
        <f>IFERROR(VLOOKUP(CONCATENATE($B16,"_",R$3),materiali!$C:$K,5,0),"")</f>
        <v/>
      </c>
      <c r="S16" s="85" t="str">
        <f>IFERROR(VLOOKUP(CONCATENATE($B16,"_",S$3),materiali!$C:$K,6,0),"")</f>
        <v/>
      </c>
      <c r="T16" s="90"/>
      <c r="U16" s="31">
        <v>44301</v>
      </c>
      <c r="V16" s="59">
        <v>75</v>
      </c>
      <c r="W16" s="59">
        <v>22</v>
      </c>
      <c r="X16" s="183">
        <v>721</v>
      </c>
      <c r="Y16" s="59">
        <v>47</v>
      </c>
      <c r="Z16" s="59">
        <v>57</v>
      </c>
      <c r="AA16" s="59">
        <v>69</v>
      </c>
      <c r="AD16" s="92"/>
    </row>
    <row r="17" spans="1:30" ht="35.1" hidden="1" customHeight="1" x14ac:dyDescent="0.25">
      <c r="A17" s="83">
        <v>44237</v>
      </c>
      <c r="B17" s="7" t="s">
        <v>28</v>
      </c>
      <c r="C17" s="8" t="s">
        <v>29</v>
      </c>
      <c r="D17" s="8" t="s">
        <v>327</v>
      </c>
      <c r="E17" s="61" t="s">
        <v>360</v>
      </c>
      <c r="F17" s="84" t="str">
        <f>IFERROR(VLOOKUP(CONCATENATE($B17,"_",F$3),materiali!$C:$K,5,0),"")</f>
        <v>997001513</v>
      </c>
      <c r="G17" s="85" t="str">
        <f>IFERROR(VLOOKUP(CONCATENATE($B17,"_",G$3),materiali!$C:$K,6,0),"")</f>
        <v>RESINA TECNOTHANE MPC2013SG</v>
      </c>
      <c r="H17" s="90" t="s">
        <v>349</v>
      </c>
      <c r="I17" s="84" t="str">
        <f>IFERROR(VLOOKUP(CONCATENATE($B17,"_",I$3),materiali!$C:$K,5,0),"")</f>
        <v>997001514</v>
      </c>
      <c r="J17" s="85" t="str">
        <f>IFERROR(VLOOKUP(CONCATENATE($B17,"_",J$3),materiali!$C:$K,6,0),"")</f>
        <v>RETICOLANTE TECNOTHANE RCH361</v>
      </c>
      <c r="K17" s="90" t="s">
        <v>361</v>
      </c>
      <c r="L17" s="84" t="str">
        <f>IFERROR(VLOOKUP(CONCATENATE($B17,"_",L$3),materiali!$C:$K,5,0),"")</f>
        <v/>
      </c>
      <c r="M17" s="85" t="str">
        <f>IFERROR(VLOOKUP(CONCATENATE($B17,"_",M$3),materiali!$C:$K,6,0),"")</f>
        <v/>
      </c>
      <c r="N17" s="90" t="s">
        <v>351</v>
      </c>
      <c r="O17" s="84" t="str">
        <f>IFERROR(VLOOKUP(CONCATENATE($B17,"_",O$3),materiali!$C:$K,5,0),"")</f>
        <v>040001013</v>
      </c>
      <c r="P17" s="85" t="str">
        <f>IFERROR(VLOOKUP(CONCATENATE($B17,"_",P$3),materiali!$C:$K,6,0),"")</f>
        <v>ACCELERANTE X POLIOLO POLIESTERE TECNOKAT  PURO NON DILUITO</v>
      </c>
      <c r="Q17" s="90" t="s">
        <v>320</v>
      </c>
      <c r="R17" s="84" t="str">
        <f>IFERROR(VLOOKUP(CONCATENATE($B17,"_",R$3),materiali!$C:$K,5,0),"")</f>
        <v>997001508</v>
      </c>
      <c r="S17" s="85" t="str">
        <f>IFERROR(VLOOKUP(CONCATENATE($B17,"_",S$3),materiali!$C:$K,6,0),"")</f>
        <v>COLORE GIALLO PER POLIOLO</v>
      </c>
      <c r="T17" s="90"/>
      <c r="U17" s="31">
        <v>44299</v>
      </c>
      <c r="V17" s="59">
        <v>75</v>
      </c>
      <c r="W17" s="59">
        <v>19</v>
      </c>
      <c r="X17" s="183">
        <v>648</v>
      </c>
      <c r="Y17" s="59">
        <v>45</v>
      </c>
      <c r="Z17" s="59">
        <v>54</v>
      </c>
      <c r="AA17" s="59">
        <v>20</v>
      </c>
      <c r="AD17" s="92"/>
    </row>
    <row r="18" spans="1:30" ht="35.1" hidden="1" customHeight="1" x14ac:dyDescent="0.25">
      <c r="A18" s="83">
        <v>44237</v>
      </c>
      <c r="B18" s="7" t="s">
        <v>10</v>
      </c>
      <c r="C18" s="8" t="s">
        <v>11</v>
      </c>
      <c r="D18" s="8" t="s">
        <v>341</v>
      </c>
      <c r="E18" s="61" t="s">
        <v>362</v>
      </c>
      <c r="F18" s="84" t="str">
        <f>IFERROR(VLOOKUP(CONCATENATE($B18,"_",F$3),materiali!$C:$K,5,0),"")</f>
        <v>997001502</v>
      </c>
      <c r="G18" s="85" t="str">
        <f>IFERROR(VLOOKUP(CONCATENATE($B18,"_",G$3),materiali!$C:$K,6,0),"")</f>
        <v>ISOCIANATO POLIETERE SH.70/90 TECNOTHANE MPT 109SG</v>
      </c>
      <c r="H18" s="90" t="s">
        <v>363</v>
      </c>
      <c r="I18" s="84" t="str">
        <f>IFERROR(VLOOKUP(CONCATENATE($B18,"_",I$3),materiali!$C:$K,5,0),"")</f>
        <v>997005228</v>
      </c>
      <c r="J18" s="85" t="str">
        <f>IFERROR(VLOOKUP(CONCATENATE($B18,"_",J$3),materiali!$C:$K,6,0),"")</f>
        <v>POLIOLO POLIETERE SH.70 TECNOTHANE RH 246  FORMATO 200 KG.</v>
      </c>
      <c r="K18" s="90" t="s">
        <v>344</v>
      </c>
      <c r="L18" s="84" t="str">
        <f>IFERROR(VLOOKUP(CONCATENATE($B18,"_",L$3),materiali!$C:$K,5,0),"")</f>
        <v/>
      </c>
      <c r="M18" s="85" t="str">
        <f>IFERROR(VLOOKUP(CONCATENATE($B18,"_",M$3),materiali!$C:$K,6,0),"")</f>
        <v/>
      </c>
      <c r="N18" s="90" t="s">
        <v>364</v>
      </c>
      <c r="O18" s="84" t="str">
        <f>IFERROR(VLOOKUP(CONCATENATE($B18,"_",O$3),materiali!$C:$K,5,0),"")</f>
        <v>040001013</v>
      </c>
      <c r="P18" s="85" t="str">
        <f>IFERROR(VLOOKUP(CONCATENATE($B18,"_",P$3),materiali!$C:$K,6,0),"")</f>
        <v>ACCELERANTE X POLIOLO POLIESTE RE (per macchine pur old)</v>
      </c>
      <c r="Q18" s="90" t="s">
        <v>320</v>
      </c>
      <c r="R18" s="84" t="str">
        <f>IFERROR(VLOOKUP(CONCATENATE($B18,"_",R$3),materiali!$C:$K,5,0),"")</f>
        <v>997001508</v>
      </c>
      <c r="S18" s="85" t="str">
        <f>IFERROR(VLOOKUP(CONCATENATE($B18,"_",S$3),materiali!$C:$K,6,0),"")</f>
        <v>COLORE GIALLO PER POLIOLO</v>
      </c>
      <c r="T18" s="90">
        <v>7988</v>
      </c>
      <c r="U18" s="31">
        <v>44302</v>
      </c>
      <c r="V18" s="59">
        <v>77</v>
      </c>
      <c r="W18" s="59">
        <v>12</v>
      </c>
      <c r="X18" s="183">
        <v>572</v>
      </c>
      <c r="Y18" s="59">
        <v>38</v>
      </c>
      <c r="Z18" s="59">
        <v>46</v>
      </c>
      <c r="AA18" s="59">
        <v>22</v>
      </c>
      <c r="AB18" s="91">
        <v>900000000</v>
      </c>
      <c r="AD18" s="92"/>
    </row>
    <row r="19" spans="1:30" ht="35.1" hidden="1" customHeight="1" x14ac:dyDescent="0.25">
      <c r="A19" s="83">
        <v>44237</v>
      </c>
      <c r="B19" s="7" t="s">
        <v>35</v>
      </c>
      <c r="C19" s="8" t="s">
        <v>36</v>
      </c>
      <c r="D19" s="8" t="s">
        <v>267</v>
      </c>
      <c r="E19" s="61" t="s">
        <v>352</v>
      </c>
      <c r="F19" s="84" t="str">
        <f>IFERROR(VLOOKUP(CONCATENATE($B19,"_",F$3),materiali!$C:$K,5,0),"")</f>
        <v>997001502</v>
      </c>
      <c r="G19" s="85" t="str">
        <f>IFERROR(VLOOKUP(CONCATENATE($B19,"_",G$3),materiali!$C:$K,6,0),"")</f>
        <v>ISOCIANATO POLIETERE SH.70/90 TECNOTHANE MPT 109SG</v>
      </c>
      <c r="H19" s="90" t="s">
        <v>365</v>
      </c>
      <c r="I19" s="84" t="str">
        <f>IFERROR(VLOOKUP(CONCATENATE($B19,"_",I$3),materiali!$C:$K,5,0),"")</f>
        <v>997001503</v>
      </c>
      <c r="J19" s="85" t="str">
        <f>IFERROR(VLOOKUP(CONCATENATE($B19,"_",J$3),materiali!$C:$K,6,0),"")</f>
        <v>POLIOLO POLIETERE SH.70 TECNOTHANE RH 275</v>
      </c>
      <c r="K19" s="90" t="s">
        <v>366</v>
      </c>
      <c r="L19" s="84" t="str">
        <f>IFERROR(VLOOKUP(CONCATENATE($B19,"_",L$3),materiali!$C:$K,5,0),"")</f>
        <v/>
      </c>
      <c r="M19" s="85" t="str">
        <f>IFERROR(VLOOKUP(CONCATENATE($B19,"_",M$3),materiali!$C:$K,6,0),"")</f>
        <v/>
      </c>
      <c r="N19" s="90" t="s">
        <v>319</v>
      </c>
      <c r="O19" s="84" t="str">
        <f>IFERROR(VLOOKUP(CONCATENATE($B19,"_",O$3),materiali!$C:$K,5,0),"")</f>
        <v>040001013</v>
      </c>
      <c r="P19" s="85" t="str">
        <f>IFERROR(VLOOKUP(CONCATENATE($B19,"_",P$3),materiali!$C:$K,6,0),"")</f>
        <v>CATALIZZATORE TECNOKAT E, 10KG</v>
      </c>
      <c r="Q19" s="90">
        <v>7988</v>
      </c>
      <c r="R19" s="84" t="str">
        <f>IFERROR(VLOOKUP(CONCATENATE($B19,"_",R$3),materiali!$C:$K,5,0),"")</f>
        <v>040001014</v>
      </c>
      <c r="S19" s="85" t="str">
        <f>IFERROR(VLOOKUP(CONCATENATE($B19,"_",S$3),materiali!$C:$K,6,0),"")</f>
        <v>ADDITTIVO ANTISTAT.PER POLIOLO POLIEST.CATAFOR PU</v>
      </c>
      <c r="T19" s="90"/>
      <c r="U19" s="31">
        <v>44301</v>
      </c>
      <c r="V19" s="59">
        <v>74</v>
      </c>
      <c r="W19" s="59">
        <v>9</v>
      </c>
      <c r="X19" s="183">
        <v>445</v>
      </c>
      <c r="Y19" s="59">
        <v>31</v>
      </c>
      <c r="Z19" s="59">
        <v>43</v>
      </c>
      <c r="AA19" s="59">
        <v>20</v>
      </c>
      <c r="AB19" s="91">
        <v>450000000</v>
      </c>
      <c r="AD19" s="92"/>
    </row>
    <row r="20" spans="1:30" ht="35.1" hidden="1" customHeight="1" x14ac:dyDescent="0.25">
      <c r="A20" s="83">
        <v>44237</v>
      </c>
      <c r="B20" s="7" t="s">
        <v>38</v>
      </c>
      <c r="C20" s="8" t="s">
        <v>39</v>
      </c>
      <c r="D20" s="8" t="s">
        <v>272</v>
      </c>
      <c r="E20" s="61" t="s">
        <v>367</v>
      </c>
      <c r="F20" s="84" t="str">
        <f>IFERROR(VLOOKUP(CONCATENATE($B20,"_",F$3),materiali!$C:$K,5,0),"")</f>
        <v>997001518</v>
      </c>
      <c r="G20" s="85" t="str">
        <f>IFERROR(VLOOKUP(CONCATENATE($B20,"_",G$3),materiali!$C:$K,6,0),"")</f>
        <v>PREPOLIMERO HTR 2011 (FUSTI DA 60 KG)</v>
      </c>
      <c r="H20" s="90" t="s">
        <v>346</v>
      </c>
      <c r="I20" s="84" t="str">
        <f>IFERROR(VLOOKUP(CONCATENATE($B20,"_",I$3),materiali!$C:$K,5,0),"")</f>
        <v>997001519</v>
      </c>
      <c r="J20" s="85" t="str">
        <f>IFERROR(VLOOKUP(CONCATENATE($B20,"_",J$3),materiali!$C:$K,6,0),"")</f>
        <v>RETICOLANTE TH 380 (FUSTI DA 20 KG.)</v>
      </c>
      <c r="K20" s="90" t="s">
        <v>347</v>
      </c>
      <c r="L20" s="84" t="str">
        <f>IFERROR(VLOOKUP(CONCATENATE($B20,"_",L$3),materiali!$C:$K,5,0),"")</f>
        <v/>
      </c>
      <c r="M20" s="85" t="str">
        <f>IFERROR(VLOOKUP(CONCATENATE($B20,"_",M$3),materiali!$C:$K,6,0),"")</f>
        <v/>
      </c>
      <c r="N20" s="90" t="s">
        <v>319</v>
      </c>
      <c r="O20" s="84" t="str">
        <f>IFERROR(VLOOKUP(CONCATENATE($B20,"_",O$3),materiali!$C:$K,5,0),"")</f>
        <v>040001013</v>
      </c>
      <c r="P20" s="85" t="str">
        <f>IFERROR(VLOOKUP(CONCATENATE($B20,"_",P$3),materiali!$C:$K,6,0),"")</f>
        <v>CATALIZZATORE TECNOKAT E, 10KG</v>
      </c>
      <c r="Q20" s="90"/>
      <c r="R20" s="84" t="str">
        <f>IFERROR(VLOOKUP(CONCATENATE($B20,"_",R$3),materiali!$C:$K,5,0),"")</f>
        <v/>
      </c>
      <c r="S20" s="85" t="str">
        <f>IFERROR(VLOOKUP(CONCATENATE($B20,"_",S$3),materiali!$C:$K,6,0),"")</f>
        <v/>
      </c>
      <c r="T20" s="90"/>
      <c r="U20" s="31">
        <v>44299</v>
      </c>
      <c r="V20" s="59">
        <v>85</v>
      </c>
      <c r="W20" s="59">
        <v>14</v>
      </c>
      <c r="X20" s="183">
        <v>286</v>
      </c>
      <c r="Y20" s="59">
        <v>48</v>
      </c>
      <c r="Z20" s="59">
        <v>41</v>
      </c>
      <c r="AA20" s="59">
        <v>107</v>
      </c>
      <c r="AD20" s="92"/>
    </row>
    <row r="21" spans="1:30" ht="35.1" hidden="1" customHeight="1" x14ac:dyDescent="0.25">
      <c r="A21" s="83">
        <v>44287</v>
      </c>
      <c r="B21" s="7" t="s">
        <v>20</v>
      </c>
      <c r="C21" s="8" t="s">
        <v>21</v>
      </c>
      <c r="D21" s="8" t="s">
        <v>315</v>
      </c>
      <c r="E21" s="61" t="s">
        <v>368</v>
      </c>
      <c r="F21" s="84" t="str">
        <f>IFERROR(VLOOKUP(CONCATENATE($B21,"_",F$3),materiali!$C:$K,5,0),"")</f>
        <v>997001513</v>
      </c>
      <c r="G21" s="85" t="str">
        <f>IFERROR(VLOOKUP(CONCATENATE($B21,"_",G$3),materiali!$C:$K,6,0),"")</f>
        <v>RESINA TECNOTHANE MPC2013SG</v>
      </c>
      <c r="H21" s="90" t="s">
        <v>369</v>
      </c>
      <c r="I21" s="84" t="str">
        <f>IFERROR(VLOOKUP(CONCATENATE($B21,"_",I$3),materiali!$C:$K,5,0),"")</f>
        <v>997001514</v>
      </c>
      <c r="J21" s="85" t="str">
        <f>IFERROR(VLOOKUP(CONCATENATE($B21,"_",J$3),materiali!$C:$K,6,0),"")</f>
        <v>RETICOLANTE TECNOTHANE RCH361</v>
      </c>
      <c r="K21" s="90" t="s">
        <v>370</v>
      </c>
      <c r="L21" s="84" t="str">
        <f>IFERROR(VLOOKUP(CONCATENATE($B21,"_",L$3),materiali!$C:$K,5,0),"")</f>
        <v/>
      </c>
      <c r="M21" s="85" t="str">
        <f>IFERROR(VLOOKUP(CONCATENATE($B21,"_",M$3),materiali!$C:$K,6,0),"")</f>
        <v/>
      </c>
      <c r="N21" s="90" t="s">
        <v>371</v>
      </c>
      <c r="O21" s="84" t="str">
        <f>IFERROR(VLOOKUP(CONCATENATE($B21,"_",O$3),materiali!$C:$K,5,0),"")</f>
        <v>040001013</v>
      </c>
      <c r="P21" s="85" t="str">
        <f>IFERROR(VLOOKUP(CONCATENATE($B21,"_",P$3),materiali!$C:$K,6,0),"")</f>
        <v>ACCELERANTE X POLIOLO POLIESTERE TECNOKAT  PURO NON DILUITO</v>
      </c>
      <c r="Q21" s="90" t="s">
        <v>320</v>
      </c>
      <c r="R21" s="84" t="str">
        <f>IFERROR(VLOOKUP(CONCATENATE($B21,"_",R$3),materiali!$C:$K,5,0),"")</f>
        <v>997001508</v>
      </c>
      <c r="S21" s="85" t="str">
        <f>IFERROR(VLOOKUP(CONCATENATE($B21,"_",S$3),materiali!$C:$K,6,0),"")</f>
        <v>COLORE GIALLO PER POLIOLO</v>
      </c>
      <c r="T21" s="90">
        <v>7988</v>
      </c>
      <c r="U21" s="164">
        <v>44358</v>
      </c>
      <c r="V21" s="59">
        <v>73</v>
      </c>
      <c r="W21" s="59">
        <v>27</v>
      </c>
      <c r="X21" s="235">
        <v>1016</v>
      </c>
      <c r="Y21" s="59">
        <v>59</v>
      </c>
      <c r="Z21" s="59">
        <v>57</v>
      </c>
      <c r="AA21" s="59">
        <v>12</v>
      </c>
      <c r="AB21" s="91">
        <v>760000000</v>
      </c>
      <c r="AD21" s="95"/>
    </row>
    <row r="22" spans="1:30" ht="35.1" hidden="1" customHeight="1" x14ac:dyDescent="0.25">
      <c r="A22" s="83">
        <v>44287</v>
      </c>
      <c r="B22" s="7" t="s">
        <v>14</v>
      </c>
      <c r="C22" s="8" t="s">
        <v>15</v>
      </c>
      <c r="D22" s="8" t="s">
        <v>339</v>
      </c>
      <c r="E22" s="61" t="s">
        <v>372</v>
      </c>
      <c r="F22" s="84" t="str">
        <f>IFERROR(VLOOKUP(CONCATENATE($B22,"_",F$3),materiali!$C:$K,5,0),"")</f>
        <v>997001513</v>
      </c>
      <c r="G22" s="85" t="str">
        <f>IFERROR(VLOOKUP(CONCATENATE($B22,"_",G$3),materiali!$C:$K,6,0),"")</f>
        <v>RESINA TECNOTHANE MPC2013SG</v>
      </c>
      <c r="H22" s="90" t="s">
        <v>369</v>
      </c>
      <c r="I22" s="84" t="str">
        <f>IFERROR(VLOOKUP(CONCATENATE($B22,"_",I$3),materiali!$C:$K,5,0),"")</f>
        <v>997001515</v>
      </c>
      <c r="J22" s="85" t="str">
        <f>IFERROR(VLOOKUP(CONCATENATE($B22,"_",J$3),materiali!$C:$K,6,0),"")</f>
        <v>RETICOLANTE TECNOTHANE RCH160 (50 KG)</v>
      </c>
      <c r="K22" s="90" t="s">
        <v>373</v>
      </c>
      <c r="L22" s="84" t="str">
        <f>IFERROR(VLOOKUP(CONCATENATE($B22,"_",L$3),materiali!$C:$K,5,0),"")</f>
        <v/>
      </c>
      <c r="M22" s="85" t="str">
        <f>IFERROR(VLOOKUP(CONCATENATE($B22,"_",M$3),materiali!$C:$K,6,0),"")</f>
        <v/>
      </c>
      <c r="N22" s="90" t="s">
        <v>374</v>
      </c>
      <c r="O22" s="84" t="str">
        <f>IFERROR(VLOOKUP(CONCATENATE($B22,"_",O$3),materiali!$C:$K,5,0),"")</f>
        <v>040001013</v>
      </c>
      <c r="P22" s="85" t="str">
        <f>IFERROR(VLOOKUP(CONCATENATE($B22,"_",P$3),materiali!$C:$K,6,0),"")</f>
        <v>ACCELERANTE X POLIOLO POLIESTERE TECNOKAT  PURO NON DILUITO</v>
      </c>
      <c r="Q22" s="90" t="s">
        <v>320</v>
      </c>
      <c r="R22" s="84" t="str">
        <f>IFERROR(VLOOKUP(CONCATENATE($B22,"_",R$3),materiali!$C:$K,5,0),"")</f>
        <v>997001508</v>
      </c>
      <c r="S22" s="85" t="str">
        <f>IFERROR(VLOOKUP(CONCATENATE($B22,"_",S$3),materiali!$C:$K,6,0),"")</f>
        <v>COLORE GIALLO PER POLIOLO</v>
      </c>
      <c r="T22" s="90"/>
      <c r="U22" s="164">
        <v>44358</v>
      </c>
      <c r="V22" s="59">
        <v>91</v>
      </c>
      <c r="W22" s="59">
        <v>27</v>
      </c>
      <c r="X22" s="183">
        <v>784</v>
      </c>
      <c r="Y22" s="59">
        <v>77</v>
      </c>
      <c r="Z22" s="59">
        <v>97</v>
      </c>
      <c r="AA22" s="59">
        <v>27</v>
      </c>
      <c r="AD22" s="92"/>
    </row>
    <row r="23" spans="1:30" ht="35.1" hidden="1" customHeight="1" x14ac:dyDescent="0.25">
      <c r="A23" s="83">
        <v>44287</v>
      </c>
      <c r="B23" s="7" t="s">
        <v>42</v>
      </c>
      <c r="C23" s="8" t="s">
        <v>334</v>
      </c>
      <c r="D23" s="8" t="s">
        <v>263</v>
      </c>
      <c r="E23" s="61" t="s">
        <v>375</v>
      </c>
      <c r="F23" s="84" t="str">
        <f>IFERROR(VLOOKUP(CONCATENATE($B23,"_",F$3),materiali!$C:$K,5,0),"")</f>
        <v>997005963</v>
      </c>
      <c r="G23" s="85" t="str">
        <f>IFERROR(VLOOKUP(CONCATENATE($B23,"_",G$3),materiali!$C:$K,6,0),"")</f>
        <v>MPC 2013F (FUSTI 50 KG)</v>
      </c>
      <c r="H23" s="90" t="s">
        <v>353</v>
      </c>
      <c r="I23" s="84" t="str">
        <f>IFERROR(VLOOKUP(CONCATENATE($B23,"_",I$3),materiali!$C:$K,5,0),"")</f>
        <v>997005965</v>
      </c>
      <c r="J23" s="85" t="str">
        <f>IFERROR(VLOOKUP(CONCATENATE($B23,"_",J$3),materiali!$C:$K,6,0),"")</f>
        <v>RCH 350F (FUSTI 25 KG)</v>
      </c>
      <c r="K23" s="90" t="s">
        <v>354</v>
      </c>
      <c r="L23" s="84" t="str">
        <f>IFERROR(VLOOKUP(CONCATENATE($B23,"_",L$3),materiali!$C:$K,5,0),"")</f>
        <v/>
      </c>
      <c r="M23" s="85" t="str">
        <f>IFERROR(VLOOKUP(CONCATENATE($B23,"_",M$3),materiali!$C:$K,6,0),"")</f>
        <v/>
      </c>
      <c r="N23" s="90" t="s">
        <v>338</v>
      </c>
      <c r="O23" s="84" t="str">
        <f>IFERROR(VLOOKUP(CONCATENATE($B23,"_",O$3),materiali!$C:$K,5,0),"")</f>
        <v>997006168</v>
      </c>
      <c r="P23" s="85" t="str">
        <f>IFERROR(VLOOKUP(CONCATENATE($B23,"_",P$3),materiali!$C:$K,6,0),"")</f>
        <v>CATALIZZATORE TECNOKAT T12-500</v>
      </c>
      <c r="Q23" s="93" t="s">
        <v>326</v>
      </c>
      <c r="R23" s="84" t="str">
        <f>IFERROR(VLOOKUP(CONCATENATE($B23,"_",R$3),materiali!$C:$K,5,0),"")</f>
        <v>997004318</v>
      </c>
      <c r="S23" s="85" t="str">
        <f>IFERROR(VLOOKUP(CONCATENATE($B23,"_",S$3),materiali!$C:$K,6,0),"")</f>
        <v>BIANCO REMAP 10080 FDA 178.3297 (COLORANTE FDA PER SISTEMI)</v>
      </c>
      <c r="T23" s="90"/>
      <c r="U23" s="164">
        <v>44358</v>
      </c>
      <c r="V23" s="59">
        <v>75</v>
      </c>
      <c r="W23" s="59">
        <v>20</v>
      </c>
      <c r="X23" s="183">
        <v>778</v>
      </c>
      <c r="Y23" s="59">
        <v>52</v>
      </c>
      <c r="Z23" s="59">
        <v>55</v>
      </c>
      <c r="AA23" s="59">
        <v>45</v>
      </c>
      <c r="AD23" s="92"/>
    </row>
    <row r="24" spans="1:30" ht="35.1" hidden="1" customHeight="1" x14ac:dyDescent="0.25">
      <c r="A24" s="83">
        <v>44287</v>
      </c>
      <c r="B24" s="7" t="s">
        <v>28</v>
      </c>
      <c r="C24" s="8" t="s">
        <v>29</v>
      </c>
      <c r="D24" s="8" t="s">
        <v>327</v>
      </c>
      <c r="E24" s="61" t="s">
        <v>368</v>
      </c>
      <c r="F24" s="84" t="str">
        <f>IFERROR(VLOOKUP(CONCATENATE($B24,"_",F$3),materiali!$C:$K,5,0),"")</f>
        <v>997001513</v>
      </c>
      <c r="G24" s="85" t="str">
        <f>IFERROR(VLOOKUP(CONCATENATE($B24,"_",G$3),materiali!$C:$K,6,0),"")</f>
        <v>RESINA TECNOTHANE MPC2013SG</v>
      </c>
      <c r="H24" s="90" t="s">
        <v>369</v>
      </c>
      <c r="I24" s="84" t="str">
        <f>IFERROR(VLOOKUP(CONCATENATE($B24,"_",I$3),materiali!$C:$K,5,0),"")</f>
        <v>997001514</v>
      </c>
      <c r="J24" s="85" t="str">
        <f>IFERROR(VLOOKUP(CONCATENATE($B24,"_",J$3),materiali!$C:$K,6,0),"")</f>
        <v>RETICOLANTE TECNOTHANE RCH361</v>
      </c>
      <c r="K24" s="90" t="s">
        <v>376</v>
      </c>
      <c r="L24" s="84" t="str">
        <f>IFERROR(VLOOKUP(CONCATENATE($B24,"_",L$3),materiali!$C:$K,5,0),"")</f>
        <v/>
      </c>
      <c r="M24" s="85" t="str">
        <f>IFERROR(VLOOKUP(CONCATENATE($B24,"_",M$3),materiali!$C:$K,6,0),"")</f>
        <v/>
      </c>
      <c r="N24" s="90" t="s">
        <v>351</v>
      </c>
      <c r="O24" s="84" t="str">
        <f>IFERROR(VLOOKUP(CONCATENATE($B24,"_",O$3),materiali!$C:$K,5,0),"")</f>
        <v>040001013</v>
      </c>
      <c r="P24" s="85" t="str">
        <f>IFERROR(VLOOKUP(CONCATENATE($B24,"_",P$3),materiali!$C:$K,6,0),"")</f>
        <v>ACCELERANTE X POLIOLO POLIESTERE TECNOKAT  PURO NON DILUITO</v>
      </c>
      <c r="Q24" s="90" t="s">
        <v>320</v>
      </c>
      <c r="R24" s="84" t="str">
        <f>IFERROR(VLOOKUP(CONCATENATE($B24,"_",R$3),materiali!$C:$K,5,0),"")</f>
        <v>997001508</v>
      </c>
      <c r="S24" s="85" t="str">
        <f>IFERROR(VLOOKUP(CONCATENATE($B24,"_",S$3),materiali!$C:$K,6,0),"")</f>
        <v>COLORE GIALLO PER POLIOLO</v>
      </c>
      <c r="T24" s="90"/>
      <c r="U24" s="164">
        <v>44358</v>
      </c>
      <c r="V24" s="59">
        <v>75</v>
      </c>
      <c r="W24" s="59">
        <v>15</v>
      </c>
      <c r="X24" s="183">
        <v>669</v>
      </c>
      <c r="Y24" s="59">
        <v>45</v>
      </c>
      <c r="Z24" s="59">
        <v>54</v>
      </c>
      <c r="AA24" s="59">
        <v>15</v>
      </c>
      <c r="AD24" s="92"/>
    </row>
    <row r="25" spans="1:30" ht="35.1" hidden="1" customHeight="1" x14ac:dyDescent="0.25">
      <c r="A25" s="83">
        <v>44287</v>
      </c>
      <c r="B25" s="7" t="s">
        <v>10</v>
      </c>
      <c r="C25" s="8" t="s">
        <v>11</v>
      </c>
      <c r="D25" s="8" t="s">
        <v>341</v>
      </c>
      <c r="E25" s="61" t="s">
        <v>372</v>
      </c>
      <c r="F25" s="84" t="str">
        <f>IFERROR(VLOOKUP(CONCATENATE($B25,"_",F$3),materiali!$C:$K,5,0),"")</f>
        <v>997001502</v>
      </c>
      <c r="G25" s="85" t="str">
        <f>IFERROR(VLOOKUP(CONCATENATE($B25,"_",G$3),materiali!$C:$K,6,0),"")</f>
        <v>ISOCIANATO POLIETERE SH.70/90 TECNOTHANE MPT 109SG</v>
      </c>
      <c r="H25" s="90" t="s">
        <v>377</v>
      </c>
      <c r="I25" s="84" t="str">
        <f>IFERROR(VLOOKUP(CONCATENATE($B25,"_",I$3),materiali!$C:$K,5,0),"")</f>
        <v>997005228</v>
      </c>
      <c r="J25" s="85" t="str">
        <f>IFERROR(VLOOKUP(CONCATENATE($B25,"_",J$3),materiali!$C:$K,6,0),"")</f>
        <v>POLIOLO POLIETERE SH.70 TECNOTHANE RH 246  FORMATO 200 KG.</v>
      </c>
      <c r="K25" s="90" t="s">
        <v>378</v>
      </c>
      <c r="L25" s="84" t="str">
        <f>IFERROR(VLOOKUP(CONCATENATE($B25,"_",L$3),materiali!$C:$K,5,0),"")</f>
        <v/>
      </c>
      <c r="M25" s="85" t="str">
        <f>IFERROR(VLOOKUP(CONCATENATE($B25,"_",M$3),materiali!$C:$K,6,0),"")</f>
        <v/>
      </c>
      <c r="N25" s="90" t="s">
        <v>379</v>
      </c>
      <c r="O25" s="84" t="str">
        <f>IFERROR(VLOOKUP(CONCATENATE($B25,"_",O$3),materiali!$C:$K,5,0),"")</f>
        <v>040001013</v>
      </c>
      <c r="P25" s="85" t="str">
        <f>IFERROR(VLOOKUP(CONCATENATE($B25,"_",P$3),materiali!$C:$K,6,0),"")</f>
        <v>ACCELERANTE X POLIOLO POLIESTE RE (per macchine pur old)</v>
      </c>
      <c r="Q25" s="90" t="s">
        <v>320</v>
      </c>
      <c r="R25" s="84" t="str">
        <f>IFERROR(VLOOKUP(CONCATENATE($B25,"_",R$3),materiali!$C:$K,5,0),"")</f>
        <v>997001508</v>
      </c>
      <c r="S25" s="85" t="str">
        <f>IFERROR(VLOOKUP(CONCATENATE($B25,"_",S$3),materiali!$C:$K,6,0),"")</f>
        <v>COLORE GIALLO PER POLIOLO</v>
      </c>
      <c r="T25" s="90">
        <v>7988</v>
      </c>
      <c r="U25" s="164">
        <v>44358</v>
      </c>
      <c r="V25" s="59">
        <v>75</v>
      </c>
      <c r="W25" s="59">
        <v>12</v>
      </c>
      <c r="X25" s="183">
        <v>571</v>
      </c>
      <c r="Y25" s="59">
        <v>31</v>
      </c>
      <c r="Z25" s="59">
        <v>43</v>
      </c>
      <c r="AA25" s="59">
        <v>16</v>
      </c>
      <c r="AB25" s="91">
        <v>920000000</v>
      </c>
      <c r="AD25" s="95"/>
    </row>
    <row r="26" spans="1:30" ht="35.1" hidden="1" customHeight="1" x14ac:dyDescent="0.25">
      <c r="A26" s="83">
        <v>44287</v>
      </c>
      <c r="B26" s="7" t="s">
        <v>35</v>
      </c>
      <c r="C26" s="8" t="s">
        <v>36</v>
      </c>
      <c r="D26" s="8" t="s">
        <v>267</v>
      </c>
      <c r="E26" s="61" t="s">
        <v>380</v>
      </c>
      <c r="F26" s="84" t="str">
        <f>IFERROR(VLOOKUP(CONCATENATE($B26,"_",F$3),materiali!$C:$K,5,0),"")</f>
        <v>997001502</v>
      </c>
      <c r="G26" s="85" t="str">
        <f>IFERROR(VLOOKUP(CONCATENATE($B26,"_",G$3),materiali!$C:$K,6,0),"")</f>
        <v>ISOCIANATO POLIETERE SH.70/90 TECNOTHANE MPT 109SG</v>
      </c>
      <c r="H26" s="90" t="s">
        <v>377</v>
      </c>
      <c r="I26" s="84" t="str">
        <f>IFERROR(VLOOKUP(CONCATENATE($B26,"_",I$3),materiali!$C:$K,5,0),"")</f>
        <v>997001503</v>
      </c>
      <c r="J26" s="85" t="str">
        <f>IFERROR(VLOOKUP(CONCATENATE($B26,"_",J$3),materiali!$C:$K,6,0),"")</f>
        <v>POLIOLO POLIETERE SH.70 TECNOTHANE RH 275</v>
      </c>
      <c r="K26" s="90" t="s">
        <v>381</v>
      </c>
      <c r="L26" s="84" t="str">
        <f>IFERROR(VLOOKUP(CONCATENATE($B26,"_",L$3),materiali!$C:$K,5,0),"")</f>
        <v/>
      </c>
      <c r="M26" s="85" t="str">
        <f>IFERROR(VLOOKUP(CONCATENATE($B26,"_",M$3),materiali!$C:$K,6,0),"")</f>
        <v/>
      </c>
      <c r="N26" s="90" t="s">
        <v>351</v>
      </c>
      <c r="O26" s="84" t="str">
        <f>IFERROR(VLOOKUP(CONCATENATE($B26,"_",O$3),materiali!$C:$K,5,0),"")</f>
        <v>040001013</v>
      </c>
      <c r="P26" s="85" t="str">
        <f>IFERROR(VLOOKUP(CONCATENATE($B26,"_",P$3),materiali!$C:$K,6,0),"")</f>
        <v>CATALIZZATORE TECNOKAT E, 10KG</v>
      </c>
      <c r="Q26" s="90">
        <v>7988</v>
      </c>
      <c r="R26" s="84" t="str">
        <f>IFERROR(VLOOKUP(CONCATENATE($B26,"_",R$3),materiali!$C:$K,5,0),"")</f>
        <v>040001014</v>
      </c>
      <c r="S26" s="85" t="str">
        <f>IFERROR(VLOOKUP(CONCATENATE($B26,"_",S$3),materiali!$C:$K,6,0),"")</f>
        <v>ADDITTIVO ANTISTAT.PER POLIOLO POLIEST.CATAFOR PU</v>
      </c>
      <c r="T26" s="90"/>
      <c r="U26" s="164">
        <v>44358</v>
      </c>
      <c r="V26" s="59">
        <v>75</v>
      </c>
      <c r="W26" s="59">
        <v>9</v>
      </c>
      <c r="X26" s="183">
        <v>503</v>
      </c>
      <c r="Y26" s="59">
        <v>34</v>
      </c>
      <c r="Z26" s="59">
        <v>44</v>
      </c>
      <c r="AA26" s="59">
        <v>16</v>
      </c>
      <c r="AB26" s="91">
        <v>60000000</v>
      </c>
      <c r="AD26" s="92"/>
    </row>
    <row r="27" spans="1:30" ht="35.1" hidden="1" customHeight="1" x14ac:dyDescent="0.25">
      <c r="A27" s="83">
        <v>44358</v>
      </c>
      <c r="B27" s="7" t="s">
        <v>42</v>
      </c>
      <c r="C27" s="8" t="s">
        <v>334</v>
      </c>
      <c r="D27" s="8" t="s">
        <v>263</v>
      </c>
      <c r="E27" s="61" t="s">
        <v>382</v>
      </c>
      <c r="F27" s="84" t="str">
        <f>IFERROR(VLOOKUP(CONCATENATE($B27,"_",F$3),materiali!$C:$K,5,0),"")</f>
        <v>997005963</v>
      </c>
      <c r="G27" s="85" t="str">
        <f>IFERROR(VLOOKUP(CONCATENATE($B27,"_",G$3),materiali!$C:$K,6,0),"")</f>
        <v>MPC 2013F (FUSTI 50 KG)</v>
      </c>
      <c r="H27" s="90" t="s">
        <v>383</v>
      </c>
      <c r="I27" s="84" t="str">
        <f>IFERROR(VLOOKUP(CONCATENATE($B27,"_",I$3),materiali!$C:$K,5,0),"")</f>
        <v>997005965</v>
      </c>
      <c r="J27" s="85" t="str">
        <f>IFERROR(VLOOKUP(CONCATENATE($B27,"_",J$3),materiali!$C:$K,6,0),"")</f>
        <v>RCH 350F (FUSTI 25 KG)</v>
      </c>
      <c r="K27" s="90" t="s">
        <v>384</v>
      </c>
      <c r="L27" s="84" t="str">
        <f>IFERROR(VLOOKUP(CONCATENATE($B27,"_",L$3),materiali!$C:$K,5,0),"")</f>
        <v/>
      </c>
      <c r="M27" s="85" t="str">
        <f>IFERROR(VLOOKUP(CONCATENATE($B27,"_",M$3),materiali!$C:$K,6,0),"")</f>
        <v/>
      </c>
      <c r="N27" s="90" t="s">
        <v>338</v>
      </c>
      <c r="O27" s="84" t="str">
        <f>IFERROR(VLOOKUP(CONCATENATE($B27,"_",O$3),materiali!$C:$K,5,0),"")</f>
        <v>997006168</v>
      </c>
      <c r="P27" s="85" t="str">
        <f>IFERROR(VLOOKUP(CONCATENATE($B27,"_",P$3),materiali!$C:$K,6,0),"")</f>
        <v>CATALIZZATORE TECNOKAT T12-500</v>
      </c>
      <c r="Q27" s="93" t="s">
        <v>326</v>
      </c>
      <c r="R27" s="84" t="str">
        <f>IFERROR(VLOOKUP(CONCATENATE($B27,"_",R$3),materiali!$C:$K,5,0),"")</f>
        <v>997004318</v>
      </c>
      <c r="S27" s="85" t="str">
        <f>IFERROR(VLOOKUP(CONCATENATE($B27,"_",S$3),materiali!$C:$K,6,0),"")</f>
        <v>BIANCO REMAP 10080 FDA 178.3297 (COLORANTE FDA PER SISTEMI)</v>
      </c>
      <c r="T27" s="90"/>
      <c r="U27" s="31">
        <v>44438</v>
      </c>
      <c r="V27" s="59">
        <v>72</v>
      </c>
      <c r="W27" s="59">
        <v>21</v>
      </c>
      <c r="X27" s="183">
        <v>798</v>
      </c>
      <c r="Y27" s="59">
        <v>49</v>
      </c>
      <c r="Z27" s="59">
        <v>53</v>
      </c>
      <c r="AA27" s="59">
        <v>57</v>
      </c>
      <c r="AD27" s="92"/>
    </row>
    <row r="28" spans="1:30" ht="35.1" hidden="1" customHeight="1" x14ac:dyDescent="0.25">
      <c r="A28" s="83">
        <v>44358</v>
      </c>
      <c r="B28" s="7" t="s">
        <v>14</v>
      </c>
      <c r="C28" s="8" t="s">
        <v>15</v>
      </c>
      <c r="D28" s="8" t="s">
        <v>339</v>
      </c>
      <c r="E28" s="61" t="s">
        <v>382</v>
      </c>
      <c r="F28" s="84" t="str">
        <f>IFERROR(VLOOKUP(CONCATENATE($B28,"_",F$3),materiali!$C:$K,5,0),"")</f>
        <v>997001513</v>
      </c>
      <c r="G28" s="85" t="str">
        <f>IFERROR(VLOOKUP(CONCATENATE($B28,"_",G$3),materiali!$C:$K,6,0),"")</f>
        <v>RESINA TECNOTHANE MPC2013SG</v>
      </c>
      <c r="H28" s="90" t="s">
        <v>385</v>
      </c>
      <c r="I28" s="84" t="str">
        <f>IFERROR(VLOOKUP(CONCATENATE($B28,"_",I$3),materiali!$C:$K,5,0),"")</f>
        <v>997001515</v>
      </c>
      <c r="J28" s="85" t="str">
        <f>IFERROR(VLOOKUP(CONCATENATE($B28,"_",J$3),materiali!$C:$K,6,0),"")</f>
        <v>RETICOLANTE TECNOTHANE RCH160 (50 KG)</v>
      </c>
      <c r="K28" s="90" t="s">
        <v>386</v>
      </c>
      <c r="L28" s="84" t="str">
        <f>IFERROR(VLOOKUP(CONCATENATE($B28,"_",L$3),materiali!$C:$K,5,0),"")</f>
        <v/>
      </c>
      <c r="M28" s="85" t="str">
        <f>IFERROR(VLOOKUP(CONCATENATE($B28,"_",M$3),materiali!$C:$K,6,0),"")</f>
        <v/>
      </c>
      <c r="N28" s="90" t="s">
        <v>387</v>
      </c>
      <c r="O28" s="84" t="str">
        <f>IFERROR(VLOOKUP(CONCATENATE($B28,"_",O$3),materiali!$C:$K,5,0),"")</f>
        <v>040001013</v>
      </c>
      <c r="P28" s="85" t="str">
        <f>IFERROR(VLOOKUP(CONCATENATE($B28,"_",P$3),materiali!$C:$K,6,0),"")</f>
        <v>ACCELERANTE X POLIOLO POLIESTERE TECNOKAT  PURO NON DILUITO</v>
      </c>
      <c r="Q28" s="90" t="s">
        <v>320</v>
      </c>
      <c r="R28" s="84" t="str">
        <f>IFERROR(VLOOKUP(CONCATENATE($B28,"_",R$3),materiali!$C:$K,5,0),"")</f>
        <v>997001508</v>
      </c>
      <c r="S28" s="85" t="str">
        <f>IFERROR(VLOOKUP(CONCATENATE($B28,"_",S$3),materiali!$C:$K,6,0),"")</f>
        <v>COLORE GIALLO PER POLIOLO</v>
      </c>
      <c r="T28" s="90"/>
      <c r="U28" s="31">
        <v>44435</v>
      </c>
      <c r="V28" s="59">
        <v>92</v>
      </c>
      <c r="W28" s="59">
        <v>27</v>
      </c>
      <c r="X28" s="183">
        <v>778</v>
      </c>
      <c r="Y28" s="59">
        <v>83</v>
      </c>
      <c r="Z28" s="59">
        <v>109</v>
      </c>
      <c r="AA28" s="59">
        <v>36</v>
      </c>
      <c r="AD28" s="92"/>
    </row>
    <row r="29" spans="1:30" ht="35.1" hidden="1" customHeight="1" x14ac:dyDescent="0.25">
      <c r="A29" s="83">
        <v>44358</v>
      </c>
      <c r="B29" s="7" t="s">
        <v>28</v>
      </c>
      <c r="C29" s="8" t="s">
        <v>29</v>
      </c>
      <c r="D29" s="8" t="s">
        <v>327</v>
      </c>
      <c r="E29" s="61" t="s">
        <v>388</v>
      </c>
      <c r="F29" s="84" t="str">
        <f>IFERROR(VLOOKUP(CONCATENATE($B29,"_",F$3),materiali!$C:$K,5,0),"")</f>
        <v>997001513</v>
      </c>
      <c r="G29" s="85" t="str">
        <f>IFERROR(VLOOKUP(CONCATENATE($B29,"_",G$3),materiali!$C:$K,6,0),"")</f>
        <v>RESINA TECNOTHANE MPC2013SG</v>
      </c>
      <c r="H29" s="90" t="s">
        <v>389</v>
      </c>
      <c r="I29" s="84" t="str">
        <f>IFERROR(VLOOKUP(CONCATENATE($B29,"_",I$3),materiali!$C:$K,5,0),"")</f>
        <v>997001514</v>
      </c>
      <c r="J29" s="85" t="str">
        <f>IFERROR(VLOOKUP(CONCATENATE($B29,"_",J$3),materiali!$C:$K,6,0),"")</f>
        <v>RETICOLANTE TECNOTHANE RCH361</v>
      </c>
      <c r="K29" s="90" t="s">
        <v>390</v>
      </c>
      <c r="L29" s="84" t="str">
        <f>IFERROR(VLOOKUP(CONCATENATE($B29,"_",L$3),materiali!$C:$K,5,0),"")</f>
        <v/>
      </c>
      <c r="M29" s="85" t="str">
        <f>IFERROR(VLOOKUP(CONCATENATE($B29,"_",M$3),materiali!$C:$K,6,0),"")</f>
        <v/>
      </c>
      <c r="N29" s="90" t="s">
        <v>387</v>
      </c>
      <c r="O29" s="84" t="str">
        <f>IFERROR(VLOOKUP(CONCATENATE($B29,"_",O$3),materiali!$C:$K,5,0),"")</f>
        <v>040001013</v>
      </c>
      <c r="P29" s="85" t="str">
        <f>IFERROR(VLOOKUP(CONCATENATE($B29,"_",P$3),materiali!$C:$K,6,0),"")</f>
        <v>ACCELERANTE X POLIOLO POLIESTERE TECNOKAT  PURO NON DILUITO</v>
      </c>
      <c r="Q29" s="90" t="s">
        <v>320</v>
      </c>
      <c r="R29" s="84" t="str">
        <f>IFERROR(VLOOKUP(CONCATENATE($B29,"_",R$3),materiali!$C:$K,5,0),"")</f>
        <v>997001508</v>
      </c>
      <c r="S29" s="85" t="str">
        <f>IFERROR(VLOOKUP(CONCATENATE($B29,"_",S$3),materiali!$C:$K,6,0),"")</f>
        <v>COLORE GIALLO PER POLIOLO</v>
      </c>
      <c r="T29" s="90"/>
      <c r="U29" s="31">
        <v>44447</v>
      </c>
      <c r="V29" s="59">
        <v>74</v>
      </c>
      <c r="W29" s="59">
        <v>25</v>
      </c>
      <c r="X29" s="183">
        <v>719</v>
      </c>
      <c r="Y29" s="59">
        <v>53</v>
      </c>
      <c r="Z29" s="59">
        <v>57</v>
      </c>
      <c r="AA29" s="59">
        <v>28</v>
      </c>
      <c r="AD29" s="92"/>
    </row>
    <row r="30" spans="1:30" ht="35.1" hidden="1" customHeight="1" x14ac:dyDescent="0.25">
      <c r="A30" s="83">
        <v>44358</v>
      </c>
      <c r="B30" s="7" t="s">
        <v>10</v>
      </c>
      <c r="C30" s="8" t="s">
        <v>11</v>
      </c>
      <c r="D30" s="8" t="s">
        <v>341</v>
      </c>
      <c r="E30" s="61" t="s">
        <v>391</v>
      </c>
      <c r="F30" s="84" t="str">
        <f>IFERROR(VLOOKUP(CONCATENATE($B30,"_",F$3),materiali!$C:$K,5,0),"")</f>
        <v>997001502</v>
      </c>
      <c r="G30" s="85" t="str">
        <f>IFERROR(VLOOKUP(CONCATENATE($B30,"_",G$3),materiali!$C:$K,6,0),"")</f>
        <v>ISOCIANATO POLIETERE SH.70/90 TECNOTHANE MPT 109SG</v>
      </c>
      <c r="H30" s="90" t="s">
        <v>392</v>
      </c>
      <c r="I30" s="84" t="str">
        <f>IFERROR(VLOOKUP(CONCATENATE($B30,"_",I$3),materiali!$C:$K,5,0),"")</f>
        <v>997005228</v>
      </c>
      <c r="J30" s="85" t="str">
        <f>IFERROR(VLOOKUP(CONCATENATE($B30,"_",J$3),materiali!$C:$K,6,0),"")</f>
        <v>POLIOLO POLIETERE SH.70 TECNOTHANE RH 246  FORMATO 200 KG.</v>
      </c>
      <c r="K30" s="90" t="s">
        <v>393</v>
      </c>
      <c r="L30" s="84" t="str">
        <f>IFERROR(VLOOKUP(CONCATENATE($B30,"_",L$3),materiali!$C:$K,5,0),"")</f>
        <v/>
      </c>
      <c r="M30" s="85" t="str">
        <f>IFERROR(VLOOKUP(CONCATENATE($B30,"_",M$3),materiali!$C:$K,6,0),"")</f>
        <v/>
      </c>
      <c r="N30" s="90" t="s">
        <v>387</v>
      </c>
      <c r="O30" s="84" t="str">
        <f>IFERROR(VLOOKUP(CONCATENATE($B30,"_",O$3),materiali!$C:$K,5,0),"")</f>
        <v>040001013</v>
      </c>
      <c r="P30" s="85" t="str">
        <f>IFERROR(VLOOKUP(CONCATENATE($B30,"_",P$3),materiali!$C:$K,6,0),"")</f>
        <v>ACCELERANTE X POLIOLO POLIESTE RE (per macchine pur old)</v>
      </c>
      <c r="Q30" s="90" t="s">
        <v>320</v>
      </c>
      <c r="R30" s="84" t="str">
        <f>IFERROR(VLOOKUP(CONCATENATE($B30,"_",R$3),materiali!$C:$K,5,0),"")</f>
        <v>997001508</v>
      </c>
      <c r="S30" s="85" t="str">
        <f>IFERROR(VLOOKUP(CONCATENATE($B30,"_",S$3),materiali!$C:$K,6,0),"")</f>
        <v>COLORE GIALLO PER POLIOLO</v>
      </c>
      <c r="T30" s="90">
        <v>7988</v>
      </c>
      <c r="U30" s="31">
        <v>44441</v>
      </c>
      <c r="V30" s="59">
        <v>74</v>
      </c>
      <c r="W30" s="59">
        <v>14</v>
      </c>
      <c r="X30" s="183">
        <v>656</v>
      </c>
      <c r="Y30" s="59">
        <v>39</v>
      </c>
      <c r="Z30" s="59">
        <v>47</v>
      </c>
      <c r="AA30" s="59">
        <v>18</v>
      </c>
      <c r="AB30" s="91">
        <v>410000000</v>
      </c>
      <c r="AD30" s="92"/>
    </row>
    <row r="31" spans="1:30" ht="35.1" hidden="1" customHeight="1" x14ac:dyDescent="0.25">
      <c r="A31" s="83">
        <v>44358</v>
      </c>
      <c r="B31" s="7" t="s">
        <v>20</v>
      </c>
      <c r="C31" s="8" t="s">
        <v>21</v>
      </c>
      <c r="D31" s="8" t="s">
        <v>315</v>
      </c>
      <c r="E31" s="61" t="s">
        <v>394</v>
      </c>
      <c r="F31" s="84" t="str">
        <f>IFERROR(VLOOKUP(CONCATENATE($B31,"_",F$3),materiali!$C:$K,5,0),"")</f>
        <v>997001513</v>
      </c>
      <c r="G31" s="85" t="str">
        <f>IFERROR(VLOOKUP(CONCATENATE($B31,"_",G$3),materiali!$C:$K,6,0),"")</f>
        <v>RESINA TECNOTHANE MPC2013SG</v>
      </c>
      <c r="H31" s="90" t="s">
        <v>395</v>
      </c>
      <c r="I31" s="84" t="str">
        <f>IFERROR(VLOOKUP(CONCATENATE($B31,"_",I$3),materiali!$C:$K,5,0),"")</f>
        <v>997001514</v>
      </c>
      <c r="J31" s="85" t="str">
        <f>IFERROR(VLOOKUP(CONCATENATE($B31,"_",J$3),materiali!$C:$K,6,0),"")</f>
        <v>RETICOLANTE TECNOTHANE RCH361</v>
      </c>
      <c r="K31" s="90" t="s">
        <v>390</v>
      </c>
      <c r="L31" s="84" t="str">
        <f>IFERROR(VLOOKUP(CONCATENATE($B31,"_",L$3),materiali!$C:$K,5,0),"")</f>
        <v/>
      </c>
      <c r="M31" s="85" t="str">
        <f>IFERROR(VLOOKUP(CONCATENATE($B31,"_",M$3),materiali!$C:$K,6,0),"")</f>
        <v/>
      </c>
      <c r="N31" s="90" t="s">
        <v>387</v>
      </c>
      <c r="O31" s="84" t="str">
        <f>IFERROR(VLOOKUP(CONCATENATE($B31,"_",O$3),materiali!$C:$K,5,0),"")</f>
        <v>040001013</v>
      </c>
      <c r="P31" s="85" t="str">
        <f>IFERROR(VLOOKUP(CONCATENATE($B31,"_",P$3),materiali!$C:$K,6,0),"")</f>
        <v>ACCELERANTE X POLIOLO POLIESTERE TECNOKAT  PURO NON DILUITO</v>
      </c>
      <c r="Q31" s="90" t="s">
        <v>320</v>
      </c>
      <c r="R31" s="84" t="str">
        <f>IFERROR(VLOOKUP(CONCATENATE($B31,"_",R$3),materiali!$C:$K,5,0),"")</f>
        <v>997001508</v>
      </c>
      <c r="S31" s="85" t="str">
        <f>IFERROR(VLOOKUP(CONCATENATE($B31,"_",S$3),materiali!$C:$K,6,0),"")</f>
        <v>COLORE GIALLO PER POLIOLO</v>
      </c>
      <c r="T31" s="90">
        <v>7988</v>
      </c>
      <c r="U31" s="31">
        <v>44447</v>
      </c>
      <c r="V31" s="59">
        <v>72</v>
      </c>
      <c r="W31" s="59">
        <v>25</v>
      </c>
      <c r="X31" s="183">
        <v>649</v>
      </c>
      <c r="Y31" s="59">
        <v>63</v>
      </c>
      <c r="Z31" s="59">
        <v>60</v>
      </c>
      <c r="AA31" s="59">
        <v>15</v>
      </c>
      <c r="AB31" s="91">
        <v>320000000</v>
      </c>
      <c r="AD31" s="92"/>
    </row>
    <row r="32" spans="1:30" ht="35.1" hidden="1" customHeight="1" x14ac:dyDescent="0.25">
      <c r="A32" s="83">
        <v>44358</v>
      </c>
      <c r="B32" s="7" t="s">
        <v>35</v>
      </c>
      <c r="C32" s="8" t="s">
        <v>36</v>
      </c>
      <c r="D32" s="8" t="s">
        <v>267</v>
      </c>
      <c r="E32" s="61" t="s">
        <v>396</v>
      </c>
      <c r="F32" s="84" t="str">
        <f>IFERROR(VLOOKUP(CONCATENATE($B32,"_",F$3),materiali!$C:$K,5,0),"")</f>
        <v>997001502</v>
      </c>
      <c r="G32" s="85" t="str">
        <f>IFERROR(VLOOKUP(CONCATENATE($B32,"_",G$3),materiali!$C:$K,6,0),"")</f>
        <v>ISOCIANATO POLIETERE SH.70/90 TECNOTHANE MPT 109SG</v>
      </c>
      <c r="H32" s="90" t="s">
        <v>397</v>
      </c>
      <c r="I32" s="84" t="str">
        <f>IFERROR(VLOOKUP(CONCATENATE($B32,"_",I$3),materiali!$C:$K,5,0),"")</f>
        <v>997001503</v>
      </c>
      <c r="J32" s="85" t="str">
        <f>IFERROR(VLOOKUP(CONCATENATE($B32,"_",J$3),materiali!$C:$K,6,0),"")</f>
        <v>POLIOLO POLIETERE SH.70 TECNOTHANE RH 275</v>
      </c>
      <c r="K32" s="90" t="s">
        <v>398</v>
      </c>
      <c r="L32" s="84" t="str">
        <f>IFERROR(VLOOKUP(CONCATENATE($B32,"_",L$3),materiali!$C:$K,5,0),"")</f>
        <v/>
      </c>
      <c r="M32" s="85" t="str">
        <f>IFERROR(VLOOKUP(CONCATENATE($B32,"_",M$3),materiali!$C:$K,6,0),"")</f>
        <v/>
      </c>
      <c r="N32" s="90" t="s">
        <v>351</v>
      </c>
      <c r="O32" s="84" t="str">
        <f>IFERROR(VLOOKUP(CONCATENATE($B32,"_",O$3),materiali!$C:$K,5,0),"")</f>
        <v>040001013</v>
      </c>
      <c r="P32" s="85" t="str">
        <f>IFERROR(VLOOKUP(CONCATENATE($B32,"_",P$3),materiali!$C:$K,6,0),"")</f>
        <v>CATALIZZATORE TECNOKAT E, 10KG</v>
      </c>
      <c r="Q32" s="90">
        <v>7988</v>
      </c>
      <c r="R32" s="84" t="str">
        <f>IFERROR(VLOOKUP(CONCATENATE($B32,"_",R$3),materiali!$C:$K,5,0),"")</f>
        <v>040001014</v>
      </c>
      <c r="S32" s="85" t="str">
        <f>IFERROR(VLOOKUP(CONCATENATE($B32,"_",S$3),materiali!$C:$K,6,0),"")</f>
        <v>ADDITTIVO ANTISTAT.PER POLIOLO POLIEST.CATAFOR PU</v>
      </c>
      <c r="T32" s="90"/>
      <c r="U32" s="31">
        <v>44447</v>
      </c>
      <c r="V32" s="59">
        <v>75</v>
      </c>
      <c r="W32" s="59">
        <v>9</v>
      </c>
      <c r="X32" s="183">
        <v>474</v>
      </c>
      <c r="Y32" s="59">
        <v>34</v>
      </c>
      <c r="Z32" s="59">
        <v>40</v>
      </c>
      <c r="AA32" s="59">
        <v>17</v>
      </c>
      <c r="AB32" s="91">
        <v>450000000</v>
      </c>
      <c r="AD32" s="92"/>
    </row>
    <row r="33" spans="1:30" ht="35.1" hidden="1" customHeight="1" x14ac:dyDescent="0.25">
      <c r="A33" s="83">
        <v>44455</v>
      </c>
      <c r="B33" s="7" t="s">
        <v>14</v>
      </c>
      <c r="C33" s="8" t="s">
        <v>15</v>
      </c>
      <c r="D33" s="8" t="s">
        <v>339</v>
      </c>
      <c r="E33" s="61" t="s">
        <v>399</v>
      </c>
      <c r="F33" s="84" t="str">
        <f>IFERROR(VLOOKUP(CONCATENATE($B33,"_",F$3),materiali!$C:$K,5,0),"")</f>
        <v>997001513</v>
      </c>
      <c r="G33" s="85" t="str">
        <f>IFERROR(VLOOKUP(CONCATENATE($B33,"_",G$3),materiali!$C:$K,6,0),"")</f>
        <v>RESINA TECNOTHANE MPC2013SG</v>
      </c>
      <c r="H33" s="90" t="s">
        <v>400</v>
      </c>
      <c r="I33" s="84" t="str">
        <f>IFERROR(VLOOKUP(CONCATENATE($B33,"_",I$3),materiali!$C:$K,5,0),"")</f>
        <v>997001515</v>
      </c>
      <c r="J33" s="85" t="str">
        <f>IFERROR(VLOOKUP(CONCATENATE($B33,"_",J$3),materiali!$C:$K,6,0),"")</f>
        <v>RETICOLANTE TECNOTHANE RCH160 (50 KG)</v>
      </c>
      <c r="K33" s="90" t="s">
        <v>401</v>
      </c>
      <c r="L33" s="84" t="str">
        <f>IFERROR(VLOOKUP(CONCATENATE($B33,"_",L$3),materiali!$C:$K,5,0),"")</f>
        <v/>
      </c>
      <c r="M33" s="85" t="str">
        <f>IFERROR(VLOOKUP(CONCATENATE($B33,"_",M$3),materiali!$C:$K,6,0),"")</f>
        <v/>
      </c>
      <c r="N33" s="90" t="s">
        <v>402</v>
      </c>
      <c r="O33" s="84" t="str">
        <f>IFERROR(VLOOKUP(CONCATENATE($B33,"_",O$3),materiali!$C:$K,5,0),"")</f>
        <v>040001013</v>
      </c>
      <c r="P33" s="85" t="str">
        <f>IFERROR(VLOOKUP(CONCATENATE($B33,"_",P$3),materiali!$C:$K,6,0),"")</f>
        <v>ACCELERANTE X POLIOLO POLIESTERE TECNOKAT  PURO NON DILUITO</v>
      </c>
      <c r="Q33" s="90" t="s">
        <v>403</v>
      </c>
      <c r="R33" s="84" t="str">
        <f>IFERROR(VLOOKUP(CONCATENATE($B33,"_",R$3),materiali!$C:$K,5,0),"")</f>
        <v>997001508</v>
      </c>
      <c r="S33" s="85" t="str">
        <f>IFERROR(VLOOKUP(CONCATENATE($B33,"_",S$3),materiali!$C:$K,6,0),"")</f>
        <v>COLORE GIALLO PER POLIOLO</v>
      </c>
      <c r="T33" s="90"/>
      <c r="U33" s="31">
        <v>44550</v>
      </c>
      <c r="V33" s="59">
        <v>90</v>
      </c>
      <c r="W33" s="59">
        <v>25</v>
      </c>
      <c r="X33" s="183">
        <v>756</v>
      </c>
      <c r="Y33" s="59">
        <v>80</v>
      </c>
      <c r="Z33" s="59">
        <v>99</v>
      </c>
      <c r="AA33" s="59">
        <v>30</v>
      </c>
      <c r="AD33" s="92"/>
    </row>
    <row r="34" spans="1:30" ht="35.1" hidden="1" customHeight="1" x14ac:dyDescent="0.25">
      <c r="A34" s="83">
        <v>44455</v>
      </c>
      <c r="B34" s="7" t="s">
        <v>20</v>
      </c>
      <c r="C34" s="8" t="s">
        <v>21</v>
      </c>
      <c r="D34" s="8" t="s">
        <v>315</v>
      </c>
      <c r="E34" s="61" t="s">
        <v>404</v>
      </c>
      <c r="F34" s="84" t="str">
        <f>IFERROR(VLOOKUP(CONCATENATE($B34,"_",F$3),materiali!$C:$K,5,0),"")</f>
        <v>997001513</v>
      </c>
      <c r="G34" s="85" t="str">
        <f>IFERROR(VLOOKUP(CONCATENATE($B34,"_",G$3),materiali!$C:$K,6,0),"")</f>
        <v>RESINA TECNOTHANE MPC2013SG</v>
      </c>
      <c r="H34" s="90" t="s">
        <v>400</v>
      </c>
      <c r="I34" s="84" t="str">
        <f>IFERROR(VLOOKUP(CONCATENATE($B34,"_",I$3),materiali!$C:$K,5,0),"")</f>
        <v>997001514</v>
      </c>
      <c r="J34" s="85" t="str">
        <f>IFERROR(VLOOKUP(CONCATENATE($B34,"_",J$3),materiali!$C:$K,6,0),"")</f>
        <v>RETICOLANTE TECNOTHANE RCH361</v>
      </c>
      <c r="K34" s="90" t="s">
        <v>405</v>
      </c>
      <c r="L34" s="84" t="str">
        <f>IFERROR(VLOOKUP(CONCATENATE($B34,"_",L$3),materiali!$C:$K,5,0),"")</f>
        <v/>
      </c>
      <c r="M34" s="85" t="str">
        <f>IFERROR(VLOOKUP(CONCATENATE($B34,"_",M$3),materiali!$C:$K,6,0),"")</f>
        <v/>
      </c>
      <c r="N34" s="90" t="s">
        <v>406</v>
      </c>
      <c r="O34" s="84" t="str">
        <f>IFERROR(VLOOKUP(CONCATENATE($B34,"_",O$3),materiali!$C:$K,5,0),"")</f>
        <v>040001013</v>
      </c>
      <c r="P34" s="85" t="str">
        <f>IFERROR(VLOOKUP(CONCATENATE($B34,"_",P$3),materiali!$C:$K,6,0),"")</f>
        <v>ACCELERANTE X POLIOLO POLIESTERE TECNOKAT  PURO NON DILUITO</v>
      </c>
      <c r="Q34" s="90" t="s">
        <v>403</v>
      </c>
      <c r="R34" s="84" t="str">
        <f>IFERROR(VLOOKUP(CONCATENATE($B34,"_",R$3),materiali!$C:$K,5,0),"")</f>
        <v>997001508</v>
      </c>
      <c r="S34" s="85" t="str">
        <f>IFERROR(VLOOKUP(CONCATENATE($B34,"_",S$3),materiali!$C:$K,6,0),"")</f>
        <v>COLORE GIALLO PER POLIOLO</v>
      </c>
      <c r="T34" s="90">
        <v>8426</v>
      </c>
      <c r="U34" s="31">
        <v>44546</v>
      </c>
      <c r="V34" s="59">
        <v>73</v>
      </c>
      <c r="W34" s="59">
        <v>30</v>
      </c>
      <c r="X34" s="183">
        <v>561</v>
      </c>
      <c r="Y34" s="59">
        <v>67</v>
      </c>
      <c r="Z34" s="59">
        <v>62</v>
      </c>
      <c r="AA34" s="59">
        <v>12</v>
      </c>
      <c r="AB34" s="91">
        <v>340000000</v>
      </c>
      <c r="AD34" s="92"/>
    </row>
    <row r="35" spans="1:30" ht="35.1" hidden="1" customHeight="1" x14ac:dyDescent="0.25">
      <c r="A35" s="83">
        <v>44455</v>
      </c>
      <c r="B35" s="7" t="s">
        <v>38</v>
      </c>
      <c r="C35" s="8" t="s">
        <v>39</v>
      </c>
      <c r="D35" s="8" t="s">
        <v>272</v>
      </c>
      <c r="E35" s="61" t="s">
        <v>407</v>
      </c>
      <c r="F35" s="84" t="str">
        <f>IFERROR(VLOOKUP(CONCATENATE($B35,"_",F$3),materiali!$C:$K,5,0),"")</f>
        <v>997001518</v>
      </c>
      <c r="G35" s="85" t="str">
        <f>IFERROR(VLOOKUP(CONCATENATE($B35,"_",G$3),materiali!$C:$K,6,0),"")</f>
        <v>PREPOLIMERO HTR 2011 (FUSTI DA 60 KG)</v>
      </c>
      <c r="H35" s="90" t="s">
        <v>408</v>
      </c>
      <c r="I35" s="84" t="str">
        <f>IFERROR(VLOOKUP(CONCATENATE($B35,"_",I$3),materiali!$C:$K,5,0),"")</f>
        <v>997001519</v>
      </c>
      <c r="J35" s="85" t="str">
        <f>IFERROR(VLOOKUP(CONCATENATE($B35,"_",J$3),materiali!$C:$K,6,0),"")</f>
        <v>RETICOLANTE TH 380 (FUSTI DA 20 KG.)</v>
      </c>
      <c r="K35" s="90" t="s">
        <v>409</v>
      </c>
      <c r="L35" s="84" t="str">
        <f>IFERROR(VLOOKUP(CONCATENATE($B35,"_",L$3),materiali!$C:$K,5,0),"")</f>
        <v/>
      </c>
      <c r="M35" s="85" t="str">
        <f>IFERROR(VLOOKUP(CONCATENATE($B35,"_",M$3),materiali!$C:$K,6,0),"")</f>
        <v/>
      </c>
      <c r="N35" s="90" t="s">
        <v>387</v>
      </c>
      <c r="O35" s="84" t="str">
        <f>IFERROR(VLOOKUP(CONCATENATE($B35,"_",O$3),materiali!$C:$K,5,0),"")</f>
        <v>040001013</v>
      </c>
      <c r="P35" s="85" t="str">
        <f>IFERROR(VLOOKUP(CONCATENATE($B35,"_",P$3),materiali!$C:$K,6,0),"")</f>
        <v>CATALIZZATORE TECNOKAT E, 10KG</v>
      </c>
      <c r="Q35" s="90"/>
      <c r="R35" s="84" t="str">
        <f>IFERROR(VLOOKUP(CONCATENATE($B35,"_",R$3),materiali!$C:$K,5,0),"")</f>
        <v/>
      </c>
      <c r="S35" s="85" t="str">
        <f>IFERROR(VLOOKUP(CONCATENATE($B35,"_",S$3),materiali!$C:$K,6,0),"")</f>
        <v/>
      </c>
      <c r="T35" s="90"/>
      <c r="U35" s="31">
        <v>44560</v>
      </c>
      <c r="V35" s="59">
        <v>85</v>
      </c>
      <c r="W35" s="59">
        <v>17</v>
      </c>
      <c r="X35" s="183">
        <v>498</v>
      </c>
      <c r="Y35" s="59">
        <v>60</v>
      </c>
      <c r="Z35" s="59">
        <v>62</v>
      </c>
      <c r="AA35" s="59">
        <v>115</v>
      </c>
      <c r="AD35" s="92"/>
    </row>
    <row r="36" spans="1:30" ht="35.1" hidden="1" customHeight="1" x14ac:dyDescent="0.25">
      <c r="A36" s="83">
        <v>44455</v>
      </c>
      <c r="B36" s="7" t="s">
        <v>28</v>
      </c>
      <c r="C36" s="8" t="s">
        <v>29</v>
      </c>
      <c r="D36" s="8" t="s">
        <v>327</v>
      </c>
      <c r="E36" s="61" t="s">
        <v>410</v>
      </c>
      <c r="F36" s="84" t="str">
        <f>IFERROR(VLOOKUP(CONCATENATE($B36,"_",F$3),materiali!$C:$K,5,0),"")</f>
        <v>997001513</v>
      </c>
      <c r="G36" s="85" t="str">
        <f>IFERROR(VLOOKUP(CONCATENATE($B36,"_",G$3),materiali!$C:$K,6,0),"")</f>
        <v>RESINA TECNOTHANE MPC2013SG</v>
      </c>
      <c r="H36" s="90" t="s">
        <v>400</v>
      </c>
      <c r="I36" s="84" t="str">
        <f>IFERROR(VLOOKUP(CONCATENATE($B36,"_",I$3),materiali!$C:$K,5,0),"")</f>
        <v>997001514</v>
      </c>
      <c r="J36" s="85" t="str">
        <f>IFERROR(VLOOKUP(CONCATENATE($B36,"_",J$3),materiali!$C:$K,6,0),"")</f>
        <v>RETICOLANTE TECNOTHANE RCH361</v>
      </c>
      <c r="K36" s="90" t="s">
        <v>405</v>
      </c>
      <c r="L36" s="84" t="str">
        <f>IFERROR(VLOOKUP(CONCATENATE($B36,"_",L$3),materiali!$C:$K,5,0),"")</f>
        <v/>
      </c>
      <c r="M36" s="85" t="str">
        <f>IFERROR(VLOOKUP(CONCATENATE($B36,"_",M$3),materiali!$C:$K,6,0),"")</f>
        <v/>
      </c>
      <c r="N36" s="90" t="s">
        <v>402</v>
      </c>
      <c r="O36" s="84" t="str">
        <f>IFERROR(VLOOKUP(CONCATENATE($B36,"_",O$3),materiali!$C:$K,5,0),"")</f>
        <v>040001013</v>
      </c>
      <c r="P36" s="85" t="str">
        <f>IFERROR(VLOOKUP(CONCATENATE($B36,"_",P$3),materiali!$C:$K,6,0),"")</f>
        <v>ACCELERANTE X POLIOLO POLIESTERE TECNOKAT  PURO NON DILUITO</v>
      </c>
      <c r="Q36" s="90" t="s">
        <v>403</v>
      </c>
      <c r="R36" s="84" t="str">
        <f>IFERROR(VLOOKUP(CONCATENATE($B36,"_",R$3),materiali!$C:$K,5,0),"")</f>
        <v>997001508</v>
      </c>
      <c r="S36" s="85" t="str">
        <f>IFERROR(VLOOKUP(CONCATENATE($B36,"_",S$3),materiali!$C:$K,6,0),"")</f>
        <v>COLORE GIALLO PER POLIOLO</v>
      </c>
      <c r="T36" s="90"/>
      <c r="U36" s="31">
        <v>44560</v>
      </c>
      <c r="V36" s="59">
        <v>72</v>
      </c>
      <c r="W36" s="59">
        <v>15</v>
      </c>
      <c r="X36" s="183">
        <v>473</v>
      </c>
      <c r="Y36" s="59">
        <v>54</v>
      </c>
      <c r="Z36" s="59">
        <v>55</v>
      </c>
      <c r="AA36" s="59">
        <v>15</v>
      </c>
      <c r="AD36" s="92"/>
    </row>
    <row r="37" spans="1:30" ht="35.1" hidden="1" customHeight="1" x14ac:dyDescent="0.25">
      <c r="A37" s="83">
        <v>44455</v>
      </c>
      <c r="B37" s="7" t="s">
        <v>10</v>
      </c>
      <c r="C37" s="8" t="s">
        <v>11</v>
      </c>
      <c r="D37" s="8" t="s">
        <v>341</v>
      </c>
      <c r="E37" s="61" t="s">
        <v>399</v>
      </c>
      <c r="F37" s="84" t="str">
        <f>IFERROR(VLOOKUP(CONCATENATE($B37,"_",F$3),materiali!$C:$K,5,0),"")</f>
        <v>997001502</v>
      </c>
      <c r="G37" s="85" t="str">
        <f>IFERROR(VLOOKUP(CONCATENATE($B37,"_",G$3),materiali!$C:$K,6,0),"")</f>
        <v>ISOCIANATO POLIETERE SH.70/90 TECNOTHANE MPT 109SG</v>
      </c>
      <c r="H37" s="90" t="s">
        <v>411</v>
      </c>
      <c r="I37" s="84" t="str">
        <f>IFERROR(VLOOKUP(CONCATENATE($B37,"_",I$3),materiali!$C:$K,5,0),"")</f>
        <v>997005228</v>
      </c>
      <c r="J37" s="85" t="str">
        <f>IFERROR(VLOOKUP(CONCATENATE($B37,"_",J$3),materiali!$C:$K,6,0),"")</f>
        <v>POLIOLO POLIETERE SH.70 TECNOTHANE RH 246  FORMATO 200 KG.</v>
      </c>
      <c r="K37" s="90" t="s">
        <v>412</v>
      </c>
      <c r="L37" s="84" t="str">
        <f>IFERROR(VLOOKUP(CONCATENATE($B37,"_",L$3),materiali!$C:$K,5,0),"")</f>
        <v/>
      </c>
      <c r="M37" s="85" t="str">
        <f>IFERROR(VLOOKUP(CONCATENATE($B37,"_",M$3),materiali!$C:$K,6,0),"")</f>
        <v/>
      </c>
      <c r="N37" s="90" t="s">
        <v>402</v>
      </c>
      <c r="O37" s="84" t="str">
        <f>IFERROR(VLOOKUP(CONCATENATE($B37,"_",O$3),materiali!$C:$K,5,0),"")</f>
        <v>040001013</v>
      </c>
      <c r="P37" s="85" t="str">
        <f>IFERROR(VLOOKUP(CONCATENATE($B37,"_",P$3),materiali!$C:$K,6,0),"")</f>
        <v>ACCELERANTE X POLIOLO POLIESTE RE (per macchine pur old)</v>
      </c>
      <c r="Q37" s="90" t="s">
        <v>403</v>
      </c>
      <c r="R37" s="84" t="str">
        <f>IFERROR(VLOOKUP(CONCATENATE($B37,"_",R$3),materiali!$C:$K,5,0),"")</f>
        <v>997001508</v>
      </c>
      <c r="S37" s="85" t="str">
        <f>IFERROR(VLOOKUP(CONCATENATE($B37,"_",S$3),materiali!$C:$K,6,0),"")</f>
        <v>COLORE GIALLO PER POLIOLO</v>
      </c>
      <c r="T37" s="90">
        <v>8426</v>
      </c>
      <c r="U37" s="31">
        <v>44552</v>
      </c>
      <c r="V37" s="59">
        <v>68</v>
      </c>
      <c r="W37" s="59">
        <v>8</v>
      </c>
      <c r="X37" s="183">
        <v>460</v>
      </c>
      <c r="Y37" s="59">
        <v>34</v>
      </c>
      <c r="Z37" s="59">
        <v>34</v>
      </c>
      <c r="AA37" s="59">
        <v>15</v>
      </c>
      <c r="AB37" s="91">
        <v>650000000</v>
      </c>
      <c r="AD37" s="92"/>
    </row>
    <row r="38" spans="1:30" ht="35.1" hidden="1" customHeight="1" x14ac:dyDescent="0.25">
      <c r="A38" s="83">
        <v>44455</v>
      </c>
      <c r="B38" s="7" t="s">
        <v>35</v>
      </c>
      <c r="C38" s="8" t="s">
        <v>36</v>
      </c>
      <c r="D38" s="8" t="s">
        <v>267</v>
      </c>
      <c r="E38" s="61" t="s">
        <v>404</v>
      </c>
      <c r="F38" s="84" t="str">
        <f>IFERROR(VLOOKUP(CONCATENATE($B38,"_",F$3),materiali!$C:$K,5,0),"")</f>
        <v>997001502</v>
      </c>
      <c r="G38" s="85" t="str">
        <f>IFERROR(VLOOKUP(CONCATENATE($B38,"_",G$3),materiali!$C:$K,6,0),"")</f>
        <v>ISOCIANATO POLIETERE SH.70/90 TECNOTHANE MPT 109SG</v>
      </c>
      <c r="H38" s="90" t="s">
        <v>411</v>
      </c>
      <c r="I38" s="84" t="str">
        <f>IFERROR(VLOOKUP(CONCATENATE($B38,"_",I$3),materiali!$C:$K,5,0),"")</f>
        <v>997001503</v>
      </c>
      <c r="J38" s="85" t="str">
        <f>IFERROR(VLOOKUP(CONCATENATE($B38,"_",J$3),materiali!$C:$K,6,0),"")</f>
        <v>POLIOLO POLIETERE SH.70 TECNOTHANE RH 275</v>
      </c>
      <c r="K38" s="90" t="s">
        <v>413</v>
      </c>
      <c r="L38" s="84" t="str">
        <f>IFERROR(VLOOKUP(CONCATENATE($B38,"_",L$3),materiali!$C:$K,5,0),"")</f>
        <v/>
      </c>
      <c r="M38" s="85" t="str">
        <f>IFERROR(VLOOKUP(CONCATENATE($B38,"_",M$3),materiali!$C:$K,6,0),"")</f>
        <v/>
      </c>
      <c r="N38" s="90" t="s">
        <v>387</v>
      </c>
      <c r="O38" s="84" t="str">
        <f>IFERROR(VLOOKUP(CONCATENATE($B38,"_",O$3),materiali!$C:$K,5,0),"")</f>
        <v>040001013</v>
      </c>
      <c r="P38" s="85" t="str">
        <f>IFERROR(VLOOKUP(CONCATENATE($B38,"_",P$3),materiali!$C:$K,6,0),"")</f>
        <v>CATALIZZATORE TECNOKAT E, 10KG</v>
      </c>
      <c r="Q38" s="90" t="s">
        <v>414</v>
      </c>
      <c r="R38" s="84" t="str">
        <f>IFERROR(VLOOKUP(CONCATENATE($B38,"_",R$3),materiali!$C:$K,5,0),"")</f>
        <v>040001014</v>
      </c>
      <c r="S38" s="85" t="str">
        <f>IFERROR(VLOOKUP(CONCATENATE($B38,"_",S$3),materiali!$C:$K,6,0),"")</f>
        <v>ADDITTIVO ANTISTAT.PER POLIOLO POLIEST.CATAFOR PU</v>
      </c>
      <c r="T38" s="90"/>
      <c r="U38" s="31">
        <v>44560</v>
      </c>
      <c r="V38" s="59">
        <v>72</v>
      </c>
      <c r="W38" s="59">
        <v>9</v>
      </c>
      <c r="X38" s="183">
        <v>508</v>
      </c>
      <c r="Y38" s="59">
        <v>31</v>
      </c>
      <c r="Z38" s="59">
        <v>41</v>
      </c>
      <c r="AA38" s="59">
        <v>15</v>
      </c>
      <c r="AB38" s="91">
        <v>700000000</v>
      </c>
      <c r="AD38" s="92"/>
    </row>
    <row r="39" spans="1:30" ht="35.1" hidden="1" customHeight="1" x14ac:dyDescent="0.25">
      <c r="A39" s="83">
        <v>44455</v>
      </c>
      <c r="B39" s="7" t="s">
        <v>42</v>
      </c>
      <c r="C39" s="8" t="s">
        <v>43</v>
      </c>
      <c r="D39" s="8" t="s">
        <v>263</v>
      </c>
      <c r="E39" s="61" t="s">
        <v>415</v>
      </c>
      <c r="F39" s="84" t="str">
        <f>IFERROR(VLOOKUP(CONCATENATE($B39,"_",F$3),materiali!$C:$K,5,0),"")</f>
        <v>997005963</v>
      </c>
      <c r="G39" s="85" t="str">
        <f>IFERROR(VLOOKUP(CONCATENATE($B39,"_",G$3),materiali!$C:$K,6,0),"")</f>
        <v>MPC 2013F (FUSTI 50 KG)</v>
      </c>
      <c r="H39" s="90" t="s">
        <v>383</v>
      </c>
      <c r="I39" s="84" t="str">
        <f>IFERROR(VLOOKUP(CONCATENATE($B39,"_",I$3),materiali!$C:$K,5,0),"")</f>
        <v>997005965</v>
      </c>
      <c r="J39" s="85" t="str">
        <f>IFERROR(VLOOKUP(CONCATENATE($B39,"_",J$3),materiali!$C:$K,6,0),"")</f>
        <v>RCH 350F (FUSTI 25 KG)</v>
      </c>
      <c r="K39" s="90" t="s">
        <v>416</v>
      </c>
      <c r="L39" s="84" t="str">
        <f>IFERROR(VLOOKUP(CONCATENATE($B39,"_",L$3),materiali!$C:$K,5,0),"")</f>
        <v/>
      </c>
      <c r="M39" s="85" t="str">
        <f>IFERROR(VLOOKUP(CONCATENATE($B39,"_",M$3),materiali!$C:$K,6,0),"")</f>
        <v/>
      </c>
      <c r="N39" s="90" t="s">
        <v>417</v>
      </c>
      <c r="O39" s="84" t="str">
        <f>IFERROR(VLOOKUP(CONCATENATE($B39,"_",O$3),materiali!$C:$K,5,0),"")</f>
        <v>997006168</v>
      </c>
      <c r="P39" s="85" t="str">
        <f>IFERROR(VLOOKUP(CONCATENATE($B39,"_",P$3),materiali!$C:$K,6,0),"")</f>
        <v>CATALIZZATORE TECNOKAT T12-500</v>
      </c>
      <c r="Q39" s="93" t="s">
        <v>418</v>
      </c>
      <c r="R39" s="84" t="str">
        <f>IFERROR(VLOOKUP(CONCATENATE($B39,"_",R$3),materiali!$C:$K,5,0),"")</f>
        <v>997004318</v>
      </c>
      <c r="S39" s="85" t="str">
        <f>IFERROR(VLOOKUP(CONCATENATE($B39,"_",S$3),materiali!$C:$K,6,0),"")</f>
        <v>BIANCO REMAP 10080 FDA 178.3297 (COLORANTE FDA PER SISTEMI)</v>
      </c>
      <c r="T39" s="90"/>
      <c r="U39" s="31">
        <v>44560</v>
      </c>
      <c r="V39" s="96">
        <v>84</v>
      </c>
      <c r="W39" s="59">
        <v>21</v>
      </c>
      <c r="X39" s="183">
        <v>417</v>
      </c>
      <c r="Y39" s="59">
        <v>52</v>
      </c>
      <c r="Z39" s="59">
        <v>64</v>
      </c>
      <c r="AA39" s="59">
        <v>50</v>
      </c>
      <c r="AD39" s="92"/>
    </row>
    <row r="40" spans="1:30" ht="35.1" customHeight="1" x14ac:dyDescent="0.25">
      <c r="A40" s="83">
        <v>44487</v>
      </c>
      <c r="B40" s="7" t="s">
        <v>24</v>
      </c>
      <c r="C40" s="8" t="s">
        <v>25</v>
      </c>
      <c r="D40" s="8" t="s">
        <v>247</v>
      </c>
      <c r="E40" s="61" t="s">
        <v>419</v>
      </c>
      <c r="F40" s="84" t="str">
        <f>IFERROR(VLOOKUP(CONCATENATE($B40,"_",F$3),materiali!$C:$K,5,0),"")</f>
        <v>997006153</v>
      </c>
      <c r="G40" s="85" t="str">
        <f>IFERROR(VLOOKUP(CONCATENATE($B40,"_",G$3),materiali!$C:$K,6,0),"")</f>
        <v>MPC 109A (FUSTI 50 KG)</v>
      </c>
      <c r="H40" s="90" t="s">
        <v>420</v>
      </c>
      <c r="I40" s="84" t="str">
        <f>IFERROR(VLOOKUP(CONCATENATE($B40,"_",I$3),materiali!$C:$K,5,0),"")</f>
        <v>997006154</v>
      </c>
      <c r="J40" s="85" t="str">
        <f>IFERROR(VLOOKUP(CONCATENATE($B40,"_",J$3),materiali!$C:$K,6,0),"")</f>
        <v>RH 275B (FUSTI 25 KG)</v>
      </c>
      <c r="K40" s="90" t="s">
        <v>421</v>
      </c>
      <c r="L40" s="84" t="str">
        <f>IFERROR(VLOOKUP(CONCATENATE($B40,"_",L$3),materiali!$C:$K,5,0),"")</f>
        <v/>
      </c>
      <c r="M40" s="85" t="str">
        <f>IFERROR(VLOOKUP(CONCATENATE($B40,"_",M$3),materiali!$C:$K,6,0),"")</f>
        <v/>
      </c>
      <c r="N40" s="90" t="s">
        <v>422</v>
      </c>
      <c r="O40" s="84" t="str">
        <f>IFERROR(VLOOKUP(CONCATENATE($B40,"_",O$3),materiali!$C:$K,5,0),"")</f>
        <v>997006168</v>
      </c>
      <c r="P40" s="85" t="str">
        <f>IFERROR(VLOOKUP(CONCATENATE($B40,"_",P$3),materiali!$C:$K,6,0),"")</f>
        <v>CATALIZZATORE TECNOKAT T12-500</v>
      </c>
      <c r="Q40" s="93" t="s">
        <v>418</v>
      </c>
      <c r="R40" s="84" t="str">
        <f>IFERROR(VLOOKUP(CONCATENATE($B40,"_",R$3),materiali!$C:$K,5,0),"")</f>
        <v>997004318</v>
      </c>
      <c r="S40" s="85" t="str">
        <f>IFERROR(VLOOKUP(CONCATENATE($B40,"_",S$3),materiali!$C:$K,6,0),"")</f>
        <v>BIANCO REMAP 10080 FDA 178.3297 (COLORANTE FDA PER SISTEMI)</v>
      </c>
      <c r="T40" s="90"/>
      <c r="U40" s="31">
        <v>44545</v>
      </c>
      <c r="V40" s="59">
        <v>70</v>
      </c>
      <c r="W40" s="59">
        <v>7</v>
      </c>
      <c r="X40" s="183">
        <v>401</v>
      </c>
      <c r="Y40" s="59">
        <v>28</v>
      </c>
      <c r="Z40" s="59">
        <v>36</v>
      </c>
      <c r="AA40" s="59">
        <v>83</v>
      </c>
      <c r="AD40" s="92"/>
    </row>
    <row r="41" spans="1:30" ht="35.1" hidden="1" customHeight="1" x14ac:dyDescent="0.25">
      <c r="A41" s="83">
        <v>44578</v>
      </c>
      <c r="B41" s="7" t="s">
        <v>20</v>
      </c>
      <c r="C41" s="8" t="s">
        <v>21</v>
      </c>
      <c r="D41" s="8" t="s">
        <v>315</v>
      </c>
      <c r="E41" s="61" t="s">
        <v>423</v>
      </c>
      <c r="F41" s="84" t="str">
        <f>IFERROR(VLOOKUP(CONCATENATE($B41,"_",F$3),materiali!$C:$K,5,0),"")</f>
        <v>997001513</v>
      </c>
      <c r="G41" s="85" t="str">
        <f>IFERROR(VLOOKUP(CONCATENATE($B41,"_",G$3),materiali!$C:$K,6,0),"")</f>
        <v>RESINA TECNOTHANE MPC2013SG</v>
      </c>
      <c r="H41" s="90" t="s">
        <v>424</v>
      </c>
      <c r="I41" s="84" t="str">
        <f>IFERROR(VLOOKUP(CONCATENATE($B41,"_",I$3),materiali!$C:$K,5,0),"")</f>
        <v>997001514</v>
      </c>
      <c r="J41" s="85" t="str">
        <f>IFERROR(VLOOKUP(CONCATENATE($B41,"_",J$3),materiali!$C:$K,6,0),"")</f>
        <v>RETICOLANTE TECNOTHANE RCH361</v>
      </c>
      <c r="K41" s="90" t="s">
        <v>425</v>
      </c>
      <c r="L41" s="84" t="str">
        <f>IFERROR(VLOOKUP(CONCATENATE($B41,"_",L$3),materiali!$C:$K,5,0),"")</f>
        <v/>
      </c>
      <c r="M41" s="85" t="str">
        <f>IFERROR(VLOOKUP(CONCATENATE($B41,"_",M$3),materiali!$C:$K,6,0),"")</f>
        <v/>
      </c>
      <c r="N41" s="90" t="s">
        <v>426</v>
      </c>
      <c r="O41" s="84" t="str">
        <f>IFERROR(VLOOKUP(CONCATENATE($B41,"_",O$3),materiali!$C:$K,5,0),"")</f>
        <v>040001013</v>
      </c>
      <c r="P41" s="85" t="str">
        <f>IFERROR(VLOOKUP(CONCATENATE($B41,"_",P$3),materiali!$C:$K,6,0),"")</f>
        <v>ACCELERANTE X POLIOLO POLIESTERE TECNOKAT  PURO NON DILUITO</v>
      </c>
      <c r="Q41" s="90" t="s">
        <v>427</v>
      </c>
      <c r="R41" s="84" t="str">
        <f>IFERROR(VLOOKUP(CONCATENATE($B41,"_",R$3),materiali!$C:$K,5,0),"")</f>
        <v>997001508</v>
      </c>
      <c r="S41" s="85" t="str">
        <f>IFERROR(VLOOKUP(CONCATENATE($B41,"_",S$3),materiali!$C:$K,6,0),"")</f>
        <v>COLORE GIALLO PER POLIOLO</v>
      </c>
      <c r="T41" s="90">
        <v>7980</v>
      </c>
      <c r="U41" s="31">
        <v>44755</v>
      </c>
      <c r="V41" s="59">
        <v>74</v>
      </c>
      <c r="W41" s="59">
        <v>26</v>
      </c>
      <c r="X41" s="183">
        <v>640</v>
      </c>
      <c r="Y41" s="59">
        <v>58</v>
      </c>
      <c r="Z41" s="59">
        <v>57</v>
      </c>
      <c r="AA41" s="59">
        <v>12</v>
      </c>
      <c r="AB41" s="91">
        <v>660000000</v>
      </c>
      <c r="AD41" s="92"/>
    </row>
    <row r="42" spans="1:30" ht="35.1" hidden="1" customHeight="1" x14ac:dyDescent="0.25">
      <c r="A42" s="83">
        <v>44578</v>
      </c>
      <c r="B42" s="7" t="s">
        <v>42</v>
      </c>
      <c r="C42" s="8" t="s">
        <v>43</v>
      </c>
      <c r="D42" s="8" t="s">
        <v>263</v>
      </c>
      <c r="E42" s="61" t="s">
        <v>423</v>
      </c>
      <c r="F42" s="84" t="str">
        <f>IFERROR(VLOOKUP(CONCATENATE($B42,"_",F$3),materiali!$C:$K,5,0),"")</f>
        <v>997005963</v>
      </c>
      <c r="G42" s="85" t="str">
        <f>IFERROR(VLOOKUP(CONCATENATE($B42,"_",G$3),materiali!$C:$K,6,0),"")</f>
        <v>MPC 2013F (FUSTI 50 KG)</v>
      </c>
      <c r="H42" s="90" t="s">
        <v>428</v>
      </c>
      <c r="I42" s="84" t="str">
        <f>IFERROR(VLOOKUP(CONCATENATE($B42,"_",I$3),materiali!$C:$K,5,0),"")</f>
        <v>997005965</v>
      </c>
      <c r="J42" s="85" t="str">
        <f>IFERROR(VLOOKUP(CONCATENATE($B42,"_",J$3),materiali!$C:$K,6,0),"")</f>
        <v>RCH 350F (FUSTI 25 KG)</v>
      </c>
      <c r="K42" s="90" t="s">
        <v>429</v>
      </c>
      <c r="L42" s="84" t="str">
        <f>IFERROR(VLOOKUP(CONCATENATE($B42,"_",L$3),materiali!$C:$K,5,0),"")</f>
        <v/>
      </c>
      <c r="M42" s="85" t="str">
        <f>IFERROR(VLOOKUP(CONCATENATE($B42,"_",M$3),materiali!$C:$K,6,0),"")</f>
        <v/>
      </c>
      <c r="N42" s="90" t="s">
        <v>430</v>
      </c>
      <c r="O42" s="84" t="str">
        <f>IFERROR(VLOOKUP(CONCATENATE($B42,"_",O$3),materiali!$C:$K,5,0),"")</f>
        <v>997006168</v>
      </c>
      <c r="P42" s="85" t="str">
        <f>IFERROR(VLOOKUP(CONCATENATE($B42,"_",P$3),materiali!$C:$K,6,0),"")</f>
        <v>CATALIZZATORE TECNOKAT T12-500</v>
      </c>
      <c r="Q42" s="93" t="s">
        <v>418</v>
      </c>
      <c r="R42" s="84" t="str">
        <f>IFERROR(VLOOKUP(CONCATENATE($B42,"_",R$3),materiali!$C:$K,5,0),"")</f>
        <v>997004318</v>
      </c>
      <c r="S42" s="85" t="str">
        <f>IFERROR(VLOOKUP(CONCATENATE($B42,"_",S$3),materiali!$C:$K,6,0),"")</f>
        <v>BIANCO REMAP 10080 FDA 178.3297 (COLORANTE FDA PER SISTEMI)</v>
      </c>
      <c r="T42" s="90"/>
      <c r="U42" s="31">
        <v>44754</v>
      </c>
      <c r="V42" s="59">
        <v>79</v>
      </c>
      <c r="W42" s="59">
        <v>23</v>
      </c>
      <c r="X42" s="183">
        <v>542</v>
      </c>
      <c r="Y42" s="59">
        <v>48</v>
      </c>
      <c r="Z42" s="59">
        <v>55</v>
      </c>
      <c r="AA42" s="59">
        <v>51</v>
      </c>
      <c r="AD42" s="92"/>
    </row>
    <row r="43" spans="1:30" ht="35.1" hidden="1" customHeight="1" x14ac:dyDescent="0.25">
      <c r="A43" s="83">
        <v>44578</v>
      </c>
      <c r="B43" s="7" t="s">
        <v>14</v>
      </c>
      <c r="C43" s="8" t="s">
        <v>15</v>
      </c>
      <c r="D43" s="8" t="s">
        <v>339</v>
      </c>
      <c r="E43" s="61" t="s">
        <v>431</v>
      </c>
      <c r="F43" s="84" t="str">
        <f>IFERROR(VLOOKUP(CONCATENATE($B43,"_",F$3),materiali!$C:$K,5,0),"")</f>
        <v>997001513</v>
      </c>
      <c r="G43" s="85" t="str">
        <f>IFERROR(VLOOKUP(CONCATENATE($B43,"_",G$3),materiali!$C:$K,6,0),"")</f>
        <v>RESINA TECNOTHANE MPC2013SG</v>
      </c>
      <c r="H43" s="90" t="s">
        <v>424</v>
      </c>
      <c r="I43" s="84" t="str">
        <f>IFERROR(VLOOKUP(CONCATENATE($B43,"_",I$3),materiali!$C:$K,5,0),"")</f>
        <v>997001515</v>
      </c>
      <c r="J43" s="85" t="str">
        <f>IFERROR(VLOOKUP(CONCATENATE($B43,"_",J$3),materiali!$C:$K,6,0),"")</f>
        <v>RETICOLANTE TECNOTHANE RCH160 (50 KG)</v>
      </c>
      <c r="K43" s="90" t="s">
        <v>432</v>
      </c>
      <c r="L43" s="84" t="str">
        <f>IFERROR(VLOOKUP(CONCATENATE($B43,"_",L$3),materiali!$C:$K,5,0),"")</f>
        <v/>
      </c>
      <c r="M43" s="85" t="str">
        <f>IFERROR(VLOOKUP(CONCATENATE($B43,"_",M$3),materiali!$C:$K,6,0),"")</f>
        <v/>
      </c>
      <c r="N43" s="90" t="s">
        <v>426</v>
      </c>
      <c r="O43" s="84" t="str">
        <f>IFERROR(VLOOKUP(CONCATENATE($B43,"_",O$3),materiali!$C:$K,5,0),"")</f>
        <v>040001013</v>
      </c>
      <c r="P43" s="85" t="str">
        <f>IFERROR(VLOOKUP(CONCATENATE($B43,"_",P$3),materiali!$C:$K,6,0),"")</f>
        <v>ACCELERANTE X POLIOLO POLIESTERE TECNOKAT  PURO NON DILUITO</v>
      </c>
      <c r="Q43" s="90" t="s">
        <v>427</v>
      </c>
      <c r="R43" s="84" t="str">
        <f>IFERROR(VLOOKUP(CONCATENATE($B43,"_",R$3),materiali!$C:$K,5,0),"")</f>
        <v>997001508</v>
      </c>
      <c r="S43" s="85" t="str">
        <f>IFERROR(VLOOKUP(CONCATENATE($B43,"_",S$3),materiali!$C:$K,6,0),"")</f>
        <v>COLORE GIALLO PER POLIOLO</v>
      </c>
      <c r="T43" s="90"/>
      <c r="U43" s="31">
        <v>44754</v>
      </c>
      <c r="V43" s="59">
        <v>92</v>
      </c>
      <c r="W43" s="59">
        <v>30</v>
      </c>
      <c r="X43" s="183">
        <v>539</v>
      </c>
      <c r="Y43" s="59">
        <v>80</v>
      </c>
      <c r="Z43" s="59">
        <v>95</v>
      </c>
      <c r="AA43" s="59">
        <v>27</v>
      </c>
      <c r="AD43" s="92"/>
    </row>
    <row r="44" spans="1:30" ht="47.25" hidden="1" customHeight="1" x14ac:dyDescent="0.25">
      <c r="A44" s="83">
        <v>44578</v>
      </c>
      <c r="B44" s="7" t="s">
        <v>28</v>
      </c>
      <c r="C44" s="8" t="s">
        <v>29</v>
      </c>
      <c r="D44" s="8" t="s">
        <v>327</v>
      </c>
      <c r="E44" s="61" t="s">
        <v>433</v>
      </c>
      <c r="F44" s="84" t="str">
        <f>IFERROR(VLOOKUP(CONCATENATE($B44,"_",F$3),materiali!$C:$K,5,0),"")</f>
        <v>997001513</v>
      </c>
      <c r="G44" s="85" t="str">
        <f>IFERROR(VLOOKUP(CONCATENATE($B44,"_",G$3),materiali!$C:$K,6,0),"")</f>
        <v>RESINA TECNOTHANE MPC2013SG</v>
      </c>
      <c r="H44" s="90" t="s">
        <v>424</v>
      </c>
      <c r="I44" s="84" t="str">
        <f>IFERROR(VLOOKUP(CONCATENATE($B44,"_",I$3),materiali!$C:$K,5,0),"")</f>
        <v>997001514</v>
      </c>
      <c r="J44" s="85" t="str">
        <f>IFERROR(VLOOKUP(CONCATENATE($B44,"_",J$3),materiali!$C:$K,6,0),"")</f>
        <v>RETICOLANTE TECNOTHANE RCH361</v>
      </c>
      <c r="K44" s="90" t="s">
        <v>425</v>
      </c>
      <c r="L44" s="84" t="str">
        <f>IFERROR(VLOOKUP(CONCATENATE($B44,"_",L$3),materiali!$C:$K,5,0),"")</f>
        <v/>
      </c>
      <c r="M44" s="85" t="str">
        <f>IFERROR(VLOOKUP(CONCATENATE($B44,"_",M$3),materiali!$C:$K,6,0),"")</f>
        <v/>
      </c>
      <c r="N44" s="90" t="s">
        <v>426</v>
      </c>
      <c r="O44" s="84" t="str">
        <f>IFERROR(VLOOKUP(CONCATENATE($B44,"_",O$3),materiali!$C:$K,5,0),"")</f>
        <v>040001013</v>
      </c>
      <c r="P44" s="85" t="str">
        <f>IFERROR(VLOOKUP(CONCATENATE($B44,"_",P$3),materiali!$C:$K,6,0),"")</f>
        <v>ACCELERANTE X POLIOLO POLIESTERE TECNOKAT  PURO NON DILUITO</v>
      </c>
      <c r="Q44" s="90" t="s">
        <v>427</v>
      </c>
      <c r="R44" s="84" t="str">
        <f>IFERROR(VLOOKUP(CONCATENATE($B44,"_",R$3),materiali!$C:$K,5,0),"")</f>
        <v>997001508</v>
      </c>
      <c r="S44" s="85" t="str">
        <f>IFERROR(VLOOKUP(CONCATENATE($B44,"_",S$3),materiali!$C:$K,6,0),"")</f>
        <v>COLORE GIALLO PER POLIOLO</v>
      </c>
      <c r="T44" s="90"/>
      <c r="U44" s="31">
        <v>44742</v>
      </c>
      <c r="V44" s="59">
        <v>72</v>
      </c>
      <c r="W44" s="59">
        <v>15</v>
      </c>
      <c r="X44" s="183">
        <v>458</v>
      </c>
      <c r="Y44" s="59">
        <v>41</v>
      </c>
      <c r="Z44" s="59">
        <v>50</v>
      </c>
      <c r="AA44" s="59">
        <v>14</v>
      </c>
      <c r="AD44" s="92"/>
    </row>
    <row r="45" spans="1:30" ht="35.1" hidden="1" customHeight="1" x14ac:dyDescent="0.25">
      <c r="A45" s="83">
        <v>44578</v>
      </c>
      <c r="B45" s="7" t="s">
        <v>35</v>
      </c>
      <c r="C45" s="8" t="s">
        <v>36</v>
      </c>
      <c r="D45" s="8" t="s">
        <v>267</v>
      </c>
      <c r="E45" s="61" t="s">
        <v>433</v>
      </c>
      <c r="F45" s="84" t="str">
        <f>IFERROR(VLOOKUP(CONCATENATE($B45,"_",F$3),materiali!$C:$K,5,0),"")</f>
        <v>997001502</v>
      </c>
      <c r="G45" s="85" t="str">
        <f>IFERROR(VLOOKUP(CONCATENATE($B45,"_",G$3),materiali!$C:$K,6,0),"")</f>
        <v>ISOCIANATO POLIETERE SH.70/90 TECNOTHANE MPT 109SG</v>
      </c>
      <c r="H45" s="90" t="s">
        <v>434</v>
      </c>
      <c r="I45" s="84" t="str">
        <f>IFERROR(VLOOKUP(CONCATENATE($B45,"_",I$3),materiali!$C:$K,5,0),"")</f>
        <v>997001503</v>
      </c>
      <c r="J45" s="85" t="str">
        <f>IFERROR(VLOOKUP(CONCATENATE($B45,"_",J$3),materiali!$C:$K,6,0),"")</f>
        <v>POLIOLO POLIETERE SH.70 TECNOTHANE RH 275</v>
      </c>
      <c r="K45" s="90" t="s">
        <v>435</v>
      </c>
      <c r="L45" s="84" t="str">
        <f>IFERROR(VLOOKUP(CONCATENATE($B45,"_",L$3),materiali!$C:$K,5,0),"")</f>
        <v/>
      </c>
      <c r="M45" s="85" t="str">
        <f>IFERROR(VLOOKUP(CONCATENATE($B45,"_",M$3),materiali!$C:$K,6,0),"")</f>
        <v/>
      </c>
      <c r="N45" s="90" t="s">
        <v>426</v>
      </c>
      <c r="O45" s="84" t="str">
        <f>IFERROR(VLOOKUP(CONCATENATE($B45,"_",O$3),materiali!$C:$K,5,0),"")</f>
        <v>040001013</v>
      </c>
      <c r="P45" s="85" t="str">
        <f>IFERROR(VLOOKUP(CONCATENATE($B45,"_",P$3),materiali!$C:$K,6,0),"")</f>
        <v>CATALIZZATORE TECNOKAT E, 10KG</v>
      </c>
      <c r="Q45" s="90">
        <v>7980</v>
      </c>
      <c r="R45" s="84" t="str">
        <f>IFERROR(VLOOKUP(CONCATENATE($B45,"_",R$3),materiali!$C:$K,5,0),"")</f>
        <v>040001014</v>
      </c>
      <c r="S45" s="85" t="str">
        <f>IFERROR(VLOOKUP(CONCATENATE($B45,"_",S$3),materiali!$C:$K,6,0),"")</f>
        <v>ADDITTIVO ANTISTAT.PER POLIOLO POLIEST.CATAFOR PU</v>
      </c>
      <c r="T45" s="90"/>
      <c r="U45" s="31">
        <v>44755</v>
      </c>
      <c r="V45" s="59">
        <v>72</v>
      </c>
      <c r="W45" s="59">
        <v>6</v>
      </c>
      <c r="X45" s="183">
        <v>216</v>
      </c>
      <c r="Y45" s="59">
        <v>25</v>
      </c>
      <c r="Z45" s="59">
        <v>29</v>
      </c>
      <c r="AA45" s="59">
        <v>12</v>
      </c>
      <c r="AB45" s="91">
        <v>260000000</v>
      </c>
      <c r="AD45" s="92"/>
    </row>
    <row r="46" spans="1:30" ht="35.1" hidden="1" customHeight="1" x14ac:dyDescent="0.25">
      <c r="A46" s="83">
        <v>44578</v>
      </c>
      <c r="B46" s="7" t="s">
        <v>10</v>
      </c>
      <c r="C46" s="8" t="s">
        <v>11</v>
      </c>
      <c r="D46" s="8" t="s">
        <v>341</v>
      </c>
      <c r="E46" s="61" t="s">
        <v>431</v>
      </c>
      <c r="F46" s="84" t="str">
        <f>IFERROR(VLOOKUP(CONCATENATE($B46,"_",F$3),materiali!$C:$K,5,0),"")</f>
        <v>997001502</v>
      </c>
      <c r="G46" s="85" t="str">
        <f>IFERROR(VLOOKUP(CONCATENATE($B46,"_",G$3),materiali!$C:$K,6,0),"")</f>
        <v>ISOCIANATO POLIETERE SH.70/90 TECNOTHANE MPT 109SG</v>
      </c>
      <c r="H46" s="90" t="s">
        <v>436</v>
      </c>
      <c r="I46" s="84" t="str">
        <f>IFERROR(VLOOKUP(CONCATENATE($B46,"_",I$3),materiali!$C:$K,5,0),"")</f>
        <v>997005228</v>
      </c>
      <c r="J46" s="85" t="str">
        <f>IFERROR(VLOOKUP(CONCATENATE($B46,"_",J$3),materiali!$C:$K,6,0),"")</f>
        <v>POLIOLO POLIETERE SH.70 TECNOTHANE RH 246  FORMATO 200 KG.</v>
      </c>
      <c r="K46" s="90" t="s">
        <v>436</v>
      </c>
      <c r="L46" s="84" t="str">
        <f>IFERROR(VLOOKUP(CONCATENATE($B46,"_",L$3),materiali!$C:$K,5,0),"")</f>
        <v/>
      </c>
      <c r="M46" s="85" t="str">
        <f>IFERROR(VLOOKUP(CONCATENATE($B46,"_",M$3),materiali!$C:$K,6,0),"")</f>
        <v/>
      </c>
      <c r="N46" s="90" t="s">
        <v>426</v>
      </c>
      <c r="O46" s="84" t="str">
        <f>IFERROR(VLOOKUP(CONCATENATE($B46,"_",O$3),materiali!$C:$K,5,0),"")</f>
        <v>040001013</v>
      </c>
      <c r="P46" s="85" t="str">
        <f>IFERROR(VLOOKUP(CONCATENATE($B46,"_",P$3),materiali!$C:$K,6,0),"")</f>
        <v>ACCELERANTE X POLIOLO POLIESTE RE (per macchine pur old)</v>
      </c>
      <c r="Q46" s="90" t="s">
        <v>427</v>
      </c>
      <c r="R46" s="84" t="str">
        <f>IFERROR(VLOOKUP(CONCATENATE($B46,"_",R$3),materiali!$C:$K,5,0),"")</f>
        <v>997001508</v>
      </c>
      <c r="S46" s="85" t="str">
        <f>IFERROR(VLOOKUP(CONCATENATE($B46,"_",S$3),materiali!$C:$K,6,0),"")</f>
        <v>COLORE GIALLO PER POLIOLO</v>
      </c>
      <c r="T46" s="90">
        <v>7980</v>
      </c>
      <c r="U46" s="31">
        <v>44754</v>
      </c>
      <c r="V46" s="59">
        <v>72</v>
      </c>
      <c r="W46" s="59">
        <v>6</v>
      </c>
      <c r="X46" s="183">
        <v>242</v>
      </c>
      <c r="Y46" s="59">
        <v>28</v>
      </c>
      <c r="Z46" s="59">
        <v>34</v>
      </c>
      <c r="AA46" s="59">
        <v>12</v>
      </c>
      <c r="AB46" s="91">
        <v>540000000</v>
      </c>
      <c r="AD46" s="92"/>
    </row>
    <row r="47" spans="1:30" ht="35.1" hidden="1" customHeight="1" x14ac:dyDescent="0.25">
      <c r="A47" s="83">
        <v>44809</v>
      </c>
      <c r="B47" s="7" t="s">
        <v>20</v>
      </c>
      <c r="C47" s="8" t="s">
        <v>21</v>
      </c>
      <c r="D47" s="8" t="s">
        <v>315</v>
      </c>
      <c r="E47" s="61" t="s">
        <v>437</v>
      </c>
      <c r="F47" s="84" t="str">
        <f>IFERROR(VLOOKUP(CONCATENATE($B47,"_",F$3),materiali!$C:$K,5,0),"")</f>
        <v>997001513</v>
      </c>
      <c r="G47" s="85" t="str">
        <f>IFERROR(VLOOKUP(CONCATENATE($B47,"_",G$3),materiali!$C:$K,6,0),"")</f>
        <v>RESINA TECNOTHANE MPC2013SG</v>
      </c>
      <c r="H47" s="90" t="s">
        <v>438</v>
      </c>
      <c r="I47" s="84" t="str">
        <f>IFERROR(VLOOKUP(CONCATENATE($B47,"_",I$3),materiali!$C:$K,5,0),"")</f>
        <v>997001514</v>
      </c>
      <c r="J47" s="85" t="str">
        <f>IFERROR(VLOOKUP(CONCATENATE($B47,"_",J$3),materiali!$C:$K,6,0),"")</f>
        <v>RETICOLANTE TECNOTHANE RCH361</v>
      </c>
      <c r="K47" s="90" t="s">
        <v>439</v>
      </c>
      <c r="L47" s="84" t="str">
        <f>IFERROR(VLOOKUP(CONCATENATE($B47,"_",L$3),materiali!$C:$K,5,0),"")</f>
        <v/>
      </c>
      <c r="M47" s="85" t="str">
        <f>IFERROR(VLOOKUP(CONCATENATE($B47,"_",M$3),materiali!$C:$K,6,0),"")</f>
        <v/>
      </c>
      <c r="N47" s="90" t="s">
        <v>440</v>
      </c>
      <c r="O47" s="84" t="str">
        <f>IFERROR(VLOOKUP(CONCATENATE($B47,"_",O$3),materiali!$C:$K,5,0),"")</f>
        <v>040001013</v>
      </c>
      <c r="P47" s="85" t="str">
        <f>IFERROR(VLOOKUP(CONCATENATE($B47,"_",P$3),materiali!$C:$K,6,0),"")</f>
        <v>ACCELERANTE X POLIOLO POLIESTERE TECNOKAT  PURO NON DILUITO</v>
      </c>
      <c r="Q47" s="90" t="s">
        <v>441</v>
      </c>
      <c r="R47" s="84" t="str">
        <f>IFERROR(VLOOKUP(CONCATENATE($B47,"_",R$3),materiali!$C:$K,5,0),"")</f>
        <v>997001508</v>
      </c>
      <c r="S47" s="85" t="str">
        <f>IFERROR(VLOOKUP(CONCATENATE($B47,"_",S$3),materiali!$C:$K,6,0),"")</f>
        <v>COLORE GIALLO PER POLIOLO</v>
      </c>
      <c r="T47" s="90">
        <v>8426</v>
      </c>
      <c r="U47" s="31">
        <v>44886</v>
      </c>
      <c r="V47" s="59">
        <v>71</v>
      </c>
      <c r="W47" s="59">
        <v>24</v>
      </c>
      <c r="X47" s="183">
        <v>595</v>
      </c>
      <c r="Y47" s="59">
        <v>54</v>
      </c>
      <c r="Z47" s="59">
        <v>57</v>
      </c>
      <c r="AA47" s="59">
        <v>16</v>
      </c>
      <c r="AB47" s="91">
        <v>510000000</v>
      </c>
      <c r="AD47" s="97"/>
    </row>
    <row r="48" spans="1:30" ht="35.1" hidden="1" customHeight="1" x14ac:dyDescent="0.25">
      <c r="A48" s="83">
        <v>44809</v>
      </c>
      <c r="B48" s="7" t="s">
        <v>28</v>
      </c>
      <c r="C48" s="8" t="s">
        <v>29</v>
      </c>
      <c r="D48" s="8" t="s">
        <v>327</v>
      </c>
      <c r="E48" s="61" t="s">
        <v>437</v>
      </c>
      <c r="F48" s="84" t="str">
        <f>IFERROR(VLOOKUP(CONCATENATE($B48,"_",F$3),materiali!$C:$K,5,0),"")</f>
        <v>997001513</v>
      </c>
      <c r="G48" s="85" t="str">
        <f>IFERROR(VLOOKUP(CONCATENATE($B48,"_",G$3),materiali!$C:$K,6,0),"")</f>
        <v>RESINA TECNOTHANE MPC2013SG</v>
      </c>
      <c r="H48" s="90" t="s">
        <v>438</v>
      </c>
      <c r="I48" s="84" t="str">
        <f>IFERROR(VLOOKUP(CONCATENATE($B48,"_",I$3),materiali!$C:$K,5,0),"")</f>
        <v>997001514</v>
      </c>
      <c r="J48" s="85" t="str">
        <f>IFERROR(VLOOKUP(CONCATENATE($B48,"_",J$3),materiali!$C:$K,6,0),"")</f>
        <v>RETICOLANTE TECNOTHANE RCH361</v>
      </c>
      <c r="K48" s="90" t="s">
        <v>439</v>
      </c>
      <c r="L48" s="84" t="str">
        <f>IFERROR(VLOOKUP(CONCATENATE($B48,"_",L$3),materiali!$C:$K,5,0),"")</f>
        <v/>
      </c>
      <c r="M48" s="85" t="str">
        <f>IFERROR(VLOOKUP(CONCATENATE($B48,"_",M$3),materiali!$C:$K,6,0),"")</f>
        <v/>
      </c>
      <c r="N48" s="90" t="s">
        <v>440</v>
      </c>
      <c r="O48" s="84" t="str">
        <f>IFERROR(VLOOKUP(CONCATENATE($B48,"_",O$3),materiali!$C:$K,5,0),"")</f>
        <v>040001013</v>
      </c>
      <c r="P48" s="85" t="str">
        <f>IFERROR(VLOOKUP(CONCATENATE($B48,"_",P$3),materiali!$C:$K,6,0),"")</f>
        <v>ACCELERANTE X POLIOLO POLIESTERE TECNOKAT  PURO NON DILUITO</v>
      </c>
      <c r="Q48" s="90" t="s">
        <v>441</v>
      </c>
      <c r="R48" s="84" t="str">
        <f>IFERROR(VLOOKUP(CONCATENATE($B48,"_",R$3),materiali!$C:$K,5,0),"")</f>
        <v>997001508</v>
      </c>
      <c r="S48" s="85" t="str">
        <f>IFERROR(VLOOKUP(CONCATENATE($B48,"_",S$3),materiali!$C:$K,6,0),"")</f>
        <v>COLORE GIALLO PER POLIOLO</v>
      </c>
      <c r="T48" s="90"/>
      <c r="U48" s="31">
        <v>44886</v>
      </c>
      <c r="V48" s="59">
        <v>71</v>
      </c>
      <c r="W48" s="59">
        <v>23</v>
      </c>
      <c r="X48" s="175">
        <v>533</v>
      </c>
      <c r="Y48" s="59">
        <v>48</v>
      </c>
      <c r="Z48" s="59">
        <v>54</v>
      </c>
      <c r="AA48" s="96">
        <v>10</v>
      </c>
      <c r="AD48" s="97"/>
    </row>
    <row r="49" spans="1:30" ht="35.1" hidden="1" customHeight="1" x14ac:dyDescent="0.25">
      <c r="A49" s="83">
        <v>44809</v>
      </c>
      <c r="B49" s="7" t="s">
        <v>35</v>
      </c>
      <c r="C49" s="8" t="s">
        <v>36</v>
      </c>
      <c r="D49" s="8" t="s">
        <v>267</v>
      </c>
      <c r="E49" s="61" t="s">
        <v>442</v>
      </c>
      <c r="F49" s="84" t="str">
        <f>IFERROR(VLOOKUP(CONCATENATE($B49,"_",F$3),materiali!$C:$K,5,0),"")</f>
        <v>997001502</v>
      </c>
      <c r="G49" s="85" t="str">
        <f>IFERROR(VLOOKUP(CONCATENATE($B49,"_",G$3),materiali!$C:$K,6,0),"")</f>
        <v>ISOCIANATO POLIETERE SH.70/90 TECNOTHANE MPT 109SG</v>
      </c>
      <c r="H49" s="90" t="s">
        <v>443</v>
      </c>
      <c r="I49" s="84" t="str">
        <f>IFERROR(VLOOKUP(CONCATENATE($B49,"_",I$3),materiali!$C:$K,5,0),"")</f>
        <v>997001503</v>
      </c>
      <c r="J49" s="85" t="str">
        <f>IFERROR(VLOOKUP(CONCATENATE($B49,"_",J$3),materiali!$C:$K,6,0),"")</f>
        <v>POLIOLO POLIETERE SH.70 TECNOTHANE RH 275</v>
      </c>
      <c r="K49" s="90" t="s">
        <v>444</v>
      </c>
      <c r="L49" s="84" t="str">
        <f>IFERROR(VLOOKUP(CONCATENATE($B49,"_",L$3),materiali!$C:$K,5,0),"")</f>
        <v/>
      </c>
      <c r="M49" s="85" t="str">
        <f>IFERROR(VLOOKUP(CONCATENATE($B49,"_",M$3),materiali!$C:$K,6,0),"")</f>
        <v/>
      </c>
      <c r="N49" s="90" t="s">
        <v>440</v>
      </c>
      <c r="O49" s="84" t="str">
        <f>IFERROR(VLOOKUP(CONCATENATE($B49,"_",O$3),materiali!$C:$K,5,0),"")</f>
        <v>040001013</v>
      </c>
      <c r="P49" s="85" t="str">
        <f>IFERROR(VLOOKUP(CONCATENATE($B49,"_",P$3),materiali!$C:$K,6,0),"")</f>
        <v>CATALIZZATORE TECNOKAT E, 10KG</v>
      </c>
      <c r="Q49" s="90" t="s">
        <v>441</v>
      </c>
      <c r="R49" s="84" t="str">
        <f>IFERROR(VLOOKUP(CONCATENATE($B49,"_",R$3),materiali!$C:$K,5,0),"")</f>
        <v>040001014</v>
      </c>
      <c r="S49" s="85" t="str">
        <f>IFERROR(VLOOKUP(CONCATENATE($B49,"_",S$3),materiali!$C:$K,6,0),"")</f>
        <v>ADDITTIVO ANTISTAT.PER POLIOLO POLIEST.CATAFOR PU</v>
      </c>
      <c r="T49" s="90"/>
      <c r="U49" s="31">
        <v>44886</v>
      </c>
      <c r="V49" s="59">
        <v>70</v>
      </c>
      <c r="W49" s="59">
        <v>8</v>
      </c>
      <c r="X49" s="175">
        <v>293</v>
      </c>
      <c r="Y49" s="59">
        <v>27</v>
      </c>
      <c r="Z49" s="59">
        <v>36</v>
      </c>
      <c r="AA49" s="59">
        <v>10</v>
      </c>
      <c r="AB49" s="91">
        <v>32000000</v>
      </c>
      <c r="AD49" s="97"/>
    </row>
    <row r="50" spans="1:30" ht="35.1" hidden="1" customHeight="1" x14ac:dyDescent="0.25">
      <c r="A50" s="83">
        <v>44809</v>
      </c>
      <c r="B50" s="7" t="s">
        <v>14</v>
      </c>
      <c r="C50" s="8" t="s">
        <v>15</v>
      </c>
      <c r="D50" s="8" t="s">
        <v>339</v>
      </c>
      <c r="E50" s="61" t="s">
        <v>445</v>
      </c>
      <c r="F50" s="84" t="str">
        <f>IFERROR(VLOOKUP(CONCATENATE($B50,"_",F$3),materiali!$C:$K,5,0),"")</f>
        <v>997001513</v>
      </c>
      <c r="G50" s="85" t="str">
        <f>IFERROR(VLOOKUP(CONCATENATE($B50,"_",G$3),materiali!$C:$K,6,0),"")</f>
        <v>RESINA TECNOTHANE MPC2013SG</v>
      </c>
      <c r="H50" s="90" t="s">
        <v>438</v>
      </c>
      <c r="I50" s="84" t="str">
        <f>IFERROR(VLOOKUP(CONCATENATE($B50,"_",I$3),materiali!$C:$K,5,0),"")</f>
        <v>997001515</v>
      </c>
      <c r="J50" s="85" t="str">
        <f>IFERROR(VLOOKUP(CONCATENATE($B50,"_",J$3),materiali!$C:$K,6,0),"")</f>
        <v>RETICOLANTE TECNOTHANE RCH160 (50 KG)</v>
      </c>
      <c r="K50" s="90" t="s">
        <v>446</v>
      </c>
      <c r="L50" s="84" t="str">
        <f>IFERROR(VLOOKUP(CONCATENATE($B50,"_",L$3),materiali!$C:$K,5,0),"")</f>
        <v/>
      </c>
      <c r="M50" s="85" t="str">
        <f>IFERROR(VLOOKUP(CONCATENATE($B50,"_",M$3),materiali!$C:$K,6,0),"")</f>
        <v/>
      </c>
      <c r="N50" s="90" t="s">
        <v>440</v>
      </c>
      <c r="O50" s="84" t="str">
        <f>IFERROR(VLOOKUP(CONCATENATE($B50,"_",O$3),materiali!$C:$K,5,0),"")</f>
        <v>040001013</v>
      </c>
      <c r="P50" s="85" t="str">
        <f>IFERROR(VLOOKUP(CONCATENATE($B50,"_",P$3),materiali!$C:$K,6,0),"")</f>
        <v>ACCELERANTE X POLIOLO POLIESTERE TECNOKAT  PURO NON DILUITO</v>
      </c>
      <c r="Q50" s="90" t="s">
        <v>441</v>
      </c>
      <c r="R50" s="84" t="str">
        <f>IFERROR(VLOOKUP(CONCATENATE($B50,"_",R$3),materiali!$C:$K,5,0),"")</f>
        <v>997001508</v>
      </c>
      <c r="S50" s="85" t="str">
        <f>IFERROR(VLOOKUP(CONCATENATE($B50,"_",S$3),materiali!$C:$K,6,0),"")</f>
        <v>COLORE GIALLO PER POLIOLO</v>
      </c>
      <c r="T50" s="90"/>
      <c r="U50" s="31">
        <v>44886</v>
      </c>
      <c r="V50" s="59">
        <v>92</v>
      </c>
      <c r="W50" s="96">
        <v>22</v>
      </c>
      <c r="X50" s="183">
        <v>407</v>
      </c>
      <c r="Y50" s="59">
        <v>82</v>
      </c>
      <c r="Z50" s="59">
        <v>100</v>
      </c>
      <c r="AA50" s="59">
        <v>22</v>
      </c>
      <c r="AD50" s="97"/>
    </row>
    <row r="51" spans="1:30" ht="35.1" hidden="1" customHeight="1" x14ac:dyDescent="0.25">
      <c r="A51" s="83">
        <v>44809</v>
      </c>
      <c r="B51" s="7" t="s">
        <v>10</v>
      </c>
      <c r="C51" s="8" t="s">
        <v>11</v>
      </c>
      <c r="D51" s="8" t="s">
        <v>341</v>
      </c>
      <c r="E51" s="61" t="s">
        <v>445</v>
      </c>
      <c r="F51" s="84" t="str">
        <f>IFERROR(VLOOKUP(CONCATENATE($B51,"_",F$3),materiali!$C:$K,5,0),"")</f>
        <v>997001502</v>
      </c>
      <c r="G51" s="85" t="str">
        <f>IFERROR(VLOOKUP(CONCATENATE($B51,"_",G$3),materiali!$C:$K,6,0),"")</f>
        <v>ISOCIANATO POLIETERE SH.70/90 TECNOTHANE MPT 109SG</v>
      </c>
      <c r="H51" s="90" t="s">
        <v>443</v>
      </c>
      <c r="I51" s="84" t="str">
        <f>IFERROR(VLOOKUP(CONCATENATE($B51,"_",I$3),materiali!$C:$K,5,0),"")</f>
        <v>997005228</v>
      </c>
      <c r="J51" s="85" t="str">
        <f>IFERROR(VLOOKUP(CONCATENATE($B51,"_",J$3),materiali!$C:$K,6,0),"")</f>
        <v>POLIOLO POLIETERE SH.70 TECNOTHANE RH 246  FORMATO 200 KG.</v>
      </c>
      <c r="K51" s="90" t="s">
        <v>447</v>
      </c>
      <c r="L51" s="84" t="str">
        <f>IFERROR(VLOOKUP(CONCATENATE($B51,"_",L$3),materiali!$C:$K,5,0),"")</f>
        <v/>
      </c>
      <c r="M51" s="85" t="str">
        <f>IFERROR(VLOOKUP(CONCATENATE($B51,"_",M$3),materiali!$C:$K,6,0),"")</f>
        <v/>
      </c>
      <c r="N51" s="90" t="s">
        <v>440</v>
      </c>
      <c r="O51" s="84" t="str">
        <f>IFERROR(VLOOKUP(CONCATENATE($B51,"_",O$3),materiali!$C:$K,5,0),"")</f>
        <v>040001013</v>
      </c>
      <c r="P51" s="85" t="str">
        <f>IFERROR(VLOOKUP(CONCATENATE($B51,"_",P$3),materiali!$C:$K,6,0),"")</f>
        <v>ACCELERANTE X POLIOLO POLIESTE RE (per macchine pur old)</v>
      </c>
      <c r="Q51" s="90" t="s">
        <v>441</v>
      </c>
      <c r="R51" s="84" t="str">
        <f>IFERROR(VLOOKUP(CONCATENATE($B51,"_",R$3),materiali!$C:$K,5,0),"")</f>
        <v>997001508</v>
      </c>
      <c r="S51" s="85" t="str">
        <f>IFERROR(VLOOKUP(CONCATENATE($B51,"_",S$3),materiali!$C:$K,6,0),"")</f>
        <v>COLORE GIALLO PER POLIOLO</v>
      </c>
      <c r="T51" s="90">
        <v>8426</v>
      </c>
      <c r="U51" s="31">
        <v>44886</v>
      </c>
      <c r="V51" s="59">
        <v>70</v>
      </c>
      <c r="W51" s="59">
        <v>9</v>
      </c>
      <c r="X51" s="183">
        <v>313</v>
      </c>
      <c r="Y51" s="59">
        <v>31</v>
      </c>
      <c r="Z51" s="59">
        <v>40</v>
      </c>
      <c r="AA51" s="96">
        <v>6</v>
      </c>
      <c r="AB51" s="91">
        <v>490000000</v>
      </c>
      <c r="AD51" s="97"/>
    </row>
    <row r="52" spans="1:30" ht="35.1" customHeight="1" x14ac:dyDescent="0.25">
      <c r="A52" s="83">
        <v>44809</v>
      </c>
      <c r="B52" s="7" t="s">
        <v>24</v>
      </c>
      <c r="C52" s="8" t="s">
        <v>25</v>
      </c>
      <c r="D52" s="8" t="s">
        <v>247</v>
      </c>
      <c r="E52" s="61" t="s">
        <v>442</v>
      </c>
      <c r="F52" s="84" t="str">
        <f>IFERROR(VLOOKUP(CONCATENATE($B52,"_",F$3),materiali!$C:$K,5,0),"")</f>
        <v>997006153</v>
      </c>
      <c r="G52" s="85" t="str">
        <f>IFERROR(VLOOKUP(CONCATENATE($B52,"_",G$3),materiali!$C:$K,6,0),"")</f>
        <v>MPC 109A (FUSTI 50 KG)</v>
      </c>
      <c r="H52" s="90" t="s">
        <v>448</v>
      </c>
      <c r="I52" s="84" t="str">
        <f>IFERROR(VLOOKUP(CONCATENATE($B52,"_",I$3),materiali!$C:$K,5,0),"")</f>
        <v>997006154</v>
      </c>
      <c r="J52" s="85" t="str">
        <f>IFERROR(VLOOKUP(CONCATENATE($B52,"_",J$3),materiali!$C:$K,6,0),"")</f>
        <v>RH 275B (FUSTI 25 KG)</v>
      </c>
      <c r="K52" s="90" t="s">
        <v>449</v>
      </c>
      <c r="L52" s="84" t="str">
        <f>IFERROR(VLOOKUP(CONCATENATE($B52,"_",L$3),materiali!$C:$K,5,0),"")</f>
        <v/>
      </c>
      <c r="M52" s="85" t="str">
        <f>IFERROR(VLOOKUP(CONCATENATE($B52,"_",M$3),materiali!$C:$K,6,0),"")</f>
        <v/>
      </c>
      <c r="N52" s="90" t="s">
        <v>450</v>
      </c>
      <c r="O52" s="84" t="str">
        <f>IFERROR(VLOOKUP(CONCATENATE($B52,"_",O$3),materiali!$C:$K,5,0),"")</f>
        <v>997006168</v>
      </c>
      <c r="P52" s="85" t="str">
        <f>IFERROR(VLOOKUP(CONCATENATE($B52,"_",P$3),materiali!$C:$K,6,0),"")</f>
        <v>CATALIZZATORE TECNOKAT T12-500</v>
      </c>
      <c r="Q52" s="93" t="s">
        <v>418</v>
      </c>
      <c r="R52" s="84" t="str">
        <f>IFERROR(VLOOKUP(CONCATENATE($B52,"_",R$3),materiali!$C:$K,5,0),"")</f>
        <v>997004318</v>
      </c>
      <c r="S52" s="85" t="str">
        <f>IFERROR(VLOOKUP(CONCATENATE($B52,"_",S$3),materiali!$C:$K,6,0),"")</f>
        <v>BIANCO REMAP 10080 FDA 178.3297 (COLORANTE FDA PER SISTEMI)</v>
      </c>
      <c r="T52" s="90"/>
      <c r="U52" s="31">
        <v>44886</v>
      </c>
      <c r="V52" s="59">
        <v>70</v>
      </c>
      <c r="W52" s="59">
        <v>7</v>
      </c>
      <c r="X52" s="235">
        <v>298</v>
      </c>
      <c r="Y52" s="59">
        <v>29</v>
      </c>
      <c r="Z52" s="59">
        <v>38</v>
      </c>
      <c r="AA52" s="96">
        <v>15</v>
      </c>
      <c r="AD52" s="97"/>
    </row>
    <row r="53" spans="1:30" ht="35.1" hidden="1" customHeight="1" x14ac:dyDescent="0.25">
      <c r="A53" s="83">
        <v>44890</v>
      </c>
      <c r="B53" s="7" t="s">
        <v>28</v>
      </c>
      <c r="C53" s="8" t="s">
        <v>29</v>
      </c>
      <c r="D53" s="8" t="s">
        <v>327</v>
      </c>
      <c r="E53" s="61" t="s">
        <v>451</v>
      </c>
      <c r="F53" s="84" t="str">
        <f>IFERROR(VLOOKUP(CONCATENATE($B53,"_",F$3),materiali!$C:$K,5,0),"")</f>
        <v>997001513</v>
      </c>
      <c r="G53" s="85" t="str">
        <f>IFERROR(VLOOKUP(CONCATENATE($B53,"_",G$3),materiali!$C:$K,6,0),"")</f>
        <v>RESINA TECNOTHANE MPC2013SG</v>
      </c>
      <c r="H53" s="90" t="s">
        <v>452</v>
      </c>
      <c r="I53" s="84" t="str">
        <f>IFERROR(VLOOKUP(CONCATENATE($B53,"_",I$3),materiali!$C:$K,5,0),"")</f>
        <v>997001514</v>
      </c>
      <c r="J53" s="85" t="str">
        <f>IFERROR(VLOOKUP(CONCATENATE($B53,"_",J$3),materiali!$C:$K,6,0),"")</f>
        <v>RETICOLANTE TECNOTHANE RCH361</v>
      </c>
      <c r="K53" s="90" t="s">
        <v>453</v>
      </c>
      <c r="L53" s="84" t="str">
        <f>IFERROR(VLOOKUP(CONCATENATE($B53,"_",L$3),materiali!$C:$K,5,0),"")</f>
        <v/>
      </c>
      <c r="M53" s="85" t="str">
        <f>IFERROR(VLOOKUP(CONCATENATE($B53,"_",M$3),materiali!$C:$K,6,0),"")</f>
        <v/>
      </c>
      <c r="N53" s="90" t="s">
        <v>454</v>
      </c>
      <c r="O53" s="84" t="str">
        <f>IFERROR(VLOOKUP(CONCATENATE($B53,"_",O$3),materiali!$C:$K,5,0),"")</f>
        <v>040001013</v>
      </c>
      <c r="P53" s="85" t="str">
        <f>IFERROR(VLOOKUP(CONCATENATE($B53,"_",P$3),materiali!$C:$K,6,0),"")</f>
        <v>ACCELERANTE X POLIOLO POLIESTERE TECNOKAT  PURO NON DILUITO</v>
      </c>
      <c r="Q53" s="90" t="s">
        <v>455</v>
      </c>
      <c r="R53" s="84" t="str">
        <f>IFERROR(VLOOKUP(CONCATENATE($B53,"_",R$3),materiali!$C:$K,5,0),"")</f>
        <v>997001508</v>
      </c>
      <c r="S53" s="85" t="str">
        <f>IFERROR(VLOOKUP(CONCATENATE($B53,"_",S$3),materiali!$C:$K,6,0),"")</f>
        <v>COLORE GIALLO PER POLIOLO</v>
      </c>
      <c r="T53" s="90"/>
      <c r="U53" s="31">
        <v>45180</v>
      </c>
      <c r="V53" s="59">
        <v>72</v>
      </c>
      <c r="W53" s="59">
        <v>21</v>
      </c>
      <c r="X53" s="183">
        <v>750</v>
      </c>
      <c r="Y53" s="59">
        <v>40</v>
      </c>
      <c r="Z53" s="59">
        <v>50</v>
      </c>
      <c r="AA53" s="59">
        <v>11</v>
      </c>
      <c r="AD53" s="97"/>
    </row>
    <row r="54" spans="1:30" ht="35.1" hidden="1" customHeight="1" x14ac:dyDescent="0.25">
      <c r="A54" s="83">
        <v>44890</v>
      </c>
      <c r="B54" s="7" t="s">
        <v>10</v>
      </c>
      <c r="C54" s="8" t="s">
        <v>11</v>
      </c>
      <c r="D54" s="8" t="s">
        <v>341</v>
      </c>
      <c r="E54" s="61" t="s">
        <v>456</v>
      </c>
      <c r="F54" s="84" t="str">
        <f>IFERROR(VLOOKUP(CONCATENATE($B54,"_",F$3),materiali!$C:$K,5,0),"")</f>
        <v>997001502</v>
      </c>
      <c r="G54" s="85" t="str">
        <f>IFERROR(VLOOKUP(CONCATENATE($B54,"_",G$3),materiali!$C:$K,6,0),"")</f>
        <v>ISOCIANATO POLIETERE SH.70/90 TECNOTHANE MPT 109SG</v>
      </c>
      <c r="H54" s="90" t="s">
        <v>457</v>
      </c>
      <c r="I54" s="84" t="str">
        <f>IFERROR(VLOOKUP(CONCATENATE($B54,"_",I$3),materiali!$C:$K,5,0),"")</f>
        <v>997005228</v>
      </c>
      <c r="J54" s="85" t="str">
        <f>IFERROR(VLOOKUP(CONCATENATE($B54,"_",J$3),materiali!$C:$K,6,0),"")</f>
        <v>POLIOLO POLIETERE SH.70 TECNOTHANE RH 246  FORMATO 200 KG.</v>
      </c>
      <c r="K54" s="90" t="s">
        <v>458</v>
      </c>
      <c r="L54" s="84" t="str">
        <f>IFERROR(VLOOKUP(CONCATENATE($B54,"_",L$3),materiali!$C:$K,5,0),"")</f>
        <v/>
      </c>
      <c r="M54" s="85" t="str">
        <f>IFERROR(VLOOKUP(CONCATENATE($B54,"_",M$3),materiali!$C:$K,6,0),"")</f>
        <v/>
      </c>
      <c r="N54" s="90" t="s">
        <v>459</v>
      </c>
      <c r="O54" s="84" t="str">
        <f>IFERROR(VLOOKUP(CONCATENATE($B54,"_",O$3),materiali!$C:$K,5,0),"")</f>
        <v>040001013</v>
      </c>
      <c r="P54" s="85" t="str">
        <f>IFERROR(VLOOKUP(CONCATENATE($B54,"_",P$3),materiali!$C:$K,6,0),"")</f>
        <v>ACCELERANTE X POLIOLO POLIESTE RE (per macchine pur old)</v>
      </c>
      <c r="Q54" s="90" t="s">
        <v>455</v>
      </c>
      <c r="R54" s="84" t="str">
        <f>IFERROR(VLOOKUP(CONCATENATE($B54,"_",R$3),materiali!$C:$K,5,0),"")</f>
        <v>997001508</v>
      </c>
      <c r="S54" s="85" t="str">
        <f>IFERROR(VLOOKUP(CONCATENATE($B54,"_",S$3),materiali!$C:$K,6,0),"")</f>
        <v>COLORE GIALLO PER POLIOLO</v>
      </c>
      <c r="T54" s="90">
        <v>8960</v>
      </c>
      <c r="U54" s="31">
        <v>45005</v>
      </c>
      <c r="V54" s="59">
        <v>72</v>
      </c>
      <c r="W54" s="59">
        <v>28</v>
      </c>
      <c r="X54" s="183">
        <v>671</v>
      </c>
      <c r="Y54" s="59">
        <v>55</v>
      </c>
      <c r="Z54" s="59">
        <v>62</v>
      </c>
      <c r="AA54" s="59">
        <v>11</v>
      </c>
      <c r="AD54" s="97"/>
    </row>
    <row r="55" spans="1:30" ht="35.1" hidden="1" customHeight="1" x14ac:dyDescent="0.25">
      <c r="A55" s="83">
        <v>44890</v>
      </c>
      <c r="B55" s="7" t="s">
        <v>20</v>
      </c>
      <c r="C55" s="8" t="s">
        <v>21</v>
      </c>
      <c r="D55" s="8" t="s">
        <v>315</v>
      </c>
      <c r="E55" s="61" t="s">
        <v>451</v>
      </c>
      <c r="F55" s="84" t="str">
        <f>IFERROR(VLOOKUP(CONCATENATE($B55,"_",F$3),materiali!$C:$K,5,0),"")</f>
        <v>997001513</v>
      </c>
      <c r="G55" s="85" t="str">
        <f>IFERROR(VLOOKUP(CONCATENATE($B55,"_",G$3),materiali!$C:$K,6,0),"")</f>
        <v>RESINA TECNOTHANE MPC2013SG</v>
      </c>
      <c r="H55" s="90" t="s">
        <v>452</v>
      </c>
      <c r="I55" s="84" t="str">
        <f>IFERROR(VLOOKUP(CONCATENATE($B55,"_",I$3),materiali!$C:$K,5,0),"")</f>
        <v>997001514</v>
      </c>
      <c r="J55" s="85" t="str">
        <f>IFERROR(VLOOKUP(CONCATENATE($B55,"_",J$3),materiali!$C:$K,6,0),"")</f>
        <v>RETICOLANTE TECNOTHANE RCH361</v>
      </c>
      <c r="K55" s="90" t="s">
        <v>460</v>
      </c>
      <c r="L55" s="84" t="str">
        <f>IFERROR(VLOOKUP(CONCATENATE($B55,"_",L$3),materiali!$C:$K,5,0),"")</f>
        <v/>
      </c>
      <c r="M55" s="85" t="str">
        <f>IFERROR(VLOOKUP(CONCATENATE($B55,"_",M$3),materiali!$C:$K,6,0),"")</f>
        <v/>
      </c>
      <c r="N55" s="90" t="s">
        <v>453</v>
      </c>
      <c r="O55" s="84" t="str">
        <f>IFERROR(VLOOKUP(CONCATENATE($B55,"_",O$3),materiali!$C:$K,5,0),"")</f>
        <v>040001013</v>
      </c>
      <c r="P55" s="85" t="str">
        <f>IFERROR(VLOOKUP(CONCATENATE($B55,"_",P$3),materiali!$C:$K,6,0),"")</f>
        <v>ACCELERANTE X POLIOLO POLIESTERE TECNOKAT  PURO NON DILUITO</v>
      </c>
      <c r="Q55" s="90" t="s">
        <v>455</v>
      </c>
      <c r="R55" s="84" t="str">
        <f>IFERROR(VLOOKUP(CONCATENATE($B55,"_",R$3),materiali!$C:$K,5,0),"")</f>
        <v>997001508</v>
      </c>
      <c r="S55" s="85" t="str">
        <f>IFERROR(VLOOKUP(CONCATENATE($B55,"_",S$3),materiali!$C:$K,6,0),"")</f>
        <v>COLORE GIALLO PER POLIOLO</v>
      </c>
      <c r="T55" s="90">
        <v>8624</v>
      </c>
      <c r="U55" s="31">
        <v>45006</v>
      </c>
      <c r="V55" s="59">
        <v>72</v>
      </c>
      <c r="W55" s="59">
        <v>28</v>
      </c>
      <c r="X55" s="183">
        <v>671</v>
      </c>
      <c r="Y55" s="59">
        <v>55</v>
      </c>
      <c r="Z55" s="59">
        <v>62</v>
      </c>
      <c r="AA55" s="59">
        <v>11</v>
      </c>
      <c r="AD55" s="97"/>
    </row>
    <row r="56" spans="1:30" ht="35.1" hidden="1" customHeight="1" x14ac:dyDescent="0.25">
      <c r="A56" s="83">
        <v>44890</v>
      </c>
      <c r="B56" s="7" t="s">
        <v>42</v>
      </c>
      <c r="C56" s="8" t="s">
        <v>43</v>
      </c>
      <c r="D56" s="8" t="s">
        <v>263</v>
      </c>
      <c r="E56" s="61" t="s">
        <v>461</v>
      </c>
      <c r="F56" s="84" t="str">
        <f>IFERROR(VLOOKUP(CONCATENATE($B56,"_",F$3),materiali!$C:$K,5,0),"")</f>
        <v>997005963</v>
      </c>
      <c r="G56" s="85" t="str">
        <f>IFERROR(VLOOKUP(CONCATENATE($B56,"_",G$3),materiali!$C:$K,6,0),"")</f>
        <v>MPC 2013F (FUSTI 50 KG)</v>
      </c>
      <c r="H56" s="90" t="s">
        <v>462</v>
      </c>
      <c r="I56" s="84" t="str">
        <f>IFERROR(VLOOKUP(CONCATENATE($B56,"_",I$3),materiali!$C:$K,5,0),"")</f>
        <v>997005965</v>
      </c>
      <c r="J56" s="85" t="str">
        <f>IFERROR(VLOOKUP(CONCATENATE($B56,"_",J$3),materiali!$C:$K,6,0),"")</f>
        <v>RCH 350F (FUSTI 25 KG)</v>
      </c>
      <c r="K56" s="90" t="s">
        <v>463</v>
      </c>
      <c r="L56" s="84" t="str">
        <f>IFERROR(VLOOKUP(CONCATENATE($B56,"_",L$3),materiali!$C:$K,5,0),"")</f>
        <v/>
      </c>
      <c r="M56" s="85" t="str">
        <f>IFERROR(VLOOKUP(CONCATENATE($B56,"_",M$3),materiali!$C:$K,6,0),"")</f>
        <v/>
      </c>
      <c r="N56" s="90" t="s">
        <v>464</v>
      </c>
      <c r="O56" s="84" t="str">
        <f>IFERROR(VLOOKUP(CONCATENATE($B56,"_",O$3),materiali!$C:$K,5,0),"")</f>
        <v>997006168</v>
      </c>
      <c r="P56" s="85" t="str">
        <f>IFERROR(VLOOKUP(CONCATENATE($B56,"_",P$3),materiali!$C:$K,6,0),"")</f>
        <v>CATALIZZATORE TECNOKAT T12-500</v>
      </c>
      <c r="Q56" s="90">
        <v>10080</v>
      </c>
      <c r="R56" s="84" t="str">
        <f>IFERROR(VLOOKUP(CONCATENATE($B56,"_",R$3),materiali!$C:$K,5,0),"")</f>
        <v>997004318</v>
      </c>
      <c r="S56" s="85" t="str">
        <f>IFERROR(VLOOKUP(CONCATENATE($B56,"_",S$3),materiali!$C:$K,6,0),"")</f>
        <v>BIANCO REMAP 10080 FDA 178.3297 (COLORANTE FDA PER SISTEMI)</v>
      </c>
      <c r="T56" s="90"/>
      <c r="U56" s="31">
        <v>45007</v>
      </c>
      <c r="V56" s="59">
        <v>70</v>
      </c>
      <c r="W56" s="59">
        <v>25</v>
      </c>
      <c r="X56" s="183">
        <v>552</v>
      </c>
      <c r="Y56" s="59">
        <v>62</v>
      </c>
      <c r="Z56" s="59">
        <v>57</v>
      </c>
      <c r="AA56" s="59">
        <v>32</v>
      </c>
      <c r="AD56" s="97"/>
    </row>
    <row r="57" spans="1:30" ht="35.1" hidden="1" customHeight="1" x14ac:dyDescent="0.25">
      <c r="A57" s="83">
        <v>44890</v>
      </c>
      <c r="B57" s="7" t="s">
        <v>14</v>
      </c>
      <c r="C57" s="8" t="s">
        <v>15</v>
      </c>
      <c r="D57" s="8" t="s">
        <v>339</v>
      </c>
      <c r="E57" s="61" t="s">
        <v>456</v>
      </c>
      <c r="F57" s="84" t="str">
        <f>IFERROR(VLOOKUP(CONCATENATE($B57,"_",F$3),materiali!$C:$K,5,0),"")</f>
        <v>997001513</v>
      </c>
      <c r="G57" s="85" t="str">
        <f>IFERROR(VLOOKUP(CONCATENATE($B57,"_",G$3),materiali!$C:$K,6,0),"")</f>
        <v>RESINA TECNOTHANE MPC2013SG</v>
      </c>
      <c r="H57" s="90" t="s">
        <v>465</v>
      </c>
      <c r="I57" s="84" t="str">
        <f>IFERROR(VLOOKUP(CONCATENATE($B57,"_",I$3),materiali!$C:$K,5,0),"")</f>
        <v>997001515</v>
      </c>
      <c r="J57" s="85" t="str">
        <f>IFERROR(VLOOKUP(CONCATENATE($B57,"_",J$3),materiali!$C:$K,6,0),"")</f>
        <v>RETICOLANTE TECNOTHANE RCH160 (50 KG)</v>
      </c>
      <c r="K57" s="90" t="s">
        <v>465</v>
      </c>
      <c r="L57" s="84" t="str">
        <f>IFERROR(VLOOKUP(CONCATENATE($B57,"_",L$3),materiali!$C:$K,5,0),"")</f>
        <v/>
      </c>
      <c r="M57" s="85" t="str">
        <f>IFERROR(VLOOKUP(CONCATENATE($B57,"_",M$3),materiali!$C:$K,6,0),"")</f>
        <v/>
      </c>
      <c r="N57" s="90" t="s">
        <v>459</v>
      </c>
      <c r="O57" s="84" t="str">
        <f>IFERROR(VLOOKUP(CONCATENATE($B57,"_",O$3),materiali!$C:$K,5,0),"")</f>
        <v>040001013</v>
      </c>
      <c r="P57" s="85" t="str">
        <f>IFERROR(VLOOKUP(CONCATENATE($B57,"_",P$3),materiali!$C:$K,6,0),"")</f>
        <v>ACCELERANTE X POLIOLO POLIESTERE TECNOKAT  PURO NON DILUITO</v>
      </c>
      <c r="Q57" s="90" t="s">
        <v>455</v>
      </c>
      <c r="R57" s="84" t="str">
        <f>IFERROR(VLOOKUP(CONCATENATE($B57,"_",R$3),materiali!$C:$K,5,0),"")</f>
        <v>997001508</v>
      </c>
      <c r="S57" s="85" t="str">
        <f>IFERROR(VLOOKUP(CONCATENATE($B57,"_",S$3),materiali!$C:$K,6,0),"")</f>
        <v>COLORE GIALLO PER POLIOLO</v>
      </c>
      <c r="T57" s="90"/>
      <c r="U57" s="31">
        <v>44995</v>
      </c>
      <c r="V57" s="183">
        <v>92</v>
      </c>
      <c r="W57" s="59">
        <v>29</v>
      </c>
      <c r="X57" s="183">
        <v>499</v>
      </c>
      <c r="Y57" s="59">
        <v>86</v>
      </c>
      <c r="Z57" s="59">
        <v>107</v>
      </c>
      <c r="AA57" s="59">
        <v>17</v>
      </c>
      <c r="AD57" s="97"/>
    </row>
    <row r="58" spans="1:30" ht="35.1" hidden="1" customHeight="1" x14ac:dyDescent="0.25">
      <c r="A58" s="83">
        <v>44890</v>
      </c>
      <c r="B58" s="7" t="s">
        <v>35</v>
      </c>
      <c r="C58" s="8" t="s">
        <v>36</v>
      </c>
      <c r="D58" s="8" t="s">
        <v>267</v>
      </c>
      <c r="E58" s="61" t="s">
        <v>456</v>
      </c>
      <c r="F58" s="84" t="str">
        <f>IFERROR(VLOOKUP(CONCATENATE($B58,"_",F$3),materiali!$C:$K,5,0),"")</f>
        <v>997001502</v>
      </c>
      <c r="G58" s="85" t="str">
        <f>IFERROR(VLOOKUP(CONCATENATE($B58,"_",G$3),materiali!$C:$K,6,0),"")</f>
        <v>ISOCIANATO POLIETERE SH.70/90 TECNOTHANE MPT 109SG</v>
      </c>
      <c r="H58" s="90" t="s">
        <v>457</v>
      </c>
      <c r="I58" s="84" t="str">
        <f>IFERROR(VLOOKUP(CONCATENATE($B58,"_",I$3),materiali!$C:$K,5,0),"")</f>
        <v>997001503</v>
      </c>
      <c r="J58" s="85" t="str">
        <f>IFERROR(VLOOKUP(CONCATENATE($B58,"_",J$3),materiali!$C:$K,6,0),"")</f>
        <v>POLIOLO POLIETERE SH.70 TECNOTHANE RH 275</v>
      </c>
      <c r="K58" s="90" t="s">
        <v>466</v>
      </c>
      <c r="L58" s="84" t="str">
        <f>IFERROR(VLOOKUP(CONCATENATE($B58,"_",L$3),materiali!$C:$K,5,0),"")</f>
        <v/>
      </c>
      <c r="M58" s="85" t="str">
        <f>IFERROR(VLOOKUP(CONCATENATE($B58,"_",M$3),materiali!$C:$K,6,0),"")</f>
        <v/>
      </c>
      <c r="N58" s="90" t="s">
        <v>467</v>
      </c>
      <c r="O58" s="84" t="str">
        <f>IFERROR(VLOOKUP(CONCATENATE($B58,"_",O$3),materiali!$C:$K,5,0),"")</f>
        <v>040001013</v>
      </c>
      <c r="P58" s="85" t="str">
        <f>IFERROR(VLOOKUP(CONCATENATE($B58,"_",P$3),materiali!$C:$K,6,0),"")</f>
        <v>CATALIZZATORE TECNOKAT E, 10KG</v>
      </c>
      <c r="Q58" s="90">
        <v>8426</v>
      </c>
      <c r="R58" s="84" t="str">
        <f>IFERROR(VLOOKUP(CONCATENATE($B58,"_",R$3),materiali!$C:$K,5,0),"")</f>
        <v>040001014</v>
      </c>
      <c r="S58" s="85" t="str">
        <f>IFERROR(VLOOKUP(CONCATENATE($B58,"_",S$3),materiali!$C:$K,6,0),"")</f>
        <v>ADDITTIVO ANTISTAT.PER POLIOLO POLIEST.CATAFOR PU</v>
      </c>
      <c r="T58" s="90"/>
      <c r="U58" s="31">
        <v>45005</v>
      </c>
      <c r="V58" s="59">
        <v>69</v>
      </c>
      <c r="W58" s="59">
        <v>6</v>
      </c>
      <c r="X58" s="183">
        <v>214</v>
      </c>
      <c r="Y58" s="59">
        <v>22</v>
      </c>
      <c r="Z58" s="59">
        <v>30</v>
      </c>
      <c r="AA58" s="59">
        <v>13</v>
      </c>
      <c r="AD58" s="97"/>
    </row>
    <row r="59" spans="1:30" ht="35.1" customHeight="1" x14ac:dyDescent="0.25">
      <c r="A59" s="83">
        <v>44890</v>
      </c>
      <c r="B59" s="7" t="s">
        <v>24</v>
      </c>
      <c r="C59" s="8" t="s">
        <v>25</v>
      </c>
      <c r="D59" s="8" t="s">
        <v>247</v>
      </c>
      <c r="E59" s="61" t="s">
        <v>451</v>
      </c>
      <c r="F59" s="84" t="str">
        <f>IFERROR(VLOOKUP(CONCATENATE($B59,"_",F$3),materiali!$C:$K,5,0),"")</f>
        <v>997006153</v>
      </c>
      <c r="G59" s="85" t="str">
        <f>IFERROR(VLOOKUP(CONCATENATE($B59,"_",G$3),materiali!$C:$K,6,0),"")</f>
        <v>MPC 109A (FUSTI 50 KG)</v>
      </c>
      <c r="H59" s="90" t="s">
        <v>462</v>
      </c>
      <c r="I59" s="84" t="str">
        <f>IFERROR(VLOOKUP(CONCATENATE($B59,"_",I$3),materiali!$C:$K,5,0),"")</f>
        <v>997006154</v>
      </c>
      <c r="J59" s="85" t="str">
        <f>IFERROR(VLOOKUP(CONCATENATE($B59,"_",J$3),materiali!$C:$K,6,0),"")</f>
        <v>RH 275B (FUSTI 25 KG)</v>
      </c>
      <c r="K59" s="90" t="s">
        <v>468</v>
      </c>
      <c r="L59" s="84" t="str">
        <f>IFERROR(VLOOKUP(CONCATENATE($B59,"_",L$3),materiali!$C:$K,5,0),"")</f>
        <v/>
      </c>
      <c r="M59" s="85" t="str">
        <f>IFERROR(VLOOKUP(CONCATENATE($B59,"_",M$3),materiali!$C:$K,6,0),"")</f>
        <v/>
      </c>
      <c r="N59" s="90" t="s">
        <v>464</v>
      </c>
      <c r="O59" s="84" t="str">
        <f>IFERROR(VLOOKUP(CONCATENATE($B59,"_",O$3),materiali!$C:$K,5,0),"")</f>
        <v>997006168</v>
      </c>
      <c r="P59" s="85" t="str">
        <f>IFERROR(VLOOKUP(CONCATENATE($B59,"_",P$3),materiali!$C:$K,6,0),"")</f>
        <v>CATALIZZATORE TECNOKAT T12-500</v>
      </c>
      <c r="Q59" s="90">
        <v>10080</v>
      </c>
      <c r="R59" s="84" t="str">
        <f>IFERROR(VLOOKUP(CONCATENATE($B59,"_",R$3),materiali!$C:$K,5,0),"")</f>
        <v>997004318</v>
      </c>
      <c r="S59" s="85" t="str">
        <f>IFERROR(VLOOKUP(CONCATENATE($B59,"_",S$3),materiali!$C:$K,6,0),"")</f>
        <v>BIANCO REMAP 10080 FDA 178.3297 (COLORANTE FDA PER SISTEMI)</v>
      </c>
      <c r="T59" s="90"/>
      <c r="U59" s="31">
        <v>44995</v>
      </c>
      <c r="V59" s="59">
        <v>70</v>
      </c>
      <c r="W59" s="59">
        <v>5</v>
      </c>
      <c r="X59" s="183">
        <v>175</v>
      </c>
      <c r="Y59" s="59">
        <v>26</v>
      </c>
      <c r="Z59" s="59">
        <v>37</v>
      </c>
      <c r="AA59" s="59">
        <v>51</v>
      </c>
      <c r="AD59" s="97"/>
    </row>
    <row r="60" spans="1:30" ht="35.1" hidden="1" customHeight="1" x14ac:dyDescent="0.25">
      <c r="A60" s="83">
        <v>44990</v>
      </c>
      <c r="B60" s="7" t="s">
        <v>20</v>
      </c>
      <c r="C60" s="8" t="s">
        <v>21</v>
      </c>
      <c r="D60" s="8" t="s">
        <v>315</v>
      </c>
      <c r="E60" s="61" t="s">
        <v>469</v>
      </c>
      <c r="F60" s="84" t="str">
        <f>IFERROR(VLOOKUP(CONCATENATE($B60,"_",F$3),materiali!$C:$K,5,0),"")</f>
        <v>997001513</v>
      </c>
      <c r="G60" s="85" t="str">
        <f>IFERROR(VLOOKUP(CONCATENATE($B60,"_",G$3),materiali!$C:$K,6,0),"")</f>
        <v>RESINA TECNOTHANE MPC2013SG</v>
      </c>
      <c r="H60" s="90" t="s">
        <v>470</v>
      </c>
      <c r="I60" s="84" t="str">
        <f>IFERROR(VLOOKUP(CONCATENATE($B60,"_",I$3),materiali!$C:$K,5,0),"")</f>
        <v>997001514</v>
      </c>
      <c r="J60" s="85" t="str">
        <f>IFERROR(VLOOKUP(CONCATENATE($B60,"_",J$3),materiali!$C:$K,6,0),"")</f>
        <v>RETICOLANTE TECNOTHANE RCH361</v>
      </c>
      <c r="K60" s="90" t="s">
        <v>471</v>
      </c>
      <c r="L60" s="84" t="str">
        <f>IFERROR(VLOOKUP(CONCATENATE($B60,"_",L$3),materiali!$C:$K,5,0),"")</f>
        <v/>
      </c>
      <c r="M60" s="85" t="str">
        <f>IFERROR(VLOOKUP(CONCATENATE($B60,"_",M$3),materiali!$C:$K,6,0),"")</f>
        <v/>
      </c>
      <c r="N60" s="90" t="s">
        <v>472</v>
      </c>
      <c r="O60" s="84" t="str">
        <f>IFERROR(VLOOKUP(CONCATENATE($B60,"_",O$3),materiali!$C:$K,5,0),"")</f>
        <v>040001013</v>
      </c>
      <c r="P60" s="85" t="str">
        <f>IFERROR(VLOOKUP(CONCATENATE($B60,"_",P$3),materiali!$C:$K,6,0),"")</f>
        <v>ACCELERANTE X POLIOLO POLIESTERE TECNOKAT  PURO NON DILUITO</v>
      </c>
      <c r="Q60" s="90" t="s">
        <v>455</v>
      </c>
      <c r="R60" s="84" t="str">
        <f>IFERROR(VLOOKUP(CONCATENATE($B60,"_",R$3),materiali!$C:$K,5,0),"")</f>
        <v>997001508</v>
      </c>
      <c r="S60" s="85" t="str">
        <f>IFERROR(VLOOKUP(CONCATENATE($B60,"_",S$3),materiali!$C:$K,6,0),"")</f>
        <v>COLORE GIALLO PER POLIOLO</v>
      </c>
      <c r="T60" s="90">
        <v>8760</v>
      </c>
      <c r="U60" s="31">
        <v>45177</v>
      </c>
      <c r="V60" s="59">
        <v>73</v>
      </c>
      <c r="W60" s="59">
        <v>30</v>
      </c>
      <c r="X60" s="235">
        <v>924</v>
      </c>
      <c r="Y60" s="59">
        <v>53</v>
      </c>
      <c r="Z60" s="59">
        <v>58</v>
      </c>
      <c r="AA60" s="59">
        <v>12</v>
      </c>
      <c r="AD60" s="97"/>
    </row>
    <row r="61" spans="1:30" ht="35.1" hidden="1" customHeight="1" x14ac:dyDescent="0.25">
      <c r="A61" s="83">
        <v>44990</v>
      </c>
      <c r="B61" s="7" t="s">
        <v>28</v>
      </c>
      <c r="C61" s="8" t="s">
        <v>29</v>
      </c>
      <c r="D61" s="8" t="s">
        <v>327</v>
      </c>
      <c r="E61" s="61" t="s">
        <v>473</v>
      </c>
      <c r="F61" s="84" t="str">
        <f>IFERROR(VLOOKUP(CONCATENATE($B61,"_",F$3),materiali!$C:$K,5,0),"")</f>
        <v>997001513</v>
      </c>
      <c r="G61" s="85" t="str">
        <f>IFERROR(VLOOKUP(CONCATENATE($B61,"_",G$3),materiali!$C:$K,6,0),"")</f>
        <v>RESINA TECNOTHANE MPC2013SG</v>
      </c>
      <c r="H61" s="90" t="s">
        <v>470</v>
      </c>
      <c r="I61" s="84" t="str">
        <f>IFERROR(VLOOKUP(CONCATENATE($B61,"_",I$3),materiali!$C:$K,5,0),"")</f>
        <v>997001514</v>
      </c>
      <c r="J61" s="85" t="str">
        <f>IFERROR(VLOOKUP(CONCATENATE($B61,"_",J$3),materiali!$C:$K,6,0),"")</f>
        <v>RETICOLANTE TECNOTHANE RCH361</v>
      </c>
      <c r="K61" s="90" t="s">
        <v>474</v>
      </c>
      <c r="L61" s="84" t="str">
        <f>IFERROR(VLOOKUP(CONCATENATE($B61,"_",L$3),materiali!$C:$K,5,0),"")</f>
        <v/>
      </c>
      <c r="M61" s="85" t="str">
        <f>IFERROR(VLOOKUP(CONCATENATE($B61,"_",M$3),materiali!$C:$K,6,0),"")</f>
        <v/>
      </c>
      <c r="N61" s="90" t="s">
        <v>472</v>
      </c>
      <c r="O61" s="84" t="str">
        <f>IFERROR(VLOOKUP(CONCATENATE($B61,"_",O$3),materiali!$C:$K,5,0),"")</f>
        <v>040001013</v>
      </c>
      <c r="P61" s="85" t="str">
        <f>IFERROR(VLOOKUP(CONCATENATE($B61,"_",P$3),materiali!$C:$K,6,0),"")</f>
        <v>ACCELERANTE X POLIOLO POLIESTERE TECNOKAT  PURO NON DILUITO</v>
      </c>
      <c r="Q61" s="90" t="s">
        <v>455</v>
      </c>
      <c r="R61" s="84" t="str">
        <f>IFERROR(VLOOKUP(CONCATENATE($B61,"_",R$3),materiali!$C:$K,5,0),"")</f>
        <v>997001508</v>
      </c>
      <c r="S61" s="85" t="str">
        <f>IFERROR(VLOOKUP(CONCATENATE($B61,"_",S$3),materiali!$C:$K,6,0),"")</f>
        <v>COLORE GIALLO PER POLIOLO</v>
      </c>
      <c r="T61" s="90"/>
      <c r="U61" s="31">
        <v>45177</v>
      </c>
      <c r="V61" s="59">
        <v>74</v>
      </c>
      <c r="W61" s="59">
        <v>21</v>
      </c>
      <c r="X61" s="235">
        <v>820</v>
      </c>
      <c r="Y61" s="59">
        <v>46</v>
      </c>
      <c r="Z61" s="100">
        <v>57</v>
      </c>
      <c r="AA61" s="96">
        <v>12</v>
      </c>
      <c r="AD61" s="97"/>
    </row>
    <row r="62" spans="1:30" ht="35.1" hidden="1" customHeight="1" x14ac:dyDescent="0.25">
      <c r="A62" s="83">
        <v>44990</v>
      </c>
      <c r="B62" s="7" t="s">
        <v>14</v>
      </c>
      <c r="C62" s="8" t="s">
        <v>15</v>
      </c>
      <c r="D62" s="8" t="s">
        <v>339</v>
      </c>
      <c r="E62" s="61" t="s">
        <v>469</v>
      </c>
      <c r="F62" s="84" t="str">
        <f>IFERROR(VLOOKUP(CONCATENATE($B62,"_",F$3),materiali!$C:$K,5,0),"")</f>
        <v>997001513</v>
      </c>
      <c r="G62" s="85" t="str">
        <f>IFERROR(VLOOKUP(CONCATENATE($B62,"_",G$3),materiali!$C:$K,6,0),"")</f>
        <v>RESINA TECNOTHANE MPC2013SG</v>
      </c>
      <c r="H62" s="90" t="s">
        <v>452</v>
      </c>
      <c r="I62" s="84" t="str">
        <f>IFERROR(VLOOKUP(CONCATENATE($B62,"_",I$3),materiali!$C:$K,5,0),"")</f>
        <v>997001515</v>
      </c>
      <c r="J62" s="85" t="str">
        <f>IFERROR(VLOOKUP(CONCATENATE($B62,"_",J$3),materiali!$C:$K,6,0),"")</f>
        <v>RETICOLANTE TECNOTHANE RCH160 (50 KG)</v>
      </c>
      <c r="K62" s="90" t="s">
        <v>465</v>
      </c>
      <c r="L62" s="84" t="str">
        <f>IFERROR(VLOOKUP(CONCATENATE($B62,"_",L$3),materiali!$C:$K,5,0),"")</f>
        <v/>
      </c>
      <c r="M62" s="85" t="str">
        <f>IFERROR(VLOOKUP(CONCATENATE($B62,"_",M$3),materiali!$C:$K,6,0),"")</f>
        <v/>
      </c>
      <c r="N62" s="90" t="s">
        <v>475</v>
      </c>
      <c r="O62" s="84" t="str">
        <f>IFERROR(VLOOKUP(CONCATENATE($B62,"_",O$3),materiali!$C:$K,5,0),"")</f>
        <v>040001013</v>
      </c>
      <c r="P62" s="85" t="str">
        <f>IFERROR(VLOOKUP(CONCATENATE($B62,"_",P$3),materiali!$C:$K,6,0),"")</f>
        <v>ACCELERANTE X POLIOLO POLIESTERE TECNOKAT  PURO NON DILUITO</v>
      </c>
      <c r="Q62" s="90" t="s">
        <v>455</v>
      </c>
      <c r="R62" s="84" t="str">
        <f>IFERROR(VLOOKUP(CONCATENATE($B62,"_",R$3),materiali!$C:$K,5,0),"")</f>
        <v>997001508</v>
      </c>
      <c r="S62" s="85" t="str">
        <f>IFERROR(VLOOKUP(CONCATENATE($B62,"_",S$3),materiali!$C:$K,6,0),"")</f>
        <v>COLORE GIALLO PER POLIOLO</v>
      </c>
      <c r="T62" s="90"/>
      <c r="U62" s="31">
        <v>45177</v>
      </c>
      <c r="V62" s="59">
        <v>91</v>
      </c>
      <c r="W62" s="59">
        <v>25</v>
      </c>
      <c r="X62" s="183">
        <v>774</v>
      </c>
      <c r="Y62" s="59">
        <v>83</v>
      </c>
      <c r="Z62" s="59">
        <v>102</v>
      </c>
      <c r="AA62" s="96">
        <v>15</v>
      </c>
      <c r="AD62" s="101" t="s">
        <v>476</v>
      </c>
    </row>
    <row r="63" spans="1:30" ht="35.1" hidden="1" customHeight="1" x14ac:dyDescent="0.25">
      <c r="A63" s="83">
        <v>44990</v>
      </c>
      <c r="B63" s="7" t="s">
        <v>42</v>
      </c>
      <c r="C63" s="8" t="s">
        <v>43</v>
      </c>
      <c r="D63" s="8" t="s">
        <v>263</v>
      </c>
      <c r="E63" s="61" t="s">
        <v>477</v>
      </c>
      <c r="F63" s="84" t="str">
        <f>IFERROR(VLOOKUP(CONCATENATE($B63,"_",F$3),materiali!$C:$K,5,0),"")</f>
        <v>997005963</v>
      </c>
      <c r="G63" s="85" t="str">
        <f>IFERROR(VLOOKUP(CONCATENATE($B63,"_",G$3),materiali!$C:$K,6,0),"")</f>
        <v>MPC 2013F (FUSTI 50 KG)</v>
      </c>
      <c r="H63" s="90" t="s">
        <v>478</v>
      </c>
      <c r="I63" s="84" t="str">
        <f>IFERROR(VLOOKUP(CONCATENATE($B63,"_",I$3),materiali!$C:$K,5,0),"")</f>
        <v>997005965</v>
      </c>
      <c r="J63" s="85" t="str">
        <f>IFERROR(VLOOKUP(CONCATENATE($B63,"_",J$3),materiali!$C:$K,6,0),"")</f>
        <v>RCH 350F (FUSTI 25 KG)</v>
      </c>
      <c r="K63" s="90" t="s">
        <v>479</v>
      </c>
      <c r="L63" s="84" t="str">
        <f>IFERROR(VLOOKUP(CONCATENATE($B63,"_",L$3),materiali!$C:$K,5,0),"")</f>
        <v/>
      </c>
      <c r="M63" s="85" t="str">
        <f>IFERROR(VLOOKUP(CONCATENATE($B63,"_",M$3),materiali!$C:$K,6,0),"")</f>
        <v/>
      </c>
      <c r="N63" s="90" t="s">
        <v>480</v>
      </c>
      <c r="O63" s="84" t="str">
        <f>IFERROR(VLOOKUP(CONCATENATE($B63,"_",O$3),materiali!$C:$K,5,0),"")</f>
        <v>997006168</v>
      </c>
      <c r="P63" s="85" t="str">
        <f>IFERROR(VLOOKUP(CONCATENATE($B63,"_",P$3),materiali!$C:$K,6,0),"")</f>
        <v>CATALIZZATORE TECNOKAT T12-500</v>
      </c>
      <c r="Q63" s="90">
        <v>10080</v>
      </c>
      <c r="R63" s="84" t="str">
        <f>IFERROR(VLOOKUP(CONCATENATE($B63,"_",R$3),materiali!$C:$K,5,0),"")</f>
        <v>997004318</v>
      </c>
      <c r="S63" s="85" t="str">
        <f>IFERROR(VLOOKUP(CONCATENATE($B63,"_",S$3),materiali!$C:$K,6,0),"")</f>
        <v>BIANCO REMAP 10080 FDA 178.3297 (COLORANTE FDA PER SISTEMI)</v>
      </c>
      <c r="T63" s="90"/>
      <c r="U63" s="31">
        <v>45177</v>
      </c>
      <c r="V63" s="59">
        <v>73</v>
      </c>
      <c r="W63" s="59">
        <v>19</v>
      </c>
      <c r="X63" s="183">
        <v>700</v>
      </c>
      <c r="Y63" s="59">
        <v>52</v>
      </c>
      <c r="Z63" s="59">
        <v>57</v>
      </c>
      <c r="AA63" s="59">
        <v>41</v>
      </c>
      <c r="AD63" s="97"/>
    </row>
    <row r="64" spans="1:30" ht="35.1" hidden="1" customHeight="1" x14ac:dyDescent="0.25">
      <c r="A64" s="83">
        <v>44990</v>
      </c>
      <c r="B64" s="7" t="s">
        <v>10</v>
      </c>
      <c r="C64" s="8" t="s">
        <v>11</v>
      </c>
      <c r="D64" s="8" t="s">
        <v>341</v>
      </c>
      <c r="E64" s="61" t="s">
        <v>469</v>
      </c>
      <c r="F64" s="84" t="str">
        <f>IFERROR(VLOOKUP(CONCATENATE($B64,"_",F$3),materiali!$C:$K,5,0),"")</f>
        <v>997001502</v>
      </c>
      <c r="G64" s="85" t="str">
        <f>IFERROR(VLOOKUP(CONCATENATE($B64,"_",G$3),materiali!$C:$K,6,0),"")</f>
        <v>ISOCIANATO POLIETERE SH.70/90 TECNOTHANE MPT 109SG</v>
      </c>
      <c r="H64" s="90" t="s">
        <v>481</v>
      </c>
      <c r="I64" s="84" t="str">
        <f>IFERROR(VLOOKUP(CONCATENATE($B64,"_",I$3),materiali!$C:$K,5,0),"")</f>
        <v>997005228</v>
      </c>
      <c r="J64" s="85" t="str">
        <f>IFERROR(VLOOKUP(CONCATENATE($B64,"_",J$3),materiali!$C:$K,6,0),"")</f>
        <v>POLIOLO POLIETERE SH.70 TECNOTHANE RH 246  FORMATO 200 KG.</v>
      </c>
      <c r="K64" s="90" t="s">
        <v>482</v>
      </c>
      <c r="L64" s="84" t="str">
        <f>IFERROR(VLOOKUP(CONCATENATE($B64,"_",L$3),materiali!$C:$K,5,0),"")</f>
        <v/>
      </c>
      <c r="M64" s="85" t="str">
        <f>IFERROR(VLOOKUP(CONCATENATE($B64,"_",M$3),materiali!$C:$K,6,0),"")</f>
        <v/>
      </c>
      <c r="N64" s="90" t="s">
        <v>483</v>
      </c>
      <c r="O64" s="84" t="str">
        <f>IFERROR(VLOOKUP(CONCATENATE($B64,"_",O$3),materiali!$C:$K,5,0),"")</f>
        <v>040001013</v>
      </c>
      <c r="P64" s="85" t="str">
        <f>IFERROR(VLOOKUP(CONCATENATE($B64,"_",P$3),materiali!$C:$K,6,0),"")</f>
        <v>ACCELERANTE X POLIOLO POLIESTE RE (per macchine pur old)</v>
      </c>
      <c r="Q64" s="90" t="s">
        <v>455</v>
      </c>
      <c r="R64" s="84" t="str">
        <f>IFERROR(VLOOKUP(CONCATENATE($B64,"_",R$3),materiali!$C:$K,5,0),"")</f>
        <v>997001508</v>
      </c>
      <c r="S64" s="85" t="str">
        <f>IFERROR(VLOOKUP(CONCATENATE($B64,"_",S$3),materiali!$C:$K,6,0),"")</f>
        <v>COLORE GIALLO PER POLIOLO</v>
      </c>
      <c r="T64" s="90">
        <v>8624</v>
      </c>
      <c r="U64" s="31">
        <v>45177</v>
      </c>
      <c r="V64" s="59">
        <v>71</v>
      </c>
      <c r="W64" s="59">
        <v>9</v>
      </c>
      <c r="X64" s="183">
        <v>466</v>
      </c>
      <c r="Y64" s="59">
        <v>31</v>
      </c>
      <c r="Z64" s="59">
        <v>36</v>
      </c>
      <c r="AA64" s="59">
        <v>12</v>
      </c>
      <c r="AD64" s="97"/>
    </row>
    <row r="65" spans="1:30" ht="35.1" hidden="1" customHeight="1" x14ac:dyDescent="0.25">
      <c r="A65" s="83">
        <v>44990</v>
      </c>
      <c r="B65" s="7" t="s">
        <v>35</v>
      </c>
      <c r="C65" s="8" t="s">
        <v>36</v>
      </c>
      <c r="D65" s="8" t="s">
        <v>267</v>
      </c>
      <c r="E65" s="61" t="s">
        <v>477</v>
      </c>
      <c r="F65" s="84" t="str">
        <f>IFERROR(VLOOKUP(CONCATENATE($B65,"_",F$3),materiali!$C:$K,5,0),"")</f>
        <v>997001502</v>
      </c>
      <c r="G65" s="85" t="str">
        <f>IFERROR(VLOOKUP(CONCATENATE($B65,"_",G$3),materiali!$C:$K,6,0),"")</f>
        <v>ISOCIANATO POLIETERE SH.70/90 TECNOTHANE MPT 109SG</v>
      </c>
      <c r="H65" s="90" t="s">
        <v>484</v>
      </c>
      <c r="I65" s="84" t="str">
        <f>IFERROR(VLOOKUP(CONCATENATE($B65,"_",I$3),materiali!$C:$K,5,0),"")</f>
        <v>997001503</v>
      </c>
      <c r="J65" s="85" t="str">
        <f>IFERROR(VLOOKUP(CONCATENATE($B65,"_",J$3),materiali!$C:$K,6,0),"")</f>
        <v>POLIOLO POLIETERE SH.70 TECNOTHANE RH 275</v>
      </c>
      <c r="K65" s="90" t="s">
        <v>485</v>
      </c>
      <c r="L65" s="84" t="str">
        <f>IFERROR(VLOOKUP(CONCATENATE($B65,"_",L$3),materiali!$C:$K,5,0),"")</f>
        <v/>
      </c>
      <c r="M65" s="85" t="str">
        <f>IFERROR(VLOOKUP(CONCATENATE($B65,"_",M$3),materiali!$C:$K,6,0),"")</f>
        <v/>
      </c>
      <c r="N65" s="90" t="s">
        <v>472</v>
      </c>
      <c r="O65" s="84" t="str">
        <f>IFERROR(VLOOKUP(CONCATENATE($B65,"_",O$3),materiali!$C:$K,5,0),"")</f>
        <v>040001013</v>
      </c>
      <c r="P65" s="85" t="str">
        <f>IFERROR(VLOOKUP(CONCATENATE($B65,"_",P$3),materiali!$C:$K,6,0),"")</f>
        <v>CATALIZZATORE TECNOKAT E, 10KG</v>
      </c>
      <c r="Q65" s="90">
        <v>8760</v>
      </c>
      <c r="R65" s="84" t="str">
        <f>IFERROR(VLOOKUP(CONCATENATE($B65,"_",R$3),materiali!$C:$K,5,0),"")</f>
        <v>040001014</v>
      </c>
      <c r="S65" s="85" t="str">
        <f>IFERROR(VLOOKUP(CONCATENATE($B65,"_",S$3),materiali!$C:$K,6,0),"")</f>
        <v>ADDITTIVO ANTISTAT.PER POLIOLO POLIEST.CATAFOR PU</v>
      </c>
      <c r="T65" s="90"/>
      <c r="U65" s="31">
        <v>45180</v>
      </c>
      <c r="V65" s="59">
        <v>69</v>
      </c>
      <c r="W65" s="59">
        <v>5</v>
      </c>
      <c r="X65" s="183">
        <v>318</v>
      </c>
      <c r="Y65" s="96">
        <v>22</v>
      </c>
      <c r="Z65" s="96">
        <v>27</v>
      </c>
      <c r="AA65" s="59">
        <v>13</v>
      </c>
      <c r="AD65" s="97"/>
    </row>
    <row r="66" spans="1:30" ht="35.1" customHeight="1" x14ac:dyDescent="0.25">
      <c r="A66" s="83">
        <v>44990</v>
      </c>
      <c r="B66" s="7" t="s">
        <v>24</v>
      </c>
      <c r="C66" s="8" t="s">
        <v>25</v>
      </c>
      <c r="D66" s="8" t="s">
        <v>247</v>
      </c>
      <c r="E66" s="61" t="s">
        <v>486</v>
      </c>
      <c r="F66" s="84" t="str">
        <f>IFERROR(VLOOKUP(CONCATENATE($B66,"_",F$3),materiali!$C:$K,5,0),"")</f>
        <v>997006153</v>
      </c>
      <c r="G66" s="85" t="str">
        <f>IFERROR(VLOOKUP(CONCATENATE($B66,"_",G$3),materiali!$C:$K,6,0),"")</f>
        <v>MPC 109A (FUSTI 50 KG)</v>
      </c>
      <c r="H66" s="90" t="s">
        <v>487</v>
      </c>
      <c r="I66" s="84" t="str">
        <f>IFERROR(VLOOKUP(CONCATENATE($B66,"_",I$3),materiali!$C:$K,5,0),"")</f>
        <v>997006154</v>
      </c>
      <c r="J66" s="85" t="str">
        <f>IFERROR(VLOOKUP(CONCATENATE($B66,"_",J$3),materiali!$C:$K,6,0),"")</f>
        <v>RH 275B (FUSTI 25 KG)</v>
      </c>
      <c r="K66" s="90" t="s">
        <v>488</v>
      </c>
      <c r="L66" s="84" t="str">
        <f>IFERROR(VLOOKUP(CONCATENATE($B66,"_",L$3),materiali!$C:$K,5,0),"")</f>
        <v/>
      </c>
      <c r="M66" s="85" t="str">
        <f>IFERROR(VLOOKUP(CONCATENATE($B66,"_",M$3),materiali!$C:$K,6,0),"")</f>
        <v/>
      </c>
      <c r="N66" s="90" t="s">
        <v>489</v>
      </c>
      <c r="O66" s="84" t="str">
        <f>IFERROR(VLOOKUP(CONCATENATE($B66,"_",O$3),materiali!$C:$K,5,0),"")</f>
        <v>997006168</v>
      </c>
      <c r="P66" s="85" t="str">
        <f>IFERROR(VLOOKUP(CONCATENATE($B66,"_",P$3),materiali!$C:$K,6,0),"")</f>
        <v>CATALIZZATORE TECNOKAT T12-500</v>
      </c>
      <c r="Q66" s="90">
        <v>10080</v>
      </c>
      <c r="R66" s="84" t="str">
        <f>IFERROR(VLOOKUP(CONCATENATE($B66,"_",R$3),materiali!$C:$K,5,0),"")</f>
        <v>997004318</v>
      </c>
      <c r="S66" s="85" t="str">
        <f>IFERROR(VLOOKUP(CONCATENATE($B66,"_",S$3),materiali!$C:$K,6,0),"")</f>
        <v>BIANCO REMAP 10080 FDA 178.3297 (COLORANTE FDA PER SISTEMI)</v>
      </c>
      <c r="T66" s="90"/>
      <c r="U66" s="31">
        <v>45177</v>
      </c>
      <c r="V66" s="59">
        <v>70</v>
      </c>
      <c r="W66" s="59">
        <v>6</v>
      </c>
      <c r="X66" s="183">
        <v>334</v>
      </c>
      <c r="Y66" s="59">
        <v>26</v>
      </c>
      <c r="Z66" s="59">
        <v>34</v>
      </c>
      <c r="AA66" s="59">
        <v>65</v>
      </c>
      <c r="AD66" s="97"/>
    </row>
    <row r="67" spans="1:30" ht="35.1" hidden="1" customHeight="1" x14ac:dyDescent="0.25">
      <c r="A67" s="83">
        <v>45175</v>
      </c>
      <c r="B67" s="7" t="s">
        <v>42</v>
      </c>
      <c r="C67" s="8" t="s">
        <v>334</v>
      </c>
      <c r="D67" s="8" t="s">
        <v>263</v>
      </c>
      <c r="E67" s="61" t="s">
        <v>490</v>
      </c>
      <c r="F67" s="84" t="str">
        <f>IFERROR(VLOOKUP(CONCATENATE($B67,"_",F$3),materiali!$C:$K,5,0),"")</f>
        <v>997005963</v>
      </c>
      <c r="G67" s="85" t="str">
        <f>IFERROR(VLOOKUP(CONCATENATE($B67,"_",G$3),materiali!$C:$K,6,0),"")</f>
        <v>MPC 2013F (FUSTI 50 KG)</v>
      </c>
      <c r="H67" s="90" t="s">
        <v>491</v>
      </c>
      <c r="I67" s="84" t="str">
        <f>IFERROR(VLOOKUP(CONCATENATE($B67,"_",I$3),materiali!$C:$K,5,0),"")</f>
        <v>997005965</v>
      </c>
      <c r="J67" s="85" t="str">
        <f>IFERROR(VLOOKUP(CONCATENATE($B67,"_",J$3),materiali!$C:$K,6,0),"")</f>
        <v>RCH 350F (FUSTI 25 KG)</v>
      </c>
      <c r="K67" s="90" t="s">
        <v>492</v>
      </c>
      <c r="L67" s="84" t="str">
        <f>IFERROR(VLOOKUP(CONCATENATE($B67,"_",L$3),materiali!$C:$K,5,0),"")</f>
        <v/>
      </c>
      <c r="M67" s="85" t="str">
        <f>IFERROR(VLOOKUP(CONCATENATE($B67,"_",M$3),materiali!$C:$K,6,0),"")</f>
        <v/>
      </c>
      <c r="N67" s="90" t="s">
        <v>493</v>
      </c>
      <c r="O67" s="84" t="str">
        <f>IFERROR(VLOOKUP(CONCATENATE($B67,"_",O$3),materiali!$C:$K,5,0),"")</f>
        <v>997006168</v>
      </c>
      <c r="P67" s="85" t="str">
        <f>IFERROR(VLOOKUP(CONCATENATE($B67,"_",P$3),materiali!$C:$K,6,0),"")</f>
        <v>CATALIZZATORE TECNOKAT T12-500</v>
      </c>
      <c r="Q67" s="90">
        <v>101082</v>
      </c>
      <c r="R67" s="84" t="str">
        <f>IFERROR(VLOOKUP(CONCATENATE($B67,"_",R$3),materiali!$C:$K,5,0),"")</f>
        <v>997004318</v>
      </c>
      <c r="S67" s="85" t="str">
        <f>IFERROR(VLOOKUP(CONCATENATE($B67,"_",S$3),materiali!$C:$K,6,0),"")</f>
        <v>BIANCO REMAP 10080 FDA 178.3297 (COLORANTE FDA PER SISTEMI)</v>
      </c>
      <c r="T67" s="90"/>
      <c r="U67" s="31">
        <v>45406</v>
      </c>
      <c r="V67" s="59">
        <v>78</v>
      </c>
      <c r="W67" s="59">
        <v>28</v>
      </c>
      <c r="X67" s="183">
        <v>926</v>
      </c>
      <c r="Y67" s="59">
        <v>61</v>
      </c>
      <c r="Z67" s="59">
        <v>63</v>
      </c>
      <c r="AA67" s="59">
        <v>62</v>
      </c>
      <c r="AD67" s="97"/>
    </row>
    <row r="68" spans="1:30" ht="35.1" hidden="1" customHeight="1" x14ac:dyDescent="0.25">
      <c r="A68" s="83">
        <v>45175</v>
      </c>
      <c r="B68" s="7" t="s">
        <v>20</v>
      </c>
      <c r="C68" s="8" t="s">
        <v>21</v>
      </c>
      <c r="D68" s="8" t="s">
        <v>315</v>
      </c>
      <c r="E68" s="61" t="s">
        <v>490</v>
      </c>
      <c r="F68" s="84" t="str">
        <f>IFERROR(VLOOKUP(CONCATENATE($B68,"_",F$3),materiali!$C:$K,5,0),"")</f>
        <v>997001513</v>
      </c>
      <c r="G68" s="85" t="str">
        <f>IFERROR(VLOOKUP(CONCATENATE($B68,"_",G$3),materiali!$C:$K,6,0),"")</f>
        <v>RESINA TECNOTHANE MPC2013SG</v>
      </c>
      <c r="H68" s="90" t="s">
        <v>494</v>
      </c>
      <c r="I68" s="84" t="str">
        <f>IFERROR(VLOOKUP(CONCATENATE($B68,"_",I$3),materiali!$C:$K,5,0),"")</f>
        <v>997001514</v>
      </c>
      <c r="J68" s="85" t="str">
        <f>IFERROR(VLOOKUP(CONCATENATE($B68,"_",J$3),materiali!$C:$K,6,0),"")</f>
        <v>RETICOLANTE TECNOTHANE RCH361</v>
      </c>
      <c r="K68" s="90" t="s">
        <v>495</v>
      </c>
      <c r="L68" s="84" t="str">
        <f>IFERROR(VLOOKUP(CONCATENATE($B68,"_",L$3),materiali!$C:$K,5,0),"")</f>
        <v/>
      </c>
      <c r="M68" s="85" t="str">
        <f>IFERROR(VLOOKUP(CONCATENATE($B68,"_",M$3),materiali!$C:$K,6,0),"")</f>
        <v/>
      </c>
      <c r="N68" s="90" t="s">
        <v>496</v>
      </c>
      <c r="O68" s="84" t="str">
        <f>IFERROR(VLOOKUP(CONCATENATE($B68,"_",O$3),materiali!$C:$K,5,0),"")</f>
        <v>040001013</v>
      </c>
      <c r="P68" s="85" t="str">
        <f>IFERROR(VLOOKUP(CONCATENATE($B68,"_",P$3),materiali!$C:$K,6,0),"")</f>
        <v>ACCELERANTE X POLIOLO POLIESTERE TECNOKAT  PURO NON DILUITO</v>
      </c>
      <c r="Q68" s="90" t="s">
        <v>455</v>
      </c>
      <c r="R68" s="84" t="str">
        <f>IFERROR(VLOOKUP(CONCATENATE($B68,"_",R$3),materiali!$C:$K,5,0),"")</f>
        <v>997001508</v>
      </c>
      <c r="S68" s="85" t="str">
        <f>IFERROR(VLOOKUP(CONCATENATE($B68,"_",S$3),materiali!$C:$K,6,0),"")</f>
        <v>COLORE GIALLO PER POLIOLO</v>
      </c>
      <c r="T68" s="90">
        <v>8760</v>
      </c>
      <c r="U68" s="31">
        <v>45401</v>
      </c>
      <c r="V68" s="59">
        <v>72</v>
      </c>
      <c r="W68" s="59">
        <v>26</v>
      </c>
      <c r="X68" s="183">
        <v>924</v>
      </c>
      <c r="Y68" s="59">
        <v>63</v>
      </c>
      <c r="Z68" s="59">
        <v>58</v>
      </c>
      <c r="AA68" s="59">
        <v>19</v>
      </c>
      <c r="AB68" s="91">
        <v>110000000</v>
      </c>
      <c r="AD68" s="97"/>
    </row>
    <row r="69" spans="1:30" ht="35.1" hidden="1" customHeight="1" x14ac:dyDescent="0.25">
      <c r="A69" s="83">
        <v>45175</v>
      </c>
      <c r="B69" s="7" t="s">
        <v>28</v>
      </c>
      <c r="C69" s="8" t="s">
        <v>29</v>
      </c>
      <c r="D69" s="8" t="s">
        <v>327</v>
      </c>
      <c r="E69" s="61" t="s">
        <v>490</v>
      </c>
      <c r="F69" s="84" t="str">
        <f>IFERROR(VLOOKUP(CONCATENATE($B69,"_",F$3),materiali!$C:$K,5,0),"")</f>
        <v>997001513</v>
      </c>
      <c r="G69" s="85" t="str">
        <f>IFERROR(VLOOKUP(CONCATENATE($B69,"_",G$3),materiali!$C:$K,6,0),"")</f>
        <v>RESINA TECNOTHANE MPC2013SG</v>
      </c>
      <c r="H69" s="90" t="s">
        <v>497</v>
      </c>
      <c r="I69" s="84" t="str">
        <f>IFERROR(VLOOKUP(CONCATENATE($B69,"_",I$3),materiali!$C:$K,5,0),"")</f>
        <v>997001514</v>
      </c>
      <c r="J69" s="85" t="str">
        <f>IFERROR(VLOOKUP(CONCATENATE($B69,"_",J$3),materiali!$C:$K,6,0),"")</f>
        <v>RETICOLANTE TECNOTHANE RCH361</v>
      </c>
      <c r="K69" s="90" t="s">
        <v>495</v>
      </c>
      <c r="L69" s="84" t="str">
        <f>IFERROR(VLOOKUP(CONCATENATE($B69,"_",L$3),materiali!$C:$K,5,0),"")</f>
        <v/>
      </c>
      <c r="M69" s="85" t="str">
        <f>IFERROR(VLOOKUP(CONCATENATE($B69,"_",M$3),materiali!$C:$K,6,0),"")</f>
        <v/>
      </c>
      <c r="N69" s="90" t="s">
        <v>496</v>
      </c>
      <c r="O69" s="84" t="str">
        <f>IFERROR(VLOOKUP(CONCATENATE($B69,"_",O$3),materiali!$C:$K,5,0),"")</f>
        <v>040001013</v>
      </c>
      <c r="P69" s="85" t="str">
        <f>IFERROR(VLOOKUP(CONCATENATE($B69,"_",P$3),materiali!$C:$K,6,0),"")</f>
        <v>ACCELERANTE X POLIOLO POLIESTERE TECNOKAT  PURO NON DILUITO</v>
      </c>
      <c r="Q69" s="90" t="s">
        <v>455</v>
      </c>
      <c r="R69" s="84" t="str">
        <f>IFERROR(VLOOKUP(CONCATENATE($B69,"_",R$3),materiali!$C:$K,5,0),"")</f>
        <v>997001508</v>
      </c>
      <c r="S69" s="85" t="str">
        <f>IFERROR(VLOOKUP(CONCATENATE($B69,"_",S$3),materiali!$C:$K,6,0),"")</f>
        <v>COLORE GIALLO PER POLIOLO</v>
      </c>
      <c r="T69" s="90"/>
      <c r="U69" s="31">
        <v>45406</v>
      </c>
      <c r="V69" s="59">
        <v>72</v>
      </c>
      <c r="W69" s="59">
        <v>26</v>
      </c>
      <c r="X69" s="183">
        <v>924</v>
      </c>
      <c r="Y69" s="59">
        <v>63</v>
      </c>
      <c r="Z69" s="59">
        <v>58</v>
      </c>
      <c r="AA69" s="59">
        <v>19</v>
      </c>
      <c r="AD69" s="97"/>
    </row>
    <row r="70" spans="1:30" ht="35.1" hidden="1" customHeight="1" x14ac:dyDescent="0.25">
      <c r="A70" s="83">
        <v>45175</v>
      </c>
      <c r="B70" s="7" t="s">
        <v>14</v>
      </c>
      <c r="C70" s="8" t="s">
        <v>15</v>
      </c>
      <c r="D70" s="8" t="s">
        <v>339</v>
      </c>
      <c r="E70" s="61" t="s">
        <v>498</v>
      </c>
      <c r="F70" s="84" t="str">
        <f>IFERROR(VLOOKUP(CONCATENATE($B70,"_",F$3),materiali!$C:$K,5,0),"")</f>
        <v>997001513</v>
      </c>
      <c r="G70" s="85" t="str">
        <f>IFERROR(VLOOKUP(CONCATENATE($B70,"_",G$3),materiali!$C:$K,6,0),"")</f>
        <v>RESINA TECNOTHANE MPC2013SG</v>
      </c>
      <c r="H70" s="90" t="s">
        <v>497</v>
      </c>
      <c r="I70" s="84" t="str">
        <f>IFERROR(VLOOKUP(CONCATENATE($B70,"_",I$3),materiali!$C:$K,5,0),"")</f>
        <v>997001515</v>
      </c>
      <c r="J70" s="85" t="str">
        <f>IFERROR(VLOOKUP(CONCATENATE($B70,"_",J$3),materiali!$C:$K,6,0),"")</f>
        <v>RETICOLANTE TECNOTHANE RCH160 (50 KG)</v>
      </c>
      <c r="K70" s="90" t="s">
        <v>499</v>
      </c>
      <c r="L70" s="84" t="str">
        <f>IFERROR(VLOOKUP(CONCATENATE($B70,"_",L$3),materiali!$C:$K,5,0),"")</f>
        <v/>
      </c>
      <c r="M70" s="85" t="str">
        <f>IFERROR(VLOOKUP(CONCATENATE($B70,"_",M$3),materiali!$C:$K,6,0),"")</f>
        <v/>
      </c>
      <c r="N70" s="90" t="s">
        <v>496</v>
      </c>
      <c r="O70" s="84" t="str">
        <f>IFERROR(VLOOKUP(CONCATENATE($B70,"_",O$3),materiali!$C:$K,5,0),"")</f>
        <v>040001013</v>
      </c>
      <c r="P70" s="85" t="str">
        <f>IFERROR(VLOOKUP(CONCATENATE($B70,"_",P$3),materiali!$C:$K,6,0),"")</f>
        <v>ACCELERANTE X POLIOLO POLIESTERE TECNOKAT  PURO NON DILUITO</v>
      </c>
      <c r="Q70" s="90" t="s">
        <v>455</v>
      </c>
      <c r="R70" s="84" t="str">
        <f>IFERROR(VLOOKUP(CONCATENATE($B70,"_",R$3),materiali!$C:$K,5,0),"")</f>
        <v>997001508</v>
      </c>
      <c r="S70" s="85" t="str">
        <f>IFERROR(VLOOKUP(CONCATENATE($B70,"_",S$3),materiali!$C:$K,6,0),"")</f>
        <v>COLORE GIALLO PER POLIOLO</v>
      </c>
      <c r="T70" s="90"/>
      <c r="U70" s="31">
        <v>45392</v>
      </c>
      <c r="V70" s="59">
        <v>92</v>
      </c>
      <c r="W70" s="59">
        <v>39</v>
      </c>
      <c r="X70" s="183">
        <v>836</v>
      </c>
      <c r="Y70" s="59">
        <v>84</v>
      </c>
      <c r="Z70" s="59">
        <v>99</v>
      </c>
      <c r="AA70" s="59">
        <v>30</v>
      </c>
      <c r="AD70" s="97"/>
    </row>
    <row r="71" spans="1:30" ht="35.1" hidden="1" customHeight="1" x14ac:dyDescent="0.25">
      <c r="A71" s="83">
        <v>45175</v>
      </c>
      <c r="B71" s="7" t="s">
        <v>10</v>
      </c>
      <c r="C71" s="8" t="s">
        <v>11</v>
      </c>
      <c r="D71" s="8" t="s">
        <v>341</v>
      </c>
      <c r="E71" s="61" t="s">
        <v>490</v>
      </c>
      <c r="F71" s="84" t="str">
        <f>IFERROR(VLOOKUP(CONCATENATE($B71,"_",F$3),materiali!$C:$K,5,0),"")</f>
        <v>997001502</v>
      </c>
      <c r="G71" s="85" t="str">
        <f>IFERROR(VLOOKUP(CONCATENATE($B71,"_",G$3),materiali!$C:$K,6,0),"")</f>
        <v>ISOCIANATO POLIETERE SH.70/90 TECNOTHANE MPT 109SG</v>
      </c>
      <c r="H71" s="90" t="s">
        <v>500</v>
      </c>
      <c r="I71" s="84" t="str">
        <f>IFERROR(VLOOKUP(CONCATENATE($B71,"_",I$3),materiali!$C:$K,5,0),"")</f>
        <v>997005228</v>
      </c>
      <c r="J71" s="85" t="str">
        <f>IFERROR(VLOOKUP(CONCATENATE($B71,"_",J$3),materiali!$C:$K,6,0),"")</f>
        <v>POLIOLO POLIETERE SH.70 TECNOTHANE RH 246  FORMATO 200 KG.</v>
      </c>
      <c r="K71" s="90" t="s">
        <v>501</v>
      </c>
      <c r="L71" s="84" t="str">
        <f>IFERROR(VLOOKUP(CONCATENATE($B71,"_",L$3),materiali!$C:$K,5,0),"")</f>
        <v/>
      </c>
      <c r="M71" s="85" t="str">
        <f>IFERROR(VLOOKUP(CONCATENATE($B71,"_",M$3),materiali!$C:$K,6,0),"")</f>
        <v/>
      </c>
      <c r="N71" s="90" t="s">
        <v>496</v>
      </c>
      <c r="O71" s="84" t="str">
        <f>IFERROR(VLOOKUP(CONCATENATE($B71,"_",O$3),materiali!$C:$K,5,0),"")</f>
        <v>040001013</v>
      </c>
      <c r="P71" s="85" t="str">
        <f>IFERROR(VLOOKUP(CONCATENATE($B71,"_",P$3),materiali!$C:$K,6,0),"")</f>
        <v>ACCELERANTE X POLIOLO POLIESTE RE (per macchine pur old)</v>
      </c>
      <c r="Q71" s="90" t="s">
        <v>455</v>
      </c>
      <c r="R71" s="84" t="str">
        <f>IFERROR(VLOOKUP(CONCATENATE($B71,"_",R$3),materiali!$C:$K,5,0),"")</f>
        <v>997001508</v>
      </c>
      <c r="S71" s="85" t="str">
        <f>IFERROR(VLOOKUP(CONCATENATE($B71,"_",S$3),materiali!$C:$K,6,0),"")</f>
        <v>COLORE GIALLO PER POLIOLO</v>
      </c>
      <c r="T71" s="90">
        <v>8760</v>
      </c>
      <c r="U71" s="31">
        <v>45390</v>
      </c>
      <c r="V71" s="59">
        <v>68</v>
      </c>
      <c r="W71" s="59">
        <v>7</v>
      </c>
      <c r="X71" s="183">
        <v>407</v>
      </c>
      <c r="Y71" s="59">
        <v>29</v>
      </c>
      <c r="Z71" s="59">
        <v>35</v>
      </c>
      <c r="AA71" s="59">
        <v>21</v>
      </c>
      <c r="AB71" s="91">
        <v>840000000</v>
      </c>
      <c r="AD71" s="101" t="s">
        <v>502</v>
      </c>
    </row>
    <row r="72" spans="1:30" ht="35.1" customHeight="1" x14ac:dyDescent="0.25">
      <c r="A72" s="83">
        <v>45175</v>
      </c>
      <c r="B72" s="7" t="s">
        <v>24</v>
      </c>
      <c r="C72" s="8" t="s">
        <v>25</v>
      </c>
      <c r="D72" s="8" t="s">
        <v>247</v>
      </c>
      <c r="E72" s="61" t="s">
        <v>490</v>
      </c>
      <c r="F72" s="84" t="str">
        <f>IFERROR(VLOOKUP(CONCATENATE($B72,"_",F$3),materiali!$C:$K,5,0),"")</f>
        <v>997006153</v>
      </c>
      <c r="G72" s="85" t="str">
        <f>IFERROR(VLOOKUP(CONCATENATE($B72,"_",G$3),materiali!$C:$K,6,0),"")</f>
        <v>MPC 109A (FUSTI 50 KG)</v>
      </c>
      <c r="H72" s="90" t="s">
        <v>503</v>
      </c>
      <c r="I72" s="84" t="str">
        <f>IFERROR(VLOOKUP(CONCATENATE($B72,"_",I$3),materiali!$C:$K,5,0),"")</f>
        <v>997006154</v>
      </c>
      <c r="J72" s="85" t="str">
        <f>IFERROR(VLOOKUP(CONCATENATE($B72,"_",J$3),materiali!$C:$K,6,0),"")</f>
        <v>RH 275B (FUSTI 25 KG)</v>
      </c>
      <c r="K72" s="90" t="s">
        <v>504</v>
      </c>
      <c r="L72" s="84" t="str">
        <f>IFERROR(VLOOKUP(CONCATENATE($B72,"_",L$3),materiali!$C:$K,5,0),"")</f>
        <v/>
      </c>
      <c r="M72" s="85" t="str">
        <f>IFERROR(VLOOKUP(CONCATENATE($B72,"_",M$3),materiali!$C:$K,6,0),"")</f>
        <v/>
      </c>
      <c r="N72" s="90" t="s">
        <v>489</v>
      </c>
      <c r="O72" s="84" t="str">
        <f>IFERROR(VLOOKUP(CONCATENATE($B72,"_",O$3),materiali!$C:$K,5,0),"")</f>
        <v>997006168</v>
      </c>
      <c r="P72" s="85" t="str">
        <f>IFERROR(VLOOKUP(CONCATENATE($B72,"_",P$3),materiali!$C:$K,6,0),"")</f>
        <v>CATALIZZATORE TECNOKAT T12-500</v>
      </c>
      <c r="Q72" s="90">
        <v>101082</v>
      </c>
      <c r="R72" s="84" t="str">
        <f>IFERROR(VLOOKUP(CONCATENATE($B72,"_",R$3),materiali!$C:$K,5,0),"")</f>
        <v>997004318</v>
      </c>
      <c r="S72" s="85" t="str">
        <f>IFERROR(VLOOKUP(CONCATENATE($B72,"_",S$3),materiali!$C:$K,6,0),"")</f>
        <v>BIANCO REMAP 10080 FDA 178.3297 (COLORANTE FDA PER SISTEMI)</v>
      </c>
      <c r="T72" s="90"/>
      <c r="U72" s="31">
        <v>45405</v>
      </c>
      <c r="V72" s="59">
        <v>68</v>
      </c>
      <c r="W72" s="59">
        <v>7</v>
      </c>
      <c r="X72" s="183">
        <v>392</v>
      </c>
      <c r="Y72" s="59">
        <v>24</v>
      </c>
      <c r="Z72" s="59">
        <v>31</v>
      </c>
      <c r="AA72" s="59">
        <v>58</v>
      </c>
      <c r="AD72" s="97"/>
    </row>
    <row r="73" spans="1:30" ht="35.1" hidden="1" customHeight="1" x14ac:dyDescent="0.25">
      <c r="A73" s="83">
        <v>45175</v>
      </c>
      <c r="B73" s="7" t="s">
        <v>38</v>
      </c>
      <c r="C73" s="8" t="s">
        <v>39</v>
      </c>
      <c r="D73" s="8" t="s">
        <v>272</v>
      </c>
      <c r="E73" s="61" t="s">
        <v>498</v>
      </c>
      <c r="F73" s="84" t="str">
        <f>IFERROR(VLOOKUP(CONCATENATE($B73,"_",F$3),materiali!$C:$K,5,0),"")</f>
        <v>997001518</v>
      </c>
      <c r="G73" s="85" t="str">
        <f>IFERROR(VLOOKUP(CONCATENATE($B73,"_",G$3),materiali!$C:$K,6,0),"")</f>
        <v>PREPOLIMERO HTR 2011 (FUSTI DA 60 KG)</v>
      </c>
      <c r="H73" s="90" t="s">
        <v>505</v>
      </c>
      <c r="I73" s="84" t="str">
        <f>IFERROR(VLOOKUP(CONCATENATE($B73,"_",I$3),materiali!$C:$K,5,0),"")</f>
        <v>997001519</v>
      </c>
      <c r="J73" s="85" t="str">
        <f>IFERROR(VLOOKUP(CONCATENATE($B73,"_",J$3),materiali!$C:$K,6,0),"")</f>
        <v>RETICOLANTE TH 380 (FUSTI DA 20 KG.)</v>
      </c>
      <c r="K73" s="90" t="s">
        <v>506</v>
      </c>
      <c r="L73" s="84" t="str">
        <f>IFERROR(VLOOKUP(CONCATENATE($B73,"_",L$3),materiali!$C:$K,5,0),"")</f>
        <v/>
      </c>
      <c r="M73" s="85" t="str">
        <f>IFERROR(VLOOKUP(CONCATENATE($B73,"_",M$3),materiali!$C:$K,6,0),"")</f>
        <v/>
      </c>
      <c r="N73" s="90"/>
      <c r="O73" s="84" t="str">
        <f>IFERROR(VLOOKUP(CONCATENATE($B73,"_",O$3),materiali!$C:$K,5,0),"")</f>
        <v>040001013</v>
      </c>
      <c r="P73" s="85" t="str">
        <f>IFERROR(VLOOKUP(CONCATENATE($B73,"_",P$3),materiali!$C:$K,6,0),"")</f>
        <v>CATALIZZATORE TECNOKAT E, 10KG</v>
      </c>
      <c r="Q73" s="90"/>
      <c r="R73" s="84" t="str">
        <f>IFERROR(VLOOKUP(CONCATENATE($B73,"_",R$3),materiali!$C:$K,5,0),"")</f>
        <v/>
      </c>
      <c r="S73" s="85" t="str">
        <f>IFERROR(VLOOKUP(CONCATENATE($B73,"_",S$3),materiali!$C:$K,6,0),"")</f>
        <v/>
      </c>
      <c r="T73" s="90"/>
      <c r="U73" s="31">
        <v>45406</v>
      </c>
      <c r="V73" s="59">
        <v>85</v>
      </c>
      <c r="W73" s="59">
        <v>16</v>
      </c>
      <c r="X73" s="183">
        <v>348</v>
      </c>
      <c r="Y73" s="59">
        <v>56</v>
      </c>
      <c r="Z73" s="59">
        <v>56</v>
      </c>
      <c r="AA73" s="59">
        <v>97</v>
      </c>
      <c r="AD73" s="97"/>
    </row>
    <row r="74" spans="1:30" ht="35.1" hidden="1" customHeight="1" x14ac:dyDescent="0.25">
      <c r="A74" s="83">
        <v>45175</v>
      </c>
      <c r="B74" s="7" t="s">
        <v>35</v>
      </c>
      <c r="C74" s="8" t="s">
        <v>36</v>
      </c>
      <c r="D74" s="8" t="s">
        <v>267</v>
      </c>
      <c r="E74" s="61" t="s">
        <v>490</v>
      </c>
      <c r="F74" s="84" t="str">
        <f>IFERROR(VLOOKUP(CONCATENATE($B74,"_",F$3),materiali!$C:$K,5,0),"")</f>
        <v>997001502</v>
      </c>
      <c r="G74" s="85" t="str">
        <f>IFERROR(VLOOKUP(CONCATENATE($B74,"_",G$3),materiali!$C:$K,6,0),"")</f>
        <v>ISOCIANATO POLIETERE SH.70/90 TECNOTHANE MPT 109SG</v>
      </c>
      <c r="H74" s="90" t="s">
        <v>500</v>
      </c>
      <c r="I74" s="84" t="str">
        <f>IFERROR(VLOOKUP(CONCATENATE($B74,"_",I$3),materiali!$C:$K,5,0),"")</f>
        <v>997001503</v>
      </c>
      <c r="J74" s="85" t="str">
        <f>IFERROR(VLOOKUP(CONCATENATE($B74,"_",J$3),materiali!$C:$K,6,0),"")</f>
        <v>POLIOLO POLIETERE SH.70 TECNOTHANE RH 275</v>
      </c>
      <c r="K74" s="90" t="s">
        <v>507</v>
      </c>
      <c r="L74" s="84" t="str">
        <f>IFERROR(VLOOKUP(CONCATENATE($B74,"_",L$3),materiali!$C:$K,5,0),"")</f>
        <v/>
      </c>
      <c r="M74" s="85" t="str">
        <f>IFERROR(VLOOKUP(CONCATENATE($B74,"_",M$3),materiali!$C:$K,6,0),"")</f>
        <v/>
      </c>
      <c r="N74" s="90" t="s">
        <v>496</v>
      </c>
      <c r="O74" s="84" t="str">
        <f>IFERROR(VLOOKUP(CONCATENATE($B74,"_",O$3),materiali!$C:$K,5,0),"")</f>
        <v>040001013</v>
      </c>
      <c r="P74" s="85" t="str">
        <f>IFERROR(VLOOKUP(CONCATENATE($B74,"_",P$3),materiali!$C:$K,6,0),"")</f>
        <v>CATALIZZATORE TECNOKAT E, 10KG</v>
      </c>
      <c r="Q74" s="90">
        <v>8760</v>
      </c>
      <c r="R74" s="84" t="str">
        <f>IFERROR(VLOOKUP(CONCATENATE($B74,"_",R$3),materiali!$C:$K,5,0),"")</f>
        <v>040001014</v>
      </c>
      <c r="S74" s="85" t="str">
        <f>IFERROR(VLOOKUP(CONCATENATE($B74,"_",S$3),materiali!$C:$K,6,0),"")</f>
        <v>ADDITTIVO ANTISTAT.PER POLIOLO POLIEST.CATAFOR PU</v>
      </c>
      <c r="T74" s="90"/>
      <c r="U74" s="31">
        <v>45406</v>
      </c>
      <c r="V74" s="59">
        <v>68</v>
      </c>
      <c r="W74" s="59">
        <v>5</v>
      </c>
      <c r="X74" s="183">
        <v>283</v>
      </c>
      <c r="Y74" s="59">
        <v>18</v>
      </c>
      <c r="Z74" s="59">
        <v>24</v>
      </c>
      <c r="AA74" s="59">
        <v>21</v>
      </c>
      <c r="AB74" s="91">
        <v>800000000</v>
      </c>
      <c r="AD74" s="97"/>
    </row>
    <row r="75" spans="1:30" ht="35.1" hidden="1" customHeight="1" x14ac:dyDescent="0.25">
      <c r="A75" s="83">
        <v>45390</v>
      </c>
      <c r="B75" s="7" t="s">
        <v>20</v>
      </c>
      <c r="C75" s="8" t="s">
        <v>21</v>
      </c>
      <c r="D75" s="8" t="s">
        <v>315</v>
      </c>
      <c r="E75" s="61" t="s">
        <v>508</v>
      </c>
      <c r="F75" s="84" t="str">
        <f>IFERROR(VLOOKUP(CONCATENATE($B75,"_",F$3),materiali!$C:$K,5,0),"")</f>
        <v>997001513</v>
      </c>
      <c r="G75" s="85" t="str">
        <f>IFERROR(VLOOKUP(CONCATENATE($B75,"_",G$3),materiali!$C:$K,6,0),"")</f>
        <v>RESINA TECNOTHANE MPC2013SG</v>
      </c>
      <c r="H75" s="90" t="s">
        <v>509</v>
      </c>
      <c r="I75" s="84" t="str">
        <f>IFERROR(VLOOKUP(CONCATENATE($B75,"_",I$3),materiali!$C:$K,5,0),"")</f>
        <v>997001514</v>
      </c>
      <c r="J75" s="85" t="str">
        <f>IFERROR(VLOOKUP(CONCATENATE($B75,"_",J$3),materiali!$C:$K,6,0),"")</f>
        <v>RETICOLANTE TECNOTHANE RCH361</v>
      </c>
      <c r="K75" s="90" t="s">
        <v>510</v>
      </c>
      <c r="L75" s="84" t="str">
        <f>IFERROR(VLOOKUP(CONCATENATE($B75,"_",L$3),materiali!$C:$K,5,0),"")</f>
        <v/>
      </c>
      <c r="M75" s="85" t="str">
        <f>IFERROR(VLOOKUP(CONCATENATE($B75,"_",M$3),materiali!$C:$K,6,0),"")</f>
        <v/>
      </c>
      <c r="N75" s="90" t="s">
        <v>511</v>
      </c>
      <c r="O75" s="84" t="str">
        <f>IFERROR(VLOOKUP(CONCATENATE($B75,"_",O$3),materiali!$C:$K,5,0),"")</f>
        <v>040001013</v>
      </c>
      <c r="P75" s="85" t="str">
        <f>IFERROR(VLOOKUP(CONCATENATE($B75,"_",P$3),materiali!$C:$K,6,0),"")</f>
        <v>ACCELERANTE X POLIOLO POLIESTERE TECNOKAT  PURO NON DILUITO</v>
      </c>
      <c r="Q75" s="90" t="s">
        <v>455</v>
      </c>
      <c r="R75" s="84" t="str">
        <f>IFERROR(VLOOKUP(CONCATENATE($B75,"_",R$3),materiali!$C:$K,5,0),"")</f>
        <v>997001508</v>
      </c>
      <c r="S75" s="85" t="str">
        <f>IFERROR(VLOOKUP(CONCATENATE($B75,"_",S$3),materiali!$C:$K,6,0),"")</f>
        <v>COLORE GIALLO PER POLIOLO</v>
      </c>
      <c r="T75" s="90">
        <v>8760</v>
      </c>
      <c r="U75" s="31"/>
      <c r="V75" s="59">
        <v>65</v>
      </c>
      <c r="W75" s="59">
        <v>29</v>
      </c>
      <c r="X75" s="183">
        <v>1229</v>
      </c>
      <c r="Y75" s="59">
        <v>66</v>
      </c>
      <c r="Z75" s="59">
        <v>58</v>
      </c>
      <c r="AA75" s="59">
        <v>14</v>
      </c>
      <c r="AB75" s="91">
        <v>1100000000</v>
      </c>
      <c r="AD75" s="97"/>
    </row>
    <row r="76" spans="1:30" ht="35.1" hidden="1" customHeight="1" x14ac:dyDescent="0.25">
      <c r="A76" s="83">
        <v>45390</v>
      </c>
      <c r="B76" s="7" t="s">
        <v>28</v>
      </c>
      <c r="C76" s="8" t="s">
        <v>29</v>
      </c>
      <c r="D76" s="8" t="s">
        <v>327</v>
      </c>
      <c r="E76" s="61" t="s">
        <v>508</v>
      </c>
      <c r="F76" s="84" t="str">
        <f>IFERROR(VLOOKUP(CONCATENATE($B76,"_",F$3),materiali!$C:$K,5,0),"")</f>
        <v>997001513</v>
      </c>
      <c r="G76" s="85" t="str">
        <f>IFERROR(VLOOKUP(CONCATENATE($B76,"_",G$3),materiali!$C:$K,6,0),"")</f>
        <v>RESINA TECNOTHANE MPC2013SG</v>
      </c>
      <c r="H76" s="90" t="s">
        <v>509</v>
      </c>
      <c r="I76" s="84" t="str">
        <f>IFERROR(VLOOKUP(CONCATENATE($B76,"_",I$3),materiali!$C:$K,5,0),"")</f>
        <v>997001514</v>
      </c>
      <c r="J76" s="85" t="str">
        <f>IFERROR(VLOOKUP(CONCATENATE($B76,"_",J$3),materiali!$C:$K,6,0),"")</f>
        <v>RETICOLANTE TECNOTHANE RCH361</v>
      </c>
      <c r="K76" s="90" t="s">
        <v>510</v>
      </c>
      <c r="L76" s="84" t="str">
        <f>IFERROR(VLOOKUP(CONCATENATE($B76,"_",L$3),materiali!$C:$K,5,0),"")</f>
        <v/>
      </c>
      <c r="M76" s="85" t="str">
        <f>IFERROR(VLOOKUP(CONCATENATE($B76,"_",M$3),materiali!$C:$K,6,0),"")</f>
        <v/>
      </c>
      <c r="N76" s="90" t="s">
        <v>512</v>
      </c>
      <c r="O76" s="84" t="str">
        <f>IFERROR(VLOOKUP(CONCATENATE($B76,"_",O$3),materiali!$C:$K,5,0),"")</f>
        <v>040001013</v>
      </c>
      <c r="P76" s="85" t="str">
        <f>IFERROR(VLOOKUP(CONCATENATE($B76,"_",P$3),materiali!$C:$K,6,0),"")</f>
        <v>ACCELERANTE X POLIOLO POLIESTERE TECNOKAT  PURO NON DILUITO</v>
      </c>
      <c r="Q76" s="90" t="s">
        <v>455</v>
      </c>
      <c r="R76" s="84" t="str">
        <f>IFERROR(VLOOKUP(CONCATENATE($B76,"_",R$3),materiali!$C:$K,5,0),"")</f>
        <v>997001508</v>
      </c>
      <c r="S76" s="85" t="str">
        <f>IFERROR(VLOOKUP(CONCATENATE($B76,"_",S$3),materiali!$C:$K,6,0),"")</f>
        <v>COLORE GIALLO PER POLIOLO</v>
      </c>
      <c r="T76" s="90"/>
      <c r="U76" s="31"/>
      <c r="V76" s="59">
        <v>69</v>
      </c>
      <c r="W76" s="59">
        <v>22</v>
      </c>
      <c r="X76" s="183">
        <v>912</v>
      </c>
      <c r="Y76" s="59">
        <v>42</v>
      </c>
      <c r="Z76" s="59">
        <v>51</v>
      </c>
      <c r="AA76" s="59">
        <v>14</v>
      </c>
      <c r="AD76" s="97"/>
    </row>
    <row r="77" spans="1:30" ht="35.1" hidden="1" customHeight="1" x14ac:dyDescent="0.25">
      <c r="A77" s="83">
        <v>45390</v>
      </c>
      <c r="B77" s="7" t="s">
        <v>42</v>
      </c>
      <c r="C77" s="8" t="s">
        <v>334</v>
      </c>
      <c r="D77" s="8" t="s">
        <v>263</v>
      </c>
      <c r="E77" s="61" t="s">
        <v>508</v>
      </c>
      <c r="F77" s="84" t="str">
        <f>IFERROR(VLOOKUP(CONCATENATE($B77,"_",F$3),materiali!$C:$K,5,0),"")</f>
        <v>997005963</v>
      </c>
      <c r="G77" s="85" t="str">
        <f>IFERROR(VLOOKUP(CONCATENATE($B77,"_",G$3),materiali!$C:$K,6,0),"")</f>
        <v>MPC 2013F (FUSTI 50 KG)</v>
      </c>
      <c r="H77" s="90" t="s">
        <v>513</v>
      </c>
      <c r="I77" s="84" t="str">
        <f>IFERROR(VLOOKUP(CONCATENATE($B77,"_",I$3),materiali!$C:$K,5,0),"")</f>
        <v>997005965</v>
      </c>
      <c r="J77" s="85" t="str">
        <f>IFERROR(VLOOKUP(CONCATENATE($B77,"_",J$3),materiali!$C:$K,6,0),"")</f>
        <v>RCH 350F (FUSTI 25 KG)</v>
      </c>
      <c r="K77" s="90" t="s">
        <v>514</v>
      </c>
      <c r="L77" s="84" t="str">
        <f>IFERROR(VLOOKUP(CONCATENATE($B77,"_",L$3),materiali!$C:$K,5,0),"")</f>
        <v/>
      </c>
      <c r="M77" s="85" t="str">
        <f>IFERROR(VLOOKUP(CONCATENATE($B77,"_",M$3),materiali!$C:$K,6,0),"")</f>
        <v/>
      </c>
      <c r="N77" s="90" t="s">
        <v>489</v>
      </c>
      <c r="O77" s="84" t="str">
        <f>IFERROR(VLOOKUP(CONCATENATE($B77,"_",O$3),materiali!$C:$K,5,0),"")</f>
        <v>997006168</v>
      </c>
      <c r="P77" s="85" t="str">
        <f>IFERROR(VLOOKUP(CONCATENATE($B77,"_",P$3),materiali!$C:$K,6,0),"")</f>
        <v>CATALIZZATORE TECNOKAT T12-500</v>
      </c>
      <c r="Q77" s="90">
        <v>113483</v>
      </c>
      <c r="R77" s="84" t="str">
        <f>IFERROR(VLOOKUP(CONCATENATE($B77,"_",R$3),materiali!$C:$K,5,0),"")</f>
        <v>997004318</v>
      </c>
      <c r="S77" s="85" t="str">
        <f>IFERROR(VLOOKUP(CONCATENATE($B77,"_",S$3),materiali!$C:$K,6,0),"")</f>
        <v>BIANCO REMAP 10080 FDA 178.3297 (COLORANTE FDA PER SISTEMI)</v>
      </c>
      <c r="T77" s="90"/>
      <c r="U77" s="31"/>
      <c r="V77" s="59">
        <v>68</v>
      </c>
      <c r="W77" s="59">
        <v>22</v>
      </c>
      <c r="X77" s="183">
        <v>856</v>
      </c>
      <c r="Y77" s="59">
        <v>50</v>
      </c>
      <c r="Z77" s="59">
        <v>50</v>
      </c>
      <c r="AA77" s="59">
        <v>50</v>
      </c>
      <c r="AD77" s="97"/>
    </row>
    <row r="78" spans="1:30" ht="35.1" hidden="1" customHeight="1" x14ac:dyDescent="0.25">
      <c r="A78" s="83">
        <v>45390</v>
      </c>
      <c r="B78" s="7" t="s">
        <v>14</v>
      </c>
      <c r="C78" s="8" t="s">
        <v>15</v>
      </c>
      <c r="D78" s="8" t="s">
        <v>339</v>
      </c>
      <c r="E78" s="61" t="s">
        <v>508</v>
      </c>
      <c r="F78" s="84" t="str">
        <f>IFERROR(VLOOKUP(CONCATENATE($B78,"_",F$3),materiali!$C:$K,5,0),"")</f>
        <v>997001513</v>
      </c>
      <c r="G78" s="85" t="str">
        <f>IFERROR(VLOOKUP(CONCATENATE($B78,"_",G$3),materiali!$C:$K,6,0),"")</f>
        <v>RESINA TECNOTHANE MPC2013SG</v>
      </c>
      <c r="H78" s="90" t="s">
        <v>509</v>
      </c>
      <c r="I78" s="84" t="str">
        <f>IFERROR(VLOOKUP(CONCATENATE($B78,"_",I$3),materiali!$C:$K,5,0),"")</f>
        <v>997001515</v>
      </c>
      <c r="J78" s="85" t="str">
        <f>IFERROR(VLOOKUP(CONCATENATE($B78,"_",J$3),materiali!$C:$K,6,0),"")</f>
        <v>RETICOLANTE TECNOTHANE RCH160 (50 KG)</v>
      </c>
      <c r="K78" s="90" t="s">
        <v>515</v>
      </c>
      <c r="L78" s="84" t="str">
        <f>IFERROR(VLOOKUP(CONCATENATE($B78,"_",L$3),materiali!$C:$K,5,0),"")</f>
        <v/>
      </c>
      <c r="M78" s="85" t="str">
        <f>IFERROR(VLOOKUP(CONCATENATE($B78,"_",M$3),materiali!$C:$K,6,0),"")</f>
        <v/>
      </c>
      <c r="N78" s="90" t="s">
        <v>511</v>
      </c>
      <c r="O78" s="84" t="str">
        <f>IFERROR(VLOOKUP(CONCATENATE($B78,"_",O$3),materiali!$C:$K,5,0),"")</f>
        <v>040001013</v>
      </c>
      <c r="P78" s="85" t="str">
        <f>IFERROR(VLOOKUP(CONCATENATE($B78,"_",P$3),materiali!$C:$K,6,0),"")</f>
        <v>ACCELERANTE X POLIOLO POLIESTERE TECNOKAT  PURO NON DILUITO</v>
      </c>
      <c r="Q78" s="90" t="s">
        <v>455</v>
      </c>
      <c r="R78" s="84" t="str">
        <f>IFERROR(VLOOKUP(CONCATENATE($B78,"_",R$3),materiali!$C:$K,5,0),"")</f>
        <v>997001508</v>
      </c>
      <c r="S78" s="85" t="str">
        <f>IFERROR(VLOOKUP(CONCATENATE($B78,"_",S$3),materiali!$C:$K,6,0),"")</f>
        <v>COLORE GIALLO PER POLIOLO</v>
      </c>
      <c r="T78" s="90"/>
      <c r="U78" s="31"/>
      <c r="V78" s="59">
        <v>88</v>
      </c>
      <c r="W78" s="59">
        <v>25</v>
      </c>
      <c r="X78" s="183">
        <v>707</v>
      </c>
      <c r="Y78" s="59">
        <v>73</v>
      </c>
      <c r="Z78" s="59">
        <v>94</v>
      </c>
      <c r="AA78" s="59">
        <v>30</v>
      </c>
      <c r="AD78" s="97"/>
    </row>
    <row r="79" spans="1:30" ht="35.1" hidden="1" customHeight="1" x14ac:dyDescent="0.25">
      <c r="A79" s="83">
        <v>45390</v>
      </c>
      <c r="B79" s="7" t="s">
        <v>10</v>
      </c>
      <c r="C79" s="8" t="s">
        <v>11</v>
      </c>
      <c r="D79" s="8" t="s">
        <v>341</v>
      </c>
      <c r="E79" s="61" t="s">
        <v>508</v>
      </c>
      <c r="F79" s="84" t="str">
        <f>IFERROR(VLOOKUP(CONCATENATE($B79,"_",F$3),materiali!$C:$K,5,0),"")</f>
        <v>997001502</v>
      </c>
      <c r="G79" s="85" t="str">
        <f>IFERROR(VLOOKUP(CONCATENATE($B79,"_",G$3),materiali!$C:$K,6,0),"")</f>
        <v>ISOCIANATO POLIETERE SH.70/90 TECNOTHANE MPT 109SG</v>
      </c>
      <c r="H79" s="90" t="s">
        <v>516</v>
      </c>
      <c r="I79" s="84" t="str">
        <f>IFERROR(VLOOKUP(CONCATENATE($B79,"_",I$3),materiali!$C:$K,5,0),"")</f>
        <v>997005228</v>
      </c>
      <c r="J79" s="85" t="str">
        <f>IFERROR(VLOOKUP(CONCATENATE($B79,"_",J$3),materiali!$C:$K,6,0),"")</f>
        <v>POLIOLO POLIETERE SH.70 TECNOTHANE RH 246  FORMATO 200 KG.</v>
      </c>
      <c r="K79" s="90" t="s">
        <v>517</v>
      </c>
      <c r="L79" s="84" t="str">
        <f>IFERROR(VLOOKUP(CONCATENATE($B79,"_",L$3),materiali!$C:$K,5,0),"")</f>
        <v/>
      </c>
      <c r="M79" s="85" t="str">
        <f>IFERROR(VLOOKUP(CONCATENATE($B79,"_",M$3),materiali!$C:$K,6,0),"")</f>
        <v/>
      </c>
      <c r="N79" s="90" t="s">
        <v>511</v>
      </c>
      <c r="O79" s="84" t="str">
        <f>IFERROR(VLOOKUP(CONCATENATE($B79,"_",O$3),materiali!$C:$K,5,0),"")</f>
        <v>040001013</v>
      </c>
      <c r="P79" s="85" t="str">
        <f>IFERROR(VLOOKUP(CONCATENATE($B79,"_",P$3),materiali!$C:$K,6,0),"")</f>
        <v>ACCELERANTE X POLIOLO POLIESTE RE (per macchine pur old)</v>
      </c>
      <c r="Q79" s="90" t="s">
        <v>455</v>
      </c>
      <c r="R79" s="84" t="str">
        <f>IFERROR(VLOOKUP(CONCATENATE($B79,"_",R$3),materiali!$C:$K,5,0),"")</f>
        <v>997001508</v>
      </c>
      <c r="S79" s="85" t="str">
        <f>IFERROR(VLOOKUP(CONCATENATE($B79,"_",S$3),materiali!$C:$K,6,0),"")</f>
        <v>COLORE GIALLO PER POLIOLO</v>
      </c>
      <c r="T79" s="90">
        <v>8760</v>
      </c>
      <c r="U79" s="31"/>
      <c r="V79" s="59">
        <v>66</v>
      </c>
      <c r="W79" s="59">
        <v>8</v>
      </c>
      <c r="X79" s="183">
        <v>510</v>
      </c>
      <c r="Y79" s="59">
        <v>27</v>
      </c>
      <c r="Z79" s="59">
        <v>37</v>
      </c>
      <c r="AA79" s="59">
        <v>17</v>
      </c>
      <c r="AB79" s="91">
        <v>430000000</v>
      </c>
      <c r="AD79" s="97"/>
    </row>
    <row r="80" spans="1:30" ht="35.1" customHeight="1" x14ac:dyDescent="0.25">
      <c r="A80" s="83">
        <v>45390</v>
      </c>
      <c r="B80" s="7" t="s">
        <v>24</v>
      </c>
      <c r="C80" s="8" t="s">
        <v>25</v>
      </c>
      <c r="D80" s="8" t="s">
        <v>247</v>
      </c>
      <c r="E80" s="61" t="s">
        <v>508</v>
      </c>
      <c r="F80" s="84" t="str">
        <f>IFERROR(VLOOKUP(CONCATENATE($B80,"_",F$3),materiali!$C:$K,5,0),"")</f>
        <v>997006153</v>
      </c>
      <c r="G80" s="85" t="str">
        <f>IFERROR(VLOOKUP(CONCATENATE($B80,"_",G$3),materiali!$C:$K,6,0),"")</f>
        <v>MPC 109A (FUSTI 50 KG)</v>
      </c>
      <c r="H80" s="90" t="s">
        <v>518</v>
      </c>
      <c r="I80" s="84" t="str">
        <f>IFERROR(VLOOKUP(CONCATENATE($B80,"_",I$3),materiali!$C:$K,5,0),"")</f>
        <v>997006154</v>
      </c>
      <c r="J80" s="85" t="str">
        <f>IFERROR(VLOOKUP(CONCATENATE($B80,"_",J$3),materiali!$C:$K,6,0),"")</f>
        <v>RH 275B (FUSTI 25 KG)</v>
      </c>
      <c r="K80" s="90" t="s">
        <v>519</v>
      </c>
      <c r="L80" s="84" t="str">
        <f>IFERROR(VLOOKUP(CONCATENATE($B80,"_",L$3),materiali!$C:$K,5,0),"")</f>
        <v/>
      </c>
      <c r="M80" s="85" t="str">
        <f>IFERROR(VLOOKUP(CONCATENATE($B80,"_",M$3),materiali!$C:$K,6,0),"")</f>
        <v/>
      </c>
      <c r="N80" s="90" t="s">
        <v>489</v>
      </c>
      <c r="O80" s="84" t="str">
        <f>IFERROR(VLOOKUP(CONCATENATE($B80,"_",O$3),materiali!$C:$K,5,0),"")</f>
        <v>997006168</v>
      </c>
      <c r="P80" s="85" t="str">
        <f>IFERROR(VLOOKUP(CONCATENATE($B80,"_",P$3),materiali!$C:$K,6,0),"")</f>
        <v>CATALIZZATORE TECNOKAT T12-500</v>
      </c>
      <c r="Q80" s="90">
        <v>113483</v>
      </c>
      <c r="R80" s="84" t="str">
        <f>IFERROR(VLOOKUP(CONCATENATE($B80,"_",R$3),materiali!$C:$K,5,0),"")</f>
        <v>997004318</v>
      </c>
      <c r="S80" s="85" t="str">
        <f>IFERROR(VLOOKUP(CONCATENATE($B80,"_",S$3),materiali!$C:$K,6,0),"")</f>
        <v>BIANCO REMAP 10080 FDA 178.3297 (COLORANTE FDA PER SISTEMI)</v>
      </c>
      <c r="T80" s="90"/>
      <c r="U80" s="31"/>
      <c r="V80" s="59">
        <v>67</v>
      </c>
      <c r="W80" s="59">
        <v>6</v>
      </c>
      <c r="X80" s="183">
        <v>386</v>
      </c>
      <c r="Y80" s="59">
        <v>25</v>
      </c>
      <c r="Z80" s="59">
        <v>32</v>
      </c>
      <c r="AA80" s="59">
        <v>60</v>
      </c>
      <c r="AD80" s="97"/>
    </row>
    <row r="81" spans="1:30" ht="35.1" hidden="1" customHeight="1" x14ac:dyDescent="0.25">
      <c r="A81" s="83">
        <v>45390</v>
      </c>
      <c r="B81" s="7" t="s">
        <v>38</v>
      </c>
      <c r="C81" s="8" t="s">
        <v>39</v>
      </c>
      <c r="D81" s="8" t="s">
        <v>272</v>
      </c>
      <c r="E81" s="61" t="s">
        <v>508</v>
      </c>
      <c r="F81" s="84" t="str">
        <f>IFERROR(VLOOKUP(CONCATENATE($B81,"_",F$3),materiali!$C:$K,5,0),"")</f>
        <v>997001518</v>
      </c>
      <c r="G81" s="85" t="str">
        <f>IFERROR(VLOOKUP(CONCATENATE($B81,"_",G$3),materiali!$C:$K,6,0),"")</f>
        <v>PREPOLIMERO HTR 2011 (FUSTI DA 60 KG)</v>
      </c>
      <c r="H81" s="90" t="s">
        <v>520</v>
      </c>
      <c r="I81" s="84" t="str">
        <f>IFERROR(VLOOKUP(CONCATENATE($B81,"_",I$3),materiali!$C:$K,5,0),"")</f>
        <v>997001519</v>
      </c>
      <c r="J81" s="85" t="str">
        <f>IFERROR(VLOOKUP(CONCATENATE($B81,"_",J$3),materiali!$C:$K,6,0),"")</f>
        <v>RETICOLANTE TH 380 (FUSTI DA 20 KG.)</v>
      </c>
      <c r="K81" s="90" t="s">
        <v>521</v>
      </c>
      <c r="L81" s="84" t="str">
        <f>IFERROR(VLOOKUP(CONCATENATE($B81,"_",L$3),materiali!$C:$K,5,0),"")</f>
        <v/>
      </c>
      <c r="M81" s="85" t="str">
        <f>IFERROR(VLOOKUP(CONCATENATE($B81,"_",M$3),materiali!$C:$K,6,0),"")</f>
        <v/>
      </c>
      <c r="N81" s="90"/>
      <c r="O81" s="84" t="str">
        <f>IFERROR(VLOOKUP(CONCATENATE($B81,"_",O$3),materiali!$C:$K,5,0),"")</f>
        <v>040001013</v>
      </c>
      <c r="P81" s="85" t="str">
        <f>IFERROR(VLOOKUP(CONCATENATE($B81,"_",P$3),materiali!$C:$K,6,0),"")</f>
        <v>CATALIZZATORE TECNOKAT E, 10KG</v>
      </c>
      <c r="Q81" s="90"/>
      <c r="R81" s="84" t="str">
        <f>IFERROR(VLOOKUP(CONCATENATE($B81,"_",R$3),materiali!$C:$K,5,0),"")</f>
        <v/>
      </c>
      <c r="S81" s="85" t="str">
        <f>IFERROR(VLOOKUP(CONCATENATE($B81,"_",S$3),materiali!$C:$K,6,0),"")</f>
        <v/>
      </c>
      <c r="T81" s="90"/>
      <c r="U81" s="31"/>
      <c r="V81" s="59">
        <v>82</v>
      </c>
      <c r="W81" s="59">
        <v>14</v>
      </c>
      <c r="X81" s="183">
        <v>348</v>
      </c>
      <c r="Y81" s="59">
        <v>54</v>
      </c>
      <c r="Z81" s="59">
        <v>63</v>
      </c>
      <c r="AA81" s="59">
        <v>71</v>
      </c>
      <c r="AD81" s="97"/>
    </row>
    <row r="82" spans="1:30" ht="35.1" hidden="1" customHeight="1" x14ac:dyDescent="0.25">
      <c r="A82" s="83">
        <v>45390</v>
      </c>
      <c r="B82" s="7" t="s">
        <v>35</v>
      </c>
      <c r="C82" s="8" t="s">
        <v>36</v>
      </c>
      <c r="D82" s="8" t="s">
        <v>267</v>
      </c>
      <c r="E82" s="61" t="s">
        <v>508</v>
      </c>
      <c r="F82" s="84" t="str">
        <f>IFERROR(VLOOKUP(CONCATENATE($B82,"_",F$3),materiali!$C:$K,5,0),"")</f>
        <v>997001502</v>
      </c>
      <c r="G82" s="85" t="str">
        <f>IFERROR(VLOOKUP(CONCATENATE($B82,"_",G$3),materiali!$C:$K,6,0),"")</f>
        <v>ISOCIANATO POLIETERE SH.70/90 TECNOTHANE MPT 109SG</v>
      </c>
      <c r="H82" s="90" t="s">
        <v>522</v>
      </c>
      <c r="I82" s="84" t="str">
        <f>IFERROR(VLOOKUP(CONCATENATE($B82,"_",I$3),materiali!$C:$K,5,0),"")</f>
        <v>997001503</v>
      </c>
      <c r="J82" s="85" t="str">
        <f>IFERROR(VLOOKUP(CONCATENATE($B82,"_",J$3),materiali!$C:$K,6,0),"")</f>
        <v>POLIOLO POLIETERE SH.70 TECNOTHANE RH 275</v>
      </c>
      <c r="K82" s="90" t="s">
        <v>523</v>
      </c>
      <c r="L82" s="84" t="str">
        <f>IFERROR(VLOOKUP(CONCATENATE($B82,"_",L$3),materiali!$C:$K,5,0),"")</f>
        <v/>
      </c>
      <c r="M82" s="85" t="str">
        <f>IFERROR(VLOOKUP(CONCATENATE($B82,"_",M$3),materiali!$C:$K,6,0),"")</f>
        <v/>
      </c>
      <c r="N82" s="90" t="s">
        <v>512</v>
      </c>
      <c r="O82" s="84" t="str">
        <f>IFERROR(VLOOKUP(CONCATENATE($B82,"_",O$3),materiali!$C:$K,5,0),"")</f>
        <v>040001013</v>
      </c>
      <c r="P82" s="85" t="str">
        <f>IFERROR(VLOOKUP(CONCATENATE($B82,"_",P$3),materiali!$C:$K,6,0),"")</f>
        <v>CATALIZZATORE TECNOKAT E, 10KG</v>
      </c>
      <c r="Q82" s="90">
        <v>9725</v>
      </c>
      <c r="R82" s="84" t="str">
        <f>IFERROR(VLOOKUP(CONCATENATE($B82,"_",R$3),materiali!$C:$K,5,0),"")</f>
        <v>040001014</v>
      </c>
      <c r="S82" s="85" t="str">
        <f>IFERROR(VLOOKUP(CONCATENATE($B82,"_",S$3),materiali!$C:$K,6,0),"")</f>
        <v>ADDITTIVO ANTISTAT.PER POLIOLO POLIEST.CATAFOR PU</v>
      </c>
      <c r="T82" s="90"/>
      <c r="U82" s="31">
        <v>45420</v>
      </c>
      <c r="V82" s="59">
        <v>67</v>
      </c>
      <c r="W82" s="59">
        <v>6</v>
      </c>
      <c r="X82" s="183">
        <v>418</v>
      </c>
      <c r="Y82" s="59">
        <v>24</v>
      </c>
      <c r="Z82" s="59">
        <v>34</v>
      </c>
      <c r="AA82" s="59">
        <v>15</v>
      </c>
      <c r="AB82" s="91">
        <v>840000000</v>
      </c>
      <c r="AD82" s="97"/>
    </row>
    <row r="83" spans="1:30" ht="35.1" hidden="1" customHeight="1" x14ac:dyDescent="0.25">
      <c r="A83" s="83">
        <v>45468</v>
      </c>
      <c r="B83" s="7" t="s">
        <v>20</v>
      </c>
      <c r="C83" s="8" t="s">
        <v>21</v>
      </c>
      <c r="D83" s="8" t="s">
        <v>315</v>
      </c>
      <c r="E83" s="61" t="s">
        <v>524</v>
      </c>
      <c r="F83" s="84" t="str">
        <f>IFERROR(VLOOKUP(CONCATENATE($B83,"_",F$3),materiali!$C:$K,5,0),"")</f>
        <v>997001513</v>
      </c>
      <c r="G83" s="85" t="str">
        <f>IFERROR(VLOOKUP(CONCATENATE($B83,"_",G$3),materiali!$C:$K,6,0),"")</f>
        <v>RESINA TECNOTHANE MPC2013SG</v>
      </c>
      <c r="H83" s="90" t="s">
        <v>525</v>
      </c>
      <c r="I83" s="84" t="str">
        <f>IFERROR(VLOOKUP(CONCATENATE($B83,"_",I$3),materiali!$C:$K,5,0),"")</f>
        <v>997001514</v>
      </c>
      <c r="J83" s="85" t="str">
        <f>IFERROR(VLOOKUP(CONCATENATE($B83,"_",J$3),materiali!$C:$K,6,0),"")</f>
        <v>RETICOLANTE TECNOTHANE RCH361</v>
      </c>
      <c r="K83" s="90" t="s">
        <v>526</v>
      </c>
      <c r="L83" s="84" t="str">
        <f>IFERROR(VLOOKUP(CONCATENATE($B83,"_",L$3),materiali!$C:$K,5,0),"")</f>
        <v/>
      </c>
      <c r="M83" s="85" t="str">
        <f>IFERROR(VLOOKUP(CONCATENATE($B83,"_",M$3),materiali!$C:$K,6,0),"")</f>
        <v/>
      </c>
      <c r="N83" s="90" t="s">
        <v>527</v>
      </c>
      <c r="O83" s="84" t="str">
        <f>IFERROR(VLOOKUP(CONCATENATE($B83,"_",O$3),materiali!$C:$K,5,0),"")</f>
        <v>040001013</v>
      </c>
      <c r="P83" s="85" t="str">
        <f>IFERROR(VLOOKUP(CONCATENATE($B83,"_",P$3),materiali!$C:$K,6,0),"")</f>
        <v>ACCELERANTE X POLIOLO POLIESTERE TECNOKAT  PURO NON DILUITO</v>
      </c>
      <c r="Q83" s="90" t="s">
        <v>528</v>
      </c>
      <c r="R83" s="84" t="str">
        <f>IFERROR(VLOOKUP(CONCATENATE($B83,"_",R$3),materiali!$C:$K,5,0),"")</f>
        <v>997001508</v>
      </c>
      <c r="S83" s="85" t="str">
        <f>IFERROR(VLOOKUP(CONCATENATE($B83,"_",S$3),materiali!$C:$K,6,0),"")</f>
        <v>COLORE GIALLO PER POLIOLO</v>
      </c>
      <c r="T83" s="90">
        <v>9725</v>
      </c>
      <c r="U83" s="31"/>
      <c r="V83" s="59">
        <v>70</v>
      </c>
      <c r="W83" s="59">
        <v>26</v>
      </c>
      <c r="X83" s="183">
        <v>1052</v>
      </c>
      <c r="Y83" s="59">
        <v>46</v>
      </c>
      <c r="Z83" s="59">
        <v>54</v>
      </c>
      <c r="AA83" s="59">
        <v>17</v>
      </c>
      <c r="AB83" s="91">
        <v>770000000</v>
      </c>
      <c r="AD83" s="97"/>
    </row>
    <row r="84" spans="1:30" ht="35.1" hidden="1" customHeight="1" x14ac:dyDescent="0.25">
      <c r="A84" s="83">
        <v>45468</v>
      </c>
      <c r="B84" s="7" t="s">
        <v>28</v>
      </c>
      <c r="C84" s="8" t="s">
        <v>29</v>
      </c>
      <c r="D84" s="8" t="s">
        <v>327</v>
      </c>
      <c r="E84" s="61" t="s">
        <v>524</v>
      </c>
      <c r="F84" s="84" t="str">
        <f>IFERROR(VLOOKUP(CONCATENATE($B84,"_",F$3),materiali!$C:$K,5,0),"")</f>
        <v>997001513</v>
      </c>
      <c r="G84" s="85" t="str">
        <f>IFERROR(VLOOKUP(CONCATENATE($B84,"_",G$3),materiali!$C:$K,6,0),"")</f>
        <v>RESINA TECNOTHANE MPC2013SG</v>
      </c>
      <c r="H84" s="90" t="s">
        <v>525</v>
      </c>
      <c r="I84" s="84" t="str">
        <f>IFERROR(VLOOKUP(CONCATENATE($B84,"_",I$3),materiali!$C:$K,5,0),"")</f>
        <v>997001514</v>
      </c>
      <c r="J84" s="85" t="str">
        <f>IFERROR(VLOOKUP(CONCATENATE($B84,"_",J$3),materiali!$C:$K,6,0),"")</f>
        <v>RETICOLANTE TECNOTHANE RCH361</v>
      </c>
      <c r="K84" s="90" t="s">
        <v>529</v>
      </c>
      <c r="L84" s="84" t="str">
        <f>IFERROR(VLOOKUP(CONCATENATE($B84,"_",L$3),materiali!$C:$K,5,0),"")</f>
        <v/>
      </c>
      <c r="M84" s="85" t="str">
        <f>IFERROR(VLOOKUP(CONCATENATE($B84,"_",M$3),materiali!$C:$K,6,0),"")</f>
        <v/>
      </c>
      <c r="N84" s="90" t="s">
        <v>527</v>
      </c>
      <c r="O84" s="84" t="str">
        <f>IFERROR(VLOOKUP(CONCATENATE($B84,"_",O$3),materiali!$C:$K,5,0),"")</f>
        <v>040001013</v>
      </c>
      <c r="P84" s="85" t="str">
        <f>IFERROR(VLOOKUP(CONCATENATE($B84,"_",P$3),materiali!$C:$K,6,0),"")</f>
        <v>ACCELERANTE X POLIOLO POLIESTERE TECNOKAT  PURO NON DILUITO</v>
      </c>
      <c r="Q84" s="90" t="s">
        <v>528</v>
      </c>
      <c r="R84" s="84" t="str">
        <f>IFERROR(VLOOKUP(CONCATENATE($B84,"_",R$3),materiali!$C:$K,5,0),"")</f>
        <v>997001508</v>
      </c>
      <c r="S84" s="85" t="str">
        <f>IFERROR(VLOOKUP(CONCATENATE($B84,"_",S$3),materiali!$C:$K,6,0),"")</f>
        <v>COLORE GIALLO PER POLIOLO</v>
      </c>
      <c r="T84" s="90"/>
      <c r="U84" s="31"/>
      <c r="V84" s="59">
        <v>73</v>
      </c>
      <c r="W84" s="59">
        <v>23</v>
      </c>
      <c r="X84" s="183">
        <v>983</v>
      </c>
      <c r="Y84" s="59">
        <v>43</v>
      </c>
      <c r="Z84" s="59">
        <v>55</v>
      </c>
      <c r="AA84" s="59">
        <v>16</v>
      </c>
      <c r="AD84" s="97"/>
    </row>
    <row r="85" spans="1:30" ht="35.1" hidden="1" customHeight="1" x14ac:dyDescent="0.25">
      <c r="A85" s="83">
        <v>45468</v>
      </c>
      <c r="B85" s="7" t="s">
        <v>42</v>
      </c>
      <c r="C85" s="8" t="s">
        <v>334</v>
      </c>
      <c r="D85" s="8" t="s">
        <v>263</v>
      </c>
      <c r="E85" s="61" t="s">
        <v>524</v>
      </c>
      <c r="F85" s="84" t="str">
        <f>IFERROR(VLOOKUP(CONCATENATE($B85,"_",F$3),materiali!$C:$K,5,0),"")</f>
        <v>997005963</v>
      </c>
      <c r="G85" s="85" t="str">
        <f>IFERROR(VLOOKUP(CONCATENATE($B85,"_",G$3),materiali!$C:$K,6,0),"")</f>
        <v>MPC 2013F (FUSTI 50 KG)</v>
      </c>
      <c r="H85" s="90" t="s">
        <v>513</v>
      </c>
      <c r="I85" s="84" t="str">
        <f>IFERROR(VLOOKUP(CONCATENATE($B85,"_",I$3),materiali!$C:$K,5,0),"")</f>
        <v>997005965</v>
      </c>
      <c r="J85" s="85" t="str">
        <f>IFERROR(VLOOKUP(CONCATENATE($B85,"_",J$3),materiali!$C:$K,6,0),"")</f>
        <v>RCH 350F (FUSTI 25 KG)</v>
      </c>
      <c r="K85" s="90" t="s">
        <v>530</v>
      </c>
      <c r="L85" s="84" t="str">
        <f>IFERROR(VLOOKUP(CONCATENATE($B85,"_",L$3),materiali!$C:$K,5,0),"")</f>
        <v/>
      </c>
      <c r="M85" s="85" t="str">
        <f>IFERROR(VLOOKUP(CONCATENATE($B85,"_",M$3),materiali!$C:$K,6,0),"")</f>
        <v/>
      </c>
      <c r="N85" s="90" t="s">
        <v>489</v>
      </c>
      <c r="O85" s="84" t="str">
        <f>IFERROR(VLOOKUP(CONCATENATE($B85,"_",O$3),materiali!$C:$K,5,0),"")</f>
        <v>997006168</v>
      </c>
      <c r="P85" s="85" t="str">
        <f>IFERROR(VLOOKUP(CONCATENATE($B85,"_",P$3),materiali!$C:$K,6,0),"")</f>
        <v>CATALIZZATORE TECNOKAT T12-500</v>
      </c>
      <c r="Q85" s="90">
        <v>113483</v>
      </c>
      <c r="R85" s="84" t="str">
        <f>IFERROR(VLOOKUP(CONCATENATE($B85,"_",R$3),materiali!$C:$K,5,0),"")</f>
        <v>997004318</v>
      </c>
      <c r="S85" s="85" t="str">
        <f>IFERROR(VLOOKUP(CONCATENATE($B85,"_",S$3),materiali!$C:$K,6,0),"")</f>
        <v>BIANCO REMAP 10080 FDA 178.3297 (COLORANTE FDA PER SISTEMI)</v>
      </c>
      <c r="T85" s="90"/>
      <c r="U85" s="31"/>
      <c r="V85" s="59">
        <v>63</v>
      </c>
      <c r="W85" s="59">
        <v>18</v>
      </c>
      <c r="X85" s="183">
        <v>892</v>
      </c>
      <c r="Y85" s="59">
        <v>35</v>
      </c>
      <c r="Z85" s="59">
        <v>39</v>
      </c>
      <c r="AA85" s="59">
        <v>57</v>
      </c>
      <c r="AD85" s="97"/>
    </row>
    <row r="86" spans="1:30" ht="35.1" hidden="1" customHeight="1" x14ac:dyDescent="0.25">
      <c r="A86" s="83">
        <v>45468</v>
      </c>
      <c r="B86" s="7" t="s">
        <v>14</v>
      </c>
      <c r="C86" s="8" t="s">
        <v>15</v>
      </c>
      <c r="D86" s="8" t="s">
        <v>339</v>
      </c>
      <c r="E86" s="61" t="s">
        <v>524</v>
      </c>
      <c r="F86" s="84" t="str">
        <f>IFERROR(VLOOKUP(CONCATENATE($B86,"_",F$3),materiali!$C:$K,5,0),"")</f>
        <v>997001513</v>
      </c>
      <c r="G86" s="85" t="str">
        <f>IFERROR(VLOOKUP(CONCATENATE($B86,"_",G$3),materiali!$C:$K,6,0),"")</f>
        <v>RESINA TECNOTHANE MPC2013SG</v>
      </c>
      <c r="H86" s="90" t="s">
        <v>525</v>
      </c>
      <c r="I86" s="84" t="str">
        <f>IFERROR(VLOOKUP(CONCATENATE($B86,"_",I$3),materiali!$C:$K,5,0),"")</f>
        <v>997001515</v>
      </c>
      <c r="J86" s="85" t="str">
        <f>IFERROR(VLOOKUP(CONCATENATE($B86,"_",J$3),materiali!$C:$K,6,0),"")</f>
        <v>RETICOLANTE TECNOTHANE RCH160 (50 KG)</v>
      </c>
      <c r="K86" s="90" t="s">
        <v>531</v>
      </c>
      <c r="L86" s="84" t="str">
        <f>IFERROR(VLOOKUP(CONCATENATE($B86,"_",L$3),materiali!$C:$K,5,0),"")</f>
        <v/>
      </c>
      <c r="M86" s="85" t="str">
        <f>IFERROR(VLOOKUP(CONCATENATE($B86,"_",M$3),materiali!$C:$K,6,0),"")</f>
        <v/>
      </c>
      <c r="N86" s="90" t="s">
        <v>527</v>
      </c>
      <c r="O86" s="84" t="str">
        <f>IFERROR(VLOOKUP(CONCATENATE($B86,"_",O$3),materiali!$C:$K,5,0),"")</f>
        <v>040001013</v>
      </c>
      <c r="P86" s="85" t="str">
        <f>IFERROR(VLOOKUP(CONCATENATE($B86,"_",P$3),materiali!$C:$K,6,0),"")</f>
        <v>ACCELERANTE X POLIOLO POLIESTERE TECNOKAT  PURO NON DILUITO</v>
      </c>
      <c r="Q86" s="90" t="s">
        <v>528</v>
      </c>
      <c r="R86" s="84" t="str">
        <f>IFERROR(VLOOKUP(CONCATENATE($B86,"_",R$3),materiali!$C:$K,5,0),"")</f>
        <v>997001508</v>
      </c>
      <c r="S86" s="85" t="str">
        <f>IFERROR(VLOOKUP(CONCATENATE($B86,"_",S$3),materiali!$C:$K,6,0),"")</f>
        <v>COLORE GIALLO PER POLIOLO</v>
      </c>
      <c r="T86" s="90"/>
      <c r="U86" s="31"/>
      <c r="V86" s="59">
        <v>88</v>
      </c>
      <c r="W86" s="59">
        <v>21</v>
      </c>
      <c r="X86" s="183">
        <v>848</v>
      </c>
      <c r="Y86" s="59">
        <v>74</v>
      </c>
      <c r="Z86" s="59">
        <v>90</v>
      </c>
      <c r="AA86" s="59">
        <v>29</v>
      </c>
      <c r="AD86" s="97"/>
    </row>
    <row r="87" spans="1:30" ht="35.1" hidden="1" customHeight="1" x14ac:dyDescent="0.25">
      <c r="A87" s="83">
        <v>45468</v>
      </c>
      <c r="B87" s="7" t="s">
        <v>10</v>
      </c>
      <c r="C87" s="8" t="s">
        <v>11</v>
      </c>
      <c r="D87" s="8" t="s">
        <v>341</v>
      </c>
      <c r="E87" s="61" t="s">
        <v>524</v>
      </c>
      <c r="F87" s="84" t="str">
        <f>IFERROR(VLOOKUP(CONCATENATE($B87,"_",F$3),materiali!$C:$K,5,0),"")</f>
        <v>997001502</v>
      </c>
      <c r="G87" s="85" t="str">
        <f>IFERROR(VLOOKUP(CONCATENATE($B87,"_",G$3),materiali!$C:$K,6,0),"")</f>
        <v>ISOCIANATO POLIETERE SH.70/90 TECNOTHANE MPT 109SG</v>
      </c>
      <c r="H87" s="90" t="s">
        <v>532</v>
      </c>
      <c r="I87" s="84" t="str">
        <f>IFERROR(VLOOKUP(CONCATENATE($B87,"_",I$3),materiali!$C:$K,5,0),"")</f>
        <v>997005228</v>
      </c>
      <c r="J87" s="85" t="str">
        <f>IFERROR(VLOOKUP(CONCATENATE($B87,"_",J$3),materiali!$C:$K,6,0),"")</f>
        <v>POLIOLO POLIETERE SH.70 TECNOTHANE RH 246  FORMATO 200 KG.</v>
      </c>
      <c r="K87" s="90" t="s">
        <v>533</v>
      </c>
      <c r="L87" s="84" t="str">
        <f>IFERROR(VLOOKUP(CONCATENATE($B87,"_",L$3),materiali!$C:$K,5,0),"")</f>
        <v/>
      </c>
      <c r="M87" s="85" t="str">
        <f>IFERROR(VLOOKUP(CONCATENATE($B87,"_",M$3),materiali!$C:$K,6,0),"")</f>
        <v/>
      </c>
      <c r="N87" s="90" t="s">
        <v>527</v>
      </c>
      <c r="O87" s="84" t="str">
        <f>IFERROR(VLOOKUP(CONCATENATE($B87,"_",O$3),materiali!$C:$K,5,0),"")</f>
        <v>040001013</v>
      </c>
      <c r="P87" s="85" t="str">
        <f>IFERROR(VLOOKUP(CONCATENATE($B87,"_",P$3),materiali!$C:$K,6,0),"")</f>
        <v>ACCELERANTE X POLIOLO POLIESTE RE (per macchine pur old)</v>
      </c>
      <c r="Q87" s="90" t="s">
        <v>528</v>
      </c>
      <c r="R87" s="84" t="str">
        <f>IFERROR(VLOOKUP(CONCATENATE($B87,"_",R$3),materiali!$C:$K,5,0),"")</f>
        <v>997001508</v>
      </c>
      <c r="S87" s="85" t="str">
        <f>IFERROR(VLOOKUP(CONCATENATE($B87,"_",S$3),materiali!$C:$K,6,0),"")</f>
        <v>COLORE GIALLO PER POLIOLO</v>
      </c>
      <c r="T87" s="90">
        <v>9725</v>
      </c>
      <c r="U87" s="31"/>
      <c r="V87" s="59">
        <v>68</v>
      </c>
      <c r="W87" s="59">
        <v>8</v>
      </c>
      <c r="X87" s="183">
        <v>473</v>
      </c>
      <c r="Y87" s="59">
        <v>23</v>
      </c>
      <c r="Z87" s="59">
        <v>32</v>
      </c>
      <c r="AA87" s="59">
        <v>18</v>
      </c>
      <c r="AB87" s="91">
        <v>840000000</v>
      </c>
      <c r="AD87" s="101" t="s">
        <v>534</v>
      </c>
    </row>
    <row r="88" spans="1:30" ht="35.1" hidden="1" customHeight="1" x14ac:dyDescent="0.25">
      <c r="A88" s="83">
        <v>45468</v>
      </c>
      <c r="B88" s="7" t="s">
        <v>38</v>
      </c>
      <c r="C88" s="8" t="s">
        <v>39</v>
      </c>
      <c r="D88" s="8" t="s">
        <v>272</v>
      </c>
      <c r="E88" s="61" t="s">
        <v>524</v>
      </c>
      <c r="F88" s="84" t="str">
        <f>IFERROR(VLOOKUP(CONCATENATE($B88,"_",F$3),materiali!$C:$K,5,0),"")</f>
        <v>997001518</v>
      </c>
      <c r="G88" s="85" t="str">
        <f>IFERROR(VLOOKUP(CONCATENATE($B88,"_",G$3),materiali!$C:$K,6,0),"")</f>
        <v>PREPOLIMERO HTR 2011 (FUSTI DA 60 KG)</v>
      </c>
      <c r="H88" s="90" t="s">
        <v>520</v>
      </c>
      <c r="I88" s="84" t="str">
        <f>IFERROR(VLOOKUP(CONCATENATE($B88,"_",I$3),materiali!$C:$K,5,0),"")</f>
        <v>997001519</v>
      </c>
      <c r="J88" s="85" t="str">
        <f>IFERROR(VLOOKUP(CONCATENATE($B88,"_",J$3),materiali!$C:$K,6,0),"")</f>
        <v>RETICOLANTE TH 380 (FUSTI DA 20 KG.)</v>
      </c>
      <c r="K88" s="90" t="s">
        <v>521</v>
      </c>
      <c r="L88" s="84" t="str">
        <f>IFERROR(VLOOKUP(CONCATENATE($B88,"_",L$3),materiali!$C:$K,5,0),"")</f>
        <v/>
      </c>
      <c r="M88" s="85" t="str">
        <f>IFERROR(VLOOKUP(CONCATENATE($B88,"_",M$3),materiali!$C:$K,6,0),"")</f>
        <v/>
      </c>
      <c r="N88" s="90"/>
      <c r="O88" s="84" t="str">
        <f>IFERROR(VLOOKUP(CONCATENATE($B88,"_",O$3),materiali!$C:$K,5,0),"")</f>
        <v>040001013</v>
      </c>
      <c r="P88" s="85" t="str">
        <f>IFERROR(VLOOKUP(CONCATENATE($B88,"_",P$3),materiali!$C:$K,6,0),"")</f>
        <v>CATALIZZATORE TECNOKAT E, 10KG</v>
      </c>
      <c r="Q88" s="90"/>
      <c r="R88" s="84" t="str">
        <f>IFERROR(VLOOKUP(CONCATENATE($B88,"_",R$3),materiali!$C:$K,5,0),"")</f>
        <v/>
      </c>
      <c r="S88" s="85" t="str">
        <f>IFERROR(VLOOKUP(CONCATENATE($B88,"_",S$3),materiali!$C:$K,6,0),"")</f>
        <v/>
      </c>
      <c r="T88" s="90"/>
      <c r="U88" s="31"/>
      <c r="V88" s="59">
        <v>87</v>
      </c>
      <c r="W88" s="59">
        <v>16</v>
      </c>
      <c r="X88" s="183">
        <v>418</v>
      </c>
      <c r="Y88" s="59">
        <v>57</v>
      </c>
      <c r="Z88" s="59">
        <v>61</v>
      </c>
      <c r="AA88" s="59">
        <v>91</v>
      </c>
      <c r="AD88" s="97"/>
    </row>
    <row r="89" spans="1:30" ht="35.1" customHeight="1" x14ac:dyDescent="0.25">
      <c r="A89" s="83">
        <v>45468</v>
      </c>
      <c r="B89" s="7" t="s">
        <v>24</v>
      </c>
      <c r="C89" s="8" t="s">
        <v>25</v>
      </c>
      <c r="D89" s="8" t="s">
        <v>247</v>
      </c>
      <c r="E89" s="61" t="s">
        <v>524</v>
      </c>
      <c r="F89" s="84" t="str">
        <f>IFERROR(VLOOKUP(CONCATENATE($B89,"_",F$3),materiali!$C:$K,5,0),"")</f>
        <v>997006153</v>
      </c>
      <c r="G89" s="85" t="str">
        <f>IFERROR(VLOOKUP(CONCATENATE($B89,"_",G$3),materiali!$C:$K,6,0),"")</f>
        <v>MPC 109A (FUSTI 50 KG)</v>
      </c>
      <c r="H89" s="90" t="s">
        <v>535</v>
      </c>
      <c r="I89" s="84" t="str">
        <f>IFERROR(VLOOKUP(CONCATENATE($B89,"_",I$3),materiali!$C:$K,5,0),"")</f>
        <v>997006154</v>
      </c>
      <c r="J89" s="85" t="str">
        <f>IFERROR(VLOOKUP(CONCATENATE($B89,"_",J$3),materiali!$C:$K,6,0),"")</f>
        <v>RH 275B (FUSTI 25 KG)</v>
      </c>
      <c r="K89" s="90" t="s">
        <v>536</v>
      </c>
      <c r="L89" s="84" t="str">
        <f>IFERROR(VLOOKUP(CONCATENATE($B89,"_",L$3),materiali!$C:$K,5,0),"")</f>
        <v/>
      </c>
      <c r="M89" s="85" t="str">
        <f>IFERROR(VLOOKUP(CONCATENATE($B89,"_",M$3),materiali!$C:$K,6,0),"")</f>
        <v/>
      </c>
      <c r="N89" s="90" t="s">
        <v>489</v>
      </c>
      <c r="O89" s="84" t="str">
        <f>IFERROR(VLOOKUP(CONCATENATE($B89,"_",O$3),materiali!$C:$K,5,0),"")</f>
        <v>997006168</v>
      </c>
      <c r="P89" s="85" t="str">
        <f>IFERROR(VLOOKUP(CONCATENATE($B89,"_",P$3),materiali!$C:$K,6,0),"")</f>
        <v>CATALIZZATORE TECNOKAT T12-500</v>
      </c>
      <c r="Q89" s="90">
        <v>113483</v>
      </c>
      <c r="R89" s="84" t="str">
        <f>IFERROR(VLOOKUP(CONCATENATE($B89,"_",R$3),materiali!$C:$K,5,0),"")</f>
        <v>997004318</v>
      </c>
      <c r="S89" s="85" t="str">
        <f>IFERROR(VLOOKUP(CONCATENATE($B89,"_",S$3),materiali!$C:$K,6,0),"")</f>
        <v>BIANCO REMAP 10080 FDA 178.3297 (COLORANTE FDA PER SISTEMI)</v>
      </c>
      <c r="T89" s="90"/>
      <c r="U89" s="31"/>
      <c r="V89" s="59">
        <v>69</v>
      </c>
      <c r="W89" s="59">
        <v>6</v>
      </c>
      <c r="X89" s="183">
        <v>349</v>
      </c>
      <c r="Y89" s="59">
        <v>21</v>
      </c>
      <c r="Z89" s="59">
        <v>35</v>
      </c>
      <c r="AA89" s="59">
        <v>52</v>
      </c>
      <c r="AD89" s="97"/>
    </row>
    <row r="90" spans="1:30" ht="35.1" hidden="1" customHeight="1" x14ac:dyDescent="0.25">
      <c r="A90" s="83">
        <v>45468</v>
      </c>
      <c r="B90" s="7" t="s">
        <v>35</v>
      </c>
      <c r="C90" s="8" t="s">
        <v>36</v>
      </c>
      <c r="D90" s="8" t="s">
        <v>267</v>
      </c>
      <c r="E90" s="61" t="s">
        <v>524</v>
      </c>
      <c r="F90" s="84" t="str">
        <f>IFERROR(VLOOKUP(CONCATENATE($B90,"_",F$3),materiali!$C:$K,5,0),"")</f>
        <v>997001502</v>
      </c>
      <c r="G90" s="85" t="str">
        <f>IFERROR(VLOOKUP(CONCATENATE($B90,"_",G$3),materiali!$C:$K,6,0),"")</f>
        <v>ISOCIANATO POLIETERE SH.70/90 TECNOTHANE MPT 109SG</v>
      </c>
      <c r="H90" s="90" t="s">
        <v>532</v>
      </c>
      <c r="I90" s="84" t="str">
        <f>IFERROR(VLOOKUP(CONCATENATE($B90,"_",I$3),materiali!$C:$K,5,0),"")</f>
        <v>997001503</v>
      </c>
      <c r="J90" s="85" t="str">
        <f>IFERROR(VLOOKUP(CONCATENATE($B90,"_",J$3),materiali!$C:$K,6,0),"")</f>
        <v>POLIOLO POLIETERE SH.70 TECNOTHANE RH 275</v>
      </c>
      <c r="K90" s="90" t="s">
        <v>537</v>
      </c>
      <c r="L90" s="84" t="str">
        <f>IFERROR(VLOOKUP(CONCATENATE($B90,"_",L$3),materiali!$C:$K,5,0),"")</f>
        <v/>
      </c>
      <c r="M90" s="85" t="str">
        <f>IFERROR(VLOOKUP(CONCATENATE($B90,"_",M$3),materiali!$C:$K,6,0),"")</f>
        <v/>
      </c>
      <c r="N90" s="90" t="s">
        <v>527</v>
      </c>
      <c r="O90" s="84" t="str">
        <f>IFERROR(VLOOKUP(CONCATENATE($B90,"_",O$3),materiali!$C:$K,5,0),"")</f>
        <v>040001013</v>
      </c>
      <c r="P90" s="85" t="str">
        <f>IFERROR(VLOOKUP(CONCATENATE($B90,"_",P$3),materiali!$C:$K,6,0),"")</f>
        <v>CATALIZZATORE TECNOKAT E, 10KG</v>
      </c>
      <c r="Q90" s="90">
        <v>9725</v>
      </c>
      <c r="R90" s="84" t="str">
        <f>IFERROR(VLOOKUP(CONCATENATE($B90,"_",R$3),materiali!$C:$K,5,0),"")</f>
        <v>040001014</v>
      </c>
      <c r="S90" s="85" t="str">
        <f>IFERROR(VLOOKUP(CONCATENATE($B90,"_",S$3),materiali!$C:$K,6,0),"")</f>
        <v>ADDITTIVO ANTISTAT.PER POLIOLO POLIEST.CATAFOR PU</v>
      </c>
      <c r="T90" s="90"/>
      <c r="U90" s="31">
        <v>45500</v>
      </c>
      <c r="V90" s="59">
        <v>70</v>
      </c>
      <c r="W90" s="59">
        <v>7</v>
      </c>
      <c r="X90" s="183">
        <v>419</v>
      </c>
      <c r="Y90" s="59">
        <v>22</v>
      </c>
      <c r="Z90" s="59">
        <v>34</v>
      </c>
      <c r="AA90" s="59">
        <v>18</v>
      </c>
      <c r="AB90" s="91">
        <v>500000000</v>
      </c>
      <c r="AD90" s="97"/>
    </row>
    <row r="91" spans="1:30" ht="35.1" hidden="1" customHeight="1" x14ac:dyDescent="0.25">
      <c r="A91" s="83">
        <v>45542</v>
      </c>
      <c r="B91" s="7" t="s">
        <v>42</v>
      </c>
      <c r="C91" s="8" t="s">
        <v>43</v>
      </c>
      <c r="D91" s="8"/>
      <c r="E91" s="61" t="s">
        <v>538</v>
      </c>
      <c r="F91" s="84" t="str">
        <f>IFERROR(VLOOKUP(CONCATENATE($B91,"_",F$3),materiali!$C:$K,5,0),"")</f>
        <v>997005963</v>
      </c>
      <c r="G91" s="85" t="str">
        <f>IFERROR(VLOOKUP(CONCATENATE($B91,"_",G$3),materiali!$C:$K,6,0),"")</f>
        <v>MPC 2013F (FUSTI 50 KG)</v>
      </c>
      <c r="H91" s="90" t="s">
        <v>513</v>
      </c>
      <c r="I91" s="84" t="str">
        <f>IFERROR(VLOOKUP(CONCATENATE($B91,"_",I$3),materiali!$C:$K,5,0),"")</f>
        <v>997005965</v>
      </c>
      <c r="J91" s="85" t="str">
        <f>IFERROR(VLOOKUP(CONCATENATE($B91,"_",J$3),materiali!$C:$K,6,0),"")</f>
        <v>RCH 350F (FUSTI 25 KG)</v>
      </c>
      <c r="K91" s="90" t="s">
        <v>539</v>
      </c>
      <c r="L91" s="84" t="str">
        <f>IFERROR(VLOOKUP(CONCATENATE($B91,"_",L$3),materiali!$C:$K,5,0),"")</f>
        <v/>
      </c>
      <c r="M91" s="85" t="str">
        <f>IFERROR(VLOOKUP(CONCATENATE($B91,"_",M$3),materiali!$C:$K,6,0),"")</f>
        <v/>
      </c>
      <c r="N91" s="90" t="s">
        <v>489</v>
      </c>
      <c r="O91" s="84" t="str">
        <f>IFERROR(VLOOKUP(CONCATENATE($B91,"_",O$3),materiali!$C:$K,5,0),"")</f>
        <v>997006168</v>
      </c>
      <c r="P91" s="85" t="str">
        <f>IFERROR(VLOOKUP(CONCATENATE($B91,"_",P$3),materiali!$C:$K,6,0),"")</f>
        <v>CATALIZZATORE TECNOKAT T12-500</v>
      </c>
      <c r="Q91" s="90">
        <v>113483</v>
      </c>
      <c r="R91" s="84" t="str">
        <f>IFERROR(VLOOKUP(CONCATENATE($B91,"_",R$3),materiali!$C:$K,5,0),"")</f>
        <v>997004318</v>
      </c>
      <c r="S91" s="85" t="str">
        <f>IFERROR(VLOOKUP(CONCATENATE($B91,"_",S$3),materiali!$C:$K,6,0),"")</f>
        <v>BIANCO REMAP 10080 FDA 178.3297 (COLORANTE FDA PER SISTEMI)</v>
      </c>
      <c r="T91" s="90"/>
      <c r="U91" s="31"/>
      <c r="V91" s="59">
        <v>70</v>
      </c>
      <c r="W91" s="59">
        <v>23</v>
      </c>
      <c r="X91" s="183">
        <v>737</v>
      </c>
      <c r="Y91" s="59">
        <v>40</v>
      </c>
      <c r="Z91" s="59">
        <v>49</v>
      </c>
      <c r="AA91" s="59">
        <v>34</v>
      </c>
      <c r="AD91" s="97"/>
    </row>
    <row r="92" spans="1:30" ht="35.1" hidden="1" customHeight="1" x14ac:dyDescent="0.25">
      <c r="A92" s="83">
        <v>45542</v>
      </c>
      <c r="B92" s="7" t="s">
        <v>14</v>
      </c>
      <c r="C92" s="8" t="s">
        <v>15</v>
      </c>
      <c r="D92" s="8"/>
      <c r="E92" s="60" t="s">
        <v>538</v>
      </c>
      <c r="F92" s="84" t="str">
        <f>IFERROR(VLOOKUP(CONCATENATE($B92,"_",F$3),materiali!$C:$K,5,0),"")</f>
        <v>997001513</v>
      </c>
      <c r="G92" s="85" t="str">
        <f>IFERROR(VLOOKUP(CONCATENATE($B92,"_",G$3),materiali!$C:$K,6,0),"")</f>
        <v>RESINA TECNOTHANE MPC2013SG</v>
      </c>
      <c r="H92" s="90" t="s">
        <v>540</v>
      </c>
      <c r="I92" s="84" t="str">
        <f>IFERROR(VLOOKUP(CONCATENATE($B92,"_",I$3),materiali!$C:$K,5,0),"")</f>
        <v>997001515</v>
      </c>
      <c r="J92" s="85" t="str">
        <f>IFERROR(VLOOKUP(CONCATENATE($B92,"_",J$3),materiali!$C:$K,6,0),"")</f>
        <v>RETICOLANTE TECNOTHANE RCH160 (50 KG)</v>
      </c>
      <c r="K92" s="90" t="s">
        <v>541</v>
      </c>
      <c r="L92" s="84" t="str">
        <f>IFERROR(VLOOKUP(CONCATENATE($B92,"_",L$3),materiali!$C:$K,5,0),"")</f>
        <v/>
      </c>
      <c r="M92" s="85" t="str">
        <f>IFERROR(VLOOKUP(CONCATENATE($B92,"_",M$3),materiali!$C:$K,6,0),"")</f>
        <v/>
      </c>
      <c r="N92" s="90" t="s">
        <v>542</v>
      </c>
      <c r="O92" s="84" t="str">
        <f>IFERROR(VLOOKUP(CONCATENATE($B92,"_",O$3),materiali!$C:$K,5,0),"")</f>
        <v>040001013</v>
      </c>
      <c r="P92" s="85" t="str">
        <f>IFERROR(VLOOKUP(CONCATENATE($B92,"_",P$3),materiali!$C:$K,6,0),"")</f>
        <v>ACCELERANTE X POLIOLO POLIESTERE TECNOKAT  PURO NON DILUITO</v>
      </c>
      <c r="Q92" s="90" t="s">
        <v>528</v>
      </c>
      <c r="R92" s="84" t="str">
        <f>IFERROR(VLOOKUP(CONCATENATE($B92,"_",R$3),materiali!$C:$K,5,0),"")</f>
        <v>997001508</v>
      </c>
      <c r="S92" s="85" t="str">
        <f>IFERROR(VLOOKUP(CONCATENATE($B92,"_",S$3),materiali!$C:$K,6,0),"")</f>
        <v>COLORE GIALLO PER POLIOLO</v>
      </c>
      <c r="T92" s="90"/>
      <c r="U92" s="31"/>
      <c r="V92" s="59">
        <v>92</v>
      </c>
      <c r="W92" s="59">
        <v>23</v>
      </c>
      <c r="X92" s="183">
        <v>722</v>
      </c>
      <c r="Y92" s="59">
        <v>77</v>
      </c>
      <c r="Z92" s="59">
        <v>87</v>
      </c>
      <c r="AA92" s="59">
        <v>37</v>
      </c>
      <c r="AD92" s="97"/>
    </row>
    <row r="93" spans="1:30" ht="35.1" hidden="1" customHeight="1" x14ac:dyDescent="0.25">
      <c r="A93" s="83">
        <v>45542</v>
      </c>
      <c r="B93" s="7" t="s">
        <v>10</v>
      </c>
      <c r="C93" s="8" t="s">
        <v>11</v>
      </c>
      <c r="D93" s="8"/>
      <c r="E93" s="60" t="s">
        <v>538</v>
      </c>
      <c r="F93" s="84" t="str">
        <f>IFERROR(VLOOKUP(CONCATENATE($B93,"_",F$3),materiali!$C:$K,5,0),"")</f>
        <v>997001502</v>
      </c>
      <c r="G93" s="85" t="str">
        <f>IFERROR(VLOOKUP(CONCATENATE($B93,"_",G$3),materiali!$C:$K,6,0),"")</f>
        <v>ISOCIANATO POLIETERE SH.70/90 TECNOTHANE MPT 109SG</v>
      </c>
      <c r="H93" s="90" t="s">
        <v>543</v>
      </c>
      <c r="I93" s="84" t="str">
        <f>IFERROR(VLOOKUP(CONCATENATE($B93,"_",I$3),materiali!$C:$K,5,0),"")</f>
        <v>997005228</v>
      </c>
      <c r="J93" s="85" t="str">
        <f>IFERROR(VLOOKUP(CONCATENATE($B93,"_",J$3),materiali!$C:$K,6,0),"")</f>
        <v>POLIOLO POLIETERE SH.70 TECNOTHANE RH 246  FORMATO 200 KG.</v>
      </c>
      <c r="K93" s="90" t="s">
        <v>544</v>
      </c>
      <c r="L93" s="84" t="str">
        <f>IFERROR(VLOOKUP(CONCATENATE($B93,"_",L$3),materiali!$C:$K,5,0),"")</f>
        <v/>
      </c>
      <c r="M93" s="85" t="str">
        <f>IFERROR(VLOOKUP(CONCATENATE($B93,"_",M$3),materiali!$C:$K,6,0),"")</f>
        <v/>
      </c>
      <c r="N93" s="90" t="s">
        <v>545</v>
      </c>
      <c r="O93" s="84" t="str">
        <f>IFERROR(VLOOKUP(CONCATENATE($B93,"_",O$3),materiali!$C:$K,5,0),"")</f>
        <v>040001013</v>
      </c>
      <c r="P93" s="85" t="str">
        <f>IFERROR(VLOOKUP(CONCATENATE($B93,"_",P$3),materiali!$C:$K,6,0),"")</f>
        <v>ACCELERANTE X POLIOLO POLIESTE RE (per macchine pur old)</v>
      </c>
      <c r="Q93" s="90" t="s">
        <v>528</v>
      </c>
      <c r="R93" s="84" t="str">
        <f>IFERROR(VLOOKUP(CONCATENATE($B93,"_",R$3),materiali!$C:$K,5,0),"")</f>
        <v>997001508</v>
      </c>
      <c r="S93" s="85" t="str">
        <f>IFERROR(VLOOKUP(CONCATENATE($B93,"_",S$3),materiali!$C:$K,6,0),"")</f>
        <v>COLORE GIALLO PER POLIOLO</v>
      </c>
      <c r="T93" s="90">
        <v>9930</v>
      </c>
      <c r="U93" s="31"/>
      <c r="V93" s="59">
        <v>73</v>
      </c>
      <c r="W93" s="59">
        <v>20</v>
      </c>
      <c r="X93" s="183">
        <v>700</v>
      </c>
      <c r="Y93" s="59">
        <v>43</v>
      </c>
      <c r="Z93" s="59">
        <v>53</v>
      </c>
      <c r="AA93" s="59">
        <v>15</v>
      </c>
      <c r="AD93" s="97"/>
    </row>
    <row r="94" spans="1:30" ht="35.1" hidden="1" customHeight="1" x14ac:dyDescent="0.25">
      <c r="A94" s="83">
        <v>45542</v>
      </c>
      <c r="B94" s="7" t="s">
        <v>28</v>
      </c>
      <c r="C94" s="8" t="s">
        <v>29</v>
      </c>
      <c r="D94" s="8"/>
      <c r="E94" s="60" t="s">
        <v>538</v>
      </c>
      <c r="F94" s="84" t="str">
        <f>IFERROR(VLOOKUP(CONCATENATE($B94,"_",F$3),materiali!$C:$K,5,0),"")</f>
        <v>997001513</v>
      </c>
      <c r="G94" s="85" t="str">
        <f>IFERROR(VLOOKUP(CONCATENATE($B94,"_",G$3),materiali!$C:$K,6,0),"")</f>
        <v>RESINA TECNOTHANE MPC2013SG</v>
      </c>
      <c r="H94" s="90" t="s">
        <v>546</v>
      </c>
      <c r="I94" s="84" t="str">
        <f>IFERROR(VLOOKUP(CONCATENATE($B94,"_",I$3),materiali!$C:$K,5,0),"")</f>
        <v>997001514</v>
      </c>
      <c r="J94" s="85" t="str">
        <f>IFERROR(VLOOKUP(CONCATENATE($B94,"_",J$3),materiali!$C:$K,6,0),"")</f>
        <v>RETICOLANTE TECNOTHANE RCH361</v>
      </c>
      <c r="K94" s="90" t="s">
        <v>547</v>
      </c>
      <c r="L94" s="84" t="str">
        <f>IFERROR(VLOOKUP(CONCATENATE($B94,"_",L$3),materiali!$C:$K,5,0),"")</f>
        <v/>
      </c>
      <c r="M94" s="85" t="str">
        <f>IFERROR(VLOOKUP(CONCATENATE($B94,"_",M$3),materiali!$C:$K,6,0),"")</f>
        <v/>
      </c>
      <c r="N94" s="90" t="s">
        <v>545</v>
      </c>
      <c r="O94" s="84" t="str">
        <f>IFERROR(VLOOKUP(CONCATENATE($B94,"_",O$3),materiali!$C:$K,5,0),"")</f>
        <v>040001013</v>
      </c>
      <c r="P94" s="85" t="str">
        <f>IFERROR(VLOOKUP(CONCATENATE($B94,"_",P$3),materiali!$C:$K,6,0),"")</f>
        <v>ACCELERANTE X POLIOLO POLIESTERE TECNOKAT  PURO NON DILUITO</v>
      </c>
      <c r="Q94" s="90" t="s">
        <v>528</v>
      </c>
      <c r="R94" s="84" t="str">
        <f>IFERROR(VLOOKUP(CONCATENATE($B94,"_",R$3),materiali!$C:$K,5,0),"")</f>
        <v>997001508</v>
      </c>
      <c r="S94" s="85" t="str">
        <f>IFERROR(VLOOKUP(CONCATENATE($B94,"_",S$3),materiali!$C:$K,6,0),"")</f>
        <v>COLORE GIALLO PER POLIOLO</v>
      </c>
      <c r="T94" s="90"/>
      <c r="U94" s="31"/>
      <c r="V94" s="59">
        <v>72</v>
      </c>
      <c r="W94" s="59">
        <v>21</v>
      </c>
      <c r="X94" s="183">
        <v>697</v>
      </c>
      <c r="Y94" s="59">
        <v>38</v>
      </c>
      <c r="Z94" s="59">
        <v>51</v>
      </c>
      <c r="AA94" s="59">
        <v>17</v>
      </c>
      <c r="AD94" s="97"/>
    </row>
    <row r="95" spans="1:30" ht="35.1" hidden="1" customHeight="1" x14ac:dyDescent="0.25">
      <c r="A95" s="83">
        <v>45542</v>
      </c>
      <c r="B95" s="7" t="s">
        <v>20</v>
      </c>
      <c r="C95" s="8" t="s">
        <v>21</v>
      </c>
      <c r="D95" s="8"/>
      <c r="E95" s="60" t="s">
        <v>538</v>
      </c>
      <c r="F95" s="84" t="str">
        <f>IFERROR(VLOOKUP(CONCATENATE($B95,"_",F$3),materiali!$C:$K,5,0),"")</f>
        <v>997001513</v>
      </c>
      <c r="G95" s="85" t="str">
        <f>IFERROR(VLOOKUP(CONCATENATE($B95,"_",G$3),materiali!$C:$K,6,0),"")</f>
        <v>RESINA TECNOTHANE MPC2013SG</v>
      </c>
      <c r="H95" s="90" t="s">
        <v>540</v>
      </c>
      <c r="I95" s="84" t="str">
        <f>IFERROR(VLOOKUP(CONCATENATE($B95,"_",I$3),materiali!$C:$K,5,0),"")</f>
        <v>997001514</v>
      </c>
      <c r="J95" s="85" t="str">
        <f>IFERROR(VLOOKUP(CONCATENATE($B95,"_",J$3),materiali!$C:$K,6,0),"")</f>
        <v>RETICOLANTE TECNOTHANE RCH361</v>
      </c>
      <c r="K95" s="90" t="s">
        <v>547</v>
      </c>
      <c r="L95" s="84" t="str">
        <f>IFERROR(VLOOKUP(CONCATENATE($B95,"_",L$3),materiali!$C:$K,5,0),"")</f>
        <v/>
      </c>
      <c r="M95" s="85" t="str">
        <f>IFERROR(VLOOKUP(CONCATENATE($B95,"_",M$3),materiali!$C:$K,6,0),"")</f>
        <v/>
      </c>
      <c r="N95" s="90" t="s">
        <v>548</v>
      </c>
      <c r="O95" s="84" t="str">
        <f>IFERROR(VLOOKUP(CONCATENATE($B95,"_",O$3),materiali!$C:$K,5,0),"")</f>
        <v>040001013</v>
      </c>
      <c r="P95" s="85" t="str">
        <f>IFERROR(VLOOKUP(CONCATENATE($B95,"_",P$3),materiali!$C:$K,6,0),"")</f>
        <v>ACCELERANTE X POLIOLO POLIESTERE TECNOKAT  PURO NON DILUITO</v>
      </c>
      <c r="Q95" s="90" t="s">
        <v>528</v>
      </c>
      <c r="R95" s="84" t="str">
        <f>IFERROR(VLOOKUP(CONCATENATE($B95,"_",R$3),materiali!$C:$K,5,0),"")</f>
        <v>997001508</v>
      </c>
      <c r="S95" s="85" t="str">
        <f>IFERROR(VLOOKUP(CONCATENATE($B95,"_",S$3),materiali!$C:$K,6,0),"")</f>
        <v>COLORE GIALLO PER POLIOLO</v>
      </c>
      <c r="T95" s="90">
        <v>9930</v>
      </c>
      <c r="U95" s="31"/>
      <c r="V95" s="59">
        <v>74</v>
      </c>
      <c r="W95" s="59">
        <v>16</v>
      </c>
      <c r="X95" s="183">
        <v>648</v>
      </c>
      <c r="Y95" s="59">
        <v>36</v>
      </c>
      <c r="Z95" s="59">
        <v>52</v>
      </c>
      <c r="AA95" s="59">
        <v>13</v>
      </c>
      <c r="AD95" s="97"/>
    </row>
    <row r="96" spans="1:30" ht="35.1" customHeight="1" x14ac:dyDescent="0.25">
      <c r="A96" s="83">
        <v>45542</v>
      </c>
      <c r="B96" s="7" t="s">
        <v>24</v>
      </c>
      <c r="C96" s="8" t="s">
        <v>25</v>
      </c>
      <c r="D96" s="8" t="s">
        <v>247</v>
      </c>
      <c r="E96" s="60" t="s">
        <v>538</v>
      </c>
      <c r="F96" s="84" t="str">
        <f>IFERROR(VLOOKUP(CONCATENATE($B96,"_",F$3),materiali!$C:$K,5,0),"")</f>
        <v>997006153</v>
      </c>
      <c r="G96" s="85" t="str">
        <f>IFERROR(VLOOKUP(CONCATENATE($B96,"_",G$3),materiali!$C:$K,6,0),"")</f>
        <v>MPC 109A (FUSTI 50 KG)</v>
      </c>
      <c r="H96" s="90" t="s">
        <v>549</v>
      </c>
      <c r="I96" s="84" t="str">
        <f>IFERROR(VLOOKUP(CONCATENATE($B96,"_",I$3),materiali!$C:$K,5,0),"")</f>
        <v>997006154</v>
      </c>
      <c r="J96" s="85" t="str">
        <f>IFERROR(VLOOKUP(CONCATENATE($B96,"_",J$3),materiali!$C:$K,6,0),"")</f>
        <v>RH 275B (FUSTI 25 KG)</v>
      </c>
      <c r="K96" s="90" t="s">
        <v>550</v>
      </c>
      <c r="L96" s="84" t="str">
        <f>IFERROR(VLOOKUP(CONCATENATE($B96,"_",L$3),materiali!$C:$K,5,0),"")</f>
        <v/>
      </c>
      <c r="M96" s="85" t="str">
        <f>IFERROR(VLOOKUP(CONCATENATE($B96,"_",M$3),materiali!$C:$K,6,0),"")</f>
        <v/>
      </c>
      <c r="N96" s="90" t="s">
        <v>489</v>
      </c>
      <c r="O96" s="84" t="str">
        <f>IFERROR(VLOOKUP(CONCATENATE($B96,"_",O$3),materiali!$C:$K,5,0),"")</f>
        <v>997006168</v>
      </c>
      <c r="P96" s="85" t="str">
        <f>IFERROR(VLOOKUP(CONCATENATE($B96,"_",P$3),materiali!$C:$K,6,0),"")</f>
        <v>CATALIZZATORE TECNOKAT T12-500</v>
      </c>
      <c r="Q96" s="90">
        <v>113483</v>
      </c>
      <c r="R96" s="84" t="str">
        <f>IFERROR(VLOOKUP(CONCATENATE($B96,"_",R$3),materiali!$C:$K,5,0),"")</f>
        <v>997004318</v>
      </c>
      <c r="S96" s="85" t="str">
        <f>IFERROR(VLOOKUP(CONCATENATE($B96,"_",S$3),materiali!$C:$K,6,0),"")</f>
        <v>BIANCO REMAP 10080 FDA 178.3297 (COLORANTE FDA PER SISTEMI)</v>
      </c>
      <c r="T96" s="90"/>
      <c r="U96" s="31"/>
      <c r="V96" s="59">
        <v>76</v>
      </c>
      <c r="W96" s="59">
        <v>9</v>
      </c>
      <c r="X96" s="183">
        <v>411</v>
      </c>
      <c r="Y96" s="59">
        <v>28</v>
      </c>
      <c r="Z96" s="59">
        <v>40</v>
      </c>
      <c r="AA96" s="59">
        <v>50</v>
      </c>
      <c r="AD96" s="97"/>
    </row>
    <row r="97" spans="1:30" ht="35.1" hidden="1" customHeight="1" x14ac:dyDescent="0.25">
      <c r="A97" s="83">
        <v>45542</v>
      </c>
      <c r="B97" s="7" t="s">
        <v>35</v>
      </c>
      <c r="C97" s="8" t="s">
        <v>36</v>
      </c>
      <c r="D97" s="8"/>
      <c r="E97" s="60" t="s">
        <v>538</v>
      </c>
      <c r="F97" s="84" t="str">
        <f>IFERROR(VLOOKUP(CONCATENATE($B97,"_",F$3),materiali!$C:$K,5,0),"")</f>
        <v>997001502</v>
      </c>
      <c r="G97" s="85" t="str">
        <f>IFERROR(VLOOKUP(CONCATENATE($B97,"_",G$3),materiali!$C:$K,6,0),"")</f>
        <v>ISOCIANATO POLIETERE SH.70/90 TECNOTHANE MPT 109SG</v>
      </c>
      <c r="H97" s="90" t="s">
        <v>551</v>
      </c>
      <c r="I97" s="84" t="str">
        <f>IFERROR(VLOOKUP(CONCATENATE($B97,"_",I$3),materiali!$C:$K,5,0),"")</f>
        <v>997001503</v>
      </c>
      <c r="J97" s="85" t="str">
        <f>IFERROR(VLOOKUP(CONCATENATE($B97,"_",J$3),materiali!$C:$K,6,0),"")</f>
        <v>POLIOLO POLIETERE SH.70 TECNOTHANE RH 275</v>
      </c>
      <c r="K97" s="90" t="s">
        <v>552</v>
      </c>
      <c r="L97" s="84" t="str">
        <f>IFERROR(VLOOKUP(CONCATENATE($B97,"_",L$3),materiali!$C:$K,5,0),"")</f>
        <v/>
      </c>
      <c r="M97" s="85" t="str">
        <f>IFERROR(VLOOKUP(CONCATENATE($B97,"_",M$3),materiali!$C:$K,6,0),"")</f>
        <v/>
      </c>
      <c r="N97" s="90" t="s">
        <v>545</v>
      </c>
      <c r="O97" s="84" t="str">
        <f>IFERROR(VLOOKUP(CONCATENATE($B97,"_",O$3),materiali!$C:$K,5,0),"")</f>
        <v>040001013</v>
      </c>
      <c r="P97" s="85" t="str">
        <f>IFERROR(VLOOKUP(CONCATENATE($B97,"_",P$3),materiali!$C:$K,6,0),"")</f>
        <v>CATALIZZATORE TECNOKAT E, 10KG</v>
      </c>
      <c r="Q97" s="90">
        <v>9930</v>
      </c>
      <c r="R97" s="84" t="str">
        <f>IFERROR(VLOOKUP(CONCATENATE($B97,"_",R$3),materiali!$C:$K,5,0),"")</f>
        <v>040001014</v>
      </c>
      <c r="S97" s="85" t="str">
        <f>IFERROR(VLOOKUP(CONCATENATE($B97,"_",S$3),materiali!$C:$K,6,0),"")</f>
        <v>ADDITTIVO ANTISTAT.PER POLIOLO POLIEST.CATAFOR PU</v>
      </c>
      <c r="T97" s="90"/>
      <c r="U97" s="31">
        <v>45582</v>
      </c>
      <c r="V97" s="59">
        <v>68</v>
      </c>
      <c r="W97" s="59">
        <v>5</v>
      </c>
      <c r="X97" s="183">
        <v>375</v>
      </c>
      <c r="Y97" s="59">
        <v>18</v>
      </c>
      <c r="Z97" s="59">
        <v>30</v>
      </c>
      <c r="AA97" s="59">
        <v>18</v>
      </c>
      <c r="AD97" s="97"/>
    </row>
    <row r="98" spans="1:30" ht="35.1" hidden="1" customHeight="1" x14ac:dyDescent="0.25">
      <c r="A98" s="83">
        <v>45702</v>
      </c>
      <c r="B98" s="7" t="s">
        <v>35</v>
      </c>
      <c r="C98" s="8" t="s">
        <v>36</v>
      </c>
      <c r="D98" s="8" t="s">
        <v>267</v>
      </c>
      <c r="E98" s="60" t="s">
        <v>553</v>
      </c>
      <c r="F98" s="84" t="str">
        <f>IFERROR(VLOOKUP(CONCATENATE($B98,"_",F$3),materiali!$C:$K,5,0),"")</f>
        <v>997001502</v>
      </c>
      <c r="G98" s="85" t="str">
        <f>IFERROR(VLOOKUP(CONCATENATE($B98,"_",G$3),materiali!$C:$K,6,0),"")</f>
        <v>ISOCIANATO POLIETERE SH.70/90 TECNOTHANE MPT 109SG</v>
      </c>
      <c r="H98" s="186" t="s">
        <v>554</v>
      </c>
      <c r="I98" s="84" t="str">
        <f>IFERROR(VLOOKUP(CONCATENATE($B98,"_",I$3),materiali!$C:$K,5,0),"")</f>
        <v>997001503</v>
      </c>
      <c r="J98" s="85" t="str">
        <f>IFERROR(VLOOKUP(CONCATENATE($B98,"_",J$3),materiali!$C:$K,6,0),"")</f>
        <v>POLIOLO POLIETERE SH.70 TECNOTHANE RH 275</v>
      </c>
      <c r="K98" s="186" t="s">
        <v>555</v>
      </c>
      <c r="L98" s="84" t="str">
        <f>IFERROR(VLOOKUP(CONCATENATE($B98,"_",L$3),materiali!$C:$K,5,0),"")</f>
        <v/>
      </c>
      <c r="M98" s="85" t="str">
        <f>IFERROR(VLOOKUP(CONCATENATE($B98,"_",M$3),materiali!$C:$K,6,0),"")</f>
        <v/>
      </c>
      <c r="N98" s="90" t="s">
        <v>556</v>
      </c>
      <c r="O98" s="84" t="str">
        <f>IFERROR(VLOOKUP(CONCATENATE($B98,"_",O$3),materiali!$C:$K,5,0),"")</f>
        <v>040001013</v>
      </c>
      <c r="P98" s="85" t="str">
        <f>IFERROR(VLOOKUP(CONCATENATE($B98,"_",P$3),materiali!$C:$K,6,0),"")</f>
        <v>CATALIZZATORE TECNOKAT E, 10KG</v>
      </c>
      <c r="Q98" s="90">
        <v>9930</v>
      </c>
      <c r="R98" s="84" t="str">
        <f>IFERROR(VLOOKUP(CONCATENATE($B98,"_",R$3),materiali!$C:$K,5,0),"")</f>
        <v>040001014</v>
      </c>
      <c r="S98" s="85" t="str">
        <f>IFERROR(VLOOKUP(CONCATENATE($B98,"_",S$3),materiali!$C:$K,6,0),"")</f>
        <v>ADDITTIVO ANTISTAT.PER POLIOLO POLIEST.CATAFOR PU</v>
      </c>
      <c r="T98" s="90"/>
      <c r="U98" s="31">
        <v>45722</v>
      </c>
      <c r="V98" s="59">
        <v>66</v>
      </c>
      <c r="W98" s="59">
        <v>8</v>
      </c>
      <c r="X98" s="183" t="s">
        <v>557</v>
      </c>
      <c r="Y98" s="59">
        <v>25</v>
      </c>
      <c r="Z98" s="59">
        <v>37</v>
      </c>
      <c r="AA98" s="59">
        <v>17</v>
      </c>
      <c r="AB98" s="91">
        <v>600000000</v>
      </c>
      <c r="AD98" s="97"/>
    </row>
    <row r="99" spans="1:30" ht="35.1" hidden="1" customHeight="1" x14ac:dyDescent="0.25">
      <c r="A99" s="83">
        <v>45702</v>
      </c>
      <c r="B99" s="7" t="s">
        <v>14</v>
      </c>
      <c r="C99" s="8" t="s">
        <v>15</v>
      </c>
      <c r="D99" s="8" t="s">
        <v>339</v>
      </c>
      <c r="E99" s="60" t="s">
        <v>553</v>
      </c>
      <c r="F99" s="84" t="str">
        <f>IFERROR(VLOOKUP(CONCATENATE($B99,"_",F$3),materiali!$C:$K,5,0),"")</f>
        <v>997001513</v>
      </c>
      <c r="G99" s="85" t="str">
        <f>IFERROR(VLOOKUP(CONCATENATE($B99,"_",G$3),materiali!$C:$K,6,0),"")</f>
        <v>RESINA TECNOTHANE MPC2013SG</v>
      </c>
      <c r="H99" s="181" t="s">
        <v>558</v>
      </c>
      <c r="I99" s="84" t="str">
        <f>IFERROR(VLOOKUP(CONCATENATE($B99,"_",I$3),materiali!$C:$K,5,0),"")</f>
        <v>997001515</v>
      </c>
      <c r="J99" s="85" t="str">
        <f>IFERROR(VLOOKUP(CONCATENATE($B99,"_",J$3),materiali!$C:$K,6,0),"")</f>
        <v>RETICOLANTE TECNOTHANE RCH160 (50 KG)</v>
      </c>
      <c r="K99" s="90" t="s">
        <v>559</v>
      </c>
      <c r="L99" s="84" t="str">
        <f>IFERROR(VLOOKUP(CONCATENATE($B99,"_",L$3),materiali!$C:$K,5,0),"")</f>
        <v/>
      </c>
      <c r="M99" s="85" t="str">
        <f>IFERROR(VLOOKUP(CONCATENATE($B99,"_",M$3),materiali!$C:$K,6,0),"")</f>
        <v/>
      </c>
      <c r="N99" s="90" t="s">
        <v>560</v>
      </c>
      <c r="O99" s="84" t="str">
        <f>IFERROR(VLOOKUP(CONCATENATE($B99,"_",O$3),materiali!$C:$K,5,0),"")</f>
        <v>040001013</v>
      </c>
      <c r="P99" s="85" t="str">
        <f>IFERROR(VLOOKUP(CONCATENATE($B99,"_",P$3),materiali!$C:$K,6,0),"")</f>
        <v>ACCELERANTE X POLIOLO POLIESTERE TECNOKAT  PURO NON DILUITO</v>
      </c>
      <c r="Q99" s="90" t="s">
        <v>528</v>
      </c>
      <c r="R99" s="84" t="str">
        <f>IFERROR(VLOOKUP(CONCATENATE($B99,"_",R$3),materiali!$C:$K,5,0),"")</f>
        <v>997001508</v>
      </c>
      <c r="S99" s="85" t="str">
        <f>IFERROR(VLOOKUP(CONCATENATE($B99,"_",S$3),materiali!$C:$K,6,0),"")</f>
        <v>COLORE GIALLO PER POLIOLO</v>
      </c>
      <c r="T99" s="90"/>
      <c r="U99" s="31"/>
      <c r="V99" s="165">
        <v>90</v>
      </c>
      <c r="W99" s="165">
        <v>28</v>
      </c>
      <c r="X99" s="168" t="s">
        <v>557</v>
      </c>
      <c r="Y99" s="165">
        <v>69</v>
      </c>
      <c r="Z99" s="165">
        <v>95</v>
      </c>
      <c r="AA99" s="165">
        <v>23</v>
      </c>
      <c r="AB99" s="167"/>
      <c r="AD99" s="97"/>
    </row>
    <row r="100" spans="1:30" ht="35.1" hidden="1" customHeight="1" x14ac:dyDescent="0.25">
      <c r="A100" s="83">
        <v>45702</v>
      </c>
      <c r="B100" s="7" t="s">
        <v>20</v>
      </c>
      <c r="C100" s="8" t="s">
        <v>21</v>
      </c>
      <c r="D100" s="8" t="s">
        <v>315</v>
      </c>
      <c r="E100" s="60" t="s">
        <v>553</v>
      </c>
      <c r="F100" s="84" t="str">
        <f>IFERROR(VLOOKUP(CONCATENATE($B100,"_",F$3),materiali!$C:$K,5,0),"")</f>
        <v>997001513</v>
      </c>
      <c r="G100" s="85" t="str">
        <f>IFERROR(VLOOKUP(CONCATENATE($B100,"_",G$3),materiali!$C:$K,6,0),"")</f>
        <v>RESINA TECNOTHANE MPC2013SG</v>
      </c>
      <c r="H100" s="185" t="s">
        <v>561</v>
      </c>
      <c r="I100" s="84" t="str">
        <f>IFERROR(VLOOKUP(CONCATENATE($B100,"_",I$3),materiali!$C:$K,5,0),"")</f>
        <v>997001514</v>
      </c>
      <c r="J100" s="85" t="str">
        <f>IFERROR(VLOOKUP(CONCATENATE($B100,"_",J$3),materiali!$C:$K,6,0),"")</f>
        <v>RETICOLANTE TECNOTHANE RCH361</v>
      </c>
      <c r="K100" s="185" t="s">
        <v>562</v>
      </c>
      <c r="L100" s="84" t="str">
        <f>IFERROR(VLOOKUP(CONCATENATE($B100,"_",L$3),materiali!$C:$K,5,0),"")</f>
        <v/>
      </c>
      <c r="M100" s="85" t="str">
        <f>IFERROR(VLOOKUP(CONCATENATE($B100,"_",M$3),materiali!$C:$K,6,0),"")</f>
        <v/>
      </c>
      <c r="N100" s="86" t="s">
        <v>560</v>
      </c>
      <c r="O100" s="84" t="str">
        <f>IFERROR(VLOOKUP(CONCATENATE($B100,"_",O$3),materiali!$C:$K,5,0),"")</f>
        <v>040001013</v>
      </c>
      <c r="P100" s="85" t="str">
        <f>IFERROR(VLOOKUP(CONCATENATE($B100,"_",P$3),materiali!$C:$K,6,0),"")</f>
        <v>ACCELERANTE X POLIOLO POLIESTERE TECNOKAT  PURO NON DILUITO</v>
      </c>
      <c r="Q100" s="86" t="s">
        <v>528</v>
      </c>
      <c r="R100" s="84" t="str">
        <f>IFERROR(VLOOKUP(CONCATENATE($B100,"_",R$3),materiali!$C:$K,5,0),"")</f>
        <v>997001508</v>
      </c>
      <c r="S100" s="85" t="str">
        <f>IFERROR(VLOOKUP(CONCATENATE($B100,"_",S$3),materiali!$C:$K,6,0),"")</f>
        <v>COLORE GIALLO PER POLIOLO</v>
      </c>
      <c r="T100" s="86">
        <v>9930</v>
      </c>
      <c r="U100" s="31"/>
      <c r="V100" s="165">
        <v>75</v>
      </c>
      <c r="W100" s="165">
        <v>27</v>
      </c>
      <c r="X100" s="168" t="s">
        <v>557</v>
      </c>
      <c r="Y100" s="165">
        <v>51</v>
      </c>
      <c r="Z100" s="165">
        <v>60</v>
      </c>
      <c r="AA100" s="165">
        <v>13</v>
      </c>
      <c r="AB100" s="167">
        <v>600000000</v>
      </c>
      <c r="AD100" s="97"/>
    </row>
    <row r="101" spans="1:30" ht="35.1" hidden="1" customHeight="1" x14ac:dyDescent="0.25">
      <c r="A101" s="83">
        <v>45702</v>
      </c>
      <c r="B101" s="7" t="s">
        <v>28</v>
      </c>
      <c r="C101" s="8" t="s">
        <v>29</v>
      </c>
      <c r="D101" s="8" t="s">
        <v>327</v>
      </c>
      <c r="E101" s="60" t="s">
        <v>553</v>
      </c>
      <c r="F101" s="84" t="str">
        <f>IFERROR(VLOOKUP(CONCATENATE($B101,"_",F$3),materiali!$C:$K,5,0),"")</f>
        <v>997001513</v>
      </c>
      <c r="G101" s="85" t="str">
        <f>IFERROR(VLOOKUP(CONCATENATE($B101,"_",G$3),materiali!$C:$K,6,0),"")</f>
        <v>RESINA TECNOTHANE MPC2013SG</v>
      </c>
      <c r="H101" s="187" t="s">
        <v>561</v>
      </c>
      <c r="I101" s="84" t="str">
        <f>IFERROR(VLOOKUP(CONCATENATE($B101,"_",I$3),materiali!$C:$K,5,0),"")</f>
        <v>997001514</v>
      </c>
      <c r="J101" s="85" t="str">
        <f>IFERROR(VLOOKUP(CONCATENATE($B101,"_",J$3),materiali!$C:$K,6,0),"")</f>
        <v>RETICOLANTE TECNOTHANE RCH361</v>
      </c>
      <c r="K101" s="187" t="s">
        <v>562</v>
      </c>
      <c r="L101" s="84" t="str">
        <f>IFERROR(VLOOKUP(CONCATENATE($B101,"_",L$3),materiali!$C:$K,5,0),"")</f>
        <v/>
      </c>
      <c r="M101" s="85" t="str">
        <f>IFERROR(VLOOKUP(CONCATENATE($B101,"_",M$3),materiali!$C:$K,6,0),"")</f>
        <v/>
      </c>
      <c r="N101" s="185" t="s">
        <v>560</v>
      </c>
      <c r="O101" s="84" t="str">
        <f>IFERROR(VLOOKUP(CONCATENATE($B101,"_",O$3),materiali!$C:$K,5,0),"")</f>
        <v>040001013</v>
      </c>
      <c r="P101" s="85" t="str">
        <f>IFERROR(VLOOKUP(CONCATENATE($B101,"_",P$3),materiali!$C:$K,6,0),"")</f>
        <v>ACCELERANTE X POLIOLO POLIESTERE TECNOKAT  PURO NON DILUITO</v>
      </c>
      <c r="Q101" s="86" t="s">
        <v>528</v>
      </c>
      <c r="R101" s="84" t="str">
        <f>IFERROR(VLOOKUP(CONCATENATE($B101,"_",R$3),materiali!$C:$K,5,0),"")</f>
        <v>997001508</v>
      </c>
      <c r="S101" s="85" t="str">
        <f>IFERROR(VLOOKUP(CONCATENATE($B101,"_",S$3),materiali!$C:$K,6,0),"")</f>
        <v>COLORE GIALLO PER POLIOLO</v>
      </c>
      <c r="T101" s="86"/>
      <c r="U101" s="31"/>
      <c r="V101" s="165">
        <v>72</v>
      </c>
      <c r="W101" s="165">
        <v>27</v>
      </c>
      <c r="X101" s="168" t="s">
        <v>557</v>
      </c>
      <c r="Y101" s="165">
        <v>51</v>
      </c>
      <c r="Z101" s="165">
        <v>58</v>
      </c>
      <c r="AA101" s="165">
        <v>16</v>
      </c>
      <c r="AB101" s="167"/>
      <c r="AD101" s="97"/>
    </row>
    <row r="102" spans="1:30" ht="35.1" hidden="1" customHeight="1" x14ac:dyDescent="0.25">
      <c r="A102" s="83">
        <v>45702</v>
      </c>
      <c r="B102" s="7" t="s">
        <v>42</v>
      </c>
      <c r="C102" s="8" t="s">
        <v>334</v>
      </c>
      <c r="D102" s="8" t="s">
        <v>263</v>
      </c>
      <c r="E102" s="60" t="s">
        <v>553</v>
      </c>
      <c r="F102" s="84" t="str">
        <f>IFERROR(VLOOKUP(CONCATENATE($B102,"_",F$3),materiali!$C:$K,5,0),"")</f>
        <v>997005963</v>
      </c>
      <c r="G102" s="85" t="str">
        <f>IFERROR(VLOOKUP(CONCATENATE($B102,"_",G$3),materiali!$C:$K,6,0),"")</f>
        <v>MPC 2013F (FUSTI 50 KG)</v>
      </c>
      <c r="H102" s="187" t="s">
        <v>563</v>
      </c>
      <c r="I102" s="84" t="str">
        <f>IFERROR(VLOOKUP(CONCATENATE($B102,"_",I$3),materiali!$C:$K,5,0),"")</f>
        <v>997005965</v>
      </c>
      <c r="J102" s="85" t="str">
        <f>IFERROR(VLOOKUP(CONCATENATE($B102,"_",J$3),materiali!$C:$K,6,0),"")</f>
        <v>RCH 350F (FUSTI 25 KG)</v>
      </c>
      <c r="K102" s="187" t="s">
        <v>564</v>
      </c>
      <c r="L102" s="84" t="str">
        <f>IFERROR(VLOOKUP(CONCATENATE($B102,"_",L$3),materiali!$C:$K,5,0),"")</f>
        <v/>
      </c>
      <c r="M102" s="85" t="str">
        <f>IFERROR(VLOOKUP(CONCATENATE($B102,"_",M$3),materiali!$C:$K,6,0),"")</f>
        <v/>
      </c>
      <c r="N102" s="90" t="s">
        <v>489</v>
      </c>
      <c r="O102" s="84" t="str">
        <f>IFERROR(VLOOKUP(CONCATENATE($B102,"_",O$3),materiali!$C:$K,5,0),"")</f>
        <v>997006168</v>
      </c>
      <c r="P102" s="85" t="str">
        <f>IFERROR(VLOOKUP(CONCATENATE($B102,"_",P$3),materiali!$C:$K,6,0),"")</f>
        <v>CATALIZZATORE TECNOKAT T12-500</v>
      </c>
      <c r="Q102" s="86">
        <v>113483</v>
      </c>
      <c r="R102" s="84" t="str">
        <f>IFERROR(VLOOKUP(CONCATENATE($B102,"_",R$3),materiali!$C:$K,5,0),"")</f>
        <v>997004318</v>
      </c>
      <c r="S102" s="85" t="str">
        <f>IFERROR(VLOOKUP(CONCATENATE($B102,"_",S$3),materiali!$C:$K,6,0),"")</f>
        <v>BIANCO REMAP 10080 FDA 178.3297 (COLORANTE FDA PER SISTEMI)</v>
      </c>
      <c r="T102" s="86"/>
      <c r="U102" s="31"/>
      <c r="V102" s="165">
        <v>75</v>
      </c>
      <c r="W102" s="165">
        <v>27</v>
      </c>
      <c r="X102" s="168" t="s">
        <v>557</v>
      </c>
      <c r="Y102" s="165">
        <v>54</v>
      </c>
      <c r="Z102" s="165">
        <v>60</v>
      </c>
      <c r="AA102" s="165">
        <v>44</v>
      </c>
      <c r="AB102" s="167"/>
      <c r="AD102" s="97"/>
    </row>
    <row r="103" spans="1:30" ht="35.1" customHeight="1" x14ac:dyDescent="0.25">
      <c r="A103" s="83">
        <v>45702</v>
      </c>
      <c r="B103" s="7" t="s">
        <v>24</v>
      </c>
      <c r="C103" s="8" t="s">
        <v>25</v>
      </c>
      <c r="D103" s="8" t="s">
        <v>247</v>
      </c>
      <c r="E103" s="60" t="s">
        <v>553</v>
      </c>
      <c r="F103" s="84" t="str">
        <f>IFERROR(VLOOKUP(CONCATENATE($B103,"_",F$3),materiali!$C:$K,5,0),"")</f>
        <v>997006153</v>
      </c>
      <c r="G103" s="85" t="str">
        <f>IFERROR(VLOOKUP(CONCATENATE($B103,"_",G$3),materiali!$C:$K,6,0),"")</f>
        <v>MPC 109A (FUSTI 50 KG)</v>
      </c>
      <c r="H103" s="187" t="s">
        <v>565</v>
      </c>
      <c r="I103" s="84" t="str">
        <f>IFERROR(VLOOKUP(CONCATENATE($B103,"_",I$3),materiali!$C:$K,5,0),"")</f>
        <v>997006154</v>
      </c>
      <c r="J103" s="85" t="str">
        <f>IFERROR(VLOOKUP(CONCATENATE($B103,"_",J$3),materiali!$C:$K,6,0),"")</f>
        <v>RH 275B (FUSTI 25 KG)</v>
      </c>
      <c r="K103" s="187" t="s">
        <v>566</v>
      </c>
      <c r="L103" s="84" t="str">
        <f>IFERROR(VLOOKUP(CONCATENATE($B103,"_",L$3),materiali!$C:$K,5,0),"")</f>
        <v/>
      </c>
      <c r="M103" s="85" t="str">
        <f>IFERROR(VLOOKUP(CONCATENATE($B103,"_",M$3),materiali!$C:$K,6,0),"")</f>
        <v/>
      </c>
      <c r="N103" s="181" t="s">
        <v>489</v>
      </c>
      <c r="O103" s="84" t="str">
        <f>IFERROR(VLOOKUP(CONCATENATE($B103,"_",O$3),materiali!$C:$K,5,0),"")</f>
        <v>997006168</v>
      </c>
      <c r="P103" s="85" t="str">
        <f>IFERROR(VLOOKUP(CONCATENATE($B103,"_",P$3),materiali!$C:$K,6,0),"")</f>
        <v>CATALIZZATORE TECNOKAT T12-500</v>
      </c>
      <c r="Q103" s="86">
        <v>113483</v>
      </c>
      <c r="R103" s="84" t="str">
        <f>IFERROR(VLOOKUP(CONCATENATE($B103,"_",R$3),materiali!$C:$K,5,0),"")</f>
        <v>997004318</v>
      </c>
      <c r="S103" s="85" t="str">
        <f>IFERROR(VLOOKUP(CONCATENATE($B103,"_",S$3),materiali!$C:$K,6,0),"")</f>
        <v>BIANCO REMAP 10080 FDA 178.3297 (COLORANTE FDA PER SISTEMI)</v>
      </c>
      <c r="T103" s="86"/>
      <c r="U103" s="31"/>
      <c r="V103" s="165">
        <v>72</v>
      </c>
      <c r="W103" s="165">
        <v>8</v>
      </c>
      <c r="X103" s="168" t="s">
        <v>557</v>
      </c>
      <c r="Y103" s="165">
        <v>26</v>
      </c>
      <c r="Z103" s="165">
        <v>40</v>
      </c>
      <c r="AA103" s="165">
        <v>51</v>
      </c>
      <c r="AB103" s="167"/>
      <c r="AD103" s="97"/>
    </row>
    <row r="104" spans="1:30" ht="35.1" hidden="1" customHeight="1" x14ac:dyDescent="0.25">
      <c r="A104" s="83">
        <v>45702</v>
      </c>
      <c r="B104" s="7" t="s">
        <v>10</v>
      </c>
      <c r="C104" s="8" t="s">
        <v>11</v>
      </c>
      <c r="D104" s="8" t="s">
        <v>341</v>
      </c>
      <c r="E104" s="60" t="s">
        <v>553</v>
      </c>
      <c r="F104" s="84" t="str">
        <f>IFERROR(VLOOKUP(CONCATENATE($B104,"_",F$3),materiali!$C:$K,5,0),"")</f>
        <v>997001502</v>
      </c>
      <c r="G104" s="85" t="str">
        <f>IFERROR(VLOOKUP(CONCATENATE($B104,"_",G$3),materiali!$C:$K,6,0),"")</f>
        <v>ISOCIANATO POLIETERE SH.70/90 TECNOTHANE MPT 109SG</v>
      </c>
      <c r="H104" s="171" t="s">
        <v>554</v>
      </c>
      <c r="I104" s="84" t="str">
        <f>IFERROR(VLOOKUP(CONCATENATE($B104,"_",I$3),materiali!$C:$K,5,0),"")</f>
        <v>997005228</v>
      </c>
      <c r="J104" s="85" t="str">
        <f>IFERROR(VLOOKUP(CONCATENATE($B104,"_",J$3),materiali!$C:$K,6,0),"")</f>
        <v>POLIOLO POLIETERE SH.70 TECNOTHANE RH 246  FORMATO 200 KG.</v>
      </c>
      <c r="K104" s="181" t="s">
        <v>567</v>
      </c>
      <c r="L104" s="84" t="str">
        <f>IFERROR(VLOOKUP(CONCATENATE($B104,"_",L$3),materiali!$C:$K,5,0),"")</f>
        <v/>
      </c>
      <c r="M104" s="85" t="str">
        <f>IFERROR(VLOOKUP(CONCATENATE($B104,"_",M$3),materiali!$C:$K,6,0),"")</f>
        <v/>
      </c>
      <c r="N104" s="86" t="s">
        <v>560</v>
      </c>
      <c r="O104" s="84" t="str">
        <f>IFERROR(VLOOKUP(CONCATENATE($B104,"_",O$3),materiali!$C:$K,5,0),"")</f>
        <v>040001013</v>
      </c>
      <c r="P104" s="85" t="str">
        <f>IFERROR(VLOOKUP(CONCATENATE($B104,"_",P$3),materiali!$C:$K,6,0),"")</f>
        <v>ACCELERANTE X POLIOLO POLIESTE RE (per macchine pur old)</v>
      </c>
      <c r="Q104" s="86" t="s">
        <v>528</v>
      </c>
      <c r="R104" s="84" t="str">
        <f>IFERROR(VLOOKUP(CONCATENATE($B104,"_",R$3),materiali!$C:$K,5,0),"")</f>
        <v>997001508</v>
      </c>
      <c r="S104" s="85" t="str">
        <f>IFERROR(VLOOKUP(CONCATENATE($B104,"_",S$3),materiali!$C:$K,6,0),"")</f>
        <v>COLORE GIALLO PER POLIOLO</v>
      </c>
      <c r="T104" s="86">
        <v>9930</v>
      </c>
      <c r="U104" s="31"/>
      <c r="V104" s="165">
        <v>69</v>
      </c>
      <c r="W104" s="165">
        <v>7</v>
      </c>
      <c r="X104" s="168" t="s">
        <v>557</v>
      </c>
      <c r="Y104" s="165">
        <v>26</v>
      </c>
      <c r="Z104" s="165">
        <v>38</v>
      </c>
      <c r="AA104" s="165">
        <v>14</v>
      </c>
      <c r="AB104" s="167">
        <v>600000000</v>
      </c>
      <c r="AD104" s="97"/>
    </row>
    <row r="105" spans="1:30" ht="35.1" hidden="1" customHeight="1" x14ac:dyDescent="0.25">
      <c r="A105" s="83">
        <v>45859</v>
      </c>
      <c r="B105" s="7">
        <v>438014257</v>
      </c>
      <c r="C105" s="8" t="s">
        <v>36</v>
      </c>
      <c r="D105" s="8" t="s">
        <v>267</v>
      </c>
      <c r="E105" s="60" t="s">
        <v>568</v>
      </c>
      <c r="F105" s="84" t="str">
        <f>IFERROR(VLOOKUP(CONCATENATE($B105,"_",F$3),materiali!$C:$K,5,0),"")</f>
        <v>997001502</v>
      </c>
      <c r="G105" s="85" t="str">
        <f>IFERROR(VLOOKUP(CONCATENATE($B105,"_",G$3),materiali!$C:$K,6,0),"")</f>
        <v>ISOCIANATO POLIETERE SH.70/90 TECNOTHANE MPT 109SG</v>
      </c>
      <c r="H105" s="181"/>
      <c r="I105" s="84" t="str">
        <f>IFERROR(VLOOKUP(CONCATENATE($B105,"_",I$3),materiali!$C:$K,5,0),"")</f>
        <v>997001503</v>
      </c>
      <c r="J105" s="85" t="str">
        <f>IFERROR(VLOOKUP(CONCATENATE($B105,"_",J$3),materiali!$C:$K,6,0),"")</f>
        <v>POLIOLO POLIETERE SH.70 TECNOTHANE RH 275</v>
      </c>
      <c r="K105" s="181"/>
      <c r="L105" s="84" t="str">
        <f>IFERROR(VLOOKUP(CONCATENATE($B105,"_",L$3),materiali!$C:$K,5,0),"")</f>
        <v/>
      </c>
      <c r="M105" s="85" t="str">
        <f>IFERROR(VLOOKUP(CONCATENATE($B105,"_",M$3),materiali!$C:$K,6,0),"")</f>
        <v/>
      </c>
      <c r="N105" s="90"/>
      <c r="O105" s="84" t="str">
        <f>IFERROR(VLOOKUP(CONCATENATE($B105,"_",O$3),materiali!$C:$K,5,0),"")</f>
        <v>040001013</v>
      </c>
      <c r="P105" s="85" t="str">
        <f>IFERROR(VLOOKUP(CONCATENATE($B105,"_",P$3),materiali!$C:$K,6,0),"")</f>
        <v>CATALIZZATORE TECNOKAT E, 10KG</v>
      </c>
      <c r="Q105" s="86"/>
      <c r="R105" s="84" t="str">
        <f>IFERROR(VLOOKUP(CONCATENATE($B105,"_",R$3),materiali!$C:$K,5,0),"")</f>
        <v>040001014</v>
      </c>
      <c r="S105" s="85" t="str">
        <f>IFERROR(VLOOKUP(CONCATENATE($B105,"_",S$3),materiali!$C:$K,6,0),"")</f>
        <v>ADDITTIVO ANTISTAT.PER POLIOLO POLIEST.CATAFOR PU</v>
      </c>
      <c r="T105" s="86"/>
      <c r="U105" s="31">
        <v>45923</v>
      </c>
      <c r="V105" s="165">
        <v>69</v>
      </c>
      <c r="W105" s="165">
        <v>4</v>
      </c>
      <c r="X105" s="168">
        <v>228</v>
      </c>
      <c r="Y105" s="165">
        <v>18</v>
      </c>
      <c r="Z105" s="165">
        <v>26</v>
      </c>
      <c r="AA105" s="165">
        <v>12</v>
      </c>
      <c r="AB105" s="167"/>
      <c r="AD105" s="97"/>
    </row>
    <row r="106" spans="1:30" ht="35.1" hidden="1" customHeight="1" x14ac:dyDescent="0.25">
      <c r="A106" s="83">
        <v>45859</v>
      </c>
      <c r="B106" s="7" t="s">
        <v>10</v>
      </c>
      <c r="C106" s="8" t="s">
        <v>11</v>
      </c>
      <c r="D106" s="8" t="s">
        <v>65</v>
      </c>
      <c r="E106" s="60" t="s">
        <v>568</v>
      </c>
      <c r="F106" s="84" t="str">
        <f>IFERROR(VLOOKUP(CONCATENATE($B106,"_",F$3),materiali!$C:$K,5,0),"")</f>
        <v>997001502</v>
      </c>
      <c r="G106" s="85" t="str">
        <f>IFERROR(VLOOKUP(CONCATENATE($B106,"_",G$3),materiali!$C:$K,6,0),"")</f>
        <v>ISOCIANATO POLIETERE SH.70/90 TECNOTHANE MPT 109SG</v>
      </c>
      <c r="H106" s="181"/>
      <c r="I106" s="84" t="str">
        <f>IFERROR(VLOOKUP(CONCATENATE($B106,"_",I$3),materiali!$C:$K,5,0),"")</f>
        <v>997005228</v>
      </c>
      <c r="J106" s="85" t="str">
        <f>IFERROR(VLOOKUP(CONCATENATE($B106,"_",J$3),materiali!$C:$K,6,0),"")</f>
        <v>POLIOLO POLIETERE SH.70 TECNOTHANE RH 246  FORMATO 200 KG.</v>
      </c>
      <c r="K106" s="181"/>
      <c r="L106" s="84" t="str">
        <f>IFERROR(VLOOKUP(CONCATENATE($B106,"_",L$3),materiali!$C:$K,5,0),"")</f>
        <v/>
      </c>
      <c r="M106" s="85" t="str">
        <f>IFERROR(VLOOKUP(CONCATENATE($B106,"_",M$3),materiali!$C:$K,6,0),"")</f>
        <v/>
      </c>
      <c r="N106" s="181"/>
      <c r="O106" s="84" t="str">
        <f>IFERROR(VLOOKUP(CONCATENATE($B106,"_",O$3),materiali!$C:$K,5,0),"")</f>
        <v>040001013</v>
      </c>
      <c r="P106" s="85" t="str">
        <f>IFERROR(VLOOKUP(CONCATENATE($B106,"_",P$3),materiali!$C:$K,6,0),"")</f>
        <v>ACCELERANTE X POLIOLO POLIESTE RE (per macchine pur old)</v>
      </c>
      <c r="Q106" s="181"/>
      <c r="R106" s="84" t="str">
        <f>IFERROR(VLOOKUP(CONCATENATE($B106,"_",R$3),materiali!$C:$K,5,0),"")</f>
        <v>997001508</v>
      </c>
      <c r="S106" s="85" t="str">
        <f>IFERROR(VLOOKUP(CONCATENATE($B106,"_",S$3),materiali!$C:$K,6,0),"")</f>
        <v>COLORE GIALLO PER POLIOLO</v>
      </c>
      <c r="T106" s="86"/>
      <c r="U106" s="31"/>
      <c r="V106" s="165">
        <v>71</v>
      </c>
      <c r="W106" s="165">
        <v>7</v>
      </c>
      <c r="X106" s="168">
        <v>402</v>
      </c>
      <c r="Y106" s="165">
        <v>24</v>
      </c>
      <c r="Z106" s="165">
        <v>36</v>
      </c>
      <c r="AA106" s="165">
        <v>10</v>
      </c>
      <c r="AB106" s="165" t="s">
        <v>569</v>
      </c>
      <c r="AC106" s="59"/>
      <c r="AD106" s="97"/>
    </row>
    <row r="107" spans="1:30" ht="35.1" hidden="1" customHeight="1" x14ac:dyDescent="0.25">
      <c r="A107" s="83">
        <v>45859</v>
      </c>
      <c r="B107" s="7" t="s">
        <v>14</v>
      </c>
      <c r="C107" s="8" t="s">
        <v>15</v>
      </c>
      <c r="D107" s="8" t="s">
        <v>97</v>
      </c>
      <c r="E107" s="60" t="s">
        <v>568</v>
      </c>
      <c r="F107" s="84" t="str">
        <f>IFERROR(VLOOKUP(CONCATENATE($B107,"_",F$3),materiali!$C:$K,5,0),"")</f>
        <v>997001513</v>
      </c>
      <c r="G107" s="85" t="str">
        <f>IFERROR(VLOOKUP(CONCATENATE($B107,"_",G$3),materiali!$C:$K,6,0),"")</f>
        <v>RESINA TECNOTHANE MPC2013SG</v>
      </c>
      <c r="H107" s="181"/>
      <c r="I107" s="84" t="str">
        <f>IFERROR(VLOOKUP(CONCATENATE($B107,"_",I$3),materiali!$C:$K,5,0),"")</f>
        <v>997001515</v>
      </c>
      <c r="J107" s="85" t="str">
        <f>IFERROR(VLOOKUP(CONCATENATE($B107,"_",J$3),materiali!$C:$K,6,0),"")</f>
        <v>RETICOLANTE TECNOTHANE RCH160 (50 KG)</v>
      </c>
      <c r="K107" s="181"/>
      <c r="L107" s="84" t="str">
        <f>IFERROR(VLOOKUP(CONCATENATE($B107,"_",L$3),materiali!$C:$K,5,0),"")</f>
        <v/>
      </c>
      <c r="M107" s="85" t="str">
        <f>IFERROR(VLOOKUP(CONCATENATE($B107,"_",M$3),materiali!$C:$K,6,0),"")</f>
        <v/>
      </c>
      <c r="N107" s="181"/>
      <c r="O107" s="84" t="str">
        <f>IFERROR(VLOOKUP(CONCATENATE($B107,"_",O$3),materiali!$C:$K,5,0),"")</f>
        <v>040001013</v>
      </c>
      <c r="P107" s="85" t="str">
        <f>IFERROR(VLOOKUP(CONCATENATE($B107,"_",P$3),materiali!$C:$K,6,0),"")</f>
        <v>ACCELERANTE X POLIOLO POLIESTERE TECNOKAT  PURO NON DILUITO</v>
      </c>
      <c r="Q107" s="86"/>
      <c r="R107" s="84" t="str">
        <f>IFERROR(VLOOKUP(CONCATENATE($B107,"_",R$3),materiali!$C:$K,5,0),"")</f>
        <v>997001508</v>
      </c>
      <c r="S107" s="85" t="str">
        <f>IFERROR(VLOOKUP(CONCATENATE($B107,"_",S$3),materiali!$C:$K,6,0),"")</f>
        <v>COLORE GIALLO PER POLIOLO</v>
      </c>
      <c r="T107" s="86"/>
      <c r="U107" s="31"/>
      <c r="V107" s="165">
        <v>90</v>
      </c>
      <c r="W107" s="165">
        <v>25</v>
      </c>
      <c r="X107" s="168">
        <v>754</v>
      </c>
      <c r="Y107" s="165">
        <v>70</v>
      </c>
      <c r="Z107" s="165">
        <v>96</v>
      </c>
      <c r="AA107" s="165">
        <v>19</v>
      </c>
      <c r="AB107" s="167" t="s">
        <v>557</v>
      </c>
      <c r="AD107" s="97"/>
    </row>
    <row r="108" spans="1:30" ht="35.1" hidden="1" customHeight="1" x14ac:dyDescent="0.25">
      <c r="A108" s="83">
        <v>45859</v>
      </c>
      <c r="B108" s="7" t="s">
        <v>20</v>
      </c>
      <c r="C108" s="8" t="s">
        <v>21</v>
      </c>
      <c r="D108" s="8" t="s">
        <v>193</v>
      </c>
      <c r="E108" s="60" t="s">
        <v>568</v>
      </c>
      <c r="F108" s="84" t="str">
        <f>IFERROR(VLOOKUP(CONCATENATE($B108,"_",F$3),materiali!$C:$K,5,0),"")</f>
        <v>997001513</v>
      </c>
      <c r="G108" s="85" t="str">
        <f>IFERROR(VLOOKUP(CONCATENATE($B108,"_",G$3),materiali!$C:$K,6,0),"")</f>
        <v>RESINA TECNOTHANE MPC2013SG</v>
      </c>
      <c r="H108" s="181"/>
      <c r="I108" s="84" t="str">
        <f>IFERROR(VLOOKUP(CONCATENATE($B108,"_",I$3),materiali!$C:$K,5,0),"")</f>
        <v>997001514</v>
      </c>
      <c r="J108" s="85" t="str">
        <f>IFERROR(VLOOKUP(CONCATENATE($B108,"_",J$3),materiali!$C:$K,6,0),"")</f>
        <v>RETICOLANTE TECNOTHANE RCH361</v>
      </c>
      <c r="K108" s="86"/>
      <c r="L108" s="84" t="str">
        <f>IFERROR(VLOOKUP(CONCATENATE($B108,"_",L$3),materiali!$C:$K,5,0),"")</f>
        <v/>
      </c>
      <c r="M108" s="85" t="str">
        <f>IFERROR(VLOOKUP(CONCATENATE($B108,"_",M$3),materiali!$C:$K,6,0),"")</f>
        <v/>
      </c>
      <c r="N108" s="181"/>
      <c r="O108" s="84" t="str">
        <f>IFERROR(VLOOKUP(CONCATENATE($B108,"_",O$3),materiali!$C:$K,5,0),"")</f>
        <v>040001013</v>
      </c>
      <c r="P108" s="85" t="str">
        <f>IFERROR(VLOOKUP(CONCATENATE($B108,"_",P$3),materiali!$C:$K,6,0),"")</f>
        <v>ACCELERANTE X POLIOLO POLIESTERE TECNOKAT  PURO NON DILUITO</v>
      </c>
      <c r="Q108" s="181"/>
      <c r="R108" s="84" t="str">
        <f>IFERROR(VLOOKUP(CONCATENATE($B108,"_",R$3),materiali!$C:$K,5,0),"")</f>
        <v>997001508</v>
      </c>
      <c r="S108" s="85" t="str">
        <f>IFERROR(VLOOKUP(CONCATENATE($B108,"_",S$3),materiali!$C:$K,6,0),"")</f>
        <v>COLORE GIALLO PER POLIOLO</v>
      </c>
      <c r="T108" s="86"/>
      <c r="U108" s="31"/>
      <c r="V108" s="165">
        <v>72</v>
      </c>
      <c r="W108" s="165">
        <v>23</v>
      </c>
      <c r="X108" s="168">
        <v>1002</v>
      </c>
      <c r="Y108" s="165">
        <v>53</v>
      </c>
      <c r="Z108" s="165">
        <v>60</v>
      </c>
      <c r="AA108" s="165">
        <v>10</v>
      </c>
      <c r="AB108" s="165" t="s">
        <v>570</v>
      </c>
      <c r="AC108" s="59"/>
      <c r="AD108" s="97"/>
    </row>
    <row r="109" spans="1:30" ht="35.1" customHeight="1" x14ac:dyDescent="0.25">
      <c r="A109" s="83">
        <v>45859</v>
      </c>
      <c r="B109" s="7" t="s">
        <v>24</v>
      </c>
      <c r="C109" s="8" t="s">
        <v>25</v>
      </c>
      <c r="D109" s="8" t="s">
        <v>247</v>
      </c>
      <c r="E109" s="60" t="s">
        <v>568</v>
      </c>
      <c r="F109" s="84" t="str">
        <f>IFERROR(VLOOKUP(CONCATENATE($B109,"_",F$3),materiali!$C:$K,5,0),"")</f>
        <v>997006153</v>
      </c>
      <c r="G109" s="85" t="str">
        <f>IFERROR(VLOOKUP(CONCATENATE($B109,"_",G$3),materiali!$C:$K,6,0),"")</f>
        <v>MPC 109A (FUSTI 50 KG)</v>
      </c>
      <c r="H109" s="181"/>
      <c r="I109" s="84" t="str">
        <f>IFERROR(VLOOKUP(CONCATENATE($B109,"_",I$3),materiali!$C:$K,5,0),"")</f>
        <v>997006154</v>
      </c>
      <c r="J109" s="85" t="str">
        <f>IFERROR(VLOOKUP(CONCATENATE($B109,"_",J$3),materiali!$C:$K,6,0),"")</f>
        <v>RH 275B (FUSTI 25 KG)</v>
      </c>
      <c r="K109" s="181"/>
      <c r="L109" s="84" t="str">
        <f>IFERROR(VLOOKUP(CONCATENATE($B109,"_",L$3),materiali!$C:$K,5,0),"")</f>
        <v/>
      </c>
      <c r="M109" s="85" t="str">
        <f>IFERROR(VLOOKUP(CONCATENATE($B109,"_",M$3),materiali!$C:$K,6,0),"")</f>
        <v/>
      </c>
      <c r="N109" s="181"/>
      <c r="O109" s="84" t="str">
        <f>IFERROR(VLOOKUP(CONCATENATE($B109,"_",O$3),materiali!$C:$K,5,0),"")</f>
        <v>997006168</v>
      </c>
      <c r="P109" s="85" t="str">
        <f>IFERROR(VLOOKUP(CONCATENATE($B109,"_",P$3),materiali!$C:$K,6,0),"")</f>
        <v>CATALIZZATORE TECNOKAT T12-500</v>
      </c>
      <c r="Q109" s="86"/>
      <c r="R109" s="84" t="str">
        <f>IFERROR(VLOOKUP(CONCATENATE($B109,"_",R$3),materiali!$C:$K,5,0),"")</f>
        <v>997004318</v>
      </c>
      <c r="S109" s="85" t="str">
        <f>IFERROR(VLOOKUP(CONCATENATE($B109,"_",S$3),materiali!$C:$K,6,0),"")</f>
        <v>BIANCO REMAP 10080 FDA 178.3297 (COLORANTE FDA PER SISTEMI)</v>
      </c>
      <c r="T109" s="86"/>
      <c r="U109" s="31"/>
      <c r="V109" s="165">
        <v>73</v>
      </c>
      <c r="W109" s="165">
        <v>5</v>
      </c>
      <c r="X109" s="168">
        <v>282</v>
      </c>
      <c r="Y109" s="165">
        <v>26</v>
      </c>
      <c r="Z109" s="165">
        <v>31</v>
      </c>
      <c r="AA109" s="165">
        <v>38</v>
      </c>
      <c r="AB109" s="167"/>
      <c r="AD109" s="97"/>
    </row>
    <row r="110" spans="1:30" ht="35.1" hidden="1" customHeight="1" x14ac:dyDescent="0.25">
      <c r="A110" s="83">
        <v>45859</v>
      </c>
      <c r="B110" s="7" t="s">
        <v>28</v>
      </c>
      <c r="C110" s="8" t="s">
        <v>29</v>
      </c>
      <c r="D110" s="8" t="s">
        <v>93</v>
      </c>
      <c r="E110" s="60" t="s">
        <v>568</v>
      </c>
      <c r="F110" s="84" t="str">
        <f>IFERROR(VLOOKUP(CONCATENATE($B110,"_",F$3),materiali!$C:$K,5,0),"")</f>
        <v>997001513</v>
      </c>
      <c r="G110" s="85" t="str">
        <f>IFERROR(VLOOKUP(CONCATENATE($B110,"_",G$3),materiali!$C:$K,6,0),"")</f>
        <v>RESINA TECNOTHANE MPC2013SG</v>
      </c>
      <c r="H110" s="181"/>
      <c r="I110" s="84" t="str">
        <f>IFERROR(VLOOKUP(CONCATENATE($B110,"_",I$3),materiali!$C:$K,5,0),"")</f>
        <v>997001514</v>
      </c>
      <c r="J110" s="85" t="str">
        <f>IFERROR(VLOOKUP(CONCATENATE($B110,"_",J$3),materiali!$C:$K,6,0),"")</f>
        <v>RETICOLANTE TECNOTHANE RCH361</v>
      </c>
      <c r="K110" s="181"/>
      <c r="L110" s="84" t="str">
        <f>IFERROR(VLOOKUP(CONCATENATE($B110,"_",L$3),materiali!$C:$K,5,0),"")</f>
        <v/>
      </c>
      <c r="M110" s="85" t="str">
        <f>IFERROR(VLOOKUP(CONCATENATE($B110,"_",M$3),materiali!$C:$K,6,0),"")</f>
        <v/>
      </c>
      <c r="N110" s="181"/>
      <c r="O110" s="84" t="str">
        <f>IFERROR(VLOOKUP(CONCATENATE($B110,"_",O$3),materiali!$C:$K,5,0),"")</f>
        <v>040001013</v>
      </c>
      <c r="P110" s="85" t="str">
        <f>IFERROR(VLOOKUP(CONCATENATE($B110,"_",P$3),materiali!$C:$K,6,0),"")</f>
        <v>ACCELERANTE X POLIOLO POLIESTERE TECNOKAT  PURO NON DILUITO</v>
      </c>
      <c r="Q110" s="181"/>
      <c r="R110" s="84" t="str">
        <f>IFERROR(VLOOKUP(CONCATENATE($B110,"_",R$3),materiali!$C:$K,5,0),"")</f>
        <v>997001508</v>
      </c>
      <c r="S110" s="85" t="str">
        <f>IFERROR(VLOOKUP(CONCATENATE($B110,"_",S$3),materiali!$C:$K,6,0),"")</f>
        <v>COLORE GIALLO PER POLIOLO</v>
      </c>
      <c r="T110" s="86"/>
      <c r="U110" s="31"/>
      <c r="V110" s="165">
        <v>72</v>
      </c>
      <c r="W110" s="165">
        <v>15</v>
      </c>
      <c r="X110" s="168">
        <v>720</v>
      </c>
      <c r="Y110" s="165">
        <v>37</v>
      </c>
      <c r="Z110" s="165">
        <v>52</v>
      </c>
      <c r="AA110" s="165">
        <v>19</v>
      </c>
      <c r="AB110" s="167" t="s">
        <v>557</v>
      </c>
      <c r="AD110" s="97"/>
    </row>
    <row r="111" spans="1:30" ht="35.1" hidden="1" customHeight="1" x14ac:dyDescent="0.25">
      <c r="A111" s="83">
        <v>45859</v>
      </c>
      <c r="B111" s="7">
        <v>438044935</v>
      </c>
      <c r="C111" s="8" t="s">
        <v>32</v>
      </c>
      <c r="D111" s="8" t="s">
        <v>255</v>
      </c>
      <c r="E111" s="60" t="s">
        <v>568</v>
      </c>
      <c r="F111" s="84" t="str">
        <f>IFERROR(VLOOKUP(CONCATENATE($B111,"_",F$3),materiali!$C:$K,5,0),"")</f>
        <v>997001513</v>
      </c>
      <c r="G111" s="85" t="str">
        <f>IFERROR(VLOOKUP(CONCATENATE($B111,"_",G$3),materiali!$C:$K,6,0),"")</f>
        <v>RESINA TECNOTHANE MPC2013SG</v>
      </c>
      <c r="H111" s="181"/>
      <c r="I111" s="84" t="str">
        <f>IFERROR(VLOOKUP(CONCATENATE($B111,"_",I$3),materiali!$C:$K,5,0),"")</f>
        <v>997001514</v>
      </c>
      <c r="J111" s="85" t="str">
        <f>IFERROR(VLOOKUP(CONCATENATE($B111,"_",J$3),materiali!$C:$K,6,0),"")</f>
        <v>RETICOLANTE TECNOTHANE RCH360 (N.B.FUSTI DA 200 KG)</v>
      </c>
      <c r="K111" s="181"/>
      <c r="L111" s="84" t="str">
        <f>IFERROR(VLOOKUP(CONCATENATE($B111,"_",L$3),materiali!$C:$K,5,0),"")</f>
        <v/>
      </c>
      <c r="M111" s="85" t="str">
        <f>IFERROR(VLOOKUP(CONCATENATE($B111,"_",M$3),materiali!$C:$K,6,0),"")</f>
        <v/>
      </c>
      <c r="N111" s="181"/>
      <c r="O111" s="84" t="str">
        <f>IFERROR(VLOOKUP(CONCATENATE($B111,"_",O$3),materiali!$C:$K,5,0),"")</f>
        <v>040001013</v>
      </c>
      <c r="P111" s="85" t="str">
        <f>IFERROR(VLOOKUP(CONCATENATE($B111,"_",P$3),materiali!$C:$K,6,0),"")</f>
        <v>CATALIZZATORE TECNOKAT E, 10KG</v>
      </c>
      <c r="Q111" s="86"/>
      <c r="R111" s="84" t="str">
        <f>IFERROR(VLOOKUP(CONCATENATE($B111,"_",R$3),materiali!$C:$K,5,0),"")</f>
        <v>997001508</v>
      </c>
      <c r="S111" s="85" t="str">
        <f>IFERROR(VLOOKUP(CONCATENATE($B111,"_",S$3),materiali!$C:$K,6,0),"")</f>
        <v>COLORANTE GIALLO REPIPLAST/CE 28713</v>
      </c>
      <c r="T111" s="86"/>
      <c r="U111" s="31"/>
      <c r="V111" s="165">
        <v>74</v>
      </c>
      <c r="W111" s="165">
        <v>20</v>
      </c>
      <c r="X111" s="168">
        <v>785</v>
      </c>
      <c r="Y111" s="165">
        <v>41</v>
      </c>
      <c r="Z111" s="165">
        <v>56</v>
      </c>
      <c r="AA111" s="165">
        <v>9</v>
      </c>
      <c r="AB111" s="165" t="s">
        <v>571</v>
      </c>
      <c r="AC111" s="59"/>
      <c r="AD111" s="97"/>
    </row>
    <row r="112" spans="1:30" ht="35.1" hidden="1" customHeight="1" x14ac:dyDescent="0.25">
      <c r="A112" s="83">
        <v>45859</v>
      </c>
      <c r="B112" s="7" t="s">
        <v>42</v>
      </c>
      <c r="C112" s="8" t="s">
        <v>43</v>
      </c>
      <c r="D112" s="8" t="s">
        <v>263</v>
      </c>
      <c r="E112" s="60" t="s">
        <v>568</v>
      </c>
      <c r="F112" s="84" t="str">
        <f>IFERROR(VLOOKUP(CONCATENATE($B112,"_",F$3),materiali!$C:$K,5,0),"")</f>
        <v>997005963</v>
      </c>
      <c r="G112" s="85" t="str">
        <f>IFERROR(VLOOKUP(CONCATENATE($B112,"_",G$3),materiali!$C:$K,6,0),"")</f>
        <v>MPC 2013F (FUSTI 50 KG)</v>
      </c>
      <c r="H112" s="181"/>
      <c r="I112" s="84" t="str">
        <f>IFERROR(VLOOKUP(CONCATENATE($B112,"_",I$3),materiali!$C:$K,5,0),"")</f>
        <v>997005965</v>
      </c>
      <c r="J112" s="85" t="str">
        <f>IFERROR(VLOOKUP(CONCATENATE($B112,"_",J$3),materiali!$C:$K,6,0),"")</f>
        <v>RCH 350F (FUSTI 25 KG)</v>
      </c>
      <c r="K112" s="181"/>
      <c r="L112" s="84" t="str">
        <f>IFERROR(VLOOKUP(CONCATENATE($B112,"_",L$3),materiali!$C:$K,5,0),"")</f>
        <v/>
      </c>
      <c r="M112" s="85" t="str">
        <f>IFERROR(VLOOKUP(CONCATENATE($B112,"_",M$3),materiali!$C:$K,6,0),"")</f>
        <v/>
      </c>
      <c r="N112" s="181"/>
      <c r="O112" s="84" t="str">
        <f>IFERROR(VLOOKUP(CONCATENATE($B112,"_",O$3),materiali!$C:$K,5,0),"")</f>
        <v>997006168</v>
      </c>
      <c r="P112" s="85" t="str">
        <f>IFERROR(VLOOKUP(CONCATENATE($B112,"_",P$3),materiali!$C:$K,6,0),"")</f>
        <v>CATALIZZATORE TECNOKAT T12-500</v>
      </c>
      <c r="Q112" s="86"/>
      <c r="R112" s="84" t="str">
        <f>IFERROR(VLOOKUP(CONCATENATE($B112,"_",R$3),materiali!$C:$K,5,0),"")</f>
        <v>997004318</v>
      </c>
      <c r="S112" s="85" t="str">
        <f>IFERROR(VLOOKUP(CONCATENATE($B112,"_",S$3),materiali!$C:$K,6,0),"")</f>
        <v>BIANCO REMAP 10080 FDA 178.3297 (COLORANTE FDA PER SISTEMI)</v>
      </c>
      <c r="T112" s="86"/>
      <c r="U112" s="31"/>
      <c r="V112" s="165">
        <v>77</v>
      </c>
      <c r="W112" s="165">
        <v>14</v>
      </c>
      <c r="X112" s="168">
        <v>535</v>
      </c>
      <c r="Y112" s="165">
        <v>39</v>
      </c>
      <c r="Z112" s="165">
        <v>59</v>
      </c>
      <c r="AA112" s="165">
        <v>39</v>
      </c>
      <c r="AB112" s="167" t="s">
        <v>557</v>
      </c>
      <c r="AD112" s="97"/>
    </row>
    <row r="113" spans="1:30" ht="35.1" hidden="1" customHeight="1" x14ac:dyDescent="0.2">
      <c r="A113" s="83">
        <v>45910</v>
      </c>
      <c r="B113" s="7" t="s">
        <v>20</v>
      </c>
      <c r="C113" s="8" t="s">
        <v>21</v>
      </c>
      <c r="D113" s="8" t="s">
        <v>193</v>
      </c>
      <c r="E113" s="60" t="s">
        <v>572</v>
      </c>
      <c r="F113" s="84" t="str">
        <f>IFERROR(VLOOKUP(CONCATENATE($B113,"_",F$3),materiali!$C:$K,5,0),"")</f>
        <v>997001513</v>
      </c>
      <c r="G113" s="85" t="str">
        <f>IFERROR(VLOOKUP(CONCATENATE($B113,"_",G$3),materiali!$C:$K,6,0),"")</f>
        <v>RESINA TECNOTHANE MPC2013SG</v>
      </c>
      <c r="H113" s="187" t="s">
        <v>573</v>
      </c>
      <c r="I113" s="84" t="str">
        <f>IFERROR(VLOOKUP(CONCATENATE($B113,"_",I$3),materiali!$C:$K,5,0),"")</f>
        <v>997001514</v>
      </c>
      <c r="J113" s="85" t="str">
        <f>IFERROR(VLOOKUP(CONCATENATE($B113,"_",J$3),materiali!$C:$K,6,0),"")</f>
        <v>RETICOLANTE TECNOTHANE RCH361</v>
      </c>
      <c r="K113" s="203" t="s">
        <v>574</v>
      </c>
      <c r="L113" s="84" t="str">
        <f>IFERROR(VLOOKUP(CONCATENATE($B113,"_",L$3),materiali!$C:$K,5,0),"")</f>
        <v/>
      </c>
      <c r="M113" s="85" t="str">
        <f>IFERROR(VLOOKUP(CONCATENATE($B113,"_",M$3),materiali!$C:$K,6,0),"")</f>
        <v/>
      </c>
      <c r="N113" s="187" t="s">
        <v>575</v>
      </c>
      <c r="O113" s="84" t="str">
        <f>IFERROR(VLOOKUP(CONCATENATE($B113,"_",O$3),materiali!$C:$K,5,0),"")</f>
        <v>040001013</v>
      </c>
      <c r="P113" s="85" t="str">
        <f>IFERROR(VLOOKUP(CONCATENATE($B113,"_",P$3),materiali!$C:$K,6,0),"")</f>
        <v>ACCELERANTE X POLIOLO POLIESTERE TECNOKAT  PURO NON DILUITO</v>
      </c>
      <c r="Q113" s="185" t="s">
        <v>576</v>
      </c>
      <c r="R113" s="84" t="str">
        <f>IFERROR(VLOOKUP(CONCATENATE($B113,"_",R$3),materiali!$C:$K,5,0),"")</f>
        <v>997001508</v>
      </c>
      <c r="S113" s="85" t="str">
        <f>IFERROR(VLOOKUP(CONCATENATE($B113,"_",S$3),materiali!$C:$K,6,0),"")</f>
        <v>COLORE GIALLO PER POLIOLO</v>
      </c>
      <c r="T113" s="86">
        <v>10293</v>
      </c>
      <c r="U113" s="31"/>
      <c r="V113" s="165">
        <v>70</v>
      </c>
      <c r="W113" s="165">
        <v>23</v>
      </c>
      <c r="X113" s="168">
        <v>852</v>
      </c>
      <c r="Y113" s="165">
        <v>56</v>
      </c>
      <c r="Z113" s="165">
        <v>54</v>
      </c>
      <c r="AA113" s="165">
        <v>9</v>
      </c>
      <c r="AB113" s="167">
        <v>100000000</v>
      </c>
      <c r="AD113" s="97"/>
    </row>
    <row r="114" spans="1:30" ht="35.1" hidden="1" customHeight="1" x14ac:dyDescent="0.25">
      <c r="A114" s="83">
        <v>45910</v>
      </c>
      <c r="B114" s="7" t="s">
        <v>14</v>
      </c>
      <c r="C114" s="8" t="s">
        <v>15</v>
      </c>
      <c r="D114" s="8" t="s">
        <v>97</v>
      </c>
      <c r="E114" s="60" t="s">
        <v>572</v>
      </c>
      <c r="F114" s="84" t="str">
        <f>IFERROR(VLOOKUP(CONCATENATE($B114,"_",F$3),materiali!$C:$K,5,0),"")</f>
        <v>997001513</v>
      </c>
      <c r="G114" s="85" t="str">
        <f>IFERROR(VLOOKUP(CONCATENATE($B114,"_",G$3),materiali!$C:$K,6,0),"")</f>
        <v>RESINA TECNOTHANE MPC2013SG</v>
      </c>
      <c r="H114" s="187" t="s">
        <v>573</v>
      </c>
      <c r="I114" s="84" t="str">
        <f>IFERROR(VLOOKUP(CONCATENATE($B114,"_",I$3),materiali!$C:$K,5,0),"")</f>
        <v>997001515</v>
      </c>
      <c r="J114" s="85" t="str">
        <f>IFERROR(VLOOKUP(CONCATENATE($B114,"_",J$3),materiali!$C:$K,6,0),"")</f>
        <v>RETICOLANTE TECNOTHANE RCH160 (50 KG)</v>
      </c>
      <c r="K114" s="187" t="s">
        <v>577</v>
      </c>
      <c r="L114" s="84" t="str">
        <f>IFERROR(VLOOKUP(CONCATENATE($B114,"_",L$3),materiali!$C:$K,5,0),"")</f>
        <v/>
      </c>
      <c r="M114" s="85" t="str">
        <f>IFERROR(VLOOKUP(CONCATENATE($B114,"_",M$3),materiali!$C:$K,6,0),"")</f>
        <v/>
      </c>
      <c r="N114" s="187" t="s">
        <v>575</v>
      </c>
      <c r="O114" s="84" t="str">
        <f>IFERROR(VLOOKUP(CONCATENATE($B114,"_",O$3),materiali!$C:$K,5,0),"")</f>
        <v>040001013</v>
      </c>
      <c r="P114" s="85" t="str">
        <f>IFERROR(VLOOKUP(CONCATENATE($B114,"_",P$3),materiali!$C:$K,6,0),"")</f>
        <v>ACCELERANTE X POLIOLO POLIESTERE TECNOKAT  PURO NON DILUITO</v>
      </c>
      <c r="Q114" s="86" t="s">
        <v>576</v>
      </c>
      <c r="R114" s="84" t="str">
        <f>IFERROR(VLOOKUP(CONCATENATE($B114,"_",R$3),materiali!$C:$K,5,0),"")</f>
        <v>997001508</v>
      </c>
      <c r="S114" s="85" t="str">
        <f>IFERROR(VLOOKUP(CONCATENATE($B114,"_",S$3),materiali!$C:$K,6,0),"")</f>
        <v>COLORE GIALLO PER POLIOLO</v>
      </c>
      <c r="T114" s="86"/>
      <c r="U114" s="31"/>
      <c r="V114" s="165">
        <v>91</v>
      </c>
      <c r="W114" s="165">
        <v>27</v>
      </c>
      <c r="X114" s="168">
        <v>808</v>
      </c>
      <c r="Y114" s="165">
        <v>83</v>
      </c>
      <c r="Z114" s="165">
        <v>109</v>
      </c>
      <c r="AA114" s="165">
        <v>19</v>
      </c>
      <c r="AB114" s="167"/>
      <c r="AD114" s="97"/>
    </row>
    <row r="115" spans="1:30" ht="35.1" hidden="1" customHeight="1" x14ac:dyDescent="0.25">
      <c r="A115" s="83">
        <v>45910</v>
      </c>
      <c r="B115" s="7" t="s">
        <v>28</v>
      </c>
      <c r="C115" s="8" t="s">
        <v>29</v>
      </c>
      <c r="D115" s="8" t="s">
        <v>93</v>
      </c>
      <c r="E115" s="60" t="s">
        <v>572</v>
      </c>
      <c r="F115" s="84" t="str">
        <f>IFERROR(VLOOKUP(CONCATENATE($B115,"_",F$3),materiali!$C:$K,5,0),"")</f>
        <v>997001513</v>
      </c>
      <c r="G115" s="85" t="str">
        <f>IFERROR(VLOOKUP(CONCATENATE($B115,"_",G$3),materiali!$C:$K,6,0),"")</f>
        <v>RESINA TECNOTHANE MPC2013SG</v>
      </c>
      <c r="H115" s="187" t="s">
        <v>578</v>
      </c>
      <c r="I115" s="84" t="str">
        <f>IFERROR(VLOOKUP(CONCATENATE($B115,"_",I$3),materiali!$C:$K,5,0),"")</f>
        <v>997001514</v>
      </c>
      <c r="J115" s="85" t="str">
        <f>IFERROR(VLOOKUP(CONCATENATE($B115,"_",J$3),materiali!$C:$K,6,0),"")</f>
        <v>RETICOLANTE TECNOTHANE RCH361</v>
      </c>
      <c r="K115" s="187" t="s">
        <v>579</v>
      </c>
      <c r="L115" s="84" t="str">
        <f>IFERROR(VLOOKUP(CONCATENATE($B115,"_",L$3),materiali!$C:$K,5,0),"")</f>
        <v/>
      </c>
      <c r="M115" s="85" t="str">
        <f>IFERROR(VLOOKUP(CONCATENATE($B115,"_",M$3),materiali!$C:$K,6,0),"")</f>
        <v/>
      </c>
      <c r="N115" s="187" t="s">
        <v>575</v>
      </c>
      <c r="O115" s="84" t="str">
        <f>IFERROR(VLOOKUP(CONCATENATE($B115,"_",O$3),materiali!$C:$K,5,0),"")</f>
        <v>040001013</v>
      </c>
      <c r="P115" s="85" t="str">
        <f>IFERROR(VLOOKUP(CONCATENATE($B115,"_",P$3),materiali!$C:$K,6,0),"")</f>
        <v>ACCELERANTE X POLIOLO POLIESTERE TECNOKAT  PURO NON DILUITO</v>
      </c>
      <c r="Q115" s="185" t="s">
        <v>576</v>
      </c>
      <c r="R115" s="84" t="str">
        <f>IFERROR(VLOOKUP(CONCATENATE($B115,"_",R$3),materiali!$C:$K,5,0),"")</f>
        <v>997001508</v>
      </c>
      <c r="S115" s="85" t="str">
        <f>IFERROR(VLOOKUP(CONCATENATE($B115,"_",S$3),materiali!$C:$K,6,0),"")</f>
        <v>COLORE GIALLO PER POLIOLO</v>
      </c>
      <c r="T115" s="86"/>
      <c r="U115" s="31"/>
      <c r="V115" s="165">
        <v>72</v>
      </c>
      <c r="W115" s="165">
        <v>21</v>
      </c>
      <c r="X115" s="168">
        <v>766</v>
      </c>
      <c r="Y115" s="165">
        <v>38</v>
      </c>
      <c r="Z115" s="165">
        <v>53</v>
      </c>
      <c r="AA115" s="165">
        <v>8</v>
      </c>
      <c r="AB115" s="167"/>
      <c r="AD115" s="97"/>
    </row>
    <row r="116" spans="1:30" ht="35.1" hidden="1" customHeight="1" x14ac:dyDescent="0.25">
      <c r="A116" s="83">
        <v>45910</v>
      </c>
      <c r="B116" s="7" t="s">
        <v>10</v>
      </c>
      <c r="C116" s="8" t="s">
        <v>11</v>
      </c>
      <c r="D116" s="8" t="s">
        <v>65</v>
      </c>
      <c r="E116" s="60" t="s">
        <v>572</v>
      </c>
      <c r="F116" s="84" t="str">
        <f>IFERROR(VLOOKUP(CONCATENATE($B116,"_",F$3),materiali!$C:$K,5,0),"")</f>
        <v>997001502</v>
      </c>
      <c r="G116" s="85" t="str">
        <f>IFERROR(VLOOKUP(CONCATENATE($B116,"_",G$3),materiali!$C:$K,6,0),"")</f>
        <v>ISOCIANATO POLIETERE SH.70/90 TECNOTHANE MPT 109SG</v>
      </c>
      <c r="H116" s="187" t="s">
        <v>580</v>
      </c>
      <c r="I116" s="84" t="str">
        <f>IFERROR(VLOOKUP(CONCATENATE($B116,"_",I$3),materiali!$C:$K,5,0),"")</f>
        <v>997005228</v>
      </c>
      <c r="J116" s="85" t="str">
        <f>IFERROR(VLOOKUP(CONCATENATE($B116,"_",J$3),materiali!$C:$K,6,0),"")</f>
        <v>POLIOLO POLIETERE SH.70 TECNOTHANE RH 246  FORMATO 200 KG.</v>
      </c>
      <c r="K116" s="187" t="s">
        <v>581</v>
      </c>
      <c r="L116" s="84" t="str">
        <f>IFERROR(VLOOKUP(CONCATENATE($B116,"_",L$3),materiali!$C:$K,5,0),"")</f>
        <v/>
      </c>
      <c r="M116" s="85" t="str">
        <f>IFERROR(VLOOKUP(CONCATENATE($B116,"_",M$3),materiali!$C:$K,6,0),"")</f>
        <v/>
      </c>
      <c r="N116" s="187" t="s">
        <v>575</v>
      </c>
      <c r="O116" s="84" t="str">
        <f>IFERROR(VLOOKUP(CONCATENATE($B116,"_",O$3),materiali!$C:$K,5,0),"")</f>
        <v>040001013</v>
      </c>
      <c r="P116" s="85" t="str">
        <f>IFERROR(VLOOKUP(CONCATENATE($B116,"_",P$3),materiali!$C:$K,6,0),"")</f>
        <v>ACCELERANTE X POLIOLO POLIESTE RE (per macchine pur old)</v>
      </c>
      <c r="Q116" s="185" t="s">
        <v>576</v>
      </c>
      <c r="R116" s="84" t="str">
        <f>IFERROR(VLOOKUP(CONCATENATE($B116,"_",R$3),materiali!$C:$K,5,0),"")</f>
        <v>997001508</v>
      </c>
      <c r="S116" s="85" t="str">
        <f>IFERROR(VLOOKUP(CONCATENATE($B116,"_",S$3),materiali!$C:$K,6,0),"")</f>
        <v>COLORE GIALLO PER POLIOLO</v>
      </c>
      <c r="T116" s="86">
        <v>10293</v>
      </c>
      <c r="U116" s="31"/>
      <c r="V116" s="165">
        <v>71</v>
      </c>
      <c r="W116" s="165">
        <v>10</v>
      </c>
      <c r="X116" s="168">
        <v>517</v>
      </c>
      <c r="Y116" s="165">
        <v>30</v>
      </c>
      <c r="Z116" s="165">
        <v>46</v>
      </c>
      <c r="AA116" s="165">
        <v>10</v>
      </c>
      <c r="AB116" s="167">
        <v>1000000000</v>
      </c>
      <c r="AD116" s="97"/>
    </row>
    <row r="117" spans="1:30" ht="35.1" customHeight="1" x14ac:dyDescent="0.25">
      <c r="A117" s="83">
        <v>45910</v>
      </c>
      <c r="B117" s="7" t="s">
        <v>24</v>
      </c>
      <c r="C117" s="8" t="s">
        <v>25</v>
      </c>
      <c r="D117" s="8" t="s">
        <v>247</v>
      </c>
      <c r="E117" s="60" t="s">
        <v>572</v>
      </c>
      <c r="F117" s="84" t="str">
        <f>IFERROR(VLOOKUP(CONCATENATE($B117,"_",F$3),materiali!$C:$K,5,0),"")</f>
        <v>997006153</v>
      </c>
      <c r="G117" s="85" t="str">
        <f>IFERROR(VLOOKUP(CONCATENATE($B117,"_",G$3),materiali!$C:$K,6,0),"")</f>
        <v>MPC 109A (FUSTI 50 KG)</v>
      </c>
      <c r="H117" s="187" t="s">
        <v>582</v>
      </c>
      <c r="I117" s="84" t="str">
        <f>IFERROR(VLOOKUP(CONCATENATE($B117,"_",I$3),materiali!$C:$K,5,0),"")</f>
        <v>997006154</v>
      </c>
      <c r="J117" s="85" t="str">
        <f>IFERROR(VLOOKUP(CONCATENATE($B117,"_",J$3),materiali!$C:$K,6,0),"")</f>
        <v>RH 275B (FUSTI 25 KG)</v>
      </c>
      <c r="K117" s="187" t="s">
        <v>583</v>
      </c>
      <c r="L117" s="84" t="str">
        <f>IFERROR(VLOOKUP(CONCATENATE($B117,"_",L$3),materiali!$C:$K,5,0),"")</f>
        <v/>
      </c>
      <c r="M117" s="85" t="str">
        <f>IFERROR(VLOOKUP(CONCATENATE($B117,"_",M$3),materiali!$C:$K,6,0),"")</f>
        <v/>
      </c>
      <c r="N117" s="187" t="s">
        <v>584</v>
      </c>
      <c r="O117" s="84" t="str">
        <f>IFERROR(VLOOKUP(CONCATENATE($B117,"_",O$3),materiali!$C:$K,5,0),"")</f>
        <v>997006168</v>
      </c>
      <c r="P117" s="85" t="str">
        <f>IFERROR(VLOOKUP(CONCATENATE($B117,"_",P$3),materiali!$C:$K,6,0),"")</f>
        <v>CATALIZZATORE TECNOKAT T12-500</v>
      </c>
      <c r="Q117" s="86">
        <v>138866</v>
      </c>
      <c r="R117" s="84" t="str">
        <f>IFERROR(VLOOKUP(CONCATENATE($B117,"_",R$3),materiali!$C:$K,5,0),"")</f>
        <v>997004318</v>
      </c>
      <c r="S117" s="85" t="str">
        <f>IFERROR(VLOOKUP(CONCATENATE($B117,"_",S$3),materiali!$C:$K,6,0),"")</f>
        <v>BIANCO REMAP 10080 FDA 178.3297 (COLORANTE FDA PER SISTEMI)</v>
      </c>
      <c r="T117" s="86"/>
      <c r="U117" s="31"/>
      <c r="V117" s="165">
        <v>68</v>
      </c>
      <c r="W117" s="165">
        <v>7</v>
      </c>
      <c r="X117" s="168">
        <v>433</v>
      </c>
      <c r="Y117" s="165">
        <v>23</v>
      </c>
      <c r="Z117" s="165">
        <v>40</v>
      </c>
      <c r="AA117" s="165">
        <v>75</v>
      </c>
      <c r="AB117" s="167"/>
      <c r="AD117" s="97"/>
    </row>
    <row r="118" spans="1:30" ht="35.1" hidden="1" customHeight="1" x14ac:dyDescent="0.25">
      <c r="A118" s="83">
        <v>45910</v>
      </c>
      <c r="B118" s="7">
        <v>438014257</v>
      </c>
      <c r="C118" s="8" t="s">
        <v>36</v>
      </c>
      <c r="D118" s="8" t="s">
        <v>267</v>
      </c>
      <c r="E118" s="60" t="s">
        <v>572</v>
      </c>
      <c r="F118" s="84" t="str">
        <f>IFERROR(VLOOKUP(CONCATENATE($B118,"_",F$3),materiali!$C:$K,5,0),"")</f>
        <v>997001502</v>
      </c>
      <c r="G118" s="85" t="str">
        <f>IFERROR(VLOOKUP(CONCATENATE($B118,"_",G$3),materiali!$C:$K,6,0),"")</f>
        <v>ISOCIANATO POLIETERE SH.70/90 TECNOTHANE MPT 109SG</v>
      </c>
      <c r="H118" s="187" t="s">
        <v>585</v>
      </c>
      <c r="I118" s="84" t="str">
        <f>IFERROR(VLOOKUP(CONCATENATE($B118,"_",I$3),materiali!$C:$K,5,0),"")</f>
        <v>997001503</v>
      </c>
      <c r="J118" s="85" t="str">
        <f>IFERROR(VLOOKUP(CONCATENATE($B118,"_",J$3),materiali!$C:$K,6,0),"")</f>
        <v>POLIOLO POLIETERE SH.70 TECNOTHANE RH 275</v>
      </c>
      <c r="K118" s="187" t="s">
        <v>586</v>
      </c>
      <c r="L118" s="84" t="str">
        <f>IFERROR(VLOOKUP(CONCATENATE($B118,"_",L$3),materiali!$C:$K,5,0),"")</f>
        <v/>
      </c>
      <c r="M118" s="85" t="str">
        <f>IFERROR(VLOOKUP(CONCATENATE($B118,"_",M$3),materiali!$C:$K,6,0),"")</f>
        <v/>
      </c>
      <c r="N118" s="187" t="s">
        <v>575</v>
      </c>
      <c r="O118" s="84" t="str">
        <f>IFERROR(VLOOKUP(CONCATENATE($B118,"_",O$3),materiali!$C:$K,5,0),"")</f>
        <v>040001013</v>
      </c>
      <c r="P118" s="85" t="str">
        <f>IFERROR(VLOOKUP(CONCATENATE($B118,"_",P$3),materiali!$C:$K,6,0),"")</f>
        <v>CATALIZZATORE TECNOKAT E, 10KG</v>
      </c>
      <c r="Q118" s="86">
        <v>10293</v>
      </c>
      <c r="R118" s="84" t="str">
        <f>IFERROR(VLOOKUP(CONCATENATE($B118,"_",R$3),materiali!$C:$K,5,0),"")</f>
        <v>040001014</v>
      </c>
      <c r="S118" s="85" t="str">
        <f>IFERROR(VLOOKUP(CONCATENATE($B118,"_",S$3),materiali!$C:$K,6,0),"")</f>
        <v>ADDITTIVO ANTISTAT.PER POLIOLO POLIEST.CATAFOR PU</v>
      </c>
      <c r="T118" s="86"/>
      <c r="U118" s="31">
        <v>45941</v>
      </c>
      <c r="V118" s="165">
        <v>70</v>
      </c>
      <c r="W118" s="165">
        <v>7</v>
      </c>
      <c r="X118" s="168">
        <v>417</v>
      </c>
      <c r="Y118" s="165">
        <v>24</v>
      </c>
      <c r="Z118" s="165">
        <v>43</v>
      </c>
      <c r="AA118" s="165">
        <v>8</v>
      </c>
      <c r="AB118" s="167">
        <v>500000000</v>
      </c>
      <c r="AD118" s="97"/>
    </row>
    <row r="119" spans="1:30" ht="35.1" customHeight="1" x14ac:dyDescent="0.25">
      <c r="A119" s="83">
        <v>45932</v>
      </c>
      <c r="B119" s="7" t="s">
        <v>24</v>
      </c>
      <c r="C119" s="8" t="s">
        <v>25</v>
      </c>
      <c r="D119" s="8" t="s">
        <v>247</v>
      </c>
      <c r="E119" s="60" t="s">
        <v>587</v>
      </c>
      <c r="F119" s="84" t="str">
        <f>IFERROR(VLOOKUP(CONCATENATE($B119,"_",F$3),materiali!$C:$K,5,0),"")</f>
        <v>997006153</v>
      </c>
      <c r="G119" s="85" t="str">
        <f>IFERROR(VLOOKUP(CONCATENATE($B119,"_",G$3),materiali!$C:$K,6,0),"")</f>
        <v>MPC 109A (FUSTI 50 KG)</v>
      </c>
      <c r="H119" s="187" t="s">
        <v>582</v>
      </c>
      <c r="I119" s="84" t="str">
        <f>IFERROR(VLOOKUP(CONCATENATE($B119,"_",I$3),materiali!$C:$K,5,0),"")</f>
        <v>997006154</v>
      </c>
      <c r="J119" s="85" t="str">
        <f>IFERROR(VLOOKUP(CONCATENATE($B119,"_",J$3),materiali!$C:$K,6,0),"")</f>
        <v>RH 275B (FUSTI 25 KG)</v>
      </c>
      <c r="K119" s="187" t="s">
        <v>583</v>
      </c>
      <c r="L119" s="84" t="str">
        <f>IFERROR(VLOOKUP(CONCATENATE($B119,"_",L$3),materiali!$C:$K,5,0),"")</f>
        <v/>
      </c>
      <c r="M119" s="85" t="str">
        <f>IFERROR(VLOOKUP(CONCATENATE($B119,"_",M$3),materiali!$C:$K,6,0),"")</f>
        <v/>
      </c>
      <c r="N119" s="187" t="s">
        <v>584</v>
      </c>
      <c r="O119" s="84" t="str">
        <f>IFERROR(VLOOKUP(CONCATENATE($B119,"_",O$3),materiali!$C:$K,5,0),"")</f>
        <v>997006168</v>
      </c>
      <c r="P119" s="85" t="str">
        <f>IFERROR(VLOOKUP(CONCATENATE($B119,"_",P$3),materiali!$C:$K,6,0),"")</f>
        <v>CATALIZZATORE TECNOKAT T12-500</v>
      </c>
      <c r="Q119" s="86">
        <v>138866</v>
      </c>
      <c r="R119" s="84" t="str">
        <f>IFERROR(VLOOKUP(CONCATENATE($B119,"_",R$3),materiali!$C:$K,5,0),"")</f>
        <v>997004318</v>
      </c>
      <c r="S119" s="85" t="str">
        <f>IFERROR(VLOOKUP(CONCATENATE($B119,"_",S$3),materiali!$C:$K,6,0),"")</f>
        <v>BIANCO REMAP 10080 FDA 178.3297 (COLORANTE FDA PER SISTEMI)</v>
      </c>
      <c r="T119" s="86"/>
      <c r="U119" s="31"/>
      <c r="V119" s="165">
        <v>72</v>
      </c>
      <c r="W119" s="168">
        <v>8.43</v>
      </c>
      <c r="X119" s="168">
        <v>400.7</v>
      </c>
      <c r="Y119" s="168">
        <v>27.7</v>
      </c>
      <c r="Z119" s="168">
        <v>43.6</v>
      </c>
      <c r="AA119" s="165">
        <v>47</v>
      </c>
      <c r="AB119" s="165" t="s">
        <v>557</v>
      </c>
      <c r="AC119" s="59"/>
      <c r="AD119" s="97"/>
    </row>
    <row r="120" spans="1:30" ht="35.1" customHeight="1" x14ac:dyDescent="0.25">
      <c r="A120" s="83">
        <v>45933</v>
      </c>
      <c r="B120" s="7" t="s">
        <v>24</v>
      </c>
      <c r="C120" s="8" t="s">
        <v>25</v>
      </c>
      <c r="D120" s="8" t="s">
        <v>247</v>
      </c>
      <c r="E120" s="60" t="s">
        <v>588</v>
      </c>
      <c r="F120" s="84" t="str">
        <f>IFERROR(VLOOKUP(CONCATENATE($B120,"_",F$3),materiali!$C:$K,5,0),"")</f>
        <v>997006153</v>
      </c>
      <c r="G120" s="85" t="str">
        <f>IFERROR(VLOOKUP(CONCATENATE($B120,"_",G$3),materiali!$C:$K,6,0),"")</f>
        <v>MPC 109A (FUSTI 50 KG)</v>
      </c>
      <c r="H120" s="187" t="s">
        <v>582</v>
      </c>
      <c r="I120" s="84" t="str">
        <f>IFERROR(VLOOKUP(CONCATENATE($B120,"_",I$3),materiali!$C:$K,5,0),"")</f>
        <v>997006154</v>
      </c>
      <c r="J120" s="85" t="str">
        <f>IFERROR(VLOOKUP(CONCATENATE($B120,"_",J$3),materiali!$C:$K,6,0),"")</f>
        <v>RH 275B (FUSTI 25 KG)</v>
      </c>
      <c r="K120" s="187" t="s">
        <v>583</v>
      </c>
      <c r="L120" s="84" t="str">
        <f>IFERROR(VLOOKUP(CONCATENATE($B120,"_",L$3),materiali!$C:$K,5,0),"")</f>
        <v/>
      </c>
      <c r="M120" s="85" t="str">
        <f>IFERROR(VLOOKUP(CONCATENATE($B120,"_",M$3),materiali!$C:$K,6,0),"")</f>
        <v/>
      </c>
      <c r="N120" s="187" t="s">
        <v>584</v>
      </c>
      <c r="O120" s="84" t="str">
        <f>IFERROR(VLOOKUP(CONCATENATE($B120,"_",O$3),materiali!$C:$K,5,0),"")</f>
        <v>997006168</v>
      </c>
      <c r="P120" s="85" t="str">
        <f>IFERROR(VLOOKUP(CONCATENATE($B120,"_",P$3),materiali!$C:$K,6,0),"")</f>
        <v>CATALIZZATORE TECNOKAT T12-500</v>
      </c>
      <c r="Q120" s="86">
        <v>138866</v>
      </c>
      <c r="R120" s="84" t="str">
        <f>IFERROR(VLOOKUP(CONCATENATE($B120,"_",R$3),materiali!$C:$K,5,0),"")</f>
        <v>997004318</v>
      </c>
      <c r="S120" s="85" t="str">
        <f>IFERROR(VLOOKUP(CONCATENATE($B120,"_",S$3),materiali!$C:$K,6,0),"")</f>
        <v>BIANCO REMAP 10080 FDA 178.3297 (COLORANTE FDA PER SISTEMI)</v>
      </c>
      <c r="T120" s="86"/>
      <c r="U120" s="31"/>
      <c r="V120" s="165">
        <v>72</v>
      </c>
      <c r="W120" s="168">
        <v>7.23</v>
      </c>
      <c r="X120" s="168">
        <v>361.8</v>
      </c>
      <c r="Y120" s="168">
        <v>25.6</v>
      </c>
      <c r="Z120" s="168">
        <v>36.9</v>
      </c>
      <c r="AA120" s="165">
        <v>60</v>
      </c>
      <c r="AB120" s="165" t="s">
        <v>557</v>
      </c>
      <c r="AC120" s="59"/>
      <c r="AD120" s="97"/>
    </row>
    <row r="121" spans="1:30" ht="35.1" customHeight="1" x14ac:dyDescent="0.25">
      <c r="A121" s="83">
        <v>45939</v>
      </c>
      <c r="B121" s="7" t="s">
        <v>24</v>
      </c>
      <c r="C121" s="8" t="s">
        <v>25</v>
      </c>
      <c r="D121" s="8" t="s">
        <v>247</v>
      </c>
      <c r="E121" s="60" t="s">
        <v>589</v>
      </c>
      <c r="F121" s="84" t="str">
        <f>IFERROR(VLOOKUP(CONCATENATE($B121,"_",F$3),materiali!$C:$K,5,0),"")</f>
        <v>997006153</v>
      </c>
      <c r="G121" s="85" t="str">
        <f>IFERROR(VLOOKUP(CONCATENATE($B121,"_",G$3),materiali!$C:$K,6,0),"")</f>
        <v>MPC 109A (FUSTI 50 KG)</v>
      </c>
      <c r="H121" s="187" t="s">
        <v>582</v>
      </c>
      <c r="I121" s="84" t="str">
        <f>IFERROR(VLOOKUP(CONCATENATE($B121,"_",I$3),materiali!$C:$K,5,0),"")</f>
        <v>997006154</v>
      </c>
      <c r="J121" s="85" t="str">
        <f>IFERROR(VLOOKUP(CONCATENATE($B121,"_",J$3),materiali!$C:$K,6,0),"")</f>
        <v>RH 275B (FUSTI 25 KG)</v>
      </c>
      <c r="K121" s="187" t="s">
        <v>583</v>
      </c>
      <c r="L121" s="84" t="str">
        <f>IFERROR(VLOOKUP(CONCATENATE($B121,"_",L$3),materiali!$C:$K,5,0),"")</f>
        <v/>
      </c>
      <c r="M121" s="85" t="str">
        <f>IFERROR(VLOOKUP(CONCATENATE($B121,"_",M$3),materiali!$C:$K,6,0),"")</f>
        <v/>
      </c>
      <c r="N121" s="187" t="s">
        <v>584</v>
      </c>
      <c r="O121" s="84" t="str">
        <f>IFERROR(VLOOKUP(CONCATENATE($B121,"_",O$3),materiali!$C:$K,5,0),"")</f>
        <v>997006168</v>
      </c>
      <c r="P121" s="85" t="str">
        <f>IFERROR(VLOOKUP(CONCATENATE($B121,"_",P$3),materiali!$C:$K,6,0),"")</f>
        <v>CATALIZZATORE TECNOKAT T12-500</v>
      </c>
      <c r="Q121" s="86">
        <v>138866</v>
      </c>
      <c r="R121" s="84" t="str">
        <f>IFERROR(VLOOKUP(CONCATENATE($B121,"_",R$3),materiali!$C:$K,5,0),"")</f>
        <v>997004318</v>
      </c>
      <c r="S121" s="85" t="str">
        <f>IFERROR(VLOOKUP(CONCATENATE($B121,"_",S$3),materiali!$C:$K,6,0),"")</f>
        <v>BIANCO REMAP 10080 FDA 178.3297 (COLORANTE FDA PER SISTEMI)</v>
      </c>
      <c r="T121" s="86"/>
      <c r="U121" s="31"/>
      <c r="V121" s="165">
        <v>68</v>
      </c>
      <c r="W121" s="168">
        <v>7.89</v>
      </c>
      <c r="X121" s="168">
        <v>401.2</v>
      </c>
      <c r="Y121" s="168">
        <v>26</v>
      </c>
      <c r="Z121" s="168">
        <v>36.6</v>
      </c>
      <c r="AA121" s="165">
        <v>55</v>
      </c>
      <c r="AB121" s="165" t="s">
        <v>557</v>
      </c>
      <c r="AC121" s="59"/>
      <c r="AD121" s="97"/>
    </row>
    <row r="122" spans="1:30" ht="35.1" customHeight="1" x14ac:dyDescent="0.25">
      <c r="A122" s="83">
        <v>45940</v>
      </c>
      <c r="B122" s="7" t="s">
        <v>24</v>
      </c>
      <c r="C122" s="8" t="s">
        <v>25</v>
      </c>
      <c r="D122" s="8" t="s">
        <v>247</v>
      </c>
      <c r="E122" s="60" t="s">
        <v>590</v>
      </c>
      <c r="F122" s="84" t="str">
        <f>IFERROR(VLOOKUP(CONCATENATE($B122,"_",F$3),materiali!$C:$K,5,0),"")</f>
        <v>997006153</v>
      </c>
      <c r="G122" s="85" t="str">
        <f>IFERROR(VLOOKUP(CONCATENATE($B122,"_",G$3),materiali!$C:$K,6,0),"")</f>
        <v>MPC 109A (FUSTI 50 KG)</v>
      </c>
      <c r="H122" s="187" t="s">
        <v>582</v>
      </c>
      <c r="I122" s="84" t="str">
        <f>IFERROR(VLOOKUP(CONCATENATE($B122,"_",I$3),materiali!$C:$K,5,0),"")</f>
        <v>997006154</v>
      </c>
      <c r="J122" s="85" t="str">
        <f>IFERROR(VLOOKUP(CONCATENATE($B122,"_",J$3),materiali!$C:$K,6,0),"")</f>
        <v>RH 275B (FUSTI 25 KG)</v>
      </c>
      <c r="K122" s="187" t="s">
        <v>591</v>
      </c>
      <c r="L122" s="84" t="str">
        <f>IFERROR(VLOOKUP(CONCATENATE($B122,"_",L$3),materiali!$C:$K,5,0),"")</f>
        <v/>
      </c>
      <c r="M122" s="85" t="str">
        <f>IFERROR(VLOOKUP(CONCATENATE($B122,"_",M$3),materiali!$C:$K,6,0),"")</f>
        <v/>
      </c>
      <c r="N122" s="187" t="s">
        <v>584</v>
      </c>
      <c r="O122" s="84" t="str">
        <f>IFERROR(VLOOKUP(CONCATENATE($B122,"_",O$3),materiali!$C:$K,5,0),"")</f>
        <v>997006168</v>
      </c>
      <c r="P122" s="85" t="str">
        <f>IFERROR(VLOOKUP(CONCATENATE($B122,"_",P$3),materiali!$C:$K,6,0),"")</f>
        <v>CATALIZZATORE TECNOKAT T12-500</v>
      </c>
      <c r="Q122" s="86">
        <v>138866</v>
      </c>
      <c r="R122" s="84" t="str">
        <f>IFERROR(VLOOKUP(CONCATENATE($B122,"_",R$3),materiali!$C:$K,5,0),"")</f>
        <v>997004318</v>
      </c>
      <c r="S122" s="85" t="str">
        <f>IFERROR(VLOOKUP(CONCATENATE($B122,"_",S$3),materiali!$C:$K,6,0),"")</f>
        <v>BIANCO REMAP 10080 FDA 178.3297 (COLORANTE FDA PER SISTEMI)</v>
      </c>
      <c r="T122" s="86"/>
      <c r="U122" s="31"/>
      <c r="V122" s="165">
        <v>72</v>
      </c>
      <c r="W122" s="168">
        <v>7.78</v>
      </c>
      <c r="X122" s="168">
        <v>395</v>
      </c>
      <c r="Y122" s="168">
        <v>26.5</v>
      </c>
      <c r="Z122" s="168">
        <v>45.6</v>
      </c>
      <c r="AA122" s="165">
        <v>52</v>
      </c>
      <c r="AB122" s="165" t="s">
        <v>557</v>
      </c>
      <c r="AC122" s="59"/>
      <c r="AD122" s="97"/>
    </row>
    <row r="123" spans="1:30" ht="35.1" customHeight="1" x14ac:dyDescent="0.25">
      <c r="A123" s="83">
        <v>45943</v>
      </c>
      <c r="B123" s="7" t="s">
        <v>24</v>
      </c>
      <c r="C123" s="8" t="s">
        <v>25</v>
      </c>
      <c r="D123" s="8" t="s">
        <v>247</v>
      </c>
      <c r="E123" s="60" t="s">
        <v>592</v>
      </c>
      <c r="F123" s="84" t="str">
        <f>IFERROR(VLOOKUP(CONCATENATE($B123,"_",F$3),materiali!$C:$K,5,0),"")</f>
        <v>997006153</v>
      </c>
      <c r="G123" s="85" t="str">
        <f>IFERROR(VLOOKUP(CONCATENATE($B123,"_",G$3),materiali!$C:$K,6,0),"")</f>
        <v>MPC 109A (FUSTI 50 KG)</v>
      </c>
      <c r="H123" s="187" t="s">
        <v>582</v>
      </c>
      <c r="I123" s="84" t="str">
        <f>IFERROR(VLOOKUP(CONCATENATE($B123,"_",I$3),materiali!$C:$K,5,0),"")</f>
        <v>997006154</v>
      </c>
      <c r="J123" s="85" t="str">
        <f>IFERROR(VLOOKUP(CONCATENATE($B123,"_",J$3),materiali!$C:$K,6,0),"")</f>
        <v>RH 275B (FUSTI 25 KG)</v>
      </c>
      <c r="K123" s="187" t="s">
        <v>591</v>
      </c>
      <c r="L123" s="84" t="str">
        <f>IFERROR(VLOOKUP(CONCATENATE($B123,"_",L$3),materiali!$C:$K,5,0),"")</f>
        <v/>
      </c>
      <c r="M123" s="85" t="str">
        <f>IFERROR(VLOOKUP(CONCATENATE($B123,"_",M$3),materiali!$C:$K,6,0),"")</f>
        <v/>
      </c>
      <c r="N123" s="187" t="s">
        <v>584</v>
      </c>
      <c r="O123" s="84" t="str">
        <f>IFERROR(VLOOKUP(CONCATENATE($B123,"_",O$3),materiali!$C:$K,5,0),"")</f>
        <v>997006168</v>
      </c>
      <c r="P123" s="85" t="str">
        <f>IFERROR(VLOOKUP(CONCATENATE($B123,"_",P$3),materiali!$C:$K,6,0),"")</f>
        <v>CATALIZZATORE TECNOKAT T12-500</v>
      </c>
      <c r="Q123" s="86">
        <v>138866</v>
      </c>
      <c r="R123" s="84" t="str">
        <f>IFERROR(VLOOKUP(CONCATENATE($B123,"_",R$3),materiali!$C:$K,5,0),"")</f>
        <v>997004318</v>
      </c>
      <c r="S123" s="85" t="str">
        <f>IFERROR(VLOOKUP(CONCATENATE($B123,"_",S$3),materiali!$C:$K,6,0),"")</f>
        <v>BIANCO REMAP 10080 FDA 178.3297 (COLORANTE FDA PER SISTEMI)</v>
      </c>
      <c r="T123" s="86"/>
      <c r="U123" s="31"/>
      <c r="V123" s="165">
        <v>72</v>
      </c>
      <c r="W123" s="168">
        <v>10.1</v>
      </c>
      <c r="X123" s="168">
        <v>446.7</v>
      </c>
      <c r="Y123" s="168">
        <v>31.6</v>
      </c>
      <c r="Z123" s="168">
        <v>49.8</v>
      </c>
      <c r="AA123" s="165">
        <v>59</v>
      </c>
      <c r="AB123" s="165" t="s">
        <v>557</v>
      </c>
      <c r="AC123" s="59"/>
      <c r="AD123" s="97"/>
    </row>
    <row r="124" spans="1:30" ht="35.1" customHeight="1" x14ac:dyDescent="0.25">
      <c r="A124" s="83">
        <v>45944</v>
      </c>
      <c r="B124" s="7" t="s">
        <v>24</v>
      </c>
      <c r="C124" s="8" t="s">
        <v>25</v>
      </c>
      <c r="D124" s="8" t="s">
        <v>247</v>
      </c>
      <c r="E124" s="60" t="s">
        <v>593</v>
      </c>
      <c r="F124" s="84" t="str">
        <f>IFERROR(VLOOKUP(CONCATENATE($B124,"_",F$3),materiali!$C:$K,5,0),"")</f>
        <v>997006153</v>
      </c>
      <c r="G124" s="85" t="str">
        <f>IFERROR(VLOOKUP(CONCATENATE($B124,"_",G$3),materiali!$C:$K,6,0),"")</f>
        <v>MPC 109A (FUSTI 50 KG)</v>
      </c>
      <c r="H124" s="187" t="s">
        <v>582</v>
      </c>
      <c r="I124" s="84" t="str">
        <f>IFERROR(VLOOKUP(CONCATENATE($B124,"_",I$3),materiali!$C:$K,5,0),"")</f>
        <v>997006154</v>
      </c>
      <c r="J124" s="85" t="str">
        <f>IFERROR(VLOOKUP(CONCATENATE($B124,"_",J$3),materiali!$C:$K,6,0),"")</f>
        <v>RH 275B (FUSTI 25 KG)</v>
      </c>
      <c r="K124" s="187" t="s">
        <v>591</v>
      </c>
      <c r="L124" s="84" t="str">
        <f>IFERROR(VLOOKUP(CONCATENATE($B124,"_",L$3),materiali!$C:$K,5,0),"")</f>
        <v/>
      </c>
      <c r="M124" s="85" t="str">
        <f>IFERROR(VLOOKUP(CONCATENATE($B124,"_",M$3),materiali!$C:$K,6,0),"")</f>
        <v/>
      </c>
      <c r="N124" s="187" t="s">
        <v>584</v>
      </c>
      <c r="O124" s="84" t="str">
        <f>IFERROR(VLOOKUP(CONCATENATE($B124,"_",O$3),materiali!$C:$K,5,0),"")</f>
        <v>997006168</v>
      </c>
      <c r="P124" s="85" t="str">
        <f>IFERROR(VLOOKUP(CONCATENATE($B124,"_",P$3),materiali!$C:$K,6,0),"")</f>
        <v>CATALIZZATORE TECNOKAT T12-500</v>
      </c>
      <c r="Q124" s="86">
        <v>138866</v>
      </c>
      <c r="R124" s="84" t="str">
        <f>IFERROR(VLOOKUP(CONCATENATE($B124,"_",R$3),materiali!$C:$K,5,0),"")</f>
        <v>997004318</v>
      </c>
      <c r="S124" s="85" t="str">
        <f>IFERROR(VLOOKUP(CONCATENATE($B124,"_",S$3),materiali!$C:$K,6,0),"")</f>
        <v>BIANCO REMAP 10080 FDA 178.3297 (COLORANTE FDA PER SISTEMI)</v>
      </c>
      <c r="T124" s="86"/>
      <c r="U124" s="31"/>
      <c r="V124" s="165">
        <v>71</v>
      </c>
      <c r="W124" s="168">
        <v>7.27</v>
      </c>
      <c r="X124" s="168">
        <v>375.2</v>
      </c>
      <c r="Y124" s="168">
        <v>26.5</v>
      </c>
      <c r="Z124" s="168">
        <v>36.9</v>
      </c>
      <c r="AA124" s="165">
        <v>62</v>
      </c>
      <c r="AB124" s="165" t="s">
        <v>557</v>
      </c>
      <c r="AC124" s="59"/>
      <c r="AD124" s="97"/>
    </row>
    <row r="125" spans="1:30" ht="35.1" customHeight="1" x14ac:dyDescent="0.25">
      <c r="A125" s="83">
        <v>45945</v>
      </c>
      <c r="B125" s="7" t="s">
        <v>24</v>
      </c>
      <c r="C125" s="8" t="s">
        <v>25</v>
      </c>
      <c r="D125" s="8" t="s">
        <v>247</v>
      </c>
      <c r="E125" s="60" t="s">
        <v>594</v>
      </c>
      <c r="F125" s="84" t="str">
        <f>IFERROR(VLOOKUP(CONCATENATE($B125,"_",F$3),materiali!$C:$K,5,0),"")</f>
        <v>997006153</v>
      </c>
      <c r="G125" s="85" t="str">
        <f>IFERROR(VLOOKUP(CONCATENATE($B125,"_",G$3),materiali!$C:$K,6,0),"")</f>
        <v>MPC 109A (FUSTI 50 KG)</v>
      </c>
      <c r="H125" s="187" t="s">
        <v>582</v>
      </c>
      <c r="I125" s="84" t="str">
        <f>IFERROR(VLOOKUP(CONCATENATE($B125,"_",I$3),materiali!$C:$K,5,0),"")</f>
        <v>997006154</v>
      </c>
      <c r="J125" s="85" t="str">
        <f>IFERROR(VLOOKUP(CONCATENATE($B125,"_",J$3),materiali!$C:$K,6,0),"")</f>
        <v>RH 275B (FUSTI 25 KG)</v>
      </c>
      <c r="K125" s="187" t="s">
        <v>591</v>
      </c>
      <c r="L125" s="84" t="str">
        <f>IFERROR(VLOOKUP(CONCATENATE($B125,"_",L$3),materiali!$C:$K,5,0),"")</f>
        <v/>
      </c>
      <c r="M125" s="85" t="str">
        <f>IFERROR(VLOOKUP(CONCATENATE($B125,"_",M$3),materiali!$C:$K,6,0),"")</f>
        <v/>
      </c>
      <c r="N125" s="187" t="s">
        <v>584</v>
      </c>
      <c r="O125" s="84" t="str">
        <f>IFERROR(VLOOKUP(CONCATENATE($B125,"_",O$3),materiali!$C:$K,5,0),"")</f>
        <v>997006168</v>
      </c>
      <c r="P125" s="85" t="str">
        <f>IFERROR(VLOOKUP(CONCATENATE($B125,"_",P$3),materiali!$C:$K,6,0),"")</f>
        <v>CATALIZZATORE TECNOKAT T12-500</v>
      </c>
      <c r="Q125" s="86">
        <v>138866</v>
      </c>
      <c r="R125" s="84" t="str">
        <f>IFERROR(VLOOKUP(CONCATENATE($B125,"_",R$3),materiali!$C:$K,5,0),"")</f>
        <v>997004318</v>
      </c>
      <c r="S125" s="85" t="str">
        <f>IFERROR(VLOOKUP(CONCATENATE($B125,"_",S$3),materiali!$C:$K,6,0),"")</f>
        <v>BIANCO REMAP 10080 FDA 178.3297 (COLORANTE FDA PER SISTEMI)</v>
      </c>
      <c r="T125" s="86"/>
      <c r="U125" s="31"/>
      <c r="V125" s="165">
        <v>68</v>
      </c>
      <c r="W125" s="168">
        <v>7.95</v>
      </c>
      <c r="X125" s="168">
        <v>427</v>
      </c>
      <c r="Y125" s="168">
        <v>26.4</v>
      </c>
      <c r="Z125" s="168">
        <v>40.299999999999997</v>
      </c>
      <c r="AA125" s="165">
        <v>45</v>
      </c>
      <c r="AB125" s="165" t="s">
        <v>557</v>
      </c>
      <c r="AC125" s="59"/>
      <c r="AD125" s="97"/>
    </row>
    <row r="126" spans="1:30" ht="35.1" customHeight="1" x14ac:dyDescent="0.25">
      <c r="A126" s="83">
        <v>45946</v>
      </c>
      <c r="B126" s="7" t="s">
        <v>24</v>
      </c>
      <c r="C126" s="8" t="s">
        <v>25</v>
      </c>
      <c r="D126" s="8" t="s">
        <v>247</v>
      </c>
      <c r="E126" s="60" t="s">
        <v>595</v>
      </c>
      <c r="F126" s="84" t="str">
        <f>IFERROR(VLOOKUP(CONCATENATE($B126,"_",F$3),materiali!$C:$K,5,0),"")</f>
        <v>997006153</v>
      </c>
      <c r="G126" s="85" t="str">
        <f>IFERROR(VLOOKUP(CONCATENATE($B126,"_",G$3),materiali!$C:$K,6,0),"")</f>
        <v>MPC 109A (FUSTI 50 KG)</v>
      </c>
      <c r="H126" s="187" t="s">
        <v>582</v>
      </c>
      <c r="I126" s="84" t="str">
        <f>IFERROR(VLOOKUP(CONCATENATE($B126,"_",I$3),materiali!$C:$K,5,0),"")</f>
        <v>997006154</v>
      </c>
      <c r="J126" s="85" t="str">
        <f>IFERROR(VLOOKUP(CONCATENATE($B126,"_",J$3),materiali!$C:$K,6,0),"")</f>
        <v>RH 275B (FUSTI 25 KG)</v>
      </c>
      <c r="K126" s="187" t="s">
        <v>591</v>
      </c>
      <c r="L126" s="84" t="str">
        <f>IFERROR(VLOOKUP(CONCATENATE($B126,"_",L$3),materiali!$C:$K,5,0),"")</f>
        <v/>
      </c>
      <c r="M126" s="85" t="str">
        <f>IFERROR(VLOOKUP(CONCATENATE($B126,"_",M$3),materiali!$C:$K,6,0),"")</f>
        <v/>
      </c>
      <c r="N126" s="187" t="s">
        <v>584</v>
      </c>
      <c r="O126" s="84" t="str">
        <f>IFERROR(VLOOKUP(CONCATENATE($B126,"_",O$3),materiali!$C:$K,5,0),"")</f>
        <v>997006168</v>
      </c>
      <c r="P126" s="85" t="str">
        <f>IFERROR(VLOOKUP(CONCATENATE($B126,"_",P$3),materiali!$C:$K,6,0),"")</f>
        <v>CATALIZZATORE TECNOKAT T12-500</v>
      </c>
      <c r="Q126" s="86">
        <v>138866</v>
      </c>
      <c r="R126" s="84" t="str">
        <f>IFERROR(VLOOKUP(CONCATENATE($B126,"_",R$3),materiali!$C:$K,5,0),"")</f>
        <v>997004318</v>
      </c>
      <c r="S126" s="85" t="str">
        <f>IFERROR(VLOOKUP(CONCATENATE($B126,"_",S$3),materiali!$C:$K,6,0),"")</f>
        <v>BIANCO REMAP 10080 FDA 178.3297 (COLORANTE FDA PER SISTEMI)</v>
      </c>
      <c r="T126" s="86"/>
      <c r="U126" s="31"/>
      <c r="V126" s="165">
        <v>73</v>
      </c>
      <c r="W126" s="168">
        <v>7.65</v>
      </c>
      <c r="X126" s="168">
        <v>364.2</v>
      </c>
      <c r="Y126" s="168">
        <v>28.5</v>
      </c>
      <c r="Z126" s="168">
        <v>45.5</v>
      </c>
      <c r="AA126" s="165">
        <v>55</v>
      </c>
      <c r="AB126" s="165" t="s">
        <v>557</v>
      </c>
      <c r="AC126" s="59"/>
      <c r="AD126" s="97"/>
    </row>
    <row r="127" spans="1:30" ht="35.1" customHeight="1" x14ac:dyDescent="0.25">
      <c r="A127" s="83">
        <v>45947</v>
      </c>
      <c r="B127" s="7" t="s">
        <v>24</v>
      </c>
      <c r="C127" s="8" t="s">
        <v>25</v>
      </c>
      <c r="D127" s="8" t="s">
        <v>247</v>
      </c>
      <c r="E127" s="60" t="s">
        <v>596</v>
      </c>
      <c r="F127" s="84" t="str">
        <f>IFERROR(VLOOKUP(CONCATENATE($B127,"_",F$3),materiali!$C:$K,5,0),"")</f>
        <v>997006153</v>
      </c>
      <c r="G127" s="85" t="str">
        <f>IFERROR(VLOOKUP(CONCATENATE($B127,"_",G$3),materiali!$C:$K,6,0),"")</f>
        <v>MPC 109A (FUSTI 50 KG)</v>
      </c>
      <c r="H127" s="187" t="s">
        <v>582</v>
      </c>
      <c r="I127" s="84" t="str">
        <f>IFERROR(VLOOKUP(CONCATENATE($B127,"_",I$3),materiali!$C:$K,5,0),"")</f>
        <v>997006154</v>
      </c>
      <c r="J127" s="85" t="str">
        <f>IFERROR(VLOOKUP(CONCATENATE($B127,"_",J$3),materiali!$C:$K,6,0),"")</f>
        <v>RH 275B (FUSTI 25 KG)</v>
      </c>
      <c r="K127" s="187" t="s">
        <v>591</v>
      </c>
      <c r="L127" s="84" t="str">
        <f>IFERROR(VLOOKUP(CONCATENATE($B127,"_",L$3),materiali!$C:$K,5,0),"")</f>
        <v/>
      </c>
      <c r="M127" s="85" t="str">
        <f>IFERROR(VLOOKUP(CONCATENATE($B127,"_",M$3),materiali!$C:$K,6,0),"")</f>
        <v/>
      </c>
      <c r="N127" s="187" t="s">
        <v>584</v>
      </c>
      <c r="O127" s="84" t="str">
        <f>IFERROR(VLOOKUP(CONCATENATE($B127,"_",O$3),materiali!$C:$K,5,0),"")</f>
        <v>997006168</v>
      </c>
      <c r="P127" s="85" t="str">
        <f>IFERROR(VLOOKUP(CONCATENATE($B127,"_",P$3),materiali!$C:$K,6,0),"")</f>
        <v>CATALIZZATORE TECNOKAT T12-500</v>
      </c>
      <c r="Q127" s="86">
        <v>138866</v>
      </c>
      <c r="R127" s="84" t="str">
        <f>IFERROR(VLOOKUP(CONCATENATE($B127,"_",R$3),materiali!$C:$K,5,0),"")</f>
        <v>997004318</v>
      </c>
      <c r="S127" s="85" t="str">
        <f>IFERROR(VLOOKUP(CONCATENATE($B127,"_",S$3),materiali!$C:$K,6,0),"")</f>
        <v>BIANCO REMAP 10080 FDA 178.3297 (COLORANTE FDA PER SISTEMI)</v>
      </c>
      <c r="T127" s="86"/>
      <c r="U127" s="31"/>
      <c r="V127" s="165">
        <v>75</v>
      </c>
      <c r="W127" s="168">
        <v>8.89</v>
      </c>
      <c r="X127" s="168">
        <v>399.6</v>
      </c>
      <c r="Y127" s="168">
        <v>32</v>
      </c>
      <c r="Z127" s="168">
        <v>48</v>
      </c>
      <c r="AA127" s="165">
        <v>59</v>
      </c>
      <c r="AB127" s="165" t="s">
        <v>557</v>
      </c>
      <c r="AC127" s="59"/>
      <c r="AD127" s="97"/>
    </row>
    <row r="128" spans="1:30" ht="35.1" customHeight="1" x14ac:dyDescent="0.25">
      <c r="A128" s="83">
        <v>45950</v>
      </c>
      <c r="B128" s="7" t="s">
        <v>24</v>
      </c>
      <c r="C128" s="8" t="s">
        <v>25</v>
      </c>
      <c r="D128" s="8" t="s">
        <v>247</v>
      </c>
      <c r="E128" s="60" t="s">
        <v>597</v>
      </c>
      <c r="F128" s="84" t="str">
        <f>IFERROR(VLOOKUP(CONCATENATE($B128,"_",F$3),materiali!$C:$K,5,0),"")</f>
        <v>997006153</v>
      </c>
      <c r="G128" s="85" t="str">
        <f>IFERROR(VLOOKUP(CONCATENATE($B128,"_",G$3),materiali!$C:$K,6,0),"")</f>
        <v>MPC 109A (FUSTI 50 KG)</v>
      </c>
      <c r="H128" s="187" t="s">
        <v>598</v>
      </c>
      <c r="I128" s="84" t="str">
        <f>IFERROR(VLOOKUP(CONCATENATE($B128,"_",I$3),materiali!$C:$K,5,0),"")</f>
        <v>997006154</v>
      </c>
      <c r="J128" s="85" t="str">
        <f>IFERROR(VLOOKUP(CONCATENATE($B128,"_",J$3),materiali!$C:$K,6,0),"")</f>
        <v>RH 275B (FUSTI 25 KG)</v>
      </c>
      <c r="K128" s="187" t="s">
        <v>599</v>
      </c>
      <c r="L128" s="84" t="str">
        <f>IFERROR(VLOOKUP(CONCATENATE($B128,"_",L$3),materiali!$C:$K,5,0),"")</f>
        <v/>
      </c>
      <c r="M128" s="85" t="str">
        <f>IFERROR(VLOOKUP(CONCATENATE($B128,"_",M$3),materiali!$C:$K,6,0),"")</f>
        <v/>
      </c>
      <c r="N128" s="187" t="s">
        <v>584</v>
      </c>
      <c r="O128" s="84" t="str">
        <f>IFERROR(VLOOKUP(CONCATENATE($B128,"_",O$3),materiali!$C:$K,5,0),"")</f>
        <v>997006168</v>
      </c>
      <c r="P128" s="85" t="str">
        <f>IFERROR(VLOOKUP(CONCATENATE($B128,"_",P$3),materiali!$C:$K,6,0),"")</f>
        <v>CATALIZZATORE TECNOKAT T12-500</v>
      </c>
      <c r="Q128" s="86">
        <v>138866</v>
      </c>
      <c r="R128" s="84" t="str">
        <f>IFERROR(VLOOKUP(CONCATENATE($B128,"_",R$3),materiali!$C:$K,5,0),"")</f>
        <v>997004318</v>
      </c>
      <c r="S128" s="85" t="str">
        <f>IFERROR(VLOOKUP(CONCATENATE($B128,"_",S$3),materiali!$C:$K,6,0),"")</f>
        <v>BIANCO REMAP 10080 FDA 178.3297 (COLORANTE FDA PER SISTEMI)</v>
      </c>
      <c r="T128" s="86"/>
      <c r="U128" s="31"/>
      <c r="V128" s="59">
        <v>72</v>
      </c>
      <c r="W128" s="177">
        <v>7.8</v>
      </c>
      <c r="X128" s="204">
        <v>397.9</v>
      </c>
      <c r="Y128" s="183">
        <v>26.4</v>
      </c>
      <c r="Z128" s="183">
        <v>42.4</v>
      </c>
      <c r="AA128" s="59">
        <v>57</v>
      </c>
      <c r="AB128" s="59" t="s">
        <v>557</v>
      </c>
      <c r="AC128" s="59"/>
      <c r="AD128" s="97"/>
    </row>
    <row r="129" spans="1:30" ht="35.1" customHeight="1" x14ac:dyDescent="0.25">
      <c r="A129" s="83">
        <v>45951</v>
      </c>
      <c r="B129" s="7" t="s">
        <v>24</v>
      </c>
      <c r="C129" s="8" t="s">
        <v>25</v>
      </c>
      <c r="D129" s="8" t="s">
        <v>247</v>
      </c>
      <c r="E129" s="60" t="s">
        <v>600</v>
      </c>
      <c r="F129" s="84" t="str">
        <f>IFERROR(VLOOKUP(CONCATENATE($B129,"_",F$3),materiali!$C:$K,5,0),"")</f>
        <v>997006153</v>
      </c>
      <c r="G129" s="85" t="str">
        <f>IFERROR(VLOOKUP(CONCATENATE($B129,"_",G$3),materiali!$C:$K,6,0),"")</f>
        <v>MPC 109A (FUSTI 50 KG)</v>
      </c>
      <c r="H129" s="187" t="s">
        <v>598</v>
      </c>
      <c r="I129" s="84" t="str">
        <f>IFERROR(VLOOKUP(CONCATENATE($B129,"_",I$3),materiali!$C:$K,5,0),"")</f>
        <v>997006154</v>
      </c>
      <c r="J129" s="85" t="str">
        <f>IFERROR(VLOOKUP(CONCATENATE($B129,"_",J$3),materiali!$C:$K,6,0),"")</f>
        <v>RH 275B (FUSTI 25 KG)</v>
      </c>
      <c r="K129" s="187" t="s">
        <v>599</v>
      </c>
      <c r="L129" s="84" t="str">
        <f>IFERROR(VLOOKUP(CONCATENATE($B129,"_",L$3),materiali!$C:$K,5,0),"")</f>
        <v/>
      </c>
      <c r="M129" s="85" t="str">
        <f>IFERROR(VLOOKUP(CONCATENATE($B129,"_",M$3),materiali!$C:$K,6,0),"")</f>
        <v/>
      </c>
      <c r="N129" s="187" t="s">
        <v>584</v>
      </c>
      <c r="O129" s="84" t="str">
        <f>IFERROR(VLOOKUP(CONCATENATE($B129,"_",O$3),materiali!$C:$K,5,0),"")</f>
        <v>997006168</v>
      </c>
      <c r="P129" s="85" t="str">
        <f>IFERROR(VLOOKUP(CONCATENATE($B129,"_",P$3),materiali!$C:$K,6,0),"")</f>
        <v>CATALIZZATORE TECNOKAT T12-500</v>
      </c>
      <c r="Q129" s="86">
        <v>138866</v>
      </c>
      <c r="R129" s="84" t="str">
        <f>IFERROR(VLOOKUP(CONCATENATE($B129,"_",R$3),materiali!$C:$K,5,0),"")</f>
        <v>997004318</v>
      </c>
      <c r="S129" s="85" t="str">
        <f>IFERROR(VLOOKUP(CONCATENATE($B129,"_",S$3),materiali!$C:$K,6,0),"")</f>
        <v>BIANCO REMAP 10080 FDA 178.3297 (COLORANTE FDA PER SISTEMI)</v>
      </c>
      <c r="T129" s="86"/>
      <c r="U129" s="31"/>
      <c r="V129" s="172">
        <v>72</v>
      </c>
      <c r="W129" s="173">
        <v>8.0500000000000007</v>
      </c>
      <c r="X129" s="173">
        <v>395.1</v>
      </c>
      <c r="Y129" s="173">
        <v>29.4</v>
      </c>
      <c r="Z129" s="173">
        <v>43.1</v>
      </c>
      <c r="AA129" s="172">
        <v>49</v>
      </c>
      <c r="AB129" s="59" t="s">
        <v>557</v>
      </c>
      <c r="AC129" s="59"/>
      <c r="AD129" s="97"/>
    </row>
    <row r="130" spans="1:30" ht="35.1" customHeight="1" x14ac:dyDescent="0.25">
      <c r="A130" s="83">
        <v>45952</v>
      </c>
      <c r="B130" s="7" t="s">
        <v>24</v>
      </c>
      <c r="C130" s="8" t="s">
        <v>25</v>
      </c>
      <c r="D130" s="8" t="s">
        <v>247</v>
      </c>
      <c r="E130" s="60" t="s">
        <v>601</v>
      </c>
      <c r="F130" s="84" t="str">
        <f>IFERROR(VLOOKUP(CONCATENATE($B130,"_",F$3),materiali!$C:$K,5,0),"")</f>
        <v>997006153</v>
      </c>
      <c r="G130" s="85" t="str">
        <f>IFERROR(VLOOKUP(CONCATENATE($B130,"_",G$3),materiali!$C:$K,6,0),"")</f>
        <v>MPC 109A (FUSTI 50 KG)</v>
      </c>
      <c r="H130" s="187" t="s">
        <v>598</v>
      </c>
      <c r="I130" s="84" t="str">
        <f>IFERROR(VLOOKUP(CONCATENATE($B130,"_",I$3),materiali!$C:$K,5,0),"")</f>
        <v>997006154</v>
      </c>
      <c r="J130" s="85" t="str">
        <f>IFERROR(VLOOKUP(CONCATENATE($B130,"_",J$3),materiali!$C:$K,6,0),"")</f>
        <v>RH 275B (FUSTI 25 KG)</v>
      </c>
      <c r="K130" s="187" t="s">
        <v>599</v>
      </c>
      <c r="L130" s="84" t="str">
        <f>IFERROR(VLOOKUP(CONCATENATE($B130,"_",L$3),materiali!$C:$K,5,0),"")</f>
        <v/>
      </c>
      <c r="M130" s="85" t="str">
        <f>IFERROR(VLOOKUP(CONCATENATE($B130,"_",M$3),materiali!$C:$K,6,0),"")</f>
        <v/>
      </c>
      <c r="N130" s="187" t="s">
        <v>584</v>
      </c>
      <c r="O130" s="84" t="str">
        <f>IFERROR(VLOOKUP(CONCATENATE($B130,"_",O$3),materiali!$C:$K,5,0),"")</f>
        <v>997006168</v>
      </c>
      <c r="P130" s="85" t="str">
        <f>IFERROR(VLOOKUP(CONCATENATE($B130,"_",P$3),materiali!$C:$K,6,0),"")</f>
        <v>CATALIZZATORE TECNOKAT T12-500</v>
      </c>
      <c r="Q130" s="86">
        <v>138866</v>
      </c>
      <c r="R130" s="84" t="str">
        <f>IFERROR(VLOOKUP(CONCATENATE($B130,"_",R$3),materiali!$C:$K,5,0),"")</f>
        <v>997004318</v>
      </c>
      <c r="S130" s="85" t="str">
        <f>IFERROR(VLOOKUP(CONCATENATE($B130,"_",S$3),materiali!$C:$K,6,0),"")</f>
        <v>BIANCO REMAP 10080 FDA 178.3297 (COLORANTE FDA PER SISTEMI)</v>
      </c>
      <c r="T130" s="86"/>
      <c r="U130" s="31"/>
      <c r="V130" s="172">
        <v>68</v>
      </c>
      <c r="W130" s="173">
        <v>6.9</v>
      </c>
      <c r="X130" s="173">
        <v>375.5</v>
      </c>
      <c r="Y130" s="173">
        <v>28</v>
      </c>
      <c r="Z130" s="173">
        <v>38.6</v>
      </c>
      <c r="AA130" s="172">
        <v>47</v>
      </c>
      <c r="AB130" s="59" t="s">
        <v>557</v>
      </c>
      <c r="AC130" s="59"/>
      <c r="AD130" s="97"/>
    </row>
    <row r="131" spans="1:30" ht="35.1" customHeight="1" x14ac:dyDescent="0.25">
      <c r="A131" s="83">
        <v>45953</v>
      </c>
      <c r="B131" s="7" t="s">
        <v>24</v>
      </c>
      <c r="C131" s="8" t="s">
        <v>25</v>
      </c>
      <c r="D131" s="8" t="s">
        <v>247</v>
      </c>
      <c r="E131" s="60" t="s">
        <v>602</v>
      </c>
      <c r="F131" s="84" t="str">
        <f>IFERROR(VLOOKUP(CONCATENATE($B131,"_",F$3),materiali!$C:$K,5,0),"")</f>
        <v>997006153</v>
      </c>
      <c r="G131" s="85" t="str">
        <f>IFERROR(VLOOKUP(CONCATENATE($B131,"_",G$3),materiali!$C:$K,6,0),"")</f>
        <v>MPC 109A (FUSTI 50 KG)</v>
      </c>
      <c r="H131" s="187" t="s">
        <v>598</v>
      </c>
      <c r="I131" s="84" t="str">
        <f>IFERROR(VLOOKUP(CONCATENATE($B131,"_",I$3),materiali!$C:$K,5,0),"")</f>
        <v>997006154</v>
      </c>
      <c r="J131" s="85" t="str">
        <f>IFERROR(VLOOKUP(CONCATENATE($B131,"_",J$3),materiali!$C:$K,6,0),"")</f>
        <v>RH 275B (FUSTI 25 KG)</v>
      </c>
      <c r="K131" s="187" t="s">
        <v>599</v>
      </c>
      <c r="L131" s="84" t="str">
        <f>IFERROR(VLOOKUP(CONCATENATE($B131,"_",L$3),materiali!$C:$K,5,0),"")</f>
        <v/>
      </c>
      <c r="M131" s="85" t="str">
        <f>IFERROR(VLOOKUP(CONCATENATE($B131,"_",M$3),materiali!$C:$K,6,0),"")</f>
        <v/>
      </c>
      <c r="N131" s="187" t="s">
        <v>584</v>
      </c>
      <c r="O131" s="84" t="str">
        <f>IFERROR(VLOOKUP(CONCATENATE($B131,"_",O$3),materiali!$C:$K,5,0),"")</f>
        <v>997006168</v>
      </c>
      <c r="P131" s="85" t="str">
        <f>IFERROR(VLOOKUP(CONCATENATE($B131,"_",P$3),materiali!$C:$K,6,0),"")</f>
        <v>CATALIZZATORE TECNOKAT T12-500</v>
      </c>
      <c r="Q131" s="86">
        <v>138866</v>
      </c>
      <c r="R131" s="84" t="str">
        <f>IFERROR(VLOOKUP(CONCATENATE($B131,"_",R$3),materiali!$C:$K,5,0),"")</f>
        <v>997004318</v>
      </c>
      <c r="S131" s="85" t="str">
        <f>IFERROR(VLOOKUP(CONCATENATE($B131,"_",S$3),materiali!$C:$K,6,0),"")</f>
        <v>BIANCO REMAP 10080 FDA 178.3297 (COLORANTE FDA PER SISTEMI)</v>
      </c>
      <c r="T131" s="86"/>
      <c r="U131" s="31"/>
      <c r="V131" s="172">
        <v>68</v>
      </c>
      <c r="W131" s="173">
        <v>8.39</v>
      </c>
      <c r="X131" s="173">
        <v>460.2</v>
      </c>
      <c r="Y131" s="173">
        <v>26.5</v>
      </c>
      <c r="Z131" s="173">
        <v>38</v>
      </c>
      <c r="AA131" s="172">
        <v>59</v>
      </c>
      <c r="AB131" s="59" t="s">
        <v>557</v>
      </c>
      <c r="AC131" s="59"/>
      <c r="AD131" s="97"/>
    </row>
    <row r="132" spans="1:30" ht="35.1" customHeight="1" x14ac:dyDescent="0.25">
      <c r="A132" s="83">
        <v>45958</v>
      </c>
      <c r="B132" s="7" t="s">
        <v>24</v>
      </c>
      <c r="C132" s="8" t="s">
        <v>25</v>
      </c>
      <c r="D132" s="8" t="s">
        <v>247</v>
      </c>
      <c r="E132" s="60" t="s">
        <v>603</v>
      </c>
      <c r="F132" s="84" t="str">
        <f>IFERROR(VLOOKUP(CONCATENATE($B132,"_",F$3),materiali!$C:$K,5,0),"")</f>
        <v>997006153</v>
      </c>
      <c r="G132" s="85" t="str">
        <f>IFERROR(VLOOKUP(CONCATENATE($B132,"_",G$3),materiali!$C:$K,6,0),"")</f>
        <v>MPC 109A (FUSTI 50 KG)</v>
      </c>
      <c r="H132" s="187" t="s">
        <v>598</v>
      </c>
      <c r="I132" s="84" t="str">
        <f>IFERROR(VLOOKUP(CONCATENATE($B132,"_",I$3),materiali!$C:$K,5,0),"")</f>
        <v>997006154</v>
      </c>
      <c r="J132" s="85" t="str">
        <f>IFERROR(VLOOKUP(CONCATENATE($B132,"_",J$3),materiali!$C:$K,6,0),"")</f>
        <v>RH 275B (FUSTI 25 KG)</v>
      </c>
      <c r="K132" s="187" t="s">
        <v>599</v>
      </c>
      <c r="L132" s="84" t="str">
        <f>IFERROR(VLOOKUP(CONCATENATE($B132,"_",L$3),materiali!$C:$K,5,0),"")</f>
        <v/>
      </c>
      <c r="M132" s="85" t="str">
        <f>IFERROR(VLOOKUP(CONCATENATE($B132,"_",M$3),materiali!$C:$K,6,0),"")</f>
        <v/>
      </c>
      <c r="N132" s="187" t="s">
        <v>584</v>
      </c>
      <c r="O132" s="84" t="str">
        <f>IFERROR(VLOOKUP(CONCATENATE($B132,"_",O$3),materiali!$C:$K,5,0),"")</f>
        <v>997006168</v>
      </c>
      <c r="P132" s="85" t="str">
        <f>IFERROR(VLOOKUP(CONCATENATE($B132,"_",P$3),materiali!$C:$K,6,0),"")</f>
        <v>CATALIZZATORE TECNOKAT T12-500</v>
      </c>
      <c r="Q132" s="86">
        <v>138866</v>
      </c>
      <c r="R132" s="84" t="str">
        <f>IFERROR(VLOOKUP(CONCATENATE($B132,"_",R$3),materiali!$C:$K,5,0),"")</f>
        <v>997004318</v>
      </c>
      <c r="S132" s="85" t="str">
        <f>IFERROR(VLOOKUP(CONCATENATE($B132,"_",S$3),materiali!$C:$K,6,0),"")</f>
        <v>BIANCO REMAP 10080 FDA 178.3297 (COLORANTE FDA PER SISTEMI)</v>
      </c>
      <c r="T132" s="86"/>
      <c r="U132" s="31"/>
      <c r="V132" s="172">
        <v>68</v>
      </c>
      <c r="W132" s="173">
        <v>7.29</v>
      </c>
      <c r="X132" s="173">
        <v>405.5</v>
      </c>
      <c r="Y132" s="173">
        <v>24.3</v>
      </c>
      <c r="Z132" s="173">
        <v>37.299999999999997</v>
      </c>
      <c r="AA132" s="172">
        <v>62</v>
      </c>
      <c r="AB132" s="59" t="s">
        <v>557</v>
      </c>
      <c r="AC132" s="59"/>
      <c r="AD132" s="97"/>
    </row>
    <row r="133" spans="1:30" ht="35.1" customHeight="1" x14ac:dyDescent="0.25">
      <c r="A133" s="83">
        <v>45959</v>
      </c>
      <c r="B133" s="7" t="s">
        <v>24</v>
      </c>
      <c r="C133" s="8" t="s">
        <v>25</v>
      </c>
      <c r="D133" s="8" t="s">
        <v>247</v>
      </c>
      <c r="E133" s="60" t="s">
        <v>604</v>
      </c>
      <c r="F133" s="84" t="str">
        <f>IFERROR(VLOOKUP(CONCATENATE($B133,"_",F$3),materiali!$C:$K,5,0),"")</f>
        <v>997006153</v>
      </c>
      <c r="G133" s="85" t="str">
        <f>IFERROR(VLOOKUP(CONCATENATE($B133,"_",G$3),materiali!$C:$K,6,0),"")</f>
        <v>MPC 109A (FUSTI 50 KG)</v>
      </c>
      <c r="H133" s="187" t="s">
        <v>598</v>
      </c>
      <c r="I133" s="84" t="str">
        <f>IFERROR(VLOOKUP(CONCATENATE($B133,"_",I$3),materiali!$C:$K,5,0),"")</f>
        <v>997006154</v>
      </c>
      <c r="J133" s="85" t="str">
        <f>IFERROR(VLOOKUP(CONCATENATE($B133,"_",J$3),materiali!$C:$K,6,0),"")</f>
        <v>RH 275B (FUSTI 25 KG)</v>
      </c>
      <c r="K133" s="187" t="s">
        <v>599</v>
      </c>
      <c r="L133" s="84" t="str">
        <f>IFERROR(VLOOKUP(CONCATENATE($B133,"_",L$3),materiali!$C:$K,5,0),"")</f>
        <v/>
      </c>
      <c r="M133" s="85" t="str">
        <f>IFERROR(VLOOKUP(CONCATENATE($B133,"_",M$3),materiali!$C:$K,6,0),"")</f>
        <v/>
      </c>
      <c r="N133" s="187" t="s">
        <v>584</v>
      </c>
      <c r="O133" s="84" t="str">
        <f>IFERROR(VLOOKUP(CONCATENATE($B133,"_",O$3),materiali!$C:$K,5,0),"")</f>
        <v>997006168</v>
      </c>
      <c r="P133" s="85" t="str">
        <f>IFERROR(VLOOKUP(CONCATENATE($B133,"_",P$3),materiali!$C:$K,6,0),"")</f>
        <v>CATALIZZATORE TECNOKAT T12-500</v>
      </c>
      <c r="Q133" s="86">
        <v>138866</v>
      </c>
      <c r="R133" s="84" t="str">
        <f>IFERROR(VLOOKUP(CONCATENATE($B133,"_",R$3),materiali!$C:$K,5,0),"")</f>
        <v>997004318</v>
      </c>
      <c r="S133" s="85" t="str">
        <f>IFERROR(VLOOKUP(CONCATENATE($B133,"_",S$3),materiali!$C:$K,6,0),"")</f>
        <v>BIANCO REMAP 10080 FDA 178.3297 (COLORANTE FDA PER SISTEMI)</v>
      </c>
      <c r="T133" s="86"/>
      <c r="U133" s="31"/>
      <c r="V133" s="172">
        <v>65</v>
      </c>
      <c r="W133" s="173">
        <v>8.0299999999999994</v>
      </c>
      <c r="X133" s="173">
        <v>446.2</v>
      </c>
      <c r="Y133" s="173">
        <v>24.4</v>
      </c>
      <c r="Z133" s="173">
        <v>38</v>
      </c>
      <c r="AA133" s="172" t="s">
        <v>557</v>
      </c>
      <c r="AB133" s="59" t="s">
        <v>557</v>
      </c>
      <c r="AC133" s="59"/>
      <c r="AD133" s="97"/>
    </row>
    <row r="134" spans="1:30" ht="35.1" customHeight="1" x14ac:dyDescent="0.25">
      <c r="A134" s="83">
        <v>45960</v>
      </c>
      <c r="B134" s="7" t="s">
        <v>24</v>
      </c>
      <c r="C134" s="8" t="s">
        <v>25</v>
      </c>
      <c r="D134" s="8" t="s">
        <v>247</v>
      </c>
      <c r="E134" s="60" t="s">
        <v>605</v>
      </c>
      <c r="F134" s="84" t="str">
        <f>IFERROR(VLOOKUP(CONCATENATE($B134,"_",F$3),materiali!$C:$K,5,0),"")</f>
        <v>997006153</v>
      </c>
      <c r="G134" s="85" t="str">
        <f>IFERROR(VLOOKUP(CONCATENATE($B134,"_",G$3),materiali!$C:$K,6,0),"")</f>
        <v>MPC 109A (FUSTI 50 KG)</v>
      </c>
      <c r="H134" s="187" t="s">
        <v>598</v>
      </c>
      <c r="I134" s="84" t="str">
        <f>IFERROR(VLOOKUP(CONCATENATE($B134,"_",I$3),materiali!$C:$K,5,0),"")</f>
        <v>997006154</v>
      </c>
      <c r="J134" s="85" t="str">
        <f>IFERROR(VLOOKUP(CONCATENATE($B134,"_",J$3),materiali!$C:$K,6,0),"")</f>
        <v>RH 275B (FUSTI 25 KG)</v>
      </c>
      <c r="K134" s="187" t="s">
        <v>599</v>
      </c>
      <c r="L134" s="84" t="str">
        <f>IFERROR(VLOOKUP(CONCATENATE($B134,"_",L$3),materiali!$C:$K,5,0),"")</f>
        <v/>
      </c>
      <c r="M134" s="85" t="str">
        <f>IFERROR(VLOOKUP(CONCATENATE($B134,"_",M$3),materiali!$C:$K,6,0),"")</f>
        <v/>
      </c>
      <c r="N134" s="187" t="s">
        <v>584</v>
      </c>
      <c r="O134" s="84" t="str">
        <f>IFERROR(VLOOKUP(CONCATENATE($B134,"_",O$3),materiali!$C:$K,5,0),"")</f>
        <v>997006168</v>
      </c>
      <c r="P134" s="85" t="str">
        <f>IFERROR(VLOOKUP(CONCATENATE($B134,"_",P$3),materiali!$C:$K,6,0),"")</f>
        <v>CATALIZZATORE TECNOKAT T12-500</v>
      </c>
      <c r="Q134" s="86">
        <v>138866</v>
      </c>
      <c r="R134" s="84" t="str">
        <f>IFERROR(VLOOKUP(CONCATENATE($B134,"_",R$3),materiali!$C:$K,5,0),"")</f>
        <v>997004318</v>
      </c>
      <c r="S134" s="85" t="str">
        <f>IFERROR(VLOOKUP(CONCATENATE($B134,"_",S$3),materiali!$C:$K,6,0),"")</f>
        <v>BIANCO REMAP 10080 FDA 178.3297 (COLORANTE FDA PER SISTEMI)</v>
      </c>
      <c r="T134" s="86"/>
      <c r="U134" s="31"/>
      <c r="V134" s="172">
        <v>65</v>
      </c>
      <c r="W134" s="173">
        <v>8.2899999999999991</v>
      </c>
      <c r="X134" s="173">
        <v>461.2</v>
      </c>
      <c r="Y134" s="173">
        <v>26</v>
      </c>
      <c r="Z134" s="173">
        <v>44.5</v>
      </c>
      <c r="AA134" s="172">
        <v>48</v>
      </c>
      <c r="AB134" s="59" t="s">
        <v>557</v>
      </c>
      <c r="AC134" s="59"/>
      <c r="AD134" s="97"/>
    </row>
    <row r="135" spans="1:30" ht="35.1" customHeight="1" x14ac:dyDescent="0.25">
      <c r="A135" s="83">
        <v>45961</v>
      </c>
      <c r="B135" s="7" t="s">
        <v>24</v>
      </c>
      <c r="C135" s="8" t="s">
        <v>25</v>
      </c>
      <c r="D135" s="8" t="s">
        <v>247</v>
      </c>
      <c r="E135" s="60" t="s">
        <v>606</v>
      </c>
      <c r="F135" s="84" t="str">
        <f>IFERROR(VLOOKUP(CONCATENATE($B135,"_",F$3),materiali!$C:$K,5,0),"")</f>
        <v>997006153</v>
      </c>
      <c r="G135" s="85" t="str">
        <f>IFERROR(VLOOKUP(CONCATENATE($B135,"_",G$3),materiali!$C:$K,6,0),"")</f>
        <v>MPC 109A (FUSTI 50 KG)</v>
      </c>
      <c r="H135" s="187" t="s">
        <v>598</v>
      </c>
      <c r="I135" s="84" t="str">
        <f>IFERROR(VLOOKUP(CONCATENATE($B135,"_",I$3),materiali!$C:$K,5,0),"")</f>
        <v>997006154</v>
      </c>
      <c r="J135" s="85" t="str">
        <f>IFERROR(VLOOKUP(CONCATENATE($B135,"_",J$3),materiali!$C:$K,6,0),"")</f>
        <v>RH 275B (FUSTI 25 KG)</v>
      </c>
      <c r="K135" s="187" t="s">
        <v>599</v>
      </c>
      <c r="L135" s="84" t="str">
        <f>IFERROR(VLOOKUP(CONCATENATE($B135,"_",L$3),materiali!$C:$K,5,0),"")</f>
        <v/>
      </c>
      <c r="M135" s="85" t="str">
        <f>IFERROR(VLOOKUP(CONCATENATE($B135,"_",M$3),materiali!$C:$K,6,0),"")</f>
        <v/>
      </c>
      <c r="N135" s="187" t="s">
        <v>584</v>
      </c>
      <c r="O135" s="84" t="str">
        <f>IFERROR(VLOOKUP(CONCATENATE($B135,"_",O$3),materiali!$C:$K,5,0),"")</f>
        <v>997006168</v>
      </c>
      <c r="P135" s="85" t="str">
        <f>IFERROR(VLOOKUP(CONCATENATE($B135,"_",P$3),materiali!$C:$K,6,0),"")</f>
        <v>CATALIZZATORE TECNOKAT T12-500</v>
      </c>
      <c r="Q135" s="86">
        <v>138866</v>
      </c>
      <c r="R135" s="84" t="str">
        <f>IFERROR(VLOOKUP(CONCATENATE($B135,"_",R$3),materiali!$C:$K,5,0),"")</f>
        <v>997004318</v>
      </c>
      <c r="S135" s="85" t="str">
        <f>IFERROR(VLOOKUP(CONCATENATE($B135,"_",S$3),materiali!$C:$K,6,0),"")</f>
        <v>BIANCO REMAP 10080 FDA 178.3297 (COLORANTE FDA PER SISTEMI)</v>
      </c>
      <c r="T135" s="86"/>
      <c r="U135" s="31"/>
      <c r="V135" s="172">
        <v>70</v>
      </c>
      <c r="W135" s="172">
        <v>9</v>
      </c>
      <c r="X135" s="173">
        <v>436</v>
      </c>
      <c r="Y135" s="172">
        <v>26</v>
      </c>
      <c r="Z135" s="172">
        <v>41</v>
      </c>
      <c r="AA135" s="172">
        <v>60</v>
      </c>
      <c r="AB135" s="91" t="s">
        <v>557</v>
      </c>
      <c r="AD135" s="97"/>
    </row>
    <row r="136" spans="1:30" ht="35.1" customHeight="1" x14ac:dyDescent="0.25">
      <c r="A136" s="83">
        <v>45964</v>
      </c>
      <c r="B136" s="7" t="s">
        <v>24</v>
      </c>
      <c r="C136" s="8" t="s">
        <v>25</v>
      </c>
      <c r="D136" s="8" t="s">
        <v>247</v>
      </c>
      <c r="E136" s="60" t="s">
        <v>607</v>
      </c>
      <c r="F136" s="84" t="str">
        <f>IFERROR(VLOOKUP(CONCATENATE($B136,"_",F$3),materiali!$C:$K,5,0),"")</f>
        <v>997006153</v>
      </c>
      <c r="G136" s="85" t="str">
        <f>IFERROR(VLOOKUP(CONCATENATE($B136,"_",G$3),materiali!$C:$K,6,0),"")</f>
        <v>MPC 109A (FUSTI 50 KG)</v>
      </c>
      <c r="H136" s="187" t="s">
        <v>598</v>
      </c>
      <c r="I136" s="84" t="str">
        <f>IFERROR(VLOOKUP(CONCATENATE($B136,"_",I$3),materiali!$C:$K,5,0),"")</f>
        <v>997006154</v>
      </c>
      <c r="J136" s="85" t="str">
        <f>IFERROR(VLOOKUP(CONCATENATE($B136,"_",J$3),materiali!$C:$K,6,0),"")</f>
        <v>RH 275B (FUSTI 25 KG)</v>
      </c>
      <c r="K136" s="187" t="s">
        <v>599</v>
      </c>
      <c r="L136" s="84" t="str">
        <f>IFERROR(VLOOKUP(CONCATENATE($B136,"_",L$3),materiali!$C:$K,5,0),"")</f>
        <v/>
      </c>
      <c r="M136" s="85" t="str">
        <f>IFERROR(VLOOKUP(CONCATENATE($B136,"_",M$3),materiali!$C:$K,6,0),"")</f>
        <v/>
      </c>
      <c r="N136" s="187" t="s">
        <v>584</v>
      </c>
      <c r="O136" s="84" t="str">
        <f>IFERROR(VLOOKUP(CONCATENATE($B136,"_",O$3),materiali!$C:$K,5,0),"")</f>
        <v>997006168</v>
      </c>
      <c r="P136" s="85" t="str">
        <f>IFERROR(VLOOKUP(CONCATENATE($B136,"_",P$3),materiali!$C:$K,6,0),"")</f>
        <v>CATALIZZATORE TECNOKAT T12-500</v>
      </c>
      <c r="Q136" s="86">
        <v>138866</v>
      </c>
      <c r="R136" s="84" t="str">
        <f>IFERROR(VLOOKUP(CONCATENATE($B136,"_",R$3),materiali!$C:$K,5,0),"")</f>
        <v>997004318</v>
      </c>
      <c r="S136" s="85" t="str">
        <f>IFERROR(VLOOKUP(CONCATENATE($B136,"_",S$3),materiali!$C:$K,6,0),"")</f>
        <v>BIANCO REMAP 10080 FDA 178.3297 (COLORANTE FDA PER SISTEMI)</v>
      </c>
      <c r="T136" s="86"/>
      <c r="U136" s="31"/>
      <c r="V136" s="172">
        <v>68</v>
      </c>
      <c r="W136" s="172">
        <v>7.94</v>
      </c>
      <c r="X136" s="173">
        <v>405.5</v>
      </c>
      <c r="Y136" s="172">
        <v>26.3</v>
      </c>
      <c r="Z136" s="172">
        <v>40.6</v>
      </c>
      <c r="AA136" s="172">
        <v>68</v>
      </c>
      <c r="AB136" s="91" t="s">
        <v>557</v>
      </c>
      <c r="AD136" s="97"/>
    </row>
    <row r="137" spans="1:30" ht="35.1" customHeight="1" x14ac:dyDescent="0.25">
      <c r="A137" s="83">
        <v>45965</v>
      </c>
      <c r="B137" s="7" t="s">
        <v>24</v>
      </c>
      <c r="C137" s="8" t="s">
        <v>25</v>
      </c>
      <c r="D137" s="8" t="s">
        <v>247</v>
      </c>
      <c r="E137" s="60" t="s">
        <v>608</v>
      </c>
      <c r="F137" s="84" t="str">
        <f>IFERROR(VLOOKUP(CONCATENATE($B137,"_",F$3),materiali!$C:$K,5,0),"")</f>
        <v>997006153</v>
      </c>
      <c r="G137" s="85" t="str">
        <f>IFERROR(VLOOKUP(CONCATENATE($B137,"_",G$3),materiali!$C:$K,6,0),"")</f>
        <v>MPC 109A (FUSTI 50 KG)</v>
      </c>
      <c r="H137" s="187" t="s">
        <v>598</v>
      </c>
      <c r="I137" s="84" t="str">
        <f>IFERROR(VLOOKUP(CONCATENATE($B137,"_",I$3),materiali!$C:$K,5,0),"")</f>
        <v>997006154</v>
      </c>
      <c r="J137" s="85" t="str">
        <f>IFERROR(VLOOKUP(CONCATENATE($B137,"_",J$3),materiali!$C:$K,6,0),"")</f>
        <v>RH 275B (FUSTI 25 KG)</v>
      </c>
      <c r="K137" s="187" t="s">
        <v>599</v>
      </c>
      <c r="L137" s="84" t="str">
        <f>IFERROR(VLOOKUP(CONCATENATE($B137,"_",L$3),materiali!$C:$K,5,0),"")</f>
        <v/>
      </c>
      <c r="M137" s="85" t="str">
        <f>IFERROR(VLOOKUP(CONCATENATE($B137,"_",M$3),materiali!$C:$K,6,0),"")</f>
        <v/>
      </c>
      <c r="N137" s="187" t="s">
        <v>584</v>
      </c>
      <c r="O137" s="84" t="str">
        <f>IFERROR(VLOOKUP(CONCATENATE($B137,"_",O$3),materiali!$C:$K,5,0),"")</f>
        <v>997006168</v>
      </c>
      <c r="P137" s="85" t="str">
        <f>IFERROR(VLOOKUP(CONCATENATE($B137,"_",P$3),materiali!$C:$K,6,0),"")</f>
        <v>CATALIZZATORE TECNOKAT T12-500</v>
      </c>
      <c r="Q137" s="86">
        <v>138866</v>
      </c>
      <c r="R137" s="84" t="str">
        <f>IFERROR(VLOOKUP(CONCATENATE($B137,"_",R$3),materiali!$C:$K,5,0),"")</f>
        <v>997004318</v>
      </c>
      <c r="S137" s="85" t="str">
        <f>IFERROR(VLOOKUP(CONCATENATE($B137,"_",S$3),materiali!$C:$K,6,0),"")</f>
        <v>BIANCO REMAP 10080 FDA 178.3297 (COLORANTE FDA PER SISTEMI)</v>
      </c>
      <c r="T137" s="86"/>
      <c r="U137" s="31"/>
      <c r="V137" s="172">
        <v>69</v>
      </c>
      <c r="W137" s="172">
        <v>8.33</v>
      </c>
      <c r="X137" s="173">
        <v>430.4</v>
      </c>
      <c r="Y137" s="172">
        <v>35.200000000000003</v>
      </c>
      <c r="Z137" s="172">
        <v>39.9</v>
      </c>
      <c r="AA137" s="172">
        <v>59</v>
      </c>
      <c r="AB137" s="91" t="s">
        <v>557</v>
      </c>
      <c r="AD137" s="97"/>
    </row>
    <row r="138" spans="1:30" ht="35.1" customHeight="1" x14ac:dyDescent="0.25">
      <c r="A138" s="83">
        <v>45966</v>
      </c>
      <c r="B138" s="7" t="s">
        <v>24</v>
      </c>
      <c r="C138" s="8" t="s">
        <v>25</v>
      </c>
      <c r="D138" s="8" t="s">
        <v>247</v>
      </c>
      <c r="E138" s="60" t="s">
        <v>609</v>
      </c>
      <c r="F138" s="84" t="str">
        <f>IFERROR(VLOOKUP(CONCATENATE($B138,"_",F$3),materiali!$C:$K,5,0),"")</f>
        <v>997006153</v>
      </c>
      <c r="G138" s="85" t="str">
        <f>IFERROR(VLOOKUP(CONCATENATE($B138,"_",G$3),materiali!$C:$K,6,0),"")</f>
        <v>MPC 109A (FUSTI 50 KG)</v>
      </c>
      <c r="H138" s="187" t="s">
        <v>598</v>
      </c>
      <c r="I138" s="84" t="str">
        <f>IFERROR(VLOOKUP(CONCATENATE($B138,"_",I$3),materiali!$C:$K,5,0),"")</f>
        <v>997006154</v>
      </c>
      <c r="J138" s="85" t="str">
        <f>IFERROR(VLOOKUP(CONCATENATE($B138,"_",J$3),materiali!$C:$K,6,0),"")</f>
        <v>RH 275B (FUSTI 25 KG)</v>
      </c>
      <c r="K138" s="187" t="s">
        <v>599</v>
      </c>
      <c r="L138" s="84" t="str">
        <f>IFERROR(VLOOKUP(CONCATENATE($B138,"_",L$3),materiali!$C:$K,5,0),"")</f>
        <v/>
      </c>
      <c r="M138" s="85" t="str">
        <f>IFERROR(VLOOKUP(CONCATENATE($B138,"_",M$3),materiali!$C:$K,6,0),"")</f>
        <v/>
      </c>
      <c r="N138" s="187" t="s">
        <v>584</v>
      </c>
      <c r="O138" s="84" t="str">
        <f>IFERROR(VLOOKUP(CONCATENATE($B138,"_",O$3),materiali!$C:$K,5,0),"")</f>
        <v>997006168</v>
      </c>
      <c r="P138" s="85" t="str">
        <f>IFERROR(VLOOKUP(CONCATENATE($B138,"_",P$3),materiali!$C:$K,6,0),"")</f>
        <v>CATALIZZATORE TECNOKAT T12-500</v>
      </c>
      <c r="Q138" s="181">
        <v>138866</v>
      </c>
      <c r="R138" s="84" t="str">
        <f>IFERROR(VLOOKUP(CONCATENATE($B138,"_",R$3),materiali!$C:$K,5,0),"")</f>
        <v>997004318</v>
      </c>
      <c r="S138" s="85" t="str">
        <f>IFERROR(VLOOKUP(CONCATENATE($B138,"_",S$3),materiali!$C:$K,6,0),"")</f>
        <v>BIANCO REMAP 10080 FDA 178.3297 (COLORANTE FDA PER SISTEMI)</v>
      </c>
      <c r="T138" s="86"/>
      <c r="U138" s="31"/>
      <c r="V138" s="172">
        <v>70</v>
      </c>
      <c r="W138" s="172">
        <v>7.49</v>
      </c>
      <c r="X138" s="173">
        <v>401.8</v>
      </c>
      <c r="Y138" s="172">
        <v>26.9</v>
      </c>
      <c r="Z138" s="172">
        <v>41.7</v>
      </c>
      <c r="AA138" s="172">
        <v>60</v>
      </c>
      <c r="AB138" s="91" t="s">
        <v>557</v>
      </c>
      <c r="AD138" s="97"/>
    </row>
    <row r="139" spans="1:30" ht="35.1" customHeight="1" x14ac:dyDescent="0.25">
      <c r="A139" s="83">
        <v>45967</v>
      </c>
      <c r="B139" s="7" t="s">
        <v>24</v>
      </c>
      <c r="C139" s="8" t="s">
        <v>25</v>
      </c>
      <c r="D139" s="8" t="s">
        <v>247</v>
      </c>
      <c r="E139" s="60" t="s">
        <v>610</v>
      </c>
      <c r="F139" s="84" t="str">
        <f>IFERROR(VLOOKUP(CONCATENATE($B139,"_",F$3),materiali!$C:$K,5,0),"")</f>
        <v>997006153</v>
      </c>
      <c r="G139" s="85" t="str">
        <f>IFERROR(VLOOKUP(CONCATENATE($B139,"_",G$3),materiali!$C:$K,6,0),"")</f>
        <v>MPC 109A (FUSTI 50 KG)</v>
      </c>
      <c r="H139" s="187" t="s">
        <v>598</v>
      </c>
      <c r="I139" s="84" t="str">
        <f>IFERROR(VLOOKUP(CONCATENATE($B139,"_",I$3),materiali!$C:$K,5,0),"")</f>
        <v>997006154</v>
      </c>
      <c r="J139" s="85" t="str">
        <f>IFERROR(VLOOKUP(CONCATENATE($B139,"_",J$3),materiali!$C:$K,6,0),"")</f>
        <v>RH 275B (FUSTI 25 KG)</v>
      </c>
      <c r="K139" s="187" t="s">
        <v>599</v>
      </c>
      <c r="L139" s="84" t="str">
        <f>IFERROR(VLOOKUP(CONCATENATE($B139,"_",L$3),materiali!$C:$K,5,0),"")</f>
        <v/>
      </c>
      <c r="M139" s="85" t="str">
        <f>IFERROR(VLOOKUP(CONCATENATE($B139,"_",M$3),materiali!$C:$K,6,0),"")</f>
        <v/>
      </c>
      <c r="N139" s="187" t="s">
        <v>584</v>
      </c>
      <c r="O139" s="84" t="str">
        <f>IFERROR(VLOOKUP(CONCATENATE($B139,"_",O$3),materiali!$C:$K,5,0),"")</f>
        <v>997006168</v>
      </c>
      <c r="P139" s="85" t="str">
        <f>IFERROR(VLOOKUP(CONCATENATE($B139,"_",P$3),materiali!$C:$K,6,0),"")</f>
        <v>CATALIZZATORE TECNOKAT T12-500</v>
      </c>
      <c r="Q139" s="181">
        <v>138866</v>
      </c>
      <c r="R139" s="84" t="str">
        <f>IFERROR(VLOOKUP(CONCATENATE($B139,"_",R$3),materiali!$C:$K,5,0),"")</f>
        <v>997004318</v>
      </c>
      <c r="S139" s="85" t="str">
        <f>IFERROR(VLOOKUP(CONCATENATE($B139,"_",S$3),materiali!$C:$K,6,0),"")</f>
        <v>BIANCO REMAP 10080 FDA 178.3297 (COLORANTE FDA PER SISTEMI)</v>
      </c>
      <c r="T139" s="86"/>
      <c r="U139" s="31"/>
      <c r="V139" s="172">
        <v>69</v>
      </c>
      <c r="W139" s="172">
        <v>8</v>
      </c>
      <c r="X139" s="173">
        <v>416</v>
      </c>
      <c r="Y139" s="172">
        <v>27</v>
      </c>
      <c r="Z139" s="172">
        <v>44</v>
      </c>
      <c r="AA139" s="172">
        <v>65</v>
      </c>
      <c r="AB139" s="91" t="s">
        <v>557</v>
      </c>
      <c r="AD139" s="97"/>
    </row>
    <row r="140" spans="1:30" ht="35.1" customHeight="1" x14ac:dyDescent="0.25">
      <c r="A140" s="83">
        <v>45968</v>
      </c>
      <c r="B140" s="7" t="s">
        <v>24</v>
      </c>
      <c r="C140" s="8" t="s">
        <v>25</v>
      </c>
      <c r="D140" s="8" t="s">
        <v>247</v>
      </c>
      <c r="E140" s="60" t="s">
        <v>611</v>
      </c>
      <c r="F140" s="84" t="str">
        <f>IFERROR(VLOOKUP(CONCATENATE($B140,"_",F$3),materiali!$C:$K,5,0),"")</f>
        <v>997006153</v>
      </c>
      <c r="G140" s="85" t="str">
        <f>IFERROR(VLOOKUP(CONCATENATE($B140,"_",G$3),materiali!$C:$K,6,0),"")</f>
        <v>MPC 109A (FUSTI 50 KG)</v>
      </c>
      <c r="H140" s="187" t="s">
        <v>598</v>
      </c>
      <c r="I140" s="84" t="str">
        <f>IFERROR(VLOOKUP(CONCATENATE($B140,"_",I$3),materiali!$C:$K,5,0),"")</f>
        <v>997006154</v>
      </c>
      <c r="J140" s="85" t="str">
        <f>IFERROR(VLOOKUP(CONCATENATE($B140,"_",J$3),materiali!$C:$K,6,0),"")</f>
        <v>RH 275B (FUSTI 25 KG)</v>
      </c>
      <c r="K140" s="187" t="s">
        <v>612</v>
      </c>
      <c r="L140" s="84" t="str">
        <f>IFERROR(VLOOKUP(CONCATENATE($B140,"_",L$3),materiali!$C:$K,5,0),"")</f>
        <v/>
      </c>
      <c r="M140" s="85" t="str">
        <f>IFERROR(VLOOKUP(CONCATENATE($B140,"_",M$3),materiali!$C:$K,6,0),"")</f>
        <v/>
      </c>
      <c r="N140" s="187" t="s">
        <v>584</v>
      </c>
      <c r="O140" s="84" t="str">
        <f>IFERROR(VLOOKUP(CONCATENATE($B140,"_",O$3),materiali!$C:$K,5,0),"")</f>
        <v>997006168</v>
      </c>
      <c r="P140" s="85" t="str">
        <f>IFERROR(VLOOKUP(CONCATENATE($B140,"_",P$3),materiali!$C:$K,6,0),"")</f>
        <v>CATALIZZATORE TECNOKAT T12-500</v>
      </c>
      <c r="Q140" s="181">
        <v>138866</v>
      </c>
      <c r="R140" s="84" t="str">
        <f>IFERROR(VLOOKUP(CONCATENATE($B140,"_",R$3),materiali!$C:$K,5,0),"")</f>
        <v>997004318</v>
      </c>
      <c r="S140" s="85" t="str">
        <f>IFERROR(VLOOKUP(CONCATENATE($B140,"_",S$3),materiali!$C:$K,6,0),"")</f>
        <v>BIANCO REMAP 10080 FDA 178.3297 (COLORANTE FDA PER SISTEMI)</v>
      </c>
      <c r="T140" s="86"/>
      <c r="U140" s="31"/>
      <c r="V140" s="172">
        <v>69</v>
      </c>
      <c r="W140" s="172">
        <v>8</v>
      </c>
      <c r="X140" s="173">
        <v>435</v>
      </c>
      <c r="Y140" s="172">
        <v>26</v>
      </c>
      <c r="Z140" s="172">
        <v>42</v>
      </c>
      <c r="AA140" s="172">
        <v>66</v>
      </c>
      <c r="AB140" s="91" t="s">
        <v>557</v>
      </c>
      <c r="AD140" s="97"/>
    </row>
    <row r="141" spans="1:30" ht="35.1" customHeight="1" x14ac:dyDescent="0.25">
      <c r="A141" s="83">
        <v>45971</v>
      </c>
      <c r="B141" s="7" t="s">
        <v>24</v>
      </c>
      <c r="C141" s="8" t="s">
        <v>25</v>
      </c>
      <c r="D141" s="8" t="s">
        <v>247</v>
      </c>
      <c r="E141" s="60" t="s">
        <v>613</v>
      </c>
      <c r="F141" s="84" t="str">
        <f>IFERROR(VLOOKUP(CONCATENATE($B141,"_",F$3),materiali!$C:$K,5,0),"")</f>
        <v>997006153</v>
      </c>
      <c r="G141" s="85" t="str">
        <f>IFERROR(VLOOKUP(CONCATENATE($B141,"_",G$3),materiali!$C:$K,6,0),"")</f>
        <v>MPC 109A (FUSTI 50 KG)</v>
      </c>
      <c r="H141" s="187" t="s">
        <v>598</v>
      </c>
      <c r="I141" s="84" t="str">
        <f>IFERROR(VLOOKUP(CONCATENATE($B141,"_",I$3),materiali!$C:$K,5,0),"")</f>
        <v>997006154</v>
      </c>
      <c r="J141" s="85" t="str">
        <f>IFERROR(VLOOKUP(CONCATENATE($B141,"_",J$3),materiali!$C:$K,6,0),"")</f>
        <v>RH 275B (FUSTI 25 KG)</v>
      </c>
      <c r="K141" s="187" t="s">
        <v>612</v>
      </c>
      <c r="L141" s="84" t="str">
        <f>IFERROR(VLOOKUP(CONCATENATE($B141,"_",L$3),materiali!$C:$K,5,0),"")</f>
        <v/>
      </c>
      <c r="M141" s="85" t="str">
        <f>IFERROR(VLOOKUP(CONCATENATE($B141,"_",M$3),materiali!$C:$K,6,0),"")</f>
        <v/>
      </c>
      <c r="N141" s="187" t="s">
        <v>584</v>
      </c>
      <c r="O141" s="84" t="str">
        <f>IFERROR(VLOOKUP(CONCATENATE($B141,"_",O$3),materiali!$C:$K,5,0),"")</f>
        <v>997006168</v>
      </c>
      <c r="P141" s="85" t="str">
        <f>IFERROR(VLOOKUP(CONCATENATE($B141,"_",P$3),materiali!$C:$K,6,0),"")</f>
        <v>CATALIZZATORE TECNOKAT T12-500</v>
      </c>
      <c r="Q141" s="181">
        <v>138866</v>
      </c>
      <c r="R141" s="84" t="str">
        <f>IFERROR(VLOOKUP(CONCATENATE($B141,"_",R$3),materiali!$C:$K,5,0),"")</f>
        <v>997004318</v>
      </c>
      <c r="S141" s="85" t="str">
        <f>IFERROR(VLOOKUP(CONCATENATE($B141,"_",S$3),materiali!$C:$K,6,0),"")</f>
        <v>BIANCO REMAP 10080 FDA 178.3297 (COLORANTE FDA PER SISTEMI)</v>
      </c>
      <c r="T141" s="86"/>
      <c r="U141" s="31"/>
      <c r="V141" s="172">
        <v>69</v>
      </c>
      <c r="W141" s="172">
        <v>7.14</v>
      </c>
      <c r="X141" s="173">
        <v>396.5</v>
      </c>
      <c r="Y141" s="172">
        <v>24.6</v>
      </c>
      <c r="Z141" s="172">
        <v>37.700000000000003</v>
      </c>
      <c r="AA141" s="172">
        <v>52</v>
      </c>
      <c r="AB141" s="91" t="s">
        <v>557</v>
      </c>
      <c r="AD141" s="97"/>
    </row>
    <row r="142" spans="1:30" ht="35.1" customHeight="1" x14ac:dyDescent="0.25">
      <c r="A142" s="83">
        <v>45972</v>
      </c>
      <c r="B142" s="7" t="s">
        <v>24</v>
      </c>
      <c r="C142" s="8" t="s">
        <v>25</v>
      </c>
      <c r="D142" s="8" t="s">
        <v>247</v>
      </c>
      <c r="E142" s="60" t="s">
        <v>614</v>
      </c>
      <c r="F142" s="84" t="str">
        <f>IFERROR(VLOOKUP(CONCATENATE($B142,"_",F$3),materiali!$C:$K,5,0),"")</f>
        <v>997006153</v>
      </c>
      <c r="G142" s="85" t="str">
        <f>IFERROR(VLOOKUP(CONCATENATE($B142,"_",G$3),materiali!$C:$K,6,0),"")</f>
        <v>MPC 109A (FUSTI 50 KG)</v>
      </c>
      <c r="H142" s="187" t="s">
        <v>598</v>
      </c>
      <c r="I142" s="84" t="str">
        <f>IFERROR(VLOOKUP(CONCATENATE($B142,"_",I$3),materiali!$C:$K,5,0),"")</f>
        <v>997006154</v>
      </c>
      <c r="J142" s="85" t="str">
        <f>IFERROR(VLOOKUP(CONCATENATE($B142,"_",J$3),materiali!$C:$K,6,0),"")</f>
        <v>RH 275B (FUSTI 25 KG)</v>
      </c>
      <c r="K142" s="187" t="s">
        <v>612</v>
      </c>
      <c r="L142" s="84" t="str">
        <f>IFERROR(VLOOKUP(CONCATENATE($B142,"_",L$3),materiali!$C:$K,5,0),"")</f>
        <v/>
      </c>
      <c r="M142" s="85" t="str">
        <f>IFERROR(VLOOKUP(CONCATENATE($B142,"_",M$3),materiali!$C:$K,6,0),"")</f>
        <v/>
      </c>
      <c r="N142" s="187" t="s">
        <v>584</v>
      </c>
      <c r="O142" s="84" t="str">
        <f>IFERROR(VLOOKUP(CONCATENATE($B142,"_",O$3),materiali!$C:$K,5,0),"")</f>
        <v>997006168</v>
      </c>
      <c r="P142" s="85" t="str">
        <f>IFERROR(VLOOKUP(CONCATENATE($B142,"_",P$3),materiali!$C:$K,6,0),"")</f>
        <v>CATALIZZATORE TECNOKAT T12-500</v>
      </c>
      <c r="Q142" s="181">
        <v>138866</v>
      </c>
      <c r="R142" s="84" t="str">
        <f>IFERROR(VLOOKUP(CONCATENATE($B142,"_",R$3),materiali!$C:$K,5,0),"")</f>
        <v>997004318</v>
      </c>
      <c r="S142" s="85" t="str">
        <f>IFERROR(VLOOKUP(CONCATENATE($B142,"_",S$3),materiali!$C:$K,6,0),"")</f>
        <v>BIANCO REMAP 10080 FDA 178.3297 (COLORANTE FDA PER SISTEMI)</v>
      </c>
      <c r="T142" s="86"/>
      <c r="U142" s="31"/>
      <c r="V142" s="172">
        <v>68</v>
      </c>
      <c r="W142" s="172">
        <v>8</v>
      </c>
      <c r="X142" s="173">
        <v>450</v>
      </c>
      <c r="Y142" s="172">
        <v>24</v>
      </c>
      <c r="Z142" s="172">
        <v>50</v>
      </c>
      <c r="AA142" s="172">
        <v>67</v>
      </c>
      <c r="AB142" s="91" t="s">
        <v>557</v>
      </c>
      <c r="AD142" s="97"/>
    </row>
    <row r="143" spans="1:30" ht="35.1" customHeight="1" x14ac:dyDescent="0.25">
      <c r="A143" s="83">
        <v>45973</v>
      </c>
      <c r="B143" s="7" t="s">
        <v>24</v>
      </c>
      <c r="C143" s="8" t="s">
        <v>25</v>
      </c>
      <c r="D143" s="8" t="s">
        <v>247</v>
      </c>
      <c r="E143" s="60" t="s">
        <v>615</v>
      </c>
      <c r="F143" s="84" t="str">
        <f>IFERROR(VLOOKUP(CONCATENATE($B143,"_",F$3),materiali!$C:$K,5,0),"")</f>
        <v>997006153</v>
      </c>
      <c r="G143" s="85" t="str">
        <f>IFERROR(VLOOKUP(CONCATENATE($B143,"_",G$3),materiali!$C:$K,6,0),"")</f>
        <v>MPC 109A (FUSTI 50 KG)</v>
      </c>
      <c r="H143" s="187" t="s">
        <v>598</v>
      </c>
      <c r="I143" s="84" t="str">
        <f>IFERROR(VLOOKUP(CONCATENATE($B143,"_",I$3),materiali!$C:$K,5,0),"")</f>
        <v>997006154</v>
      </c>
      <c r="J143" s="85" t="str">
        <f>IFERROR(VLOOKUP(CONCATENATE($B143,"_",J$3),materiali!$C:$K,6,0),"")</f>
        <v>RH 275B (FUSTI 25 KG)</v>
      </c>
      <c r="K143" s="187" t="s">
        <v>612</v>
      </c>
      <c r="L143" s="84" t="str">
        <f>IFERROR(VLOOKUP(CONCATENATE($B143,"_",L$3),materiali!$C:$K,5,0),"")</f>
        <v/>
      </c>
      <c r="M143" s="85" t="str">
        <f>IFERROR(VLOOKUP(CONCATENATE($B143,"_",M$3),materiali!$C:$K,6,0),"")</f>
        <v/>
      </c>
      <c r="N143" s="187" t="s">
        <v>584</v>
      </c>
      <c r="O143" s="84" t="str">
        <f>IFERROR(VLOOKUP(CONCATENATE($B143,"_",O$3),materiali!$C:$K,5,0),"")</f>
        <v>997006168</v>
      </c>
      <c r="P143" s="85" t="str">
        <f>IFERROR(VLOOKUP(CONCATENATE($B143,"_",P$3),materiali!$C:$K,6,0),"")</f>
        <v>CATALIZZATORE TECNOKAT T12-500</v>
      </c>
      <c r="Q143" s="181">
        <v>138866</v>
      </c>
      <c r="R143" s="84" t="str">
        <f>IFERROR(VLOOKUP(CONCATENATE($B143,"_",R$3),materiali!$C:$K,5,0),"")</f>
        <v>997004318</v>
      </c>
      <c r="S143" s="85" t="str">
        <f>IFERROR(VLOOKUP(CONCATENATE($B143,"_",S$3),materiali!$C:$K,6,0),"")</f>
        <v>BIANCO REMAP 10080 FDA 178.3297 (COLORANTE FDA PER SISTEMI)</v>
      </c>
      <c r="T143" s="86"/>
      <c r="U143" s="31"/>
      <c r="V143" s="172">
        <v>70</v>
      </c>
      <c r="W143" s="172">
        <v>8.02</v>
      </c>
      <c r="X143" s="173">
        <v>414.2</v>
      </c>
      <c r="Y143" s="172">
        <v>25.9</v>
      </c>
      <c r="Z143" s="172">
        <v>42.2</v>
      </c>
      <c r="AA143" s="172">
        <v>64</v>
      </c>
      <c r="AB143" s="91" t="s">
        <v>557</v>
      </c>
      <c r="AD143" s="97"/>
    </row>
    <row r="144" spans="1:30" ht="35.1" customHeight="1" x14ac:dyDescent="0.25">
      <c r="A144" s="83">
        <v>45974</v>
      </c>
      <c r="B144" s="7" t="s">
        <v>24</v>
      </c>
      <c r="C144" s="8" t="s">
        <v>25</v>
      </c>
      <c r="D144" s="8" t="s">
        <v>247</v>
      </c>
      <c r="E144" s="60" t="s">
        <v>616</v>
      </c>
      <c r="F144" s="84" t="str">
        <f>IFERROR(VLOOKUP(CONCATENATE($B144,"_",F$3),materiali!$C:$K,5,0),"")</f>
        <v>997006153</v>
      </c>
      <c r="G144" s="85" t="str">
        <f>IFERROR(VLOOKUP(CONCATENATE($B144,"_",G$3),materiali!$C:$K,6,0),"")</f>
        <v>MPC 109A (FUSTI 50 KG)</v>
      </c>
      <c r="H144" s="187" t="s">
        <v>598</v>
      </c>
      <c r="I144" s="84" t="str">
        <f>IFERROR(VLOOKUP(CONCATENATE($B144,"_",I$3),materiali!$C:$K,5,0),"")</f>
        <v>997006154</v>
      </c>
      <c r="J144" s="85" t="str">
        <f>IFERROR(VLOOKUP(CONCATENATE($B144,"_",J$3),materiali!$C:$K,6,0),"")</f>
        <v>RH 275B (FUSTI 25 KG)</v>
      </c>
      <c r="K144" s="187" t="s">
        <v>612</v>
      </c>
      <c r="L144" s="84" t="str">
        <f>IFERROR(VLOOKUP(CONCATENATE($B144,"_",L$3),materiali!$C:$K,5,0),"")</f>
        <v/>
      </c>
      <c r="M144" s="85" t="str">
        <f>IFERROR(VLOOKUP(CONCATENATE($B144,"_",M$3),materiali!$C:$K,6,0),"")</f>
        <v/>
      </c>
      <c r="N144" s="187" t="s">
        <v>584</v>
      </c>
      <c r="O144" s="84" t="str">
        <f>IFERROR(VLOOKUP(CONCATENATE($B144,"_",O$3),materiali!$C:$K,5,0),"")</f>
        <v>997006168</v>
      </c>
      <c r="P144" s="85" t="str">
        <f>IFERROR(VLOOKUP(CONCATENATE($B144,"_",P$3),materiali!$C:$K,6,0),"")</f>
        <v>CATALIZZATORE TECNOKAT T12-500</v>
      </c>
      <c r="Q144" s="181">
        <v>138866</v>
      </c>
      <c r="R144" s="84" t="str">
        <f>IFERROR(VLOOKUP(CONCATENATE($B144,"_",R$3),materiali!$C:$K,5,0),"")</f>
        <v>997004318</v>
      </c>
      <c r="S144" s="85" t="str">
        <f>IFERROR(VLOOKUP(CONCATENATE($B144,"_",S$3),materiali!$C:$K,6,0),"")</f>
        <v>BIANCO REMAP 10080 FDA 178.3297 (COLORANTE FDA PER SISTEMI)</v>
      </c>
      <c r="T144" s="86"/>
      <c r="U144" s="31"/>
      <c r="V144" s="172">
        <v>69</v>
      </c>
      <c r="W144" s="172">
        <v>8.43</v>
      </c>
      <c r="X144" s="173">
        <v>435.3</v>
      </c>
      <c r="Y144" s="172">
        <v>24.8</v>
      </c>
      <c r="Z144" s="172">
        <v>36.5</v>
      </c>
      <c r="AA144" s="172">
        <v>70</v>
      </c>
      <c r="AB144" s="91" t="s">
        <v>557</v>
      </c>
      <c r="AD144" s="97"/>
    </row>
    <row r="145" spans="1:30" ht="35.1" customHeight="1" x14ac:dyDescent="0.25">
      <c r="A145" s="83">
        <v>45985</v>
      </c>
      <c r="B145" s="7" t="s">
        <v>24</v>
      </c>
      <c r="C145" s="8" t="s">
        <v>25</v>
      </c>
      <c r="D145" s="8" t="s">
        <v>247</v>
      </c>
      <c r="E145" s="60" t="s">
        <v>617</v>
      </c>
      <c r="F145" s="84" t="str">
        <f>IFERROR(VLOOKUP(CONCATENATE($B145,"_",F$3),materiali!$C:$K,5,0),"")</f>
        <v>997006153</v>
      </c>
      <c r="G145" s="85" t="str">
        <f>IFERROR(VLOOKUP(CONCATENATE($B145,"_",G$3),materiali!$C:$K,6,0),"")</f>
        <v>MPC 109A (FUSTI 50 KG)</v>
      </c>
      <c r="H145" s="187" t="s">
        <v>582</v>
      </c>
      <c r="I145" s="84" t="str">
        <f>IFERROR(VLOOKUP(CONCATENATE($B145,"_",I$3),materiali!$C:$K,5,0),"")</f>
        <v>997006154</v>
      </c>
      <c r="J145" s="85" t="str">
        <f>IFERROR(VLOOKUP(CONCATENATE($B145,"_",J$3),materiali!$C:$K,6,0),"")</f>
        <v>RH 275B (FUSTI 25 KG)</v>
      </c>
      <c r="K145" s="187" t="s">
        <v>612</v>
      </c>
      <c r="L145" s="84" t="str">
        <f>IFERROR(VLOOKUP(CONCATENATE($B145,"_",L$3),materiali!$C:$K,5,0),"")</f>
        <v/>
      </c>
      <c r="M145" s="85" t="str">
        <f>IFERROR(VLOOKUP(CONCATENATE($B145,"_",M$3),materiali!$C:$K,6,0),"")</f>
        <v/>
      </c>
      <c r="N145" s="187" t="s">
        <v>584</v>
      </c>
      <c r="O145" s="84" t="str">
        <f>IFERROR(VLOOKUP(CONCATENATE($B145,"_",O$3),materiali!$C:$K,5,0),"")</f>
        <v>997006168</v>
      </c>
      <c r="P145" s="85" t="str">
        <f>IFERROR(VLOOKUP(CONCATENATE($B145,"_",P$3),materiali!$C:$K,6,0),"")</f>
        <v>CATALIZZATORE TECNOKAT T12-500</v>
      </c>
      <c r="Q145" s="187">
        <v>142460</v>
      </c>
      <c r="R145" s="84" t="str">
        <f>IFERROR(VLOOKUP(CONCATENATE($B145,"_",R$3),materiali!$C:$K,5,0),"")</f>
        <v>997004318</v>
      </c>
      <c r="S145" s="85" t="str">
        <f>IFERROR(VLOOKUP(CONCATENATE($B145,"_",S$3),materiali!$C:$K,6,0),"")</f>
        <v>BIANCO REMAP 10080 FDA 178.3297 (COLORANTE FDA PER SISTEMI)</v>
      </c>
      <c r="T145" s="86"/>
      <c r="U145" s="31"/>
      <c r="V145" s="172">
        <v>69</v>
      </c>
      <c r="W145" s="172">
        <v>7.24</v>
      </c>
      <c r="X145" s="173">
        <v>438.3</v>
      </c>
      <c r="Y145" s="172">
        <v>26.3</v>
      </c>
      <c r="Z145" s="172">
        <v>37.299999999999997</v>
      </c>
      <c r="AA145" s="172">
        <v>60</v>
      </c>
      <c r="AB145" s="91" t="s">
        <v>557</v>
      </c>
      <c r="AD145" s="97"/>
    </row>
    <row r="146" spans="1:30" ht="35.1" customHeight="1" x14ac:dyDescent="0.25">
      <c r="A146" s="83">
        <v>45986</v>
      </c>
      <c r="B146" s="7" t="s">
        <v>24</v>
      </c>
      <c r="C146" s="8" t="s">
        <v>25</v>
      </c>
      <c r="D146" s="8" t="s">
        <v>247</v>
      </c>
      <c r="E146" s="60" t="s">
        <v>618</v>
      </c>
      <c r="F146" s="84" t="str">
        <f>IFERROR(VLOOKUP(CONCATENATE($B146,"_",F$3),materiali!$C:$K,5,0),"")</f>
        <v>997006153</v>
      </c>
      <c r="G146" s="85" t="str">
        <f>IFERROR(VLOOKUP(CONCATENATE($B146,"_",G$3),materiali!$C:$K,6,0),"")</f>
        <v>MPC 109A (FUSTI 50 KG)</v>
      </c>
      <c r="H146" s="187" t="s">
        <v>582</v>
      </c>
      <c r="I146" s="84" t="str">
        <f>IFERROR(VLOOKUP(CONCATENATE($B146,"_",I$3),materiali!$C:$K,5,0),"")</f>
        <v>997006154</v>
      </c>
      <c r="J146" s="85" t="str">
        <f>IFERROR(VLOOKUP(CONCATENATE($B146,"_",J$3),materiali!$C:$K,6,0),"")</f>
        <v>RH 275B (FUSTI 25 KG)</v>
      </c>
      <c r="K146" s="187" t="s">
        <v>612</v>
      </c>
      <c r="L146" s="84" t="str">
        <f>IFERROR(VLOOKUP(CONCATENATE($B146,"_",L$3),materiali!$C:$K,5,0),"")</f>
        <v/>
      </c>
      <c r="M146" s="85" t="str">
        <f>IFERROR(VLOOKUP(CONCATENATE($B146,"_",M$3),materiali!$C:$K,6,0),"")</f>
        <v/>
      </c>
      <c r="N146" s="187" t="s">
        <v>584</v>
      </c>
      <c r="O146" s="84" t="str">
        <f>IFERROR(VLOOKUP(CONCATENATE($B146,"_",O$3),materiali!$C:$K,5,0),"")</f>
        <v>997006168</v>
      </c>
      <c r="P146" s="85" t="str">
        <f>IFERROR(VLOOKUP(CONCATENATE($B146,"_",P$3),materiali!$C:$K,6,0),"")</f>
        <v>CATALIZZATORE TECNOKAT T12-500</v>
      </c>
      <c r="Q146" s="187">
        <v>142460</v>
      </c>
      <c r="R146" s="84" t="str">
        <f>IFERROR(VLOOKUP(CONCATENATE($B146,"_",R$3),materiali!$C:$K,5,0),"")</f>
        <v>997004318</v>
      </c>
      <c r="S146" s="85" t="str">
        <f>IFERROR(VLOOKUP(CONCATENATE($B146,"_",S$3),materiali!$C:$K,6,0),"")</f>
        <v>BIANCO REMAP 10080 FDA 178.3297 (COLORANTE FDA PER SISTEMI)</v>
      </c>
      <c r="T146" s="86"/>
      <c r="U146" s="31"/>
      <c r="V146" s="172">
        <v>68</v>
      </c>
      <c r="W146" s="172">
        <v>8.7100000000000009</v>
      </c>
      <c r="X146" s="173">
        <v>460.7</v>
      </c>
      <c r="Y146" s="172">
        <v>25.7</v>
      </c>
      <c r="Z146" s="172">
        <v>41.5</v>
      </c>
      <c r="AA146" s="172">
        <v>58</v>
      </c>
      <c r="AB146" s="91" t="s">
        <v>557</v>
      </c>
      <c r="AD146" s="97"/>
    </row>
    <row r="147" spans="1:30" ht="35.1" customHeight="1" x14ac:dyDescent="0.25">
      <c r="A147" s="83">
        <v>45987</v>
      </c>
      <c r="B147" s="7" t="s">
        <v>24</v>
      </c>
      <c r="C147" s="8" t="s">
        <v>25</v>
      </c>
      <c r="D147" s="8" t="s">
        <v>247</v>
      </c>
      <c r="E147" s="60" t="s">
        <v>619</v>
      </c>
      <c r="F147" s="84" t="str">
        <f>IFERROR(VLOOKUP(CONCATENATE($B147,"_",F$3),materiali!$C:$K,5,0),"")</f>
        <v>997006153</v>
      </c>
      <c r="G147" s="85" t="str">
        <f>IFERROR(VLOOKUP(CONCATENATE($B147,"_",G$3),materiali!$C:$K,6,0),"")</f>
        <v>MPC 109A (FUSTI 50 KG)</v>
      </c>
      <c r="H147" s="187" t="s">
        <v>582</v>
      </c>
      <c r="I147" s="84" t="str">
        <f>IFERROR(VLOOKUP(CONCATENATE($B147,"_",I$3),materiali!$C:$K,5,0),"")</f>
        <v>997006154</v>
      </c>
      <c r="J147" s="85" t="str">
        <f>IFERROR(VLOOKUP(CONCATENATE($B147,"_",J$3),materiali!$C:$K,6,0),"")</f>
        <v>RH 275B (FUSTI 25 KG)</v>
      </c>
      <c r="K147" s="187" t="s">
        <v>612</v>
      </c>
      <c r="L147" s="84" t="str">
        <f>IFERROR(VLOOKUP(CONCATENATE($B147,"_",L$3),materiali!$C:$K,5,0),"")</f>
        <v/>
      </c>
      <c r="M147" s="85" t="str">
        <f>IFERROR(VLOOKUP(CONCATENATE($B147,"_",M$3),materiali!$C:$K,6,0),"")</f>
        <v/>
      </c>
      <c r="N147" s="187" t="s">
        <v>584</v>
      </c>
      <c r="O147" s="84" t="str">
        <f>IFERROR(VLOOKUP(CONCATENATE($B147,"_",O$3),materiali!$C:$K,5,0),"")</f>
        <v>997006168</v>
      </c>
      <c r="P147" s="85" t="str">
        <f>IFERROR(VLOOKUP(CONCATENATE($B147,"_",P$3),materiali!$C:$K,6,0),"")</f>
        <v>CATALIZZATORE TECNOKAT T12-500</v>
      </c>
      <c r="Q147" s="187">
        <v>142460</v>
      </c>
      <c r="R147" s="84" t="str">
        <f>IFERROR(VLOOKUP(CONCATENATE($B147,"_",R$3),materiali!$C:$K,5,0),"")</f>
        <v>997004318</v>
      </c>
      <c r="S147" s="85" t="str">
        <f>IFERROR(VLOOKUP(CONCATENATE($B147,"_",S$3),materiali!$C:$K,6,0),"")</f>
        <v>BIANCO REMAP 10080 FDA 178.3297 (COLORANTE FDA PER SISTEMI)</v>
      </c>
      <c r="T147" s="86"/>
      <c r="U147" s="31"/>
      <c r="V147" s="172">
        <v>69</v>
      </c>
      <c r="W147" s="172">
        <v>8.42</v>
      </c>
      <c r="X147" s="173">
        <v>452.8</v>
      </c>
      <c r="Y147" s="172">
        <v>24.7</v>
      </c>
      <c r="Z147" s="172">
        <v>40</v>
      </c>
      <c r="AA147" s="172">
        <v>68</v>
      </c>
      <c r="AB147" s="91" t="s">
        <v>557</v>
      </c>
      <c r="AD147" s="97"/>
    </row>
    <row r="148" spans="1:30" ht="35.1" customHeight="1" x14ac:dyDescent="0.25">
      <c r="A148" s="83">
        <v>45988</v>
      </c>
      <c r="B148" s="7" t="s">
        <v>24</v>
      </c>
      <c r="C148" s="8" t="s">
        <v>25</v>
      </c>
      <c r="D148" s="8" t="s">
        <v>247</v>
      </c>
      <c r="E148" s="60" t="s">
        <v>620</v>
      </c>
      <c r="F148" s="84" t="str">
        <f>IFERROR(VLOOKUP(CONCATENATE($B148,"_",F$3),materiali!$C:$K,5,0),"")</f>
        <v>997006153</v>
      </c>
      <c r="G148" s="85" t="str">
        <f>IFERROR(VLOOKUP(CONCATENATE($B148,"_",G$3),materiali!$C:$K,6,0),"")</f>
        <v>MPC 109A (FUSTI 50 KG)</v>
      </c>
      <c r="H148" s="187" t="s">
        <v>582</v>
      </c>
      <c r="I148" s="84" t="str">
        <f>IFERROR(VLOOKUP(CONCATENATE($B148,"_",I$3),materiali!$C:$K,5,0),"")</f>
        <v>997006154</v>
      </c>
      <c r="J148" s="85" t="str">
        <f>IFERROR(VLOOKUP(CONCATENATE($B148,"_",J$3),materiali!$C:$K,6,0),"")</f>
        <v>RH 275B (FUSTI 25 KG)</v>
      </c>
      <c r="K148" s="187" t="s">
        <v>612</v>
      </c>
      <c r="L148" s="84" t="str">
        <f>IFERROR(VLOOKUP(CONCATENATE($B148,"_",L$3),materiali!$C:$K,5,0),"")</f>
        <v/>
      </c>
      <c r="M148" s="85" t="str">
        <f>IFERROR(VLOOKUP(CONCATENATE($B148,"_",M$3),materiali!$C:$K,6,0),"")</f>
        <v/>
      </c>
      <c r="N148" s="187" t="s">
        <v>584</v>
      </c>
      <c r="O148" s="84" t="str">
        <f>IFERROR(VLOOKUP(CONCATENATE($B148,"_",O$3),materiali!$C:$K,5,0),"")</f>
        <v>997006168</v>
      </c>
      <c r="P148" s="85" t="str">
        <f>IFERROR(VLOOKUP(CONCATENATE($B148,"_",P$3),materiali!$C:$K,6,0),"")</f>
        <v>CATALIZZATORE TECNOKAT T12-500</v>
      </c>
      <c r="Q148" s="187">
        <v>142460</v>
      </c>
      <c r="R148" s="84" t="str">
        <f>IFERROR(VLOOKUP(CONCATENATE($B148,"_",R$3),materiali!$C:$K,5,0),"")</f>
        <v>997004318</v>
      </c>
      <c r="S148" s="85" t="str">
        <f>IFERROR(VLOOKUP(CONCATENATE($B148,"_",S$3),materiali!$C:$K,6,0),"")</f>
        <v>BIANCO REMAP 10080 FDA 178.3297 (COLORANTE FDA PER SISTEMI)</v>
      </c>
      <c r="T148" s="86"/>
      <c r="U148" s="31"/>
      <c r="V148" s="172">
        <v>68</v>
      </c>
      <c r="W148" s="172">
        <v>8.19</v>
      </c>
      <c r="X148" s="173">
        <v>451</v>
      </c>
      <c r="Y148" s="172">
        <v>26.7</v>
      </c>
      <c r="Z148" s="172">
        <v>41.7</v>
      </c>
      <c r="AA148" s="172">
        <v>73</v>
      </c>
      <c r="AB148" s="91" t="s">
        <v>557</v>
      </c>
      <c r="AD148" s="97"/>
    </row>
    <row r="149" spans="1:30" ht="35.1" customHeight="1" x14ac:dyDescent="0.25">
      <c r="A149" s="83">
        <v>45989</v>
      </c>
      <c r="B149" s="7" t="s">
        <v>24</v>
      </c>
      <c r="C149" s="8" t="s">
        <v>25</v>
      </c>
      <c r="D149" s="8" t="s">
        <v>247</v>
      </c>
      <c r="E149" s="60" t="s">
        <v>621</v>
      </c>
      <c r="F149" s="84" t="str">
        <f>IFERROR(VLOOKUP(CONCATENATE($B149,"_",F$3),materiali!$C:$K,5,0),"")</f>
        <v>997006153</v>
      </c>
      <c r="G149" s="85" t="str">
        <f>IFERROR(VLOOKUP(CONCATENATE($B149,"_",G$3),materiali!$C:$K,6,0),"")</f>
        <v>MPC 109A (FUSTI 50 KG)</v>
      </c>
      <c r="H149" s="187" t="s">
        <v>582</v>
      </c>
      <c r="I149" s="84" t="str">
        <f>IFERROR(VLOOKUP(CONCATENATE($B149,"_",I$3),materiali!$C:$K,5,0),"")</f>
        <v>997006154</v>
      </c>
      <c r="J149" s="85" t="str">
        <f>IFERROR(VLOOKUP(CONCATENATE($B149,"_",J$3),materiali!$C:$K,6,0),"")</f>
        <v>RH 275B (FUSTI 25 KG)</v>
      </c>
      <c r="K149" s="187" t="s">
        <v>612</v>
      </c>
      <c r="L149" s="84" t="str">
        <f>IFERROR(VLOOKUP(CONCATENATE($B149,"_",L$3),materiali!$C:$K,5,0),"")</f>
        <v/>
      </c>
      <c r="M149" s="85" t="str">
        <f>IFERROR(VLOOKUP(CONCATENATE($B149,"_",M$3),materiali!$C:$K,6,0),"")</f>
        <v/>
      </c>
      <c r="N149" s="187" t="s">
        <v>584</v>
      </c>
      <c r="O149" s="84" t="str">
        <f>IFERROR(VLOOKUP(CONCATENATE($B149,"_",O$3),materiali!$C:$K,5,0),"")</f>
        <v>997006168</v>
      </c>
      <c r="P149" s="85" t="str">
        <f>IFERROR(VLOOKUP(CONCATENATE($B149,"_",P$3),materiali!$C:$K,6,0),"")</f>
        <v>CATALIZZATORE TECNOKAT T12-500</v>
      </c>
      <c r="Q149" s="187">
        <v>142460</v>
      </c>
      <c r="R149" s="84" t="str">
        <f>IFERROR(VLOOKUP(CONCATENATE($B149,"_",R$3),materiali!$C:$K,5,0),"")</f>
        <v>997004318</v>
      </c>
      <c r="S149" s="85" t="str">
        <f>IFERROR(VLOOKUP(CONCATENATE($B149,"_",S$3),materiali!$C:$K,6,0),"")</f>
        <v>BIANCO REMAP 10080 FDA 178.3297 (COLORANTE FDA PER SISTEMI)</v>
      </c>
      <c r="T149" s="86"/>
      <c r="U149" s="31"/>
      <c r="V149" s="172">
        <v>68</v>
      </c>
      <c r="W149" s="172">
        <v>8.4700000000000006</v>
      </c>
      <c r="X149" s="173">
        <v>503.3</v>
      </c>
      <c r="Y149" s="172">
        <v>26</v>
      </c>
      <c r="Z149" s="172">
        <v>40.6</v>
      </c>
      <c r="AA149" s="172">
        <v>61</v>
      </c>
      <c r="AB149" s="91" t="s">
        <v>557</v>
      </c>
      <c r="AD149" s="97"/>
    </row>
    <row r="150" spans="1:30" ht="35.1" customHeight="1" x14ac:dyDescent="0.25">
      <c r="A150" s="83">
        <v>45992</v>
      </c>
      <c r="B150" s="7" t="s">
        <v>24</v>
      </c>
      <c r="C150" s="8" t="s">
        <v>25</v>
      </c>
      <c r="D150" s="8" t="s">
        <v>247</v>
      </c>
      <c r="E150" s="60" t="s">
        <v>622</v>
      </c>
      <c r="F150" s="84" t="str">
        <f>IFERROR(VLOOKUP(CONCATENATE($B150,"_",F$3),materiali!$C:$K,5,0),"")</f>
        <v>997006153</v>
      </c>
      <c r="G150" s="85" t="str">
        <f>IFERROR(VLOOKUP(CONCATENATE($B150,"_",G$3),materiali!$C:$K,6,0),"")</f>
        <v>MPC 109A (FUSTI 50 KG)</v>
      </c>
      <c r="H150" s="187" t="s">
        <v>582</v>
      </c>
      <c r="I150" s="84" t="str">
        <f>IFERROR(VLOOKUP(CONCATENATE($B150,"_",I$3),materiali!$C:$K,5,0),"")</f>
        <v>997006154</v>
      </c>
      <c r="J150" s="85" t="str">
        <f>IFERROR(VLOOKUP(CONCATENATE($B150,"_",J$3),materiali!$C:$K,6,0),"")</f>
        <v>RH 275B (FUSTI 25 KG)</v>
      </c>
      <c r="K150" s="187" t="s">
        <v>612</v>
      </c>
      <c r="L150" s="84" t="str">
        <f>IFERROR(VLOOKUP(CONCATENATE($B150,"_",L$3),materiali!$C:$K,5,0),"")</f>
        <v/>
      </c>
      <c r="M150" s="85" t="str">
        <f>IFERROR(VLOOKUP(CONCATENATE($B150,"_",M$3),materiali!$C:$K,6,0),"")</f>
        <v/>
      </c>
      <c r="N150" s="187" t="s">
        <v>584</v>
      </c>
      <c r="O150" s="84" t="str">
        <f>IFERROR(VLOOKUP(CONCATENATE($B150,"_",O$3),materiali!$C:$K,5,0),"")</f>
        <v>997006168</v>
      </c>
      <c r="P150" s="85" t="str">
        <f>IFERROR(VLOOKUP(CONCATENATE($B150,"_",P$3),materiali!$C:$K,6,0),"")</f>
        <v>CATALIZZATORE TECNOKAT T12-500</v>
      </c>
      <c r="Q150" s="187">
        <v>142460</v>
      </c>
      <c r="R150" s="84" t="str">
        <f>IFERROR(VLOOKUP(CONCATENATE($B150,"_",R$3),materiali!$C:$K,5,0),"")</f>
        <v>997004318</v>
      </c>
      <c r="S150" s="85" t="str">
        <f>IFERROR(VLOOKUP(CONCATENATE($B150,"_",S$3),materiali!$C:$K,6,0),"")</f>
        <v>BIANCO REMAP 10080 FDA 178.3297 (COLORANTE FDA PER SISTEMI)</v>
      </c>
      <c r="T150" s="86"/>
      <c r="U150" s="31"/>
      <c r="V150" s="172">
        <v>69</v>
      </c>
      <c r="W150" s="172">
        <v>7.09</v>
      </c>
      <c r="X150" s="173">
        <v>386.1</v>
      </c>
      <c r="Y150" s="172">
        <v>25.2</v>
      </c>
      <c r="Z150" s="172">
        <v>38.299999999999997</v>
      </c>
      <c r="AA150" s="172">
        <v>69</v>
      </c>
      <c r="AB150" s="91" t="s">
        <v>557</v>
      </c>
      <c r="AD150" s="97"/>
    </row>
    <row r="151" spans="1:30" ht="35.1" customHeight="1" x14ac:dyDescent="0.25">
      <c r="A151" s="83">
        <v>45993</v>
      </c>
      <c r="B151" s="7" t="s">
        <v>24</v>
      </c>
      <c r="C151" s="8" t="s">
        <v>25</v>
      </c>
      <c r="D151" s="8" t="s">
        <v>247</v>
      </c>
      <c r="E151" s="60" t="s">
        <v>623</v>
      </c>
      <c r="F151" s="84" t="str">
        <f>IFERROR(VLOOKUP(CONCATENATE($B151,"_",F$3),materiali!$C:$K,5,0),"")</f>
        <v>997006153</v>
      </c>
      <c r="G151" s="85" t="str">
        <f>IFERROR(VLOOKUP(CONCATENATE($B151,"_",G$3),materiali!$C:$K,6,0),"")</f>
        <v>MPC 109A (FUSTI 50 KG)</v>
      </c>
      <c r="H151" s="187" t="s">
        <v>582</v>
      </c>
      <c r="I151" s="84" t="str">
        <f>IFERROR(VLOOKUP(CONCATENATE($B151,"_",I$3),materiali!$C:$K,5,0),"")</f>
        <v>997006154</v>
      </c>
      <c r="J151" s="85" t="str">
        <f>IFERROR(VLOOKUP(CONCATENATE($B151,"_",J$3),materiali!$C:$K,6,0),"")</f>
        <v>RH 275B (FUSTI 25 KG)</v>
      </c>
      <c r="K151" s="187" t="s">
        <v>624</v>
      </c>
      <c r="L151" s="84" t="str">
        <f>IFERROR(VLOOKUP(CONCATENATE($B151,"_",L$3),materiali!$C:$K,5,0),"")</f>
        <v/>
      </c>
      <c r="M151" s="85" t="str">
        <f>IFERROR(VLOOKUP(CONCATENATE($B151,"_",M$3),materiali!$C:$K,6,0),"")</f>
        <v/>
      </c>
      <c r="N151" s="187" t="s">
        <v>584</v>
      </c>
      <c r="O151" s="84" t="str">
        <f>IFERROR(VLOOKUP(CONCATENATE($B151,"_",O$3),materiali!$C:$K,5,0),"")</f>
        <v>997006168</v>
      </c>
      <c r="P151" s="85" t="str">
        <f>IFERROR(VLOOKUP(CONCATENATE($B151,"_",P$3),materiali!$C:$K,6,0),"")</f>
        <v>CATALIZZATORE TECNOKAT T12-500</v>
      </c>
      <c r="Q151" s="187">
        <v>142460</v>
      </c>
      <c r="R151" s="84" t="str">
        <f>IFERROR(VLOOKUP(CONCATENATE($B151,"_",R$3),materiali!$C:$K,5,0),"")</f>
        <v>997004318</v>
      </c>
      <c r="S151" s="85" t="str">
        <f>IFERROR(VLOOKUP(CONCATENATE($B151,"_",S$3),materiali!$C:$K,6,0),"")</f>
        <v>BIANCO REMAP 10080 FDA 178.3297 (COLORANTE FDA PER SISTEMI)</v>
      </c>
      <c r="T151" s="86"/>
      <c r="U151" s="31"/>
      <c r="V151" s="172">
        <v>68</v>
      </c>
      <c r="W151" s="172">
        <v>7.73</v>
      </c>
      <c r="X151" s="173">
        <v>405.7</v>
      </c>
      <c r="Y151" s="172">
        <v>25.5</v>
      </c>
      <c r="Z151" s="172">
        <v>36.700000000000003</v>
      </c>
      <c r="AA151" s="172">
        <v>67</v>
      </c>
      <c r="AB151" s="91" t="s">
        <v>557</v>
      </c>
      <c r="AD151" s="97"/>
    </row>
    <row r="152" spans="1:30" ht="35.1" customHeight="1" x14ac:dyDescent="0.25">
      <c r="A152" s="83">
        <v>45994</v>
      </c>
      <c r="B152" s="7" t="s">
        <v>24</v>
      </c>
      <c r="C152" s="8" t="s">
        <v>25</v>
      </c>
      <c r="D152" s="8" t="s">
        <v>247</v>
      </c>
      <c r="E152" s="60" t="s">
        <v>625</v>
      </c>
      <c r="F152" s="84" t="str">
        <f>IFERROR(VLOOKUP(CONCATENATE($B152,"_",F$3),materiali!$C:$K,5,0),"")</f>
        <v>997006153</v>
      </c>
      <c r="G152" s="85" t="str">
        <f>IFERROR(VLOOKUP(CONCATENATE($B152,"_",G$3),materiali!$C:$K,6,0),"")</f>
        <v>MPC 109A (FUSTI 50 KG)</v>
      </c>
      <c r="H152" s="185" t="s">
        <v>582</v>
      </c>
      <c r="I152" s="84" t="str">
        <f>IFERROR(VLOOKUP(CONCATENATE($B152,"_",I$3),materiali!$C:$K,5,0),"")</f>
        <v>997006154</v>
      </c>
      <c r="J152" s="85" t="str">
        <f>IFERROR(VLOOKUP(CONCATENATE($B152,"_",J$3),materiali!$C:$K,6,0),"")</f>
        <v>RH 275B (FUSTI 25 KG)</v>
      </c>
      <c r="K152" s="185" t="s">
        <v>624</v>
      </c>
      <c r="L152" s="84" t="str">
        <f>IFERROR(VLOOKUP(CONCATENATE($B152,"_",L$3),materiali!$C:$K,5,0),"")</f>
        <v/>
      </c>
      <c r="M152" s="85" t="str">
        <f>IFERROR(VLOOKUP(CONCATENATE($B152,"_",M$3),materiali!$C:$K,6,0),"")</f>
        <v/>
      </c>
      <c r="N152" s="185" t="s">
        <v>584</v>
      </c>
      <c r="O152" s="84" t="str">
        <f>IFERROR(VLOOKUP(CONCATENATE($B152,"_",O$3),materiali!$C:$K,5,0),"")</f>
        <v>997006168</v>
      </c>
      <c r="P152" s="85" t="str">
        <f>IFERROR(VLOOKUP(CONCATENATE($B152,"_",P$3),materiali!$C:$K,6,0),"")</f>
        <v>CATALIZZATORE TECNOKAT T12-500</v>
      </c>
      <c r="Q152" s="185">
        <v>142460</v>
      </c>
      <c r="R152" s="84" t="str">
        <f>IFERROR(VLOOKUP(CONCATENATE($B152,"_",R$3),materiali!$C:$K,5,0),"")</f>
        <v>997004318</v>
      </c>
      <c r="S152" s="85" t="str">
        <f>IFERROR(VLOOKUP(CONCATENATE($B152,"_",S$3),materiali!$C:$K,6,0),"")</f>
        <v>BIANCO REMAP 10080 FDA 178.3297 (COLORANTE FDA PER SISTEMI)</v>
      </c>
      <c r="T152" s="86"/>
      <c r="U152" s="31"/>
      <c r="V152" s="172">
        <v>68</v>
      </c>
      <c r="W152" s="172">
        <v>5.98</v>
      </c>
      <c r="X152" s="173">
        <v>407.9</v>
      </c>
      <c r="Y152" s="172">
        <v>22.5</v>
      </c>
      <c r="Z152" s="172">
        <v>34.4</v>
      </c>
      <c r="AA152" s="172">
        <v>68</v>
      </c>
      <c r="AB152" s="206" t="s">
        <v>557</v>
      </c>
      <c r="AD152" s="97"/>
    </row>
    <row r="153" spans="1:30" ht="35.1" customHeight="1" x14ac:dyDescent="0.25">
      <c r="A153" s="83">
        <v>45995</v>
      </c>
      <c r="B153" s="7" t="s">
        <v>24</v>
      </c>
      <c r="C153" s="8" t="s">
        <v>25</v>
      </c>
      <c r="D153" s="8" t="s">
        <v>247</v>
      </c>
      <c r="E153" s="60" t="s">
        <v>626</v>
      </c>
      <c r="F153" s="84" t="str">
        <f>IFERROR(VLOOKUP(CONCATENATE($B153,"_",F$3),materiali!$C:$K,5,0),"")</f>
        <v>997006153</v>
      </c>
      <c r="G153" s="85" t="str">
        <f>IFERROR(VLOOKUP(CONCATENATE($B153,"_",G$3),materiali!$C:$K,6,0),"")</f>
        <v>MPC 109A (FUSTI 50 KG)</v>
      </c>
      <c r="H153" s="185" t="s">
        <v>582</v>
      </c>
      <c r="I153" s="84" t="str">
        <f>IFERROR(VLOOKUP(CONCATENATE($B153,"_",I$3),materiali!$C:$K,5,0),"")</f>
        <v>997006154</v>
      </c>
      <c r="J153" s="85" t="str">
        <f>IFERROR(VLOOKUP(CONCATENATE($B153,"_",J$3),materiali!$C:$K,6,0),"")</f>
        <v>RH 275B (FUSTI 25 KG)</v>
      </c>
      <c r="K153" s="185" t="s">
        <v>624</v>
      </c>
      <c r="L153" s="84" t="str">
        <f>IFERROR(VLOOKUP(CONCATENATE($B153,"_",L$3),materiali!$C:$K,5,0),"")</f>
        <v/>
      </c>
      <c r="M153" s="85" t="str">
        <f>IFERROR(VLOOKUP(CONCATENATE($B153,"_",M$3),materiali!$C:$K,6,0),"")</f>
        <v/>
      </c>
      <c r="N153" s="185" t="s">
        <v>584</v>
      </c>
      <c r="O153" s="84" t="str">
        <f>IFERROR(VLOOKUP(CONCATENATE($B153,"_",O$3),materiali!$C:$K,5,0),"")</f>
        <v>997006168</v>
      </c>
      <c r="P153" s="85" t="str">
        <f>IFERROR(VLOOKUP(CONCATENATE($B153,"_",P$3),materiali!$C:$K,6,0),"")</f>
        <v>CATALIZZATORE TECNOKAT T12-500</v>
      </c>
      <c r="Q153" s="185">
        <v>142460</v>
      </c>
      <c r="R153" s="84" t="str">
        <f>IFERROR(VLOOKUP(CONCATENATE($B153,"_",R$3),materiali!$C:$K,5,0),"")</f>
        <v>997004318</v>
      </c>
      <c r="S153" s="85" t="str">
        <f>IFERROR(VLOOKUP(CONCATENATE($B153,"_",S$3),materiali!$C:$K,6,0),"")</f>
        <v>BIANCO REMAP 10080 FDA 178.3297 (COLORANTE FDA PER SISTEMI)</v>
      </c>
      <c r="T153" s="86"/>
      <c r="U153" s="31"/>
      <c r="V153" s="172">
        <v>69</v>
      </c>
      <c r="W153" s="172">
        <v>7</v>
      </c>
      <c r="X153" s="173">
        <v>388</v>
      </c>
      <c r="Y153" s="172">
        <v>25</v>
      </c>
      <c r="Z153" s="172">
        <v>36</v>
      </c>
      <c r="AA153" s="172">
        <v>70</v>
      </c>
      <c r="AB153" s="206" t="s">
        <v>557</v>
      </c>
      <c r="AD153" s="97"/>
    </row>
    <row r="154" spans="1:30" ht="35.1" customHeight="1" x14ac:dyDescent="0.25">
      <c r="A154" s="83">
        <v>45996</v>
      </c>
      <c r="B154" s="7" t="s">
        <v>24</v>
      </c>
      <c r="C154" s="8" t="s">
        <v>25</v>
      </c>
      <c r="D154" s="8" t="s">
        <v>247</v>
      </c>
      <c r="E154" s="60" t="s">
        <v>627</v>
      </c>
      <c r="F154" s="84" t="str">
        <f>IFERROR(VLOOKUP(CONCATENATE($B154,"_",F$3),materiali!$C:$K,5,0),"")</f>
        <v>997006153</v>
      </c>
      <c r="G154" s="85" t="str">
        <f>IFERROR(VLOOKUP(CONCATENATE($B154,"_",G$3),materiali!$C:$K,6,0),"")</f>
        <v>MPC 109A (FUSTI 50 KG)</v>
      </c>
      <c r="H154" s="185" t="s">
        <v>582</v>
      </c>
      <c r="I154" s="84" t="str">
        <f>IFERROR(VLOOKUP(CONCATENATE($B154,"_",I$3),materiali!$C:$K,5,0),"")</f>
        <v>997006154</v>
      </c>
      <c r="J154" s="85" t="str">
        <f>IFERROR(VLOOKUP(CONCATENATE($B154,"_",J$3),materiali!$C:$K,6,0),"")</f>
        <v>RH 275B (FUSTI 25 KG)</v>
      </c>
      <c r="K154" s="185" t="s">
        <v>624</v>
      </c>
      <c r="L154" s="84" t="str">
        <f>IFERROR(VLOOKUP(CONCATENATE($B154,"_",L$3),materiali!$C:$K,5,0),"")</f>
        <v/>
      </c>
      <c r="M154" s="85" t="str">
        <f>IFERROR(VLOOKUP(CONCATENATE($B154,"_",M$3),materiali!$C:$K,6,0),"")</f>
        <v/>
      </c>
      <c r="N154" s="185" t="s">
        <v>584</v>
      </c>
      <c r="O154" s="84" t="str">
        <f>IFERROR(VLOOKUP(CONCATENATE($B154,"_",O$3),materiali!$C:$K,5,0),"")</f>
        <v>997006168</v>
      </c>
      <c r="P154" s="85" t="str">
        <f>IFERROR(VLOOKUP(CONCATENATE($B154,"_",P$3),materiali!$C:$K,6,0),"")</f>
        <v>CATALIZZATORE TECNOKAT T12-500</v>
      </c>
      <c r="Q154" s="185">
        <v>142460</v>
      </c>
      <c r="R154" s="84" t="str">
        <f>IFERROR(VLOOKUP(CONCATENATE($B154,"_",R$3),materiali!$C:$K,5,0),"")</f>
        <v>997004318</v>
      </c>
      <c r="S154" s="85" t="str">
        <f>IFERROR(VLOOKUP(CONCATENATE($B154,"_",S$3),materiali!$C:$K,6,0),"")</f>
        <v>BIANCO REMAP 10080 FDA 178.3297 (COLORANTE FDA PER SISTEMI)</v>
      </c>
      <c r="T154" s="86"/>
      <c r="U154" s="31"/>
      <c r="V154" s="172">
        <v>69</v>
      </c>
      <c r="W154" s="172">
        <v>6.25</v>
      </c>
      <c r="X154" s="173">
        <v>345</v>
      </c>
      <c r="Y154" s="172">
        <v>24.7</v>
      </c>
      <c r="Z154" s="172">
        <v>37.700000000000003</v>
      </c>
      <c r="AA154" s="172">
        <v>69</v>
      </c>
      <c r="AB154" s="206" t="s">
        <v>557</v>
      </c>
      <c r="AD154" s="97"/>
    </row>
    <row r="155" spans="1:30" ht="35.1" customHeight="1" x14ac:dyDescent="0.25">
      <c r="A155" s="83">
        <v>45999</v>
      </c>
      <c r="B155" s="7" t="s">
        <v>24</v>
      </c>
      <c r="C155" s="8" t="s">
        <v>25</v>
      </c>
      <c r="D155" s="8" t="s">
        <v>247</v>
      </c>
      <c r="E155" s="60" t="s">
        <v>628</v>
      </c>
      <c r="F155" s="84" t="str">
        <f>IFERROR(VLOOKUP(CONCATENATE($B155,"_",F$3),materiali!$C:$K,5,0),"")</f>
        <v>997006153</v>
      </c>
      <c r="G155" s="85" t="str">
        <f>IFERROR(VLOOKUP(CONCATENATE($B155,"_",G$3),materiali!$C:$K,6,0),"")</f>
        <v>MPC 109A (FUSTI 50 KG)</v>
      </c>
      <c r="H155" s="185" t="s">
        <v>582</v>
      </c>
      <c r="I155" s="84" t="str">
        <f>IFERROR(VLOOKUP(CONCATENATE($B155,"_",I$3),materiali!$C:$K,5,0),"")</f>
        <v>997006154</v>
      </c>
      <c r="J155" s="85" t="str">
        <f>IFERROR(VLOOKUP(CONCATENATE($B155,"_",J$3),materiali!$C:$K,6,0),"")</f>
        <v>RH 275B (FUSTI 25 KG)</v>
      </c>
      <c r="K155" s="185" t="s">
        <v>624</v>
      </c>
      <c r="L155" s="84" t="str">
        <f>IFERROR(VLOOKUP(CONCATENATE($B155,"_",L$3),materiali!$C:$K,5,0),"")</f>
        <v/>
      </c>
      <c r="M155" s="85" t="str">
        <f>IFERROR(VLOOKUP(CONCATENATE($B155,"_",M$3),materiali!$C:$K,6,0),"")</f>
        <v/>
      </c>
      <c r="N155" s="185" t="s">
        <v>584</v>
      </c>
      <c r="O155" s="84" t="str">
        <f>IFERROR(VLOOKUP(CONCATENATE($B155,"_",O$3),materiali!$C:$K,5,0),"")</f>
        <v>997006168</v>
      </c>
      <c r="P155" s="85" t="str">
        <f>IFERROR(VLOOKUP(CONCATENATE($B155,"_",P$3),materiali!$C:$K,6,0),"")</f>
        <v>CATALIZZATORE TECNOKAT T12-500</v>
      </c>
      <c r="Q155" s="185">
        <v>142460</v>
      </c>
      <c r="R155" s="84" t="str">
        <f>IFERROR(VLOOKUP(CONCATENATE($B155,"_",R$3),materiali!$C:$K,5,0),"")</f>
        <v>997004318</v>
      </c>
      <c r="S155" s="85" t="str">
        <f>IFERROR(VLOOKUP(CONCATENATE($B155,"_",S$3),materiali!$C:$K,6,0),"")</f>
        <v>BIANCO REMAP 10080 FDA 178.3297 (COLORANTE FDA PER SISTEMI)</v>
      </c>
      <c r="T155" s="86"/>
      <c r="U155" s="31"/>
      <c r="V155" s="172">
        <v>68</v>
      </c>
      <c r="W155" s="172">
        <v>6.75</v>
      </c>
      <c r="X155" s="173">
        <v>422.3</v>
      </c>
      <c r="Y155" s="172">
        <v>25</v>
      </c>
      <c r="Z155" s="172">
        <v>37.9</v>
      </c>
      <c r="AA155" s="172">
        <v>67</v>
      </c>
      <c r="AB155" s="206" t="s">
        <v>557</v>
      </c>
      <c r="AD155" s="97"/>
    </row>
    <row r="156" spans="1:30" ht="35.1" hidden="1" customHeight="1" x14ac:dyDescent="0.25">
      <c r="A156" s="83">
        <v>45999</v>
      </c>
      <c r="B156" s="7" t="s">
        <v>38</v>
      </c>
      <c r="C156" s="8" t="s">
        <v>39</v>
      </c>
      <c r="D156" s="8" t="s">
        <v>272</v>
      </c>
      <c r="E156" s="60" t="s">
        <v>628</v>
      </c>
      <c r="F156" s="84" t="str">
        <f>IFERROR(VLOOKUP(CONCATENATE($B156,"_",F$3),materiali!$C:$K,5,0),"")</f>
        <v>997001518</v>
      </c>
      <c r="G156" s="85" t="str">
        <f>IFERROR(VLOOKUP(CONCATENATE($B156,"_",G$3),materiali!$C:$K,6,0),"")</f>
        <v>PREPOLIMERO HTR 2011 (FUSTI DA 60 KG)</v>
      </c>
      <c r="H156" s="86"/>
      <c r="I156" s="84" t="str">
        <f>IFERROR(VLOOKUP(CONCATENATE($B156,"_",I$3),materiali!$C:$K,5,0),"")</f>
        <v>997001519</v>
      </c>
      <c r="J156" s="85" t="str">
        <f>IFERROR(VLOOKUP(CONCATENATE($B156,"_",J$3),materiali!$C:$K,6,0),"")</f>
        <v>RETICOLANTE TH 380 (FUSTI DA 20 KG.)</v>
      </c>
      <c r="K156" s="86"/>
      <c r="L156" s="84" t="str">
        <f>IFERROR(VLOOKUP(CONCATENATE($B156,"_",L$3),materiali!$C:$K,5,0),"")</f>
        <v/>
      </c>
      <c r="M156" s="85" t="str">
        <f>IFERROR(VLOOKUP(CONCATENATE($B156,"_",M$3),materiali!$C:$K,6,0),"")</f>
        <v/>
      </c>
      <c r="N156" s="86"/>
      <c r="O156" s="84" t="str">
        <f>IFERROR(VLOOKUP(CONCATENATE($B156,"_",O$3),materiali!$C:$K,5,0),"")</f>
        <v>040001013</v>
      </c>
      <c r="P156" s="85" t="str">
        <f>IFERROR(VLOOKUP(CONCATENATE($B156,"_",P$3),materiali!$C:$K,6,0),"")</f>
        <v>CATALIZZATORE TECNOKAT E, 10KG</v>
      </c>
      <c r="Q156" s="86"/>
      <c r="R156" s="84" t="str">
        <f>IFERROR(VLOOKUP(CONCATENATE($B156,"_",R$3),materiali!$C:$K,5,0),"")</f>
        <v/>
      </c>
      <c r="S156" s="85" t="str">
        <f>IFERROR(VLOOKUP(CONCATENATE($B156,"_",S$3),materiali!$C:$K,6,0),"")</f>
        <v/>
      </c>
      <c r="T156" s="86"/>
      <c r="U156" s="31"/>
      <c r="V156" s="172">
        <v>88</v>
      </c>
      <c r="W156" s="172">
        <v>17</v>
      </c>
      <c r="X156" s="173">
        <v>465</v>
      </c>
      <c r="Y156" s="172">
        <v>57</v>
      </c>
      <c r="Z156" s="172">
        <v>68</v>
      </c>
      <c r="AA156" s="172">
        <v>126</v>
      </c>
      <c r="AB156" s="206" t="s">
        <v>557</v>
      </c>
      <c r="AD156" s="97"/>
    </row>
    <row r="157" spans="1:30" ht="35.1" customHeight="1" x14ac:dyDescent="0.25">
      <c r="A157" s="83">
        <v>46000</v>
      </c>
      <c r="B157" s="7" t="s">
        <v>24</v>
      </c>
      <c r="C157" s="8" t="s">
        <v>25</v>
      </c>
      <c r="D157" s="8" t="s">
        <v>247</v>
      </c>
      <c r="E157" s="60" t="s">
        <v>629</v>
      </c>
      <c r="F157" s="84" t="str">
        <f>IFERROR(VLOOKUP(CONCATENATE($B157,"_",F$3),materiali!$C:$K,5,0),"")</f>
        <v>997006153</v>
      </c>
      <c r="G157" s="85" t="str">
        <f>IFERROR(VLOOKUP(CONCATENATE($B157,"_",G$3),materiali!$C:$K,6,0),"")</f>
        <v>MPC 109A (FUSTI 50 KG)</v>
      </c>
      <c r="H157" s="185" t="s">
        <v>582</v>
      </c>
      <c r="I157" s="84" t="str">
        <f>IFERROR(VLOOKUP(CONCATENATE($B157,"_",I$3),materiali!$C:$K,5,0),"")</f>
        <v>997006154</v>
      </c>
      <c r="J157" s="85" t="str">
        <f>IFERROR(VLOOKUP(CONCATENATE($B157,"_",J$3),materiali!$C:$K,6,0),"")</f>
        <v>RH 275B (FUSTI 25 KG)</v>
      </c>
      <c r="K157" s="185" t="s">
        <v>624</v>
      </c>
      <c r="L157" s="84" t="str">
        <f>IFERROR(VLOOKUP(CONCATENATE($B157,"_",L$3),materiali!$C:$K,5,0),"")</f>
        <v/>
      </c>
      <c r="M157" s="85" t="str">
        <f>IFERROR(VLOOKUP(CONCATENATE($B157,"_",M$3),materiali!$C:$K,6,0),"")</f>
        <v/>
      </c>
      <c r="N157" s="185" t="s">
        <v>584</v>
      </c>
      <c r="O157" s="84" t="str">
        <f>IFERROR(VLOOKUP(CONCATENATE($B157,"_",O$3),materiali!$C:$K,5,0),"")</f>
        <v>997006168</v>
      </c>
      <c r="P157" s="85" t="str">
        <f>IFERROR(VLOOKUP(CONCATENATE($B157,"_",P$3),materiali!$C:$K,6,0),"")</f>
        <v>CATALIZZATORE TECNOKAT T12-500</v>
      </c>
      <c r="Q157" s="185">
        <v>142460</v>
      </c>
      <c r="R157" s="84" t="str">
        <f>IFERROR(VLOOKUP(CONCATENATE($B157,"_",R$3),materiali!$C:$K,5,0),"")</f>
        <v>997004318</v>
      </c>
      <c r="S157" s="85" t="str">
        <f>IFERROR(VLOOKUP(CONCATENATE($B157,"_",S$3),materiali!$C:$K,6,0),"")</f>
        <v>BIANCO REMAP 10080 FDA 178.3297 (COLORANTE FDA PER SISTEMI)</v>
      </c>
      <c r="T157" s="86"/>
      <c r="U157" s="31"/>
      <c r="V157" s="59">
        <v>70</v>
      </c>
      <c r="W157" s="59">
        <v>8.39</v>
      </c>
      <c r="X157" s="183">
        <v>417.5</v>
      </c>
      <c r="Y157" s="59">
        <v>25.9</v>
      </c>
      <c r="Z157" s="59">
        <v>39.700000000000003</v>
      </c>
      <c r="AA157" s="59">
        <v>63</v>
      </c>
      <c r="AB157" s="91" t="s">
        <v>557</v>
      </c>
      <c r="AD157" s="97"/>
    </row>
    <row r="158" spans="1:30" ht="35.1" hidden="1" customHeight="1" x14ac:dyDescent="0.25">
      <c r="A158" s="83">
        <v>46000</v>
      </c>
      <c r="B158" s="7" t="s">
        <v>38</v>
      </c>
      <c r="C158" s="8" t="s">
        <v>39</v>
      </c>
      <c r="D158" s="8" t="s">
        <v>272</v>
      </c>
      <c r="E158" s="60" t="s">
        <v>629</v>
      </c>
      <c r="F158" s="84" t="str">
        <f>IFERROR(VLOOKUP(CONCATENATE($B158,"_",F$3),materiali!$C:$K,5,0),"")</f>
        <v>997001518</v>
      </c>
      <c r="G158" s="85" t="str">
        <f>IFERROR(VLOOKUP(CONCATENATE($B158,"_",G$3),materiali!$C:$K,6,0),"")</f>
        <v>PREPOLIMERO HTR 2011 (FUSTI DA 60 KG)</v>
      </c>
      <c r="H158" s="86"/>
      <c r="I158" s="84" t="str">
        <f>IFERROR(VLOOKUP(CONCATENATE($B158,"_",I$3),materiali!$C:$K,5,0),"")</f>
        <v>997001519</v>
      </c>
      <c r="J158" s="85" t="str">
        <f>IFERROR(VLOOKUP(CONCATENATE($B158,"_",J$3),materiali!$C:$K,6,0),"")</f>
        <v>RETICOLANTE TH 380 (FUSTI DA 20 KG.)</v>
      </c>
      <c r="K158" s="86"/>
      <c r="L158" s="84" t="str">
        <f>IFERROR(VLOOKUP(CONCATENATE($B158,"_",L$3),materiali!$C:$K,5,0),"")</f>
        <v/>
      </c>
      <c r="M158" s="85" t="str">
        <f>IFERROR(VLOOKUP(CONCATENATE($B158,"_",M$3),materiali!$C:$K,6,0),"")</f>
        <v/>
      </c>
      <c r="N158" s="86"/>
      <c r="O158" s="84" t="str">
        <f>IFERROR(VLOOKUP(CONCATENATE($B158,"_",O$3),materiali!$C:$K,5,0),"")</f>
        <v>040001013</v>
      </c>
      <c r="P158" s="85" t="str">
        <f>IFERROR(VLOOKUP(CONCATENATE($B158,"_",P$3),materiali!$C:$K,6,0),"")</f>
        <v>CATALIZZATORE TECNOKAT E, 10KG</v>
      </c>
      <c r="Q158" s="86"/>
      <c r="R158" s="84" t="str">
        <f>IFERROR(VLOOKUP(CONCATENATE($B158,"_",R$3),materiali!$C:$K,5,0),"")</f>
        <v/>
      </c>
      <c r="S158" s="85" t="str">
        <f>IFERROR(VLOOKUP(CONCATENATE($B158,"_",S$3),materiali!$C:$K,6,0),"")</f>
        <v/>
      </c>
      <c r="T158" s="86"/>
      <c r="U158" s="31"/>
      <c r="V158" s="172">
        <v>88</v>
      </c>
      <c r="W158" s="172">
        <v>16</v>
      </c>
      <c r="X158" s="173">
        <v>400</v>
      </c>
      <c r="Y158" s="172">
        <v>51</v>
      </c>
      <c r="Z158" s="172">
        <v>64</v>
      </c>
      <c r="AA158" s="172">
        <v>121</v>
      </c>
      <c r="AB158" s="206" t="s">
        <v>557</v>
      </c>
      <c r="AD158" s="97"/>
    </row>
    <row r="159" spans="1:30" ht="35.1" customHeight="1" x14ac:dyDescent="0.25">
      <c r="A159" s="83">
        <v>46001</v>
      </c>
      <c r="B159" s="7" t="s">
        <v>24</v>
      </c>
      <c r="C159" s="8" t="s">
        <v>25</v>
      </c>
      <c r="D159" s="8" t="s">
        <v>247</v>
      </c>
      <c r="E159" s="60" t="s">
        <v>630</v>
      </c>
      <c r="F159" s="84" t="str">
        <f>IFERROR(VLOOKUP(CONCATENATE($B159,"_",F$3),materiali!$C:$K,5,0),"")</f>
        <v>997006153</v>
      </c>
      <c r="G159" s="85" t="str">
        <f>IFERROR(VLOOKUP(CONCATENATE($B159,"_",G$3),materiali!$C:$K,6,0),"")</f>
        <v>MPC 109A (FUSTI 50 KG)</v>
      </c>
      <c r="H159" s="185" t="s">
        <v>582</v>
      </c>
      <c r="I159" s="84" t="str">
        <f>IFERROR(VLOOKUP(CONCATENATE($B159,"_",I$3),materiali!$C:$K,5,0),"")</f>
        <v>997006154</v>
      </c>
      <c r="J159" s="85" t="str">
        <f>IFERROR(VLOOKUP(CONCATENATE($B159,"_",J$3),materiali!$C:$K,6,0),"")</f>
        <v>RH 275B (FUSTI 25 KG)</v>
      </c>
      <c r="K159" s="185" t="s">
        <v>624</v>
      </c>
      <c r="L159" s="84" t="str">
        <f>IFERROR(VLOOKUP(CONCATENATE($B159,"_",L$3),materiali!$C:$K,5,0),"")</f>
        <v/>
      </c>
      <c r="M159" s="85" t="str">
        <f>IFERROR(VLOOKUP(CONCATENATE($B159,"_",M$3),materiali!$C:$K,6,0),"")</f>
        <v/>
      </c>
      <c r="N159" s="185" t="s">
        <v>584</v>
      </c>
      <c r="O159" s="84" t="str">
        <f>IFERROR(VLOOKUP(CONCATENATE($B159,"_",O$3),materiali!$C:$K,5,0),"")</f>
        <v>997006168</v>
      </c>
      <c r="P159" s="85" t="str">
        <f>IFERROR(VLOOKUP(CONCATENATE($B159,"_",P$3),materiali!$C:$K,6,0),"")</f>
        <v>CATALIZZATORE TECNOKAT T12-500</v>
      </c>
      <c r="Q159" s="185">
        <v>142460</v>
      </c>
      <c r="R159" s="84" t="str">
        <f>IFERROR(VLOOKUP(CONCATENATE($B159,"_",R$3),materiali!$C:$K,5,0),"")</f>
        <v>997004318</v>
      </c>
      <c r="S159" s="85" t="str">
        <f>IFERROR(VLOOKUP(CONCATENATE($B159,"_",S$3),materiali!$C:$K,6,0),"")</f>
        <v>BIANCO REMAP 10080 FDA 178.3297 (COLORANTE FDA PER SISTEMI)</v>
      </c>
      <c r="T159" s="86"/>
      <c r="U159" s="31"/>
      <c r="V159" s="172">
        <v>71</v>
      </c>
      <c r="W159" s="172">
        <v>8.3000000000000007</v>
      </c>
      <c r="X159" s="173">
        <v>415.5</v>
      </c>
      <c r="Y159" s="172">
        <v>27.2</v>
      </c>
      <c r="Z159" s="172">
        <v>37.5</v>
      </c>
      <c r="AA159" s="172">
        <v>57</v>
      </c>
      <c r="AB159" s="91" t="s">
        <v>557</v>
      </c>
      <c r="AD159" s="97"/>
    </row>
    <row r="160" spans="1:30" ht="35.1" hidden="1" customHeight="1" x14ac:dyDescent="0.25">
      <c r="A160" s="83">
        <v>46001</v>
      </c>
      <c r="B160" s="7" t="s">
        <v>38</v>
      </c>
      <c r="C160" s="8" t="s">
        <v>39</v>
      </c>
      <c r="D160" s="8" t="s">
        <v>272</v>
      </c>
      <c r="E160" s="60" t="s">
        <v>630</v>
      </c>
      <c r="F160" s="84" t="str">
        <f>IFERROR(VLOOKUP(CONCATENATE($B160,"_",F$3),materiali!$C:$K,5,0),"")</f>
        <v>997001518</v>
      </c>
      <c r="G160" s="85" t="str">
        <f>IFERROR(VLOOKUP(CONCATENATE($B160,"_",G$3),materiali!$C:$K,6,0),"")</f>
        <v>PREPOLIMERO HTR 2011 (FUSTI DA 60 KG)</v>
      </c>
      <c r="H160" s="86"/>
      <c r="I160" s="84" t="str">
        <f>IFERROR(VLOOKUP(CONCATENATE($B160,"_",I$3),materiali!$C:$K,5,0),"")</f>
        <v>997001519</v>
      </c>
      <c r="J160" s="85" t="str">
        <f>IFERROR(VLOOKUP(CONCATENATE($B160,"_",J$3),materiali!$C:$K,6,0),"")</f>
        <v>RETICOLANTE TH 380 (FUSTI DA 20 KG.)</v>
      </c>
      <c r="K160" s="86"/>
      <c r="L160" s="84" t="str">
        <f>IFERROR(VLOOKUP(CONCATENATE($B160,"_",L$3),materiali!$C:$K,5,0),"")</f>
        <v/>
      </c>
      <c r="M160" s="85" t="str">
        <f>IFERROR(VLOOKUP(CONCATENATE($B160,"_",M$3),materiali!$C:$K,6,0),"")</f>
        <v/>
      </c>
      <c r="N160" s="86"/>
      <c r="O160" s="84" t="str">
        <f>IFERROR(VLOOKUP(CONCATENATE($B160,"_",O$3),materiali!$C:$K,5,0),"")</f>
        <v>040001013</v>
      </c>
      <c r="P160" s="85" t="str">
        <f>IFERROR(VLOOKUP(CONCATENATE($B160,"_",P$3),materiali!$C:$K,6,0),"")</f>
        <v>CATALIZZATORE TECNOKAT E, 10KG</v>
      </c>
      <c r="Q160" s="86"/>
      <c r="R160" s="84" t="str">
        <f>IFERROR(VLOOKUP(CONCATENATE($B160,"_",R$3),materiali!$C:$K,5,0),"")</f>
        <v/>
      </c>
      <c r="S160" s="85" t="str">
        <f>IFERROR(VLOOKUP(CONCATENATE($B160,"_",S$3),materiali!$C:$K,6,0),"")</f>
        <v/>
      </c>
      <c r="T160" s="86"/>
      <c r="U160" s="31"/>
      <c r="V160" s="172">
        <v>85</v>
      </c>
      <c r="W160" s="172">
        <v>18</v>
      </c>
      <c r="X160" s="173">
        <v>453</v>
      </c>
      <c r="Y160" s="172">
        <v>55</v>
      </c>
      <c r="Z160" s="172">
        <v>69</v>
      </c>
      <c r="AA160" s="172">
        <v>115</v>
      </c>
      <c r="AB160" s="91" t="s">
        <v>557</v>
      </c>
      <c r="AD160" s="97"/>
    </row>
    <row r="161" spans="1:30" ht="35.1" customHeight="1" x14ac:dyDescent="0.25">
      <c r="A161" s="83">
        <v>46002</v>
      </c>
      <c r="B161" s="7" t="s">
        <v>24</v>
      </c>
      <c r="C161" s="8" t="s">
        <v>25</v>
      </c>
      <c r="D161" s="8" t="s">
        <v>247</v>
      </c>
      <c r="E161" s="60" t="s">
        <v>631</v>
      </c>
      <c r="F161" s="84" t="str">
        <f>IFERROR(VLOOKUP(CONCATENATE($B161,"_",F$3),materiali!$C:$K,5,0),"")</f>
        <v>997006153</v>
      </c>
      <c r="G161" s="85" t="str">
        <f>IFERROR(VLOOKUP(CONCATENATE($B161,"_",G$3),materiali!$C:$K,6,0),"")</f>
        <v>MPC 109A (FUSTI 50 KG)</v>
      </c>
      <c r="H161" s="185" t="s">
        <v>582</v>
      </c>
      <c r="I161" s="84" t="str">
        <f>IFERROR(VLOOKUP(CONCATENATE($B161,"_",I$3),materiali!$C:$K,5,0),"")</f>
        <v>997006154</v>
      </c>
      <c r="J161" s="85" t="str">
        <f>IFERROR(VLOOKUP(CONCATENATE($B161,"_",J$3),materiali!$C:$K,6,0),"")</f>
        <v>RH 275B (FUSTI 25 KG)</v>
      </c>
      <c r="K161" s="185" t="s">
        <v>624</v>
      </c>
      <c r="L161" s="84" t="str">
        <f>IFERROR(VLOOKUP(CONCATENATE($B161,"_",L$3),materiali!$C:$K,5,0),"")</f>
        <v/>
      </c>
      <c r="M161" s="85" t="str">
        <f>IFERROR(VLOOKUP(CONCATENATE($B161,"_",M$3),materiali!$C:$K,6,0),"")</f>
        <v/>
      </c>
      <c r="N161" s="185" t="s">
        <v>584</v>
      </c>
      <c r="O161" s="84" t="str">
        <f>IFERROR(VLOOKUP(CONCATENATE($B161,"_",O$3),materiali!$C:$K,5,0),"")</f>
        <v>997006168</v>
      </c>
      <c r="P161" s="85" t="str">
        <f>IFERROR(VLOOKUP(CONCATENATE($B161,"_",P$3),materiali!$C:$K,6,0),"")</f>
        <v>CATALIZZATORE TECNOKAT T12-500</v>
      </c>
      <c r="Q161" s="185">
        <v>142460</v>
      </c>
      <c r="R161" s="84" t="str">
        <f>IFERROR(VLOOKUP(CONCATENATE($B161,"_",R$3),materiali!$C:$K,5,0),"")</f>
        <v>997004318</v>
      </c>
      <c r="S161" s="85" t="str">
        <f>IFERROR(VLOOKUP(CONCATENATE($B161,"_",S$3),materiali!$C:$K,6,0),"")</f>
        <v>BIANCO REMAP 10080 FDA 178.3297 (COLORANTE FDA PER SISTEMI)</v>
      </c>
      <c r="T161" s="86"/>
      <c r="U161" s="31"/>
      <c r="V161" s="172">
        <v>70</v>
      </c>
      <c r="W161" s="172">
        <v>7.15</v>
      </c>
      <c r="X161" s="173">
        <v>386.3</v>
      </c>
      <c r="Y161" s="172">
        <v>25.4</v>
      </c>
      <c r="Z161" s="172">
        <v>37.6</v>
      </c>
      <c r="AA161" s="172">
        <v>65</v>
      </c>
      <c r="AB161" s="91" t="s">
        <v>557</v>
      </c>
      <c r="AD161" s="97"/>
    </row>
    <row r="162" spans="1:30" ht="35.1" hidden="1" customHeight="1" x14ac:dyDescent="0.25">
      <c r="A162" s="83">
        <v>46042</v>
      </c>
      <c r="B162" s="7" t="s">
        <v>10</v>
      </c>
      <c r="C162" s="8" t="s">
        <v>11</v>
      </c>
      <c r="D162" s="8" t="s">
        <v>65</v>
      </c>
      <c r="E162" s="60" t="s">
        <v>632</v>
      </c>
      <c r="F162" s="84" t="str">
        <f>IFERROR(VLOOKUP(CONCATENATE($B162,"_",F$3),materiali!$C:$K,5,0),"")</f>
        <v>997001502</v>
      </c>
      <c r="G162" s="85" t="str">
        <f>IFERROR(VLOOKUP(CONCATENATE($B162,"_",G$3),materiali!$C:$K,6,0),"")</f>
        <v>ISOCIANATO POLIETERE SH.70/90 TECNOTHANE MPT 109SG</v>
      </c>
      <c r="H162" s="86"/>
      <c r="I162" s="84" t="str">
        <f>IFERROR(VLOOKUP(CONCATENATE($B162,"_",I$3),materiali!$C:$K,5,0),"")</f>
        <v>997005228</v>
      </c>
      <c r="J162" s="85" t="str">
        <f>IFERROR(VLOOKUP(CONCATENATE($B162,"_",J$3),materiali!$C:$K,6,0),"")</f>
        <v>POLIOLO POLIETERE SH.70 TECNOTHANE RH 246  FORMATO 200 KG.</v>
      </c>
      <c r="K162" s="86"/>
      <c r="L162" s="84" t="str">
        <f>IFERROR(VLOOKUP(CONCATENATE($B162,"_",L$3),materiali!$C:$K,5,0),"")</f>
        <v/>
      </c>
      <c r="M162" s="85" t="str">
        <f>IFERROR(VLOOKUP(CONCATENATE($B162,"_",M$3),materiali!$C:$K,6,0),"")</f>
        <v/>
      </c>
      <c r="N162" s="86"/>
      <c r="O162" s="84" t="str">
        <f>IFERROR(VLOOKUP(CONCATENATE($B162,"_",O$3),materiali!$C:$K,5,0),"")</f>
        <v>040001013</v>
      </c>
      <c r="P162" s="85" t="str">
        <f>IFERROR(VLOOKUP(CONCATENATE($B162,"_",P$3),materiali!$C:$K,6,0),"")</f>
        <v>ACCELERANTE X POLIOLO POLIESTE RE (per macchine pur old)</v>
      </c>
      <c r="Q162" s="86"/>
      <c r="R162" s="84" t="str">
        <f>IFERROR(VLOOKUP(CONCATENATE($B162,"_",R$3),materiali!$C:$K,5,0),"")</f>
        <v>997001508</v>
      </c>
      <c r="S162" s="85" t="str">
        <f>IFERROR(VLOOKUP(CONCATENATE($B162,"_",S$3),materiali!$C:$K,6,0),"")</f>
        <v>COLORE GIALLO PER POLIOLO</v>
      </c>
      <c r="T162" s="86"/>
      <c r="U162" s="31"/>
      <c r="V162" s="172">
        <v>75</v>
      </c>
      <c r="W162" s="172">
        <v>9</v>
      </c>
      <c r="X162" s="173">
        <v>489</v>
      </c>
      <c r="Y162" s="172">
        <v>26</v>
      </c>
      <c r="Z162" s="172">
        <v>50</v>
      </c>
      <c r="AA162" s="172">
        <v>30</v>
      </c>
      <c r="AB162" s="205" t="s">
        <v>633</v>
      </c>
      <c r="AC162" s="205"/>
      <c r="AD162" s="97"/>
    </row>
    <row r="163" spans="1:30" ht="35.1" hidden="1" customHeight="1" x14ac:dyDescent="0.25">
      <c r="A163" s="83">
        <v>46042</v>
      </c>
      <c r="B163" s="7" t="s">
        <v>14</v>
      </c>
      <c r="C163" s="8" t="s">
        <v>15</v>
      </c>
      <c r="D163" s="8" t="s">
        <v>97</v>
      </c>
      <c r="E163" s="60" t="s">
        <v>632</v>
      </c>
      <c r="F163" s="84" t="str">
        <f>IFERROR(VLOOKUP(CONCATENATE($B163,"_",F$3),materiali!$C:$K,5,0),"")</f>
        <v>997001513</v>
      </c>
      <c r="G163" s="85" t="str">
        <f>IFERROR(VLOOKUP(CONCATENATE($B163,"_",G$3),materiali!$C:$K,6,0),"")</f>
        <v>RESINA TECNOTHANE MPC2013SG</v>
      </c>
      <c r="H163" s="86"/>
      <c r="I163" s="84" t="str">
        <f>IFERROR(VLOOKUP(CONCATENATE($B163,"_",I$3),materiali!$C:$K,5,0),"")</f>
        <v>997001515</v>
      </c>
      <c r="J163" s="85" t="str">
        <f>IFERROR(VLOOKUP(CONCATENATE($B163,"_",J$3),materiali!$C:$K,6,0),"")</f>
        <v>RETICOLANTE TECNOTHANE RCH160 (50 KG)</v>
      </c>
      <c r="K163" s="86"/>
      <c r="L163" s="84" t="str">
        <f>IFERROR(VLOOKUP(CONCATENATE($B163,"_",L$3),materiali!$C:$K,5,0),"")</f>
        <v/>
      </c>
      <c r="M163" s="85" t="str">
        <f>IFERROR(VLOOKUP(CONCATENATE($B163,"_",M$3),materiali!$C:$K,6,0),"")</f>
        <v/>
      </c>
      <c r="N163" s="86"/>
      <c r="O163" s="84" t="str">
        <f>IFERROR(VLOOKUP(CONCATENATE($B163,"_",O$3),materiali!$C:$K,5,0),"")</f>
        <v>040001013</v>
      </c>
      <c r="P163" s="85" t="str">
        <f>IFERROR(VLOOKUP(CONCATENATE($B163,"_",P$3),materiali!$C:$K,6,0),"")</f>
        <v>ACCELERANTE X POLIOLO POLIESTERE TECNOKAT  PURO NON DILUITO</v>
      </c>
      <c r="Q163" s="86"/>
      <c r="R163" s="84" t="str">
        <f>IFERROR(VLOOKUP(CONCATENATE($B163,"_",R$3),materiali!$C:$K,5,0),"")</f>
        <v>997001508</v>
      </c>
      <c r="S163" s="85" t="str">
        <f>IFERROR(VLOOKUP(CONCATENATE($B163,"_",S$3),materiali!$C:$K,6,0),"")</f>
        <v>COLORE GIALLO PER POLIOLO</v>
      </c>
      <c r="T163" s="86"/>
      <c r="U163" s="31"/>
      <c r="V163" s="59">
        <v>95</v>
      </c>
      <c r="W163" s="59">
        <v>26</v>
      </c>
      <c r="X163" s="183">
        <v>790</v>
      </c>
      <c r="Y163" s="59">
        <v>79</v>
      </c>
      <c r="Z163" s="59">
        <v>112</v>
      </c>
      <c r="AA163" s="59">
        <v>41</v>
      </c>
      <c r="AB163" s="59" t="s">
        <v>557</v>
      </c>
      <c r="AC163" s="59"/>
      <c r="AD163" s="97"/>
    </row>
    <row r="164" spans="1:30" ht="35.1" hidden="1" customHeight="1" x14ac:dyDescent="0.25">
      <c r="A164" s="83">
        <v>46042</v>
      </c>
      <c r="B164" s="7" t="s">
        <v>20</v>
      </c>
      <c r="C164" s="8" t="s">
        <v>21</v>
      </c>
      <c r="D164" s="8" t="s">
        <v>193</v>
      </c>
      <c r="E164" s="60" t="s">
        <v>632</v>
      </c>
      <c r="F164" s="84" t="str">
        <f>IFERROR(VLOOKUP(CONCATENATE($B164,"_",F$3),materiali!$C:$K,5,0),"")</f>
        <v>997001513</v>
      </c>
      <c r="G164" s="85" t="str">
        <f>IFERROR(VLOOKUP(CONCATENATE($B164,"_",G$3),materiali!$C:$K,6,0),"")</f>
        <v>RESINA TECNOTHANE MPC2013SG</v>
      </c>
      <c r="H164" s="86"/>
      <c r="I164" s="84" t="str">
        <f>IFERROR(VLOOKUP(CONCATENATE($B164,"_",I$3),materiali!$C:$K,5,0),"")</f>
        <v>997001514</v>
      </c>
      <c r="J164" s="85" t="str">
        <f>IFERROR(VLOOKUP(CONCATENATE($B164,"_",J$3),materiali!$C:$K,6,0),"")</f>
        <v>RETICOLANTE TECNOTHANE RCH361</v>
      </c>
      <c r="K164" s="86"/>
      <c r="L164" s="84" t="str">
        <f>IFERROR(VLOOKUP(CONCATENATE($B164,"_",L$3),materiali!$C:$K,5,0),"")</f>
        <v/>
      </c>
      <c r="M164" s="85" t="str">
        <f>IFERROR(VLOOKUP(CONCATENATE($B164,"_",M$3),materiali!$C:$K,6,0),"")</f>
        <v/>
      </c>
      <c r="N164" s="86"/>
      <c r="O164" s="84" t="str">
        <f>IFERROR(VLOOKUP(CONCATENATE($B164,"_",O$3),materiali!$C:$K,5,0),"")</f>
        <v>040001013</v>
      </c>
      <c r="P164" s="85" t="str">
        <f>IFERROR(VLOOKUP(CONCATENATE($B164,"_",P$3),materiali!$C:$K,6,0),"")</f>
        <v>ACCELERANTE X POLIOLO POLIESTERE TECNOKAT  PURO NON DILUITO</v>
      </c>
      <c r="Q164" s="86"/>
      <c r="R164" s="84" t="str">
        <f>IFERROR(VLOOKUP(CONCATENATE($B164,"_",R$3),materiali!$C:$K,5,0),"")</f>
        <v>997001508</v>
      </c>
      <c r="S164" s="85" t="str">
        <f>IFERROR(VLOOKUP(CONCATENATE($B164,"_",S$3),materiali!$C:$K,6,0),"")</f>
        <v>COLORE GIALLO PER POLIOLO</v>
      </c>
      <c r="T164" s="86"/>
      <c r="U164" s="31"/>
      <c r="V164" s="59">
        <v>73</v>
      </c>
      <c r="W164" s="59">
        <v>26</v>
      </c>
      <c r="X164" s="183">
        <v>985</v>
      </c>
      <c r="Y164" s="59">
        <v>49</v>
      </c>
      <c r="Z164" s="59">
        <v>61</v>
      </c>
      <c r="AA164" s="59">
        <v>20</v>
      </c>
      <c r="AB164" s="205" t="s">
        <v>634</v>
      </c>
      <c r="AC164" s="205"/>
      <c r="AD164" s="97"/>
    </row>
    <row r="165" spans="1:30" ht="35.1" hidden="1" customHeight="1" x14ac:dyDescent="0.25">
      <c r="A165" s="83">
        <v>46042</v>
      </c>
      <c r="B165" s="7">
        <v>438044935</v>
      </c>
      <c r="C165" s="8" t="s">
        <v>635</v>
      </c>
      <c r="D165" s="8" t="s">
        <v>255</v>
      </c>
      <c r="E165" s="60" t="s">
        <v>632</v>
      </c>
      <c r="F165" s="84" t="str">
        <f>IFERROR(VLOOKUP(CONCATENATE($B165,"_",F$3),materiali!$C:$K,5,0),"")</f>
        <v>997001513</v>
      </c>
      <c r="G165" s="85" t="str">
        <f>IFERROR(VLOOKUP(CONCATENATE($B165,"_",G$3),materiali!$C:$K,6,0),"")</f>
        <v>RESINA TECNOTHANE MPC2013SG</v>
      </c>
      <c r="H165" s="86"/>
      <c r="I165" s="84" t="str">
        <f>IFERROR(VLOOKUP(CONCATENATE($B165,"_",I$3),materiali!$C:$K,5,0),"")</f>
        <v>997001514</v>
      </c>
      <c r="J165" s="85" t="str">
        <f>IFERROR(VLOOKUP(CONCATENATE($B165,"_",J$3),materiali!$C:$K,6,0),"")</f>
        <v>RETICOLANTE TECNOTHANE RCH360 (N.B.FUSTI DA 200 KG)</v>
      </c>
      <c r="K165" s="86"/>
      <c r="L165" s="84" t="str">
        <f>IFERROR(VLOOKUP(CONCATENATE($B165,"_",L$3),materiali!$C:$K,5,0),"")</f>
        <v/>
      </c>
      <c r="M165" s="85" t="str">
        <f>IFERROR(VLOOKUP(CONCATENATE($B165,"_",M$3),materiali!$C:$K,6,0),"")</f>
        <v/>
      </c>
      <c r="N165" s="86"/>
      <c r="O165" s="84" t="str">
        <f>IFERROR(VLOOKUP(CONCATENATE($B165,"_",O$3),materiali!$C:$K,5,0),"")</f>
        <v>040001013</v>
      </c>
      <c r="P165" s="85" t="str">
        <f>IFERROR(VLOOKUP(CONCATENATE($B165,"_",P$3),materiali!$C:$K,6,0),"")</f>
        <v>CATALIZZATORE TECNOKAT E, 10KG</v>
      </c>
      <c r="Q165" s="86"/>
      <c r="R165" s="84" t="str">
        <f>IFERROR(VLOOKUP(CONCATENATE($B165,"_",R$3),materiali!$C:$K,5,0),"")</f>
        <v>997001508</v>
      </c>
      <c r="S165" s="85" t="str">
        <f>IFERROR(VLOOKUP(CONCATENATE($B165,"_",S$3),materiali!$C:$K,6,0),"")</f>
        <v>COLORANTE GIALLO REPIPLAST/CE 28713</v>
      </c>
      <c r="T165" s="86"/>
      <c r="U165" s="31"/>
      <c r="V165" s="59">
        <v>75</v>
      </c>
      <c r="W165" s="59">
        <v>19</v>
      </c>
      <c r="X165" s="183">
        <v>724</v>
      </c>
      <c r="Y165" s="59">
        <v>36</v>
      </c>
      <c r="Z165" s="59">
        <v>53</v>
      </c>
      <c r="AA165" s="59">
        <v>22</v>
      </c>
      <c r="AB165" s="59" t="s">
        <v>557</v>
      </c>
      <c r="AC165" s="59"/>
      <c r="AD165" s="97"/>
    </row>
    <row r="166" spans="1:30" ht="35.1" hidden="1" customHeight="1" x14ac:dyDescent="0.25">
      <c r="A166" s="83">
        <v>46042</v>
      </c>
      <c r="B166" s="7" t="s">
        <v>28</v>
      </c>
      <c r="C166" s="8" t="s">
        <v>29</v>
      </c>
      <c r="D166" s="8" t="s">
        <v>93</v>
      </c>
      <c r="E166" s="60" t="s">
        <v>632</v>
      </c>
      <c r="F166" s="84" t="str">
        <f>IFERROR(VLOOKUP(CONCATENATE($B166,"_",F$3),materiali!$C:$K,5,0),"")</f>
        <v>997001513</v>
      </c>
      <c r="G166" s="85" t="str">
        <f>IFERROR(VLOOKUP(CONCATENATE($B166,"_",G$3),materiali!$C:$K,6,0),"")</f>
        <v>RESINA TECNOTHANE MPC2013SG</v>
      </c>
      <c r="H166" s="86"/>
      <c r="I166" s="84" t="str">
        <f>IFERROR(VLOOKUP(CONCATENATE($B166,"_",I$3),materiali!$C:$K,5,0),"")</f>
        <v>997001514</v>
      </c>
      <c r="J166" s="85" t="str">
        <f>IFERROR(VLOOKUP(CONCATENATE($B166,"_",J$3),materiali!$C:$K,6,0),"")</f>
        <v>RETICOLANTE TECNOTHANE RCH361</v>
      </c>
      <c r="K166" s="86"/>
      <c r="L166" s="84" t="str">
        <f>IFERROR(VLOOKUP(CONCATENATE($B166,"_",L$3),materiali!$C:$K,5,0),"")</f>
        <v/>
      </c>
      <c r="M166" s="85" t="str">
        <f>IFERROR(VLOOKUP(CONCATENATE($B166,"_",M$3),materiali!$C:$K,6,0),"")</f>
        <v/>
      </c>
      <c r="N166" s="86"/>
      <c r="O166" s="84" t="str">
        <f>IFERROR(VLOOKUP(CONCATENATE($B166,"_",O$3),materiali!$C:$K,5,0),"")</f>
        <v>040001013</v>
      </c>
      <c r="P166" s="85" t="str">
        <f>IFERROR(VLOOKUP(CONCATENATE($B166,"_",P$3),materiali!$C:$K,6,0),"")</f>
        <v>ACCELERANTE X POLIOLO POLIESTERE TECNOKAT  PURO NON DILUITO</v>
      </c>
      <c r="Q166" s="86"/>
      <c r="R166" s="84" t="str">
        <f>IFERROR(VLOOKUP(CONCATENATE($B166,"_",R$3),materiali!$C:$K,5,0),"")</f>
        <v>997001508</v>
      </c>
      <c r="S166" s="85" t="str">
        <f>IFERROR(VLOOKUP(CONCATENATE($B166,"_",S$3),materiali!$C:$K,6,0),"")</f>
        <v>COLORE GIALLO PER POLIOLO</v>
      </c>
      <c r="T166" s="86"/>
      <c r="U166" s="31"/>
      <c r="V166" s="172">
        <v>75</v>
      </c>
      <c r="W166" s="172">
        <v>18</v>
      </c>
      <c r="X166" s="173">
        <v>705</v>
      </c>
      <c r="Y166" s="172">
        <v>37</v>
      </c>
      <c r="Z166" s="172">
        <v>56</v>
      </c>
      <c r="AA166" s="172">
        <v>22</v>
      </c>
      <c r="AB166" s="59" t="s">
        <v>557</v>
      </c>
      <c r="AC166" s="59"/>
      <c r="AD166" s="97"/>
    </row>
    <row r="167" spans="1:30" ht="35.1" hidden="1" customHeight="1" x14ac:dyDescent="0.25">
      <c r="A167" s="83">
        <v>46042</v>
      </c>
      <c r="B167" s="7" t="s">
        <v>42</v>
      </c>
      <c r="C167" s="8" t="s">
        <v>43</v>
      </c>
      <c r="D167" s="8" t="s">
        <v>263</v>
      </c>
      <c r="E167" s="60" t="s">
        <v>632</v>
      </c>
      <c r="F167" s="84" t="str">
        <f>IFERROR(VLOOKUP(CONCATENATE($B167,"_",F$3),materiali!$C:$K,5,0),"")</f>
        <v>997005963</v>
      </c>
      <c r="G167" s="85" t="str">
        <f>IFERROR(VLOOKUP(CONCATENATE($B167,"_",G$3),materiali!$C:$K,6,0),"")</f>
        <v>MPC 2013F (FUSTI 50 KG)</v>
      </c>
      <c r="H167" s="86"/>
      <c r="I167" s="84" t="str">
        <f>IFERROR(VLOOKUP(CONCATENATE($B167,"_",I$3),materiali!$C:$K,5,0),"")</f>
        <v>997005965</v>
      </c>
      <c r="J167" s="85" t="str">
        <f>IFERROR(VLOOKUP(CONCATENATE($B167,"_",J$3),materiali!$C:$K,6,0),"")</f>
        <v>RCH 350F (FUSTI 25 KG)</v>
      </c>
      <c r="K167" s="86"/>
      <c r="L167" s="84" t="str">
        <f>IFERROR(VLOOKUP(CONCATENATE($B167,"_",L$3),materiali!$C:$K,5,0),"")</f>
        <v/>
      </c>
      <c r="M167" s="85" t="str">
        <f>IFERROR(VLOOKUP(CONCATENATE($B167,"_",M$3),materiali!$C:$K,6,0),"")</f>
        <v/>
      </c>
      <c r="N167" s="86"/>
      <c r="O167" s="84" t="str">
        <f>IFERROR(VLOOKUP(CONCATENATE($B167,"_",O$3),materiali!$C:$K,5,0),"")</f>
        <v>997006168</v>
      </c>
      <c r="P167" s="85" t="str">
        <f>IFERROR(VLOOKUP(CONCATENATE($B167,"_",P$3),materiali!$C:$K,6,0),"")</f>
        <v>CATALIZZATORE TECNOKAT T12-500</v>
      </c>
      <c r="Q167" s="86"/>
      <c r="R167" s="84" t="str">
        <f>IFERROR(VLOOKUP(CONCATENATE($B167,"_",R$3),materiali!$C:$K,5,0),"")</f>
        <v>997004318</v>
      </c>
      <c r="S167" s="85" t="str">
        <f>IFERROR(VLOOKUP(CONCATENATE($B167,"_",S$3),materiali!$C:$K,6,0),"")</f>
        <v>BIANCO REMAP 10080 FDA 178.3297 (COLORANTE FDA PER SISTEMI)</v>
      </c>
      <c r="T167" s="86"/>
      <c r="U167" s="31"/>
      <c r="V167" s="59">
        <v>80</v>
      </c>
      <c r="W167" s="59">
        <v>20</v>
      </c>
      <c r="X167" s="183">
        <v>681</v>
      </c>
      <c r="Y167" s="59">
        <v>49</v>
      </c>
      <c r="Z167" s="59">
        <v>66</v>
      </c>
      <c r="AA167" s="59">
        <v>88</v>
      </c>
      <c r="AB167" s="59" t="s">
        <v>557</v>
      </c>
      <c r="AC167" s="59"/>
      <c r="AD167" s="97"/>
    </row>
    <row r="168" spans="1:30" ht="35.1" hidden="1" customHeight="1" x14ac:dyDescent="0.25">
      <c r="A168" s="83">
        <v>46042</v>
      </c>
      <c r="B168" s="7">
        <v>438014257</v>
      </c>
      <c r="C168" s="8" t="s">
        <v>36</v>
      </c>
      <c r="D168" s="8" t="s">
        <v>267</v>
      </c>
      <c r="E168" s="60" t="s">
        <v>632</v>
      </c>
      <c r="F168" s="84" t="str">
        <f>IFERROR(VLOOKUP(CONCATENATE($B168,"_",F$3),materiali!$C:$K,5,0),"")</f>
        <v>997001502</v>
      </c>
      <c r="G168" s="85" t="str">
        <f>IFERROR(VLOOKUP(CONCATENATE($B168,"_",G$3),materiali!$C:$K,6,0),"")</f>
        <v>ISOCIANATO POLIETERE SH.70/90 TECNOTHANE MPT 109SG</v>
      </c>
      <c r="H168" s="86"/>
      <c r="I168" s="84" t="str">
        <f>IFERROR(VLOOKUP(CONCATENATE($B168,"_",I$3),materiali!$C:$K,5,0),"")</f>
        <v>997001503</v>
      </c>
      <c r="J168" s="85" t="str">
        <f>IFERROR(VLOOKUP(CONCATENATE($B168,"_",J$3),materiali!$C:$K,6,0),"")</f>
        <v>POLIOLO POLIETERE SH.70 TECNOTHANE RH 275</v>
      </c>
      <c r="K168" s="86"/>
      <c r="L168" s="84" t="str">
        <f>IFERROR(VLOOKUP(CONCATENATE($B168,"_",L$3),materiali!$C:$K,5,0),"")</f>
        <v/>
      </c>
      <c r="M168" s="85" t="str">
        <f>IFERROR(VLOOKUP(CONCATENATE($B168,"_",M$3),materiali!$C:$K,6,0),"")</f>
        <v/>
      </c>
      <c r="N168" s="86"/>
      <c r="O168" s="84" t="str">
        <f>IFERROR(VLOOKUP(CONCATENATE($B168,"_",O$3),materiali!$C:$K,5,0),"")</f>
        <v>040001013</v>
      </c>
      <c r="P168" s="85" t="str">
        <f>IFERROR(VLOOKUP(CONCATENATE($B168,"_",P$3),materiali!$C:$K,6,0),"")</f>
        <v>CATALIZZATORE TECNOKAT E, 10KG</v>
      </c>
      <c r="Q168" s="86"/>
      <c r="R168" s="84" t="str">
        <f>IFERROR(VLOOKUP(CONCATENATE($B168,"_",R$3),materiali!$C:$K,5,0),"")</f>
        <v>040001014</v>
      </c>
      <c r="S168" s="85" t="str">
        <f>IFERROR(VLOOKUP(CONCATENATE($B168,"_",S$3),materiali!$C:$K,6,0),"")</f>
        <v>ADDITTIVO ANTISTAT.PER POLIOLO POLIEST.CATAFOR PU</v>
      </c>
      <c r="T168" s="86"/>
      <c r="U168" s="31">
        <v>46077</v>
      </c>
      <c r="V168" s="59">
        <v>73</v>
      </c>
      <c r="W168" s="59">
        <v>7</v>
      </c>
      <c r="X168" s="183">
        <v>393</v>
      </c>
      <c r="Y168" s="59">
        <v>25</v>
      </c>
      <c r="Z168" s="59">
        <v>41</v>
      </c>
      <c r="AA168" s="59">
        <v>23</v>
      </c>
      <c r="AB168" s="205" t="s">
        <v>636</v>
      </c>
      <c r="AC168" s="205"/>
      <c r="AD168" s="97"/>
    </row>
    <row r="169" spans="1:30" ht="35.1" customHeight="1" x14ac:dyDescent="0.25">
      <c r="A169" s="83">
        <v>46048</v>
      </c>
      <c r="B169" s="7" t="s">
        <v>24</v>
      </c>
      <c r="C169" s="8" t="s">
        <v>25</v>
      </c>
      <c r="D169" s="8" t="s">
        <v>247</v>
      </c>
      <c r="E169" s="60" t="s">
        <v>637</v>
      </c>
      <c r="F169" s="84" t="str">
        <f>IFERROR(VLOOKUP(CONCATENATE($B169,"_",F$3),materiali!$C:$K,5,0),"")</f>
        <v>997006153</v>
      </c>
      <c r="G169" s="85" t="str">
        <f>IFERROR(VLOOKUP(CONCATENATE($B169,"_",G$3),materiali!$C:$K,6,0),"")</f>
        <v>MPC 109A (FUSTI 50 KG)</v>
      </c>
      <c r="H169" s="86"/>
      <c r="I169" s="84" t="str">
        <f>IFERROR(VLOOKUP(CONCATENATE($B169,"_",I$3),materiali!$C:$K,5,0),"")</f>
        <v>997006154</v>
      </c>
      <c r="J169" s="85" t="str">
        <f>IFERROR(VLOOKUP(CONCATENATE($B169,"_",J$3),materiali!$C:$K,6,0),"")</f>
        <v>RH 275B (FUSTI 25 KG)</v>
      </c>
      <c r="K169" s="86"/>
      <c r="L169" s="84" t="str">
        <f>IFERROR(VLOOKUP(CONCATENATE($B169,"_",L$3),materiali!$C:$K,5,0),"")</f>
        <v/>
      </c>
      <c r="M169" s="85" t="str">
        <f>IFERROR(VLOOKUP(CONCATENATE($B169,"_",M$3),materiali!$C:$K,6,0),"")</f>
        <v/>
      </c>
      <c r="N169" s="86"/>
      <c r="O169" s="84" t="str">
        <f>IFERROR(VLOOKUP(CONCATENATE($B169,"_",O$3),materiali!$C:$K,5,0),"")</f>
        <v>997006168</v>
      </c>
      <c r="P169" s="85" t="str">
        <f>IFERROR(VLOOKUP(CONCATENATE($B169,"_",P$3),materiali!$C:$K,6,0),"")</f>
        <v>CATALIZZATORE TECNOKAT T12-500</v>
      </c>
      <c r="Q169" s="86"/>
      <c r="R169" s="84" t="str">
        <f>IFERROR(VLOOKUP(CONCATENATE($B169,"_",R$3),materiali!$C:$K,5,0),"")</f>
        <v>997004318</v>
      </c>
      <c r="S169" s="85" t="str">
        <f>IFERROR(VLOOKUP(CONCATENATE($B169,"_",S$3),materiali!$C:$K,6,0),"")</f>
        <v>BIANCO REMAP 10080 FDA 178.3297 (COLORANTE FDA PER SISTEMI)</v>
      </c>
      <c r="T169" s="86"/>
      <c r="U169" s="31"/>
      <c r="V169" s="59">
        <v>72</v>
      </c>
      <c r="W169" s="59">
        <v>9</v>
      </c>
      <c r="X169" s="183">
        <v>434</v>
      </c>
      <c r="Y169" s="59">
        <v>22</v>
      </c>
      <c r="Z169" s="59">
        <v>45</v>
      </c>
      <c r="AA169" s="59">
        <v>78</v>
      </c>
      <c r="AB169" s="91" t="s">
        <v>557</v>
      </c>
      <c r="AD169" s="97"/>
    </row>
    <row r="170" spans="1:30" ht="35.1" customHeight="1" x14ac:dyDescent="0.25">
      <c r="A170" s="83">
        <v>46049</v>
      </c>
      <c r="B170" s="7" t="s">
        <v>24</v>
      </c>
      <c r="C170" s="8" t="s">
        <v>25</v>
      </c>
      <c r="D170" s="8" t="s">
        <v>247</v>
      </c>
      <c r="E170" s="60" t="s">
        <v>638</v>
      </c>
      <c r="F170" s="84" t="str">
        <f>IFERROR(VLOOKUP(CONCATENATE($B170,"_",F$3),materiali!$C:$K,5,0),"")</f>
        <v>997006153</v>
      </c>
      <c r="G170" s="85" t="str">
        <f>IFERROR(VLOOKUP(CONCATENATE($B170,"_",G$3),materiali!$C:$K,6,0),"")</f>
        <v>MPC 109A (FUSTI 50 KG)</v>
      </c>
      <c r="H170" s="86"/>
      <c r="I170" s="84" t="str">
        <f>IFERROR(VLOOKUP(CONCATENATE($B170,"_",I$3),materiali!$C:$K,5,0),"")</f>
        <v>997006154</v>
      </c>
      <c r="J170" s="85" t="str">
        <f>IFERROR(VLOOKUP(CONCATENATE($B170,"_",J$3),materiali!$C:$K,6,0),"")</f>
        <v>RH 275B (FUSTI 25 KG)</v>
      </c>
      <c r="K170" s="86"/>
      <c r="L170" s="84" t="str">
        <f>IFERROR(VLOOKUP(CONCATENATE($B170,"_",L$3),materiali!$C:$K,5,0),"")</f>
        <v/>
      </c>
      <c r="M170" s="85" t="str">
        <f>IFERROR(VLOOKUP(CONCATENATE($B170,"_",M$3),materiali!$C:$K,6,0),"")</f>
        <v/>
      </c>
      <c r="N170" s="86"/>
      <c r="O170" s="84" t="str">
        <f>IFERROR(VLOOKUP(CONCATENATE($B170,"_",O$3),materiali!$C:$K,5,0),"")</f>
        <v>997006168</v>
      </c>
      <c r="P170" s="85" t="str">
        <f>IFERROR(VLOOKUP(CONCATENATE($B170,"_",P$3),materiali!$C:$K,6,0),"")</f>
        <v>CATALIZZATORE TECNOKAT T12-500</v>
      </c>
      <c r="Q170" s="86"/>
      <c r="R170" s="84" t="str">
        <f>IFERROR(VLOOKUP(CONCATENATE($B170,"_",R$3),materiali!$C:$K,5,0),"")</f>
        <v>997004318</v>
      </c>
      <c r="S170" s="85" t="str">
        <f>IFERROR(VLOOKUP(CONCATENATE($B170,"_",S$3),materiali!$C:$K,6,0),"")</f>
        <v>BIANCO REMAP 10080 FDA 178.3297 (COLORANTE FDA PER SISTEMI)</v>
      </c>
      <c r="T170" s="86"/>
      <c r="U170" s="31"/>
      <c r="V170" s="59">
        <v>75</v>
      </c>
      <c r="W170" s="59">
        <v>8</v>
      </c>
      <c r="X170" s="183">
        <v>424</v>
      </c>
      <c r="Y170" s="59">
        <v>23</v>
      </c>
      <c r="Z170" s="59">
        <v>44</v>
      </c>
      <c r="AA170" s="59">
        <v>87</v>
      </c>
      <c r="AB170" s="91" t="s">
        <v>557</v>
      </c>
      <c r="AD170" s="97"/>
    </row>
    <row r="171" spans="1:30" ht="35.1" customHeight="1" x14ac:dyDescent="0.25">
      <c r="A171" s="83">
        <v>46050</v>
      </c>
      <c r="B171" s="7" t="s">
        <v>24</v>
      </c>
      <c r="C171" s="8" t="s">
        <v>25</v>
      </c>
      <c r="D171" s="8" t="s">
        <v>247</v>
      </c>
      <c r="E171" s="60" t="s">
        <v>639</v>
      </c>
      <c r="F171" s="84" t="str">
        <f>IFERROR(VLOOKUP(CONCATENATE($B171,"_",F$3),materiali!$C:$K,5,0),"")</f>
        <v>997006153</v>
      </c>
      <c r="G171" s="85" t="str">
        <f>IFERROR(VLOOKUP(CONCATENATE($B171,"_",G$3),materiali!$C:$K,6,0),"")</f>
        <v>MPC 109A (FUSTI 50 KG)</v>
      </c>
      <c r="H171" s="86"/>
      <c r="I171" s="84" t="str">
        <f>IFERROR(VLOOKUP(CONCATENATE($B171,"_",I$3),materiali!$C:$K,5,0),"")</f>
        <v>997006154</v>
      </c>
      <c r="J171" s="85" t="str">
        <f>IFERROR(VLOOKUP(CONCATENATE($B171,"_",J$3),materiali!$C:$K,6,0),"")</f>
        <v>RH 275B (FUSTI 25 KG)</v>
      </c>
      <c r="K171" s="86"/>
      <c r="L171" s="84" t="str">
        <f>IFERROR(VLOOKUP(CONCATENATE($B171,"_",L$3),materiali!$C:$K,5,0),"")</f>
        <v/>
      </c>
      <c r="M171" s="85" t="str">
        <f>IFERROR(VLOOKUP(CONCATENATE($B171,"_",M$3),materiali!$C:$K,6,0),"")</f>
        <v/>
      </c>
      <c r="N171" s="86"/>
      <c r="O171" s="84" t="str">
        <f>IFERROR(VLOOKUP(CONCATENATE($B171,"_",O$3),materiali!$C:$K,5,0),"")</f>
        <v>997006168</v>
      </c>
      <c r="P171" s="85" t="str">
        <f>IFERROR(VLOOKUP(CONCATENATE($B171,"_",P$3),materiali!$C:$K,6,0),"")</f>
        <v>CATALIZZATORE TECNOKAT T12-500</v>
      </c>
      <c r="Q171" s="86"/>
      <c r="R171" s="84" t="str">
        <f>IFERROR(VLOOKUP(CONCATENATE($B171,"_",R$3),materiali!$C:$K,5,0),"")</f>
        <v>997004318</v>
      </c>
      <c r="S171" s="85" t="str">
        <f>IFERROR(VLOOKUP(CONCATENATE($B171,"_",S$3),materiali!$C:$K,6,0),"")</f>
        <v>BIANCO REMAP 10080 FDA 178.3297 (COLORANTE FDA PER SISTEMI)</v>
      </c>
      <c r="T171" s="86"/>
      <c r="U171" s="31"/>
      <c r="V171" s="59">
        <v>74</v>
      </c>
      <c r="W171" s="59">
        <v>8</v>
      </c>
      <c r="X171" s="183">
        <v>420</v>
      </c>
      <c r="Y171" s="59">
        <v>25</v>
      </c>
      <c r="Z171" s="59">
        <v>43</v>
      </c>
      <c r="AA171" s="59">
        <v>76</v>
      </c>
      <c r="AB171" s="91" t="s">
        <v>557</v>
      </c>
      <c r="AD171" s="97"/>
    </row>
    <row r="172" spans="1:30" ht="35.1" customHeight="1" x14ac:dyDescent="0.25">
      <c r="A172" s="83">
        <v>46051</v>
      </c>
      <c r="B172" s="7" t="s">
        <v>24</v>
      </c>
      <c r="C172" s="8" t="s">
        <v>25</v>
      </c>
      <c r="D172" s="8" t="s">
        <v>247</v>
      </c>
      <c r="E172" s="60" t="s">
        <v>640</v>
      </c>
      <c r="F172" s="84" t="str">
        <f>IFERROR(VLOOKUP(CONCATENATE($B172,"_",F$3),materiali!$C:$K,5,0),"")</f>
        <v>997006153</v>
      </c>
      <c r="G172" s="85" t="str">
        <f>IFERROR(VLOOKUP(CONCATENATE($B172,"_",G$3),materiali!$C:$K,6,0),"")</f>
        <v>MPC 109A (FUSTI 50 KG)</v>
      </c>
      <c r="H172" s="86"/>
      <c r="I172" s="84" t="str">
        <f>IFERROR(VLOOKUP(CONCATENATE($B172,"_",I$3),materiali!$C:$K,5,0),"")</f>
        <v>997006154</v>
      </c>
      <c r="J172" s="85" t="str">
        <f>IFERROR(VLOOKUP(CONCATENATE($B172,"_",J$3),materiali!$C:$K,6,0),"")</f>
        <v>RH 275B (FUSTI 25 KG)</v>
      </c>
      <c r="K172" s="86"/>
      <c r="L172" s="84" t="str">
        <f>IFERROR(VLOOKUP(CONCATENATE($B172,"_",L$3),materiali!$C:$K,5,0),"")</f>
        <v/>
      </c>
      <c r="M172" s="85" t="str">
        <f>IFERROR(VLOOKUP(CONCATENATE($B172,"_",M$3),materiali!$C:$K,6,0),"")</f>
        <v/>
      </c>
      <c r="N172" s="86"/>
      <c r="O172" s="84" t="str">
        <f>IFERROR(VLOOKUP(CONCATENATE($B172,"_",O$3),materiali!$C:$K,5,0),"")</f>
        <v>997006168</v>
      </c>
      <c r="P172" s="85" t="str">
        <f>IFERROR(VLOOKUP(CONCATENATE($B172,"_",P$3),materiali!$C:$K,6,0),"")</f>
        <v>CATALIZZATORE TECNOKAT T12-500</v>
      </c>
      <c r="Q172" s="86"/>
      <c r="R172" s="84" t="str">
        <f>IFERROR(VLOOKUP(CONCATENATE($B172,"_",R$3),materiali!$C:$K,5,0),"")</f>
        <v>997004318</v>
      </c>
      <c r="S172" s="85" t="str">
        <f>IFERROR(VLOOKUP(CONCATENATE($B172,"_",S$3),materiali!$C:$K,6,0),"")</f>
        <v>BIANCO REMAP 10080 FDA 178.3297 (COLORANTE FDA PER SISTEMI)</v>
      </c>
      <c r="T172" s="86"/>
      <c r="U172" s="31"/>
      <c r="V172" s="59">
        <v>75</v>
      </c>
      <c r="W172" s="59">
        <v>8</v>
      </c>
      <c r="X172" s="183">
        <v>438</v>
      </c>
      <c r="Y172" s="59">
        <v>25</v>
      </c>
      <c r="Z172" s="59">
        <v>44</v>
      </c>
      <c r="AA172" s="59">
        <v>75</v>
      </c>
      <c r="AB172" s="91" t="s">
        <v>557</v>
      </c>
      <c r="AD172" s="97"/>
    </row>
    <row r="173" spans="1:30" ht="35.1" customHeight="1" x14ac:dyDescent="0.25">
      <c r="A173" s="83">
        <v>46052</v>
      </c>
      <c r="B173" s="7" t="s">
        <v>24</v>
      </c>
      <c r="C173" s="8" t="s">
        <v>25</v>
      </c>
      <c r="D173" s="8" t="s">
        <v>247</v>
      </c>
      <c r="E173" s="61" t="s">
        <v>641</v>
      </c>
      <c r="F173" s="84" t="str">
        <f>IFERROR(VLOOKUP(CONCATENATE($B173,"_",F$3),materiali!$C:$K,5,0),"")</f>
        <v>997006153</v>
      </c>
      <c r="G173" s="85" t="str">
        <f>IFERROR(VLOOKUP(CONCATENATE($B173,"_",G$3),materiali!$C:$K,6,0),"")</f>
        <v>MPC 109A (FUSTI 50 KG)</v>
      </c>
      <c r="H173" s="90"/>
      <c r="I173" s="84" t="str">
        <f>IFERROR(VLOOKUP(CONCATENATE($B173,"_",I$3),materiali!$C:$K,5,0),"")</f>
        <v>997006154</v>
      </c>
      <c r="J173" s="85" t="str">
        <f>IFERROR(VLOOKUP(CONCATENATE($B173,"_",J$3),materiali!$C:$K,6,0),"")</f>
        <v>RH 275B (FUSTI 25 KG)</v>
      </c>
      <c r="K173" s="90"/>
      <c r="L173" s="84" t="str">
        <f>IFERROR(VLOOKUP(CONCATENATE($B173,"_",L$3),materiali!$C:$K,5,0),"")</f>
        <v/>
      </c>
      <c r="M173" s="85" t="str">
        <f>IFERROR(VLOOKUP(CONCATENATE($B173,"_",M$3),materiali!$C:$K,6,0),"")</f>
        <v/>
      </c>
      <c r="N173" s="90"/>
      <c r="O173" s="84" t="str">
        <f>IFERROR(VLOOKUP(CONCATENATE($B173,"_",O$3),materiali!$C:$K,5,0),"")</f>
        <v>997006168</v>
      </c>
      <c r="P173" s="85" t="str">
        <f>IFERROR(VLOOKUP(CONCATENATE($B173,"_",P$3),materiali!$C:$K,6,0),"")</f>
        <v>CATALIZZATORE TECNOKAT T12-500</v>
      </c>
      <c r="Q173" s="90"/>
      <c r="R173" s="84" t="str">
        <f>IFERROR(VLOOKUP(CONCATENATE($B173,"_",R$3),materiali!$C:$K,5,0),"")</f>
        <v>997004318</v>
      </c>
      <c r="S173" s="85" t="str">
        <f>IFERROR(VLOOKUP(CONCATENATE($B173,"_",S$3),materiali!$C:$K,6,0),"")</f>
        <v>BIANCO REMAP 10080 FDA 178.3297 (COLORANTE FDA PER SISTEMI)</v>
      </c>
      <c r="T173" s="90"/>
      <c r="U173" s="31"/>
      <c r="V173" s="172">
        <v>70</v>
      </c>
      <c r="W173" s="172">
        <v>8.14</v>
      </c>
      <c r="X173" s="173">
        <v>419.3</v>
      </c>
      <c r="Y173" s="172">
        <v>28.3</v>
      </c>
      <c r="Z173" s="172">
        <v>47</v>
      </c>
      <c r="AA173" s="172">
        <v>93</v>
      </c>
      <c r="AB173" s="91" t="s">
        <v>557</v>
      </c>
      <c r="AD173" s="97"/>
    </row>
    <row r="174" spans="1:30" ht="35.1" customHeight="1" x14ac:dyDescent="0.25">
      <c r="A174" s="83">
        <v>46055</v>
      </c>
      <c r="B174" s="7" t="s">
        <v>24</v>
      </c>
      <c r="C174" s="8" t="s">
        <v>25</v>
      </c>
      <c r="D174" s="8" t="s">
        <v>247</v>
      </c>
      <c r="E174" s="60" t="s">
        <v>642</v>
      </c>
      <c r="F174" s="84" t="str">
        <f>IFERROR(VLOOKUP(CONCATENATE($B174,"_",F$3),materiali!$C:$K,5,0),"")</f>
        <v>997006153</v>
      </c>
      <c r="G174" s="85" t="str">
        <f>IFERROR(VLOOKUP(CONCATENATE($B174,"_",G$3),materiali!$C:$K,6,0),"")</f>
        <v>MPC 109A (FUSTI 50 KG)</v>
      </c>
      <c r="H174" s="86"/>
      <c r="I174" s="84" t="str">
        <f>IFERROR(VLOOKUP(CONCATENATE($B174,"_",I$3),materiali!$C:$K,5,0),"")</f>
        <v>997006154</v>
      </c>
      <c r="J174" s="85" t="str">
        <f>IFERROR(VLOOKUP(CONCATENATE($B174,"_",J$3),materiali!$C:$K,6,0),"")</f>
        <v>RH 275B (FUSTI 25 KG)</v>
      </c>
      <c r="K174" s="86"/>
      <c r="L174" s="84" t="str">
        <f>IFERROR(VLOOKUP(CONCATENATE($B174,"_",L$3),materiali!$C:$K,5,0),"")</f>
        <v/>
      </c>
      <c r="M174" s="85" t="str">
        <f>IFERROR(VLOOKUP(CONCATENATE($B174,"_",M$3),materiali!$C:$K,6,0),"")</f>
        <v/>
      </c>
      <c r="N174" s="86"/>
      <c r="O174" s="84" t="str">
        <f>IFERROR(VLOOKUP(CONCATENATE($B174,"_",O$3),materiali!$C:$K,5,0),"")</f>
        <v>997006168</v>
      </c>
      <c r="P174" s="85" t="str">
        <f>IFERROR(VLOOKUP(CONCATENATE($B174,"_",P$3),materiali!$C:$K,6,0),"")</f>
        <v>CATALIZZATORE TECNOKAT T12-500</v>
      </c>
      <c r="Q174" s="86"/>
      <c r="R174" s="84" t="str">
        <f>IFERROR(VLOOKUP(CONCATENATE($B174,"_",R$3),materiali!$C:$K,5,0),"")</f>
        <v>997004318</v>
      </c>
      <c r="S174" s="85" t="str">
        <f>IFERROR(VLOOKUP(CONCATENATE($B174,"_",S$3),materiali!$C:$K,6,0),"")</f>
        <v>BIANCO REMAP 10080 FDA 178.3297 (COLORANTE FDA PER SISTEMI)</v>
      </c>
      <c r="T174" s="86"/>
      <c r="U174" s="31"/>
      <c r="V174" s="172">
        <v>71</v>
      </c>
      <c r="W174" s="172">
        <v>8.5</v>
      </c>
      <c r="X174" s="173">
        <v>438.6</v>
      </c>
      <c r="Y174" s="172">
        <v>28.2</v>
      </c>
      <c r="Z174" s="172">
        <v>41.2</v>
      </c>
      <c r="AA174" s="172">
        <v>82</v>
      </c>
      <c r="AB174" s="91" t="s">
        <v>557</v>
      </c>
      <c r="AD174" s="97"/>
    </row>
    <row r="175" spans="1:30" ht="35.1" customHeight="1" x14ac:dyDescent="0.25">
      <c r="A175" s="83">
        <v>46056</v>
      </c>
      <c r="B175" s="7" t="s">
        <v>24</v>
      </c>
      <c r="C175" s="8" t="s">
        <v>25</v>
      </c>
      <c r="D175" s="8" t="s">
        <v>247</v>
      </c>
      <c r="E175" s="60" t="s">
        <v>643</v>
      </c>
      <c r="F175" s="84" t="str">
        <f>IFERROR(VLOOKUP(CONCATENATE($B175,"_",F$3),materiali!$C:$K,5,0),"")</f>
        <v>997006153</v>
      </c>
      <c r="G175" s="85" t="str">
        <f>IFERROR(VLOOKUP(CONCATENATE($B175,"_",G$3),materiali!$C:$K,6,0),"")</f>
        <v>MPC 109A (FUSTI 50 KG)</v>
      </c>
      <c r="H175" s="86"/>
      <c r="I175" s="84" t="str">
        <f>IFERROR(VLOOKUP(CONCATENATE($B175,"_",I$3),materiali!$C:$K,5,0),"")</f>
        <v>997006154</v>
      </c>
      <c r="J175" s="85" t="str">
        <f>IFERROR(VLOOKUP(CONCATENATE($B175,"_",J$3),materiali!$C:$K,6,0),"")</f>
        <v>RH 275B (FUSTI 25 KG)</v>
      </c>
      <c r="K175" s="86"/>
      <c r="L175" s="84" t="str">
        <f>IFERROR(VLOOKUP(CONCATENATE($B175,"_",L$3),materiali!$C:$K,5,0),"")</f>
        <v/>
      </c>
      <c r="M175" s="85" t="str">
        <f>IFERROR(VLOOKUP(CONCATENATE($B175,"_",M$3),materiali!$C:$K,6,0),"")</f>
        <v/>
      </c>
      <c r="N175" s="86"/>
      <c r="O175" s="84" t="str">
        <f>IFERROR(VLOOKUP(CONCATENATE($B175,"_",O$3),materiali!$C:$K,5,0),"")</f>
        <v>997006168</v>
      </c>
      <c r="P175" s="85" t="str">
        <f>IFERROR(VLOOKUP(CONCATENATE($B175,"_",P$3),materiali!$C:$K,6,0),"")</f>
        <v>CATALIZZATORE TECNOKAT T12-500</v>
      </c>
      <c r="Q175" s="86"/>
      <c r="R175" s="84" t="str">
        <f>IFERROR(VLOOKUP(CONCATENATE($B175,"_",R$3),materiali!$C:$K,5,0),"")</f>
        <v>997004318</v>
      </c>
      <c r="S175" s="85" t="str">
        <f>IFERROR(VLOOKUP(CONCATENATE($B175,"_",S$3),materiali!$C:$K,6,0),"")</f>
        <v>BIANCO REMAP 10080 FDA 178.3297 (COLORANTE FDA PER SISTEMI)</v>
      </c>
      <c r="T175" s="86"/>
      <c r="U175" s="31"/>
      <c r="V175" s="172">
        <v>72</v>
      </c>
      <c r="W175" s="172">
        <v>9.19</v>
      </c>
      <c r="X175" s="173">
        <v>457.1</v>
      </c>
      <c r="Y175" s="172">
        <v>23.1</v>
      </c>
      <c r="Z175" s="172">
        <v>42.3</v>
      </c>
      <c r="AA175" s="172">
        <v>86</v>
      </c>
      <c r="AB175" s="91" t="s">
        <v>557</v>
      </c>
      <c r="AD175" s="97"/>
    </row>
    <row r="176" spans="1:30" ht="35.1" customHeight="1" x14ac:dyDescent="0.25">
      <c r="A176" s="83">
        <v>46057</v>
      </c>
      <c r="B176" s="7" t="s">
        <v>24</v>
      </c>
      <c r="C176" s="8" t="s">
        <v>25</v>
      </c>
      <c r="D176" s="8" t="s">
        <v>247</v>
      </c>
      <c r="E176" s="60" t="s">
        <v>644</v>
      </c>
      <c r="F176" s="84" t="str">
        <f>IFERROR(VLOOKUP(CONCATENATE($B176,"_",F$3),materiali!$C:$K,5,0),"")</f>
        <v>997006153</v>
      </c>
      <c r="G176" s="85" t="str">
        <f>IFERROR(VLOOKUP(CONCATENATE($B176,"_",G$3),materiali!$C:$K,6,0),"")</f>
        <v>MPC 109A (FUSTI 50 KG)</v>
      </c>
      <c r="H176" s="86"/>
      <c r="I176" s="84" t="str">
        <f>IFERROR(VLOOKUP(CONCATENATE($B176,"_",I$3),materiali!$C:$K,5,0),"")</f>
        <v>997006154</v>
      </c>
      <c r="J176" s="85" t="str">
        <f>IFERROR(VLOOKUP(CONCATENATE($B176,"_",J$3),materiali!$C:$K,6,0),"")</f>
        <v>RH 275B (FUSTI 25 KG)</v>
      </c>
      <c r="K176" s="86"/>
      <c r="L176" s="84" t="str">
        <f>IFERROR(VLOOKUP(CONCATENATE($B176,"_",L$3),materiali!$C:$K,5,0),"")</f>
        <v/>
      </c>
      <c r="M176" s="85" t="str">
        <f>IFERROR(VLOOKUP(CONCATENATE($B176,"_",M$3),materiali!$C:$K,6,0),"")</f>
        <v/>
      </c>
      <c r="N176" s="86"/>
      <c r="O176" s="84" t="str">
        <f>IFERROR(VLOOKUP(CONCATENATE($B176,"_",O$3),materiali!$C:$K,5,0),"")</f>
        <v>997006168</v>
      </c>
      <c r="P176" s="85" t="str">
        <f>IFERROR(VLOOKUP(CONCATENATE($B176,"_",P$3),materiali!$C:$K,6,0),"")</f>
        <v>CATALIZZATORE TECNOKAT T12-500</v>
      </c>
      <c r="Q176" s="86"/>
      <c r="R176" s="84" t="str">
        <f>IFERROR(VLOOKUP(CONCATENATE($B176,"_",R$3),materiali!$C:$K,5,0),"")</f>
        <v>997004318</v>
      </c>
      <c r="S176" s="85" t="str">
        <f>IFERROR(VLOOKUP(CONCATENATE($B176,"_",S$3),materiali!$C:$K,6,0),"")</f>
        <v>BIANCO REMAP 10080 FDA 178.3297 (COLORANTE FDA PER SISTEMI)</v>
      </c>
      <c r="T176" s="86"/>
      <c r="U176" s="31"/>
      <c r="V176" s="172">
        <v>75</v>
      </c>
      <c r="W176" s="172">
        <v>10</v>
      </c>
      <c r="X176" s="173">
        <v>475</v>
      </c>
      <c r="Y176" s="172">
        <v>26</v>
      </c>
      <c r="Z176" s="172">
        <v>42</v>
      </c>
      <c r="AA176" s="172">
        <v>96</v>
      </c>
      <c r="AB176" s="206" t="s">
        <v>557</v>
      </c>
      <c r="AD176" s="97"/>
    </row>
    <row r="177" spans="1:30" ht="35.1" customHeight="1" x14ac:dyDescent="0.25">
      <c r="A177" s="83">
        <v>46058</v>
      </c>
      <c r="B177" s="7" t="s">
        <v>24</v>
      </c>
      <c r="C177" s="8" t="s">
        <v>25</v>
      </c>
      <c r="D177" s="8" t="s">
        <v>247</v>
      </c>
      <c r="E177" s="60" t="s">
        <v>645</v>
      </c>
      <c r="F177" s="84" t="str">
        <f>IFERROR(VLOOKUP(CONCATENATE($B177,"_",F$3),materiali!$C:$K,5,0),"")</f>
        <v>997006153</v>
      </c>
      <c r="G177" s="85" t="str">
        <f>IFERROR(VLOOKUP(CONCATENATE($B177,"_",G$3),materiali!$C:$K,6,0),"")</f>
        <v>MPC 109A (FUSTI 50 KG)</v>
      </c>
      <c r="H177" s="86"/>
      <c r="I177" s="84" t="str">
        <f>IFERROR(VLOOKUP(CONCATENATE($B177,"_",I$3),materiali!$C:$K,5,0),"")</f>
        <v>997006154</v>
      </c>
      <c r="J177" s="85" t="str">
        <f>IFERROR(VLOOKUP(CONCATENATE($B177,"_",J$3),materiali!$C:$K,6,0),"")</f>
        <v>RH 275B (FUSTI 25 KG)</v>
      </c>
      <c r="K177" s="86"/>
      <c r="L177" s="84" t="str">
        <f>IFERROR(VLOOKUP(CONCATENATE($B177,"_",L$3),materiali!$C:$K,5,0),"")</f>
        <v/>
      </c>
      <c r="M177" s="85" t="str">
        <f>IFERROR(VLOOKUP(CONCATENATE($B177,"_",M$3),materiali!$C:$K,6,0),"")</f>
        <v/>
      </c>
      <c r="N177" s="86"/>
      <c r="O177" s="84" t="str">
        <f>IFERROR(VLOOKUP(CONCATENATE($B177,"_",O$3),materiali!$C:$K,5,0),"")</f>
        <v>997006168</v>
      </c>
      <c r="P177" s="85" t="str">
        <f>IFERROR(VLOOKUP(CONCATENATE($B177,"_",P$3),materiali!$C:$K,6,0),"")</f>
        <v>CATALIZZATORE TECNOKAT T12-500</v>
      </c>
      <c r="Q177" s="86"/>
      <c r="R177" s="84" t="str">
        <f>IFERROR(VLOOKUP(CONCATENATE($B177,"_",R$3),materiali!$C:$K,5,0),"")</f>
        <v>997004318</v>
      </c>
      <c r="S177" s="85" t="str">
        <f>IFERROR(VLOOKUP(CONCATENATE($B177,"_",S$3),materiali!$C:$K,6,0),"")</f>
        <v>BIANCO REMAP 10080 FDA 178.3297 (COLORANTE FDA PER SISTEMI)</v>
      </c>
      <c r="T177" s="86"/>
      <c r="U177" s="31"/>
      <c r="V177" s="172">
        <v>71</v>
      </c>
      <c r="W177" s="172">
        <v>8.68</v>
      </c>
      <c r="X177" s="173">
        <v>440.2</v>
      </c>
      <c r="Y177" s="172">
        <v>26.7</v>
      </c>
      <c r="Z177" s="172">
        <v>45.7</v>
      </c>
      <c r="AA177" s="172">
        <v>51</v>
      </c>
      <c r="AB177" s="91" t="s">
        <v>557</v>
      </c>
      <c r="AD177" s="97"/>
    </row>
    <row r="178" spans="1:30" ht="35.1" customHeight="1" x14ac:dyDescent="0.25">
      <c r="A178" s="83">
        <v>46076</v>
      </c>
      <c r="B178" s="7" t="s">
        <v>24</v>
      </c>
      <c r="C178" s="8" t="s">
        <v>25</v>
      </c>
      <c r="D178" s="8" t="s">
        <v>247</v>
      </c>
      <c r="E178" s="60" t="s">
        <v>646</v>
      </c>
      <c r="F178" s="84" t="str">
        <f>IFERROR(VLOOKUP(CONCATENATE($B178,"_",F$3),materiali!$C:$K,5,0),"")</f>
        <v>997006153</v>
      </c>
      <c r="G178" s="85" t="str">
        <f>IFERROR(VLOOKUP(CONCATENATE($B178,"_",G$3),materiali!$C:$K,6,0),"")</f>
        <v>MPC 109A (FUSTI 50 KG)</v>
      </c>
      <c r="H178" s="86"/>
      <c r="I178" s="84" t="str">
        <f>IFERROR(VLOOKUP(CONCATENATE($B178,"_",I$3),materiali!$C:$K,5,0),"")</f>
        <v>997006154</v>
      </c>
      <c r="J178" s="85" t="str">
        <f>IFERROR(VLOOKUP(CONCATENATE($B178,"_",J$3),materiali!$C:$K,6,0),"")</f>
        <v>RH 275B (FUSTI 25 KG)</v>
      </c>
      <c r="K178" s="86"/>
      <c r="L178" s="84" t="str">
        <f>IFERROR(VLOOKUP(CONCATENATE($B178,"_",L$3),materiali!$C:$K,5,0),"")</f>
        <v/>
      </c>
      <c r="M178" s="85" t="str">
        <f>IFERROR(VLOOKUP(CONCATENATE($B178,"_",M$3),materiali!$C:$K,6,0),"")</f>
        <v/>
      </c>
      <c r="N178" s="86"/>
      <c r="O178" s="84" t="str">
        <f>IFERROR(VLOOKUP(CONCATENATE($B178,"_",O$3),materiali!$C:$K,5,0),"")</f>
        <v>997006168</v>
      </c>
      <c r="P178" s="85" t="str">
        <f>IFERROR(VLOOKUP(CONCATENATE($B178,"_",P$3),materiali!$C:$K,6,0),"")</f>
        <v>CATALIZZATORE TECNOKAT T12-500</v>
      </c>
      <c r="Q178" s="86"/>
      <c r="R178" s="84" t="str">
        <f>IFERROR(VLOOKUP(CONCATENATE($B178,"_",R$3),materiali!$C:$K,5,0),"")</f>
        <v>997004318</v>
      </c>
      <c r="S178" s="85" t="str">
        <f>IFERROR(VLOOKUP(CONCATENATE($B178,"_",S$3),materiali!$C:$K,6,0),"")</f>
        <v>BIANCO REMAP 10080 FDA 178.3297 (COLORANTE FDA PER SISTEMI)</v>
      </c>
      <c r="T178" s="86"/>
      <c r="U178" s="31"/>
      <c r="V178" s="172">
        <v>76</v>
      </c>
      <c r="W178" s="172">
        <v>8.68</v>
      </c>
      <c r="X178" s="173">
        <v>433.1</v>
      </c>
      <c r="Y178" s="172">
        <v>32.700000000000003</v>
      </c>
      <c r="Z178" s="172">
        <v>50</v>
      </c>
      <c r="AA178" s="172">
        <v>77</v>
      </c>
      <c r="AB178" s="91" t="s">
        <v>557</v>
      </c>
      <c r="AD178" s="97"/>
    </row>
    <row r="179" spans="1:30" ht="35.1" customHeight="1" x14ac:dyDescent="0.25">
      <c r="A179" s="83">
        <v>46077</v>
      </c>
      <c r="B179" s="7" t="s">
        <v>24</v>
      </c>
      <c r="C179" s="8" t="s">
        <v>25</v>
      </c>
      <c r="D179" s="8" t="s">
        <v>247</v>
      </c>
      <c r="E179" s="60" t="s">
        <v>647</v>
      </c>
      <c r="F179" s="84" t="str">
        <f>IFERROR(VLOOKUP(CONCATENATE($B179,"_",F$3),materiali!$C:$K,5,0),"")</f>
        <v>997006153</v>
      </c>
      <c r="G179" s="85" t="str">
        <f>IFERROR(VLOOKUP(CONCATENATE($B179,"_",G$3),materiali!$C:$K,6,0),"")</f>
        <v>MPC 109A (FUSTI 50 KG)</v>
      </c>
      <c r="H179" s="86"/>
      <c r="I179" s="84" t="str">
        <f>IFERROR(VLOOKUP(CONCATENATE($B179,"_",I$3),materiali!$C:$K,5,0),"")</f>
        <v>997006154</v>
      </c>
      <c r="J179" s="85" t="str">
        <f>IFERROR(VLOOKUP(CONCATENATE($B179,"_",J$3),materiali!$C:$K,6,0),"")</f>
        <v>RH 275B (FUSTI 25 KG)</v>
      </c>
      <c r="K179" s="86"/>
      <c r="L179" s="84" t="str">
        <f>IFERROR(VLOOKUP(CONCATENATE($B179,"_",L$3),materiali!$C:$K,5,0),"")</f>
        <v/>
      </c>
      <c r="M179" s="85" t="str">
        <f>IFERROR(VLOOKUP(CONCATENATE($B179,"_",M$3),materiali!$C:$K,6,0),"")</f>
        <v/>
      </c>
      <c r="N179" s="86"/>
      <c r="O179" s="84" t="str">
        <f>IFERROR(VLOOKUP(CONCATENATE($B179,"_",O$3),materiali!$C:$K,5,0),"")</f>
        <v>997006168</v>
      </c>
      <c r="P179" s="85" t="str">
        <f>IFERROR(VLOOKUP(CONCATENATE($B179,"_",P$3),materiali!$C:$K,6,0),"")</f>
        <v>CATALIZZATORE TECNOKAT T12-500</v>
      </c>
      <c r="Q179" s="86"/>
      <c r="R179" s="84" t="str">
        <f>IFERROR(VLOOKUP(CONCATENATE($B179,"_",R$3),materiali!$C:$K,5,0),"")</f>
        <v>997004318</v>
      </c>
      <c r="S179" s="85" t="str">
        <f>IFERROR(VLOOKUP(CONCATENATE($B179,"_",S$3),materiali!$C:$K,6,0),"")</f>
        <v>BIANCO REMAP 10080 FDA 178.3297 (COLORANTE FDA PER SISTEMI)</v>
      </c>
      <c r="T179" s="86"/>
      <c r="U179" s="31"/>
      <c r="V179" s="172">
        <v>71</v>
      </c>
      <c r="W179" s="172">
        <v>8.5</v>
      </c>
      <c r="X179" s="173">
        <v>438.6</v>
      </c>
      <c r="Y179" s="172">
        <v>28.2</v>
      </c>
      <c r="Z179" s="172">
        <v>41.2</v>
      </c>
      <c r="AA179" s="172">
        <v>93</v>
      </c>
      <c r="AB179" s="91" t="s">
        <v>557</v>
      </c>
      <c r="AD179" s="97"/>
    </row>
    <row r="180" spans="1:30" ht="35.1" customHeight="1" x14ac:dyDescent="0.25">
      <c r="A180" s="83">
        <v>46078</v>
      </c>
      <c r="B180" s="7" t="s">
        <v>24</v>
      </c>
      <c r="C180" s="8" t="s">
        <v>25</v>
      </c>
      <c r="D180" s="8" t="s">
        <v>247</v>
      </c>
      <c r="E180" s="60" t="s">
        <v>648</v>
      </c>
      <c r="F180" s="84" t="str">
        <f>IFERROR(VLOOKUP(CONCATENATE($B180,"_",F$3),materiali!$C:$K,5,0),"")</f>
        <v>997006153</v>
      </c>
      <c r="G180" s="85" t="str">
        <f>IFERROR(VLOOKUP(CONCATENATE($B180,"_",G$3),materiali!$C:$K,6,0),"")</f>
        <v>MPC 109A (FUSTI 50 KG)</v>
      </c>
      <c r="H180" s="86"/>
      <c r="I180" s="84" t="str">
        <f>IFERROR(VLOOKUP(CONCATENATE($B180,"_",I$3),materiali!$C:$K,5,0),"")</f>
        <v>997006154</v>
      </c>
      <c r="J180" s="85" t="str">
        <f>IFERROR(VLOOKUP(CONCATENATE($B180,"_",J$3),materiali!$C:$K,6,0),"")</f>
        <v>RH 275B (FUSTI 25 KG)</v>
      </c>
      <c r="K180" s="86"/>
      <c r="L180" s="84" t="str">
        <f>IFERROR(VLOOKUP(CONCATENATE($B180,"_",L$3),materiali!$C:$K,5,0),"")</f>
        <v/>
      </c>
      <c r="M180" s="85" t="str">
        <f>IFERROR(VLOOKUP(CONCATENATE($B180,"_",M$3),materiali!$C:$K,6,0),"")</f>
        <v/>
      </c>
      <c r="N180" s="86"/>
      <c r="O180" s="84" t="str">
        <f>IFERROR(VLOOKUP(CONCATENATE($B180,"_",O$3),materiali!$C:$K,5,0),"")</f>
        <v>997006168</v>
      </c>
      <c r="P180" s="85" t="str">
        <f>IFERROR(VLOOKUP(CONCATENATE($B180,"_",P$3),materiali!$C:$K,6,0),"")</f>
        <v>CATALIZZATORE TECNOKAT T12-500</v>
      </c>
      <c r="Q180" s="86"/>
      <c r="R180" s="84" t="str">
        <f>IFERROR(VLOOKUP(CONCATENATE($B180,"_",R$3),materiali!$C:$K,5,0),"")</f>
        <v>997004318</v>
      </c>
      <c r="S180" s="85" t="str">
        <f>IFERROR(VLOOKUP(CONCATENATE($B180,"_",S$3),materiali!$C:$K,6,0),"")</f>
        <v>BIANCO REMAP 10080 FDA 178.3297 (COLORANTE FDA PER SISTEMI)</v>
      </c>
      <c r="T180" s="86"/>
      <c r="U180" s="31"/>
      <c r="V180" s="172">
        <v>74</v>
      </c>
      <c r="W180" s="172">
        <v>6.61</v>
      </c>
      <c r="X180" s="173">
        <v>418.1</v>
      </c>
      <c r="Y180" s="172">
        <v>29.4</v>
      </c>
      <c r="Z180" s="172">
        <v>44.7</v>
      </c>
      <c r="AA180" s="172">
        <v>99</v>
      </c>
      <c r="AB180" s="91" t="s">
        <v>557</v>
      </c>
      <c r="AD180" s="97"/>
    </row>
    <row r="181" spans="1:30" ht="35.1" customHeight="1" x14ac:dyDescent="0.25">
      <c r="A181" s="83">
        <v>46079</v>
      </c>
      <c r="B181" s="7" t="s">
        <v>24</v>
      </c>
      <c r="C181" s="8" t="s">
        <v>25</v>
      </c>
      <c r="D181" s="8" t="s">
        <v>247</v>
      </c>
      <c r="E181" s="60" t="s">
        <v>649</v>
      </c>
      <c r="F181" s="84" t="str">
        <f>IFERROR(VLOOKUP(CONCATENATE($B181,"_",F$3),materiali!$C:$K,5,0),"")</f>
        <v>997006153</v>
      </c>
      <c r="G181" s="85" t="str">
        <f>IFERROR(VLOOKUP(CONCATENATE($B181,"_",G$3),materiali!$C:$K,6,0),"")</f>
        <v>MPC 109A (FUSTI 50 KG)</v>
      </c>
      <c r="H181" s="86"/>
      <c r="I181" s="84" t="str">
        <f>IFERROR(VLOOKUP(CONCATENATE($B181,"_",I$3),materiali!$C:$K,5,0),"")</f>
        <v>997006154</v>
      </c>
      <c r="J181" s="85" t="str">
        <f>IFERROR(VLOOKUP(CONCATENATE($B181,"_",J$3),materiali!$C:$K,6,0),"")</f>
        <v>RH 275B (FUSTI 25 KG)</v>
      </c>
      <c r="K181" s="86"/>
      <c r="L181" s="84" t="str">
        <f>IFERROR(VLOOKUP(CONCATENATE($B181,"_",L$3),materiali!$C:$K,5,0),"")</f>
        <v/>
      </c>
      <c r="M181" s="85" t="str">
        <f>IFERROR(VLOOKUP(CONCATENATE($B181,"_",M$3),materiali!$C:$K,6,0),"")</f>
        <v/>
      </c>
      <c r="N181" s="86"/>
      <c r="O181" s="84" t="str">
        <f>IFERROR(VLOOKUP(CONCATENATE($B181,"_",O$3),materiali!$C:$K,5,0),"")</f>
        <v>997006168</v>
      </c>
      <c r="P181" s="85" t="str">
        <f>IFERROR(VLOOKUP(CONCATENATE($B181,"_",P$3),materiali!$C:$K,6,0),"")</f>
        <v>CATALIZZATORE TECNOKAT T12-500</v>
      </c>
      <c r="Q181" s="86"/>
      <c r="R181" s="84" t="str">
        <f>IFERROR(VLOOKUP(CONCATENATE($B181,"_",R$3),materiali!$C:$K,5,0),"")</f>
        <v>997004318</v>
      </c>
      <c r="S181" s="85" t="str">
        <f>IFERROR(VLOOKUP(CONCATENATE($B181,"_",S$3),materiali!$C:$K,6,0),"")</f>
        <v>BIANCO REMAP 10080 FDA 178.3297 (COLORANTE FDA PER SISTEMI)</v>
      </c>
      <c r="T181" s="86"/>
      <c r="U181" s="31"/>
      <c r="V181" s="172">
        <v>72</v>
      </c>
      <c r="W181" s="172">
        <v>7.56</v>
      </c>
      <c r="X181" s="173">
        <v>394.9</v>
      </c>
      <c r="Y181" s="172">
        <v>28.6</v>
      </c>
      <c r="Z181" s="172">
        <v>46.8</v>
      </c>
      <c r="AA181" s="172">
        <v>99</v>
      </c>
      <c r="AB181" s="91" t="s">
        <v>557</v>
      </c>
      <c r="AD181" s="97"/>
    </row>
    <row r="182" spans="1:30" ht="35.1" customHeight="1" x14ac:dyDescent="0.25">
      <c r="A182" s="83">
        <v>46083</v>
      </c>
      <c r="B182" s="7" t="s">
        <v>24</v>
      </c>
      <c r="C182" s="8" t="s">
        <v>25</v>
      </c>
      <c r="D182" s="8" t="s">
        <v>247</v>
      </c>
      <c r="E182" s="60" t="s">
        <v>650</v>
      </c>
      <c r="F182" s="84" t="str">
        <f>IFERROR(VLOOKUP(CONCATENATE($B182,"_",F$3),materiali!$C:$K,5,0),"")</f>
        <v>997006153</v>
      </c>
      <c r="G182" s="85" t="str">
        <f>IFERROR(VLOOKUP(CONCATENATE($B182,"_",G$3),materiali!$C:$K,6,0),"")</f>
        <v>MPC 109A (FUSTI 50 KG)</v>
      </c>
      <c r="H182" s="86"/>
      <c r="I182" s="84" t="str">
        <f>IFERROR(VLOOKUP(CONCATENATE($B182,"_",I$3),materiali!$C:$K,5,0),"")</f>
        <v>997006154</v>
      </c>
      <c r="J182" s="85" t="str">
        <f>IFERROR(VLOOKUP(CONCATENATE($B182,"_",J$3),materiali!$C:$K,6,0),"")</f>
        <v>RH 275B (FUSTI 25 KG)</v>
      </c>
      <c r="K182" s="86"/>
      <c r="L182" s="84" t="str">
        <f>IFERROR(VLOOKUP(CONCATENATE($B182,"_",L$3),materiali!$C:$K,5,0),"")</f>
        <v/>
      </c>
      <c r="M182" s="85" t="str">
        <f>IFERROR(VLOOKUP(CONCATENATE($B182,"_",M$3),materiali!$C:$K,6,0),"")</f>
        <v/>
      </c>
      <c r="N182" s="86"/>
      <c r="O182" s="84" t="str">
        <f>IFERROR(VLOOKUP(CONCATENATE($B182,"_",O$3),materiali!$C:$K,5,0),"")</f>
        <v>997006168</v>
      </c>
      <c r="P182" s="85" t="str">
        <f>IFERROR(VLOOKUP(CONCATENATE($B182,"_",P$3),materiali!$C:$K,6,0),"")</f>
        <v>CATALIZZATORE TECNOKAT T12-500</v>
      </c>
      <c r="Q182" s="86"/>
      <c r="R182" s="84" t="str">
        <f>IFERROR(VLOOKUP(CONCATENATE($B182,"_",R$3),materiali!$C:$K,5,0),"")</f>
        <v>997004318</v>
      </c>
      <c r="S182" s="85" t="str">
        <f>IFERROR(VLOOKUP(CONCATENATE($B182,"_",S$3),materiali!$C:$K,6,0),"")</f>
        <v>BIANCO REMAP 10080 FDA 178.3297 (COLORANTE FDA PER SISTEMI)</v>
      </c>
      <c r="T182" s="86"/>
      <c r="U182" s="31"/>
      <c r="V182" s="172">
        <v>71</v>
      </c>
      <c r="W182" s="172">
        <v>7.09</v>
      </c>
      <c r="X182" s="173">
        <v>370.9</v>
      </c>
      <c r="Y182" s="172">
        <v>27.3</v>
      </c>
      <c r="Z182" s="172">
        <v>42.5</v>
      </c>
      <c r="AA182" s="172">
        <v>106</v>
      </c>
      <c r="AB182" s="91" t="s">
        <v>557</v>
      </c>
      <c r="AD182" s="97"/>
    </row>
    <row r="183" spans="1:30" ht="35.1" hidden="1" customHeight="1" x14ac:dyDescent="0.25">
      <c r="A183" s="83" t="s">
        <v>651</v>
      </c>
      <c r="B183" s="7"/>
      <c r="C183" s="8"/>
      <c r="D183" s="8"/>
      <c r="E183" s="60"/>
      <c r="F183" s="84" t="str">
        <f>IFERROR(VLOOKUP(CONCATENATE($B183,"_",F$3),materiali!$C:$K,5,0),"")</f>
        <v/>
      </c>
      <c r="G183" s="85" t="str">
        <f>IFERROR(VLOOKUP(CONCATENATE($B183,"_",G$3),materiali!$C:$K,6,0),"")</f>
        <v/>
      </c>
      <c r="H183" s="86"/>
      <c r="I183" s="84" t="str">
        <f>IFERROR(VLOOKUP(CONCATENATE($B183,"_",I$3),materiali!$C:$K,5,0),"")</f>
        <v/>
      </c>
      <c r="J183" s="85" t="str">
        <f>IFERROR(VLOOKUP(CONCATENATE($B183,"_",J$3),materiali!$C:$K,6,0),"")</f>
        <v/>
      </c>
      <c r="K183" s="86"/>
      <c r="L183" s="84" t="str">
        <f>IFERROR(VLOOKUP(CONCATENATE($B183,"_",L$3),materiali!$C:$K,5,0),"")</f>
        <v/>
      </c>
      <c r="M183" s="85" t="str">
        <f>IFERROR(VLOOKUP(CONCATENATE($B183,"_",M$3),materiali!$C:$K,6,0),"")</f>
        <v/>
      </c>
      <c r="N183" s="86"/>
      <c r="O183" s="84" t="str">
        <f>IFERROR(VLOOKUP(CONCATENATE($B183,"_",O$3),materiali!$C:$K,5,0),"")</f>
        <v/>
      </c>
      <c r="P183" s="85" t="str">
        <f>IFERROR(VLOOKUP(CONCATENATE($B183,"_",P$3),materiali!$C:$K,6,0),"")</f>
        <v/>
      </c>
      <c r="Q183" s="86"/>
      <c r="R183" s="84" t="str">
        <f>IFERROR(VLOOKUP(CONCATENATE($B183,"_",R$3),materiali!$C:$K,5,0),"")</f>
        <v/>
      </c>
      <c r="S183" s="85" t="str">
        <f>IFERROR(VLOOKUP(CONCATENATE($B183,"_",S$3),materiali!$C:$K,6,0),"")</f>
        <v/>
      </c>
      <c r="T183" s="86"/>
      <c r="U183" s="31"/>
      <c r="V183" s="182"/>
      <c r="W183" s="182"/>
      <c r="X183" s="184"/>
      <c r="Y183" s="182"/>
      <c r="Z183" s="182"/>
      <c r="AA183" s="182"/>
      <c r="AB183" s="88"/>
      <c r="AC183" s="88"/>
      <c r="AD183" s="89"/>
    </row>
    <row r="184" spans="1:30" ht="35.1" customHeight="1" x14ac:dyDescent="0.25">
      <c r="A184" s="83">
        <v>46104</v>
      </c>
      <c r="B184" s="7" t="s">
        <v>24</v>
      </c>
      <c r="C184" s="8" t="s">
        <v>25</v>
      </c>
      <c r="D184" s="8" t="s">
        <v>247</v>
      </c>
      <c r="E184" s="60"/>
      <c r="F184" s="84" t="str">
        <f>IFERROR(VLOOKUP(CONCATENATE($B184,"_",F$3),materiali!$C:$K,5,0),"")</f>
        <v>997006153</v>
      </c>
      <c r="G184" s="85" t="str">
        <f>IFERROR(VLOOKUP(CONCATENATE($B184,"_",G$3),materiali!$C:$K,6,0),"")</f>
        <v>MPC 109A (FUSTI 50 KG)</v>
      </c>
      <c r="H184" s="86"/>
      <c r="I184" s="84" t="str">
        <f>IFERROR(VLOOKUP(CONCATENATE($B184,"_",I$3),materiali!$C:$K,5,0),"")</f>
        <v>997006154</v>
      </c>
      <c r="J184" s="85" t="str">
        <f>IFERROR(VLOOKUP(CONCATENATE($B184,"_",J$3),materiali!$C:$K,6,0),"")</f>
        <v>RH 275B (FUSTI 25 KG)</v>
      </c>
      <c r="K184" s="86"/>
      <c r="L184" s="84" t="str">
        <f>IFERROR(VLOOKUP(CONCATENATE($B184,"_",L$3),materiali!$C:$K,5,0),"")</f>
        <v/>
      </c>
      <c r="M184" s="85" t="str">
        <f>IFERROR(VLOOKUP(CONCATENATE($B184,"_",M$3),materiali!$C:$K,6,0),"")</f>
        <v/>
      </c>
      <c r="N184" s="86"/>
      <c r="O184" s="84" t="str">
        <f>IFERROR(VLOOKUP(CONCATENATE($B184,"_",O$3),materiali!$C:$K,5,0),"")</f>
        <v>997006168</v>
      </c>
      <c r="P184" s="85" t="str">
        <f>IFERROR(VLOOKUP(CONCATENATE($B184,"_",P$3),materiali!$C:$K,6,0),"")</f>
        <v>CATALIZZATORE TECNOKAT T12-500</v>
      </c>
      <c r="Q184" s="86"/>
      <c r="R184" s="84" t="str">
        <f>IFERROR(VLOOKUP(CONCATENATE($B184,"_",R$3),materiali!$C:$K,5,0),"")</f>
        <v>997004318</v>
      </c>
      <c r="S184" s="85" t="str">
        <f>IFERROR(VLOOKUP(CONCATENATE($B184,"_",S$3),materiali!$C:$K,6,0),"")</f>
        <v>BIANCO REMAP 10080 FDA 178.3297 (COLORANTE FDA PER SISTEMI)</v>
      </c>
      <c r="T184" s="86"/>
      <c r="U184" s="31"/>
      <c r="AD184" s="97"/>
    </row>
    <row r="185" spans="1:30" ht="35.1" hidden="1" customHeight="1" x14ac:dyDescent="0.25">
      <c r="A185" s="83">
        <v>46111</v>
      </c>
      <c r="B185" s="7" t="s">
        <v>10</v>
      </c>
      <c r="C185" s="8" t="s">
        <v>11</v>
      </c>
      <c r="D185" s="8" t="s">
        <v>65</v>
      </c>
      <c r="E185" s="60"/>
      <c r="F185" s="84" t="str">
        <f>IFERROR(VLOOKUP(CONCATENATE($B185,"_",F$3),materiali!$C:$K,5,0),"")</f>
        <v>997001502</v>
      </c>
      <c r="G185" s="85" t="str">
        <f>IFERROR(VLOOKUP(CONCATENATE($B185,"_",G$3),materiali!$C:$K,6,0),"")</f>
        <v>ISOCIANATO POLIETERE SH.70/90 TECNOTHANE MPT 109SG</v>
      </c>
      <c r="H185" s="86"/>
      <c r="I185" s="84" t="str">
        <f>IFERROR(VLOOKUP(CONCATENATE($B185,"_",I$3),materiali!$C:$K,5,0),"")</f>
        <v>997005228</v>
      </c>
      <c r="J185" s="85" t="str">
        <f>IFERROR(VLOOKUP(CONCATENATE($B185,"_",J$3),materiali!$C:$K,6,0),"")</f>
        <v>POLIOLO POLIETERE SH.70 TECNOTHANE RH 246  FORMATO 200 KG.</v>
      </c>
      <c r="K185" s="86"/>
      <c r="L185" s="84" t="str">
        <f>IFERROR(VLOOKUP(CONCATENATE($B185,"_",L$3),materiali!$C:$K,5,0),"")</f>
        <v/>
      </c>
      <c r="M185" s="85" t="str">
        <f>IFERROR(VLOOKUP(CONCATENATE($B185,"_",M$3),materiali!$C:$K,6,0),"")</f>
        <v/>
      </c>
      <c r="N185" s="86"/>
      <c r="O185" s="84" t="str">
        <f>IFERROR(VLOOKUP(CONCATENATE($B185,"_",O$3),materiali!$C:$K,5,0),"")</f>
        <v>040001013</v>
      </c>
      <c r="P185" s="85" t="str">
        <f>IFERROR(VLOOKUP(CONCATENATE($B185,"_",P$3),materiali!$C:$K,6,0),"")</f>
        <v>ACCELERANTE X POLIOLO POLIESTE RE (per macchine pur old)</v>
      </c>
      <c r="Q185" s="86"/>
      <c r="R185" s="84" t="str">
        <f>IFERROR(VLOOKUP(CONCATENATE($B185,"_",R$3),materiali!$C:$K,5,0),"")</f>
        <v>997001508</v>
      </c>
      <c r="S185" s="85" t="str">
        <f>IFERROR(VLOOKUP(CONCATENATE($B185,"_",S$3),materiali!$C:$K,6,0),"")</f>
        <v>COLORE GIALLO PER POLIOLO</v>
      </c>
      <c r="T185" s="86"/>
      <c r="U185" s="31"/>
      <c r="AD185" s="97"/>
    </row>
    <row r="186" spans="1:30" ht="35.1" hidden="1" customHeight="1" x14ac:dyDescent="0.25">
      <c r="A186" s="83">
        <v>46111</v>
      </c>
      <c r="B186" s="7" t="s">
        <v>14</v>
      </c>
      <c r="C186" s="8" t="s">
        <v>15</v>
      </c>
      <c r="D186" s="8" t="s">
        <v>97</v>
      </c>
      <c r="E186" s="60"/>
      <c r="F186" s="84" t="str">
        <f>IFERROR(VLOOKUP(CONCATENATE($B186,"_",F$3),materiali!$C:$K,5,0),"")</f>
        <v>997001513</v>
      </c>
      <c r="G186" s="85" t="str">
        <f>IFERROR(VLOOKUP(CONCATENATE($B186,"_",G$3),materiali!$C:$K,6,0),"")</f>
        <v>RESINA TECNOTHANE MPC2013SG</v>
      </c>
      <c r="H186" s="86"/>
      <c r="I186" s="84" t="str">
        <f>IFERROR(VLOOKUP(CONCATENATE($B186,"_",I$3),materiali!$C:$K,5,0),"")</f>
        <v>997001515</v>
      </c>
      <c r="J186" s="85" t="str">
        <f>IFERROR(VLOOKUP(CONCATENATE($B186,"_",J$3),materiali!$C:$K,6,0),"")</f>
        <v>RETICOLANTE TECNOTHANE RCH160 (50 KG)</v>
      </c>
      <c r="K186" s="86"/>
      <c r="L186" s="84" t="str">
        <f>IFERROR(VLOOKUP(CONCATENATE($B186,"_",L$3),materiali!$C:$K,5,0),"")</f>
        <v/>
      </c>
      <c r="M186" s="85" t="str">
        <f>IFERROR(VLOOKUP(CONCATENATE($B186,"_",M$3),materiali!$C:$K,6,0),"")</f>
        <v/>
      </c>
      <c r="N186" s="86"/>
      <c r="O186" s="84" t="str">
        <f>IFERROR(VLOOKUP(CONCATENATE($B186,"_",O$3),materiali!$C:$K,5,0),"")</f>
        <v>040001013</v>
      </c>
      <c r="P186" s="85" t="str">
        <f>IFERROR(VLOOKUP(CONCATENATE($B186,"_",P$3),materiali!$C:$K,6,0),"")</f>
        <v>ACCELERANTE X POLIOLO POLIESTERE TECNOKAT  PURO NON DILUITO</v>
      </c>
      <c r="Q186" s="86"/>
      <c r="R186" s="84" t="str">
        <f>IFERROR(VLOOKUP(CONCATENATE($B186,"_",R$3),materiali!$C:$K,5,0),"")</f>
        <v>997001508</v>
      </c>
      <c r="S186" s="85" t="str">
        <f>IFERROR(VLOOKUP(CONCATENATE($B186,"_",S$3),materiali!$C:$K,6,0),"")</f>
        <v>COLORE GIALLO PER POLIOLO</v>
      </c>
      <c r="T186" s="86"/>
      <c r="U186" s="31"/>
      <c r="AD186" s="97"/>
    </row>
    <row r="187" spans="1:30" ht="35.1" hidden="1" customHeight="1" x14ac:dyDescent="0.25">
      <c r="A187" s="83">
        <v>46111</v>
      </c>
      <c r="B187" s="7" t="s">
        <v>20</v>
      </c>
      <c r="C187" s="8" t="s">
        <v>21</v>
      </c>
      <c r="D187" s="8" t="s">
        <v>193</v>
      </c>
      <c r="E187" s="60"/>
      <c r="F187" s="84" t="str">
        <f>IFERROR(VLOOKUP(CONCATENATE($B187,"_",F$3),materiali!$C:$K,5,0),"")</f>
        <v>997001513</v>
      </c>
      <c r="G187" s="85" t="str">
        <f>IFERROR(VLOOKUP(CONCATENATE($B187,"_",G$3),materiali!$C:$K,6,0),"")</f>
        <v>RESINA TECNOTHANE MPC2013SG</v>
      </c>
      <c r="H187" s="86"/>
      <c r="I187" s="84" t="str">
        <f>IFERROR(VLOOKUP(CONCATENATE($B187,"_",I$3),materiali!$C:$K,5,0),"")</f>
        <v>997001514</v>
      </c>
      <c r="J187" s="85" t="str">
        <f>IFERROR(VLOOKUP(CONCATENATE($B187,"_",J$3),materiali!$C:$K,6,0),"")</f>
        <v>RETICOLANTE TECNOTHANE RCH361</v>
      </c>
      <c r="K187" s="86"/>
      <c r="L187" s="84" t="str">
        <f>IFERROR(VLOOKUP(CONCATENATE($B187,"_",L$3),materiali!$C:$K,5,0),"")</f>
        <v/>
      </c>
      <c r="M187" s="85" t="str">
        <f>IFERROR(VLOOKUP(CONCATENATE($B187,"_",M$3),materiali!$C:$K,6,0),"")</f>
        <v/>
      </c>
      <c r="N187" s="86"/>
      <c r="O187" s="84" t="str">
        <f>IFERROR(VLOOKUP(CONCATENATE($B187,"_",O$3),materiali!$C:$K,5,0),"")</f>
        <v>040001013</v>
      </c>
      <c r="P187" s="85" t="str">
        <f>IFERROR(VLOOKUP(CONCATENATE($B187,"_",P$3),materiali!$C:$K,6,0),"")</f>
        <v>ACCELERANTE X POLIOLO POLIESTERE TECNOKAT  PURO NON DILUITO</v>
      </c>
      <c r="Q187" s="86"/>
      <c r="R187" s="84" t="str">
        <f>IFERROR(VLOOKUP(CONCATENATE($B187,"_",R$3),materiali!$C:$K,5,0),"")</f>
        <v>997001508</v>
      </c>
      <c r="S187" s="85" t="str">
        <f>IFERROR(VLOOKUP(CONCATENATE($B187,"_",S$3),materiali!$C:$K,6,0),"")</f>
        <v>COLORE GIALLO PER POLIOLO</v>
      </c>
      <c r="T187" s="86"/>
      <c r="U187" s="31"/>
      <c r="AD187" s="97"/>
    </row>
    <row r="188" spans="1:30" ht="35.1" hidden="1" customHeight="1" x14ac:dyDescent="0.25">
      <c r="A188" s="83">
        <v>46111</v>
      </c>
      <c r="B188" s="7" t="s">
        <v>28</v>
      </c>
      <c r="C188" s="8" t="s">
        <v>29</v>
      </c>
      <c r="D188" s="8" t="s">
        <v>93</v>
      </c>
      <c r="E188" s="60"/>
      <c r="F188" s="84" t="str">
        <f>IFERROR(VLOOKUP(CONCATENATE($B188,"_",F$3),materiali!$C:$K,5,0),"")</f>
        <v>997001513</v>
      </c>
      <c r="G188" s="85" t="str">
        <f>IFERROR(VLOOKUP(CONCATENATE($B188,"_",G$3),materiali!$C:$K,6,0),"")</f>
        <v>RESINA TECNOTHANE MPC2013SG</v>
      </c>
      <c r="H188" s="86"/>
      <c r="I188" s="84" t="str">
        <f>IFERROR(VLOOKUP(CONCATENATE($B188,"_",I$3),materiali!$C:$K,5,0),"")</f>
        <v>997001514</v>
      </c>
      <c r="J188" s="85" t="str">
        <f>IFERROR(VLOOKUP(CONCATENATE($B188,"_",J$3),materiali!$C:$K,6,0),"")</f>
        <v>RETICOLANTE TECNOTHANE RCH361</v>
      </c>
      <c r="K188" s="86"/>
      <c r="L188" s="84" t="str">
        <f>IFERROR(VLOOKUP(CONCATENATE($B188,"_",L$3),materiali!$C:$K,5,0),"")</f>
        <v/>
      </c>
      <c r="M188" s="85" t="str">
        <f>IFERROR(VLOOKUP(CONCATENATE($B188,"_",M$3),materiali!$C:$K,6,0),"")</f>
        <v/>
      </c>
      <c r="N188" s="86"/>
      <c r="O188" s="84" t="str">
        <f>IFERROR(VLOOKUP(CONCATENATE($B188,"_",O$3),materiali!$C:$K,5,0),"")</f>
        <v>040001013</v>
      </c>
      <c r="P188" s="85" t="str">
        <f>IFERROR(VLOOKUP(CONCATENATE($B188,"_",P$3),materiali!$C:$K,6,0),"")</f>
        <v>ACCELERANTE X POLIOLO POLIESTERE TECNOKAT  PURO NON DILUITO</v>
      </c>
      <c r="Q188" s="86"/>
      <c r="R188" s="84" t="str">
        <f>IFERROR(VLOOKUP(CONCATENATE($B188,"_",R$3),materiali!$C:$K,5,0),"")</f>
        <v>997001508</v>
      </c>
      <c r="S188" s="85" t="str">
        <f>IFERROR(VLOOKUP(CONCATENATE($B188,"_",S$3),materiali!$C:$K,6,0),"")</f>
        <v>COLORE GIALLO PER POLIOLO</v>
      </c>
      <c r="T188" s="86"/>
      <c r="U188" s="31"/>
      <c r="AD188" s="97"/>
    </row>
    <row r="189" spans="1:30" ht="35.1" hidden="1" customHeight="1" x14ac:dyDescent="0.25">
      <c r="A189" s="83">
        <v>46111</v>
      </c>
      <c r="B189" s="7">
        <v>438044935</v>
      </c>
      <c r="C189" s="8" t="s">
        <v>32</v>
      </c>
      <c r="D189" s="8" t="s">
        <v>255</v>
      </c>
      <c r="E189" s="60"/>
      <c r="F189" s="84" t="str">
        <f>IFERROR(VLOOKUP(CONCATENATE($B189,"_",F$3),materiali!$C:$K,5,0),"")</f>
        <v>997001513</v>
      </c>
      <c r="G189" s="85" t="str">
        <f>IFERROR(VLOOKUP(CONCATENATE($B189,"_",G$3),materiali!$C:$K,6,0),"")</f>
        <v>RESINA TECNOTHANE MPC2013SG</v>
      </c>
      <c r="H189" s="86"/>
      <c r="I189" s="84" t="str">
        <f>IFERROR(VLOOKUP(CONCATENATE($B189,"_",I$3),materiali!$C:$K,5,0),"")</f>
        <v>997001514</v>
      </c>
      <c r="J189" s="85" t="str">
        <f>IFERROR(VLOOKUP(CONCATENATE($B189,"_",J$3),materiali!$C:$K,6,0),"")</f>
        <v>RETICOLANTE TECNOTHANE RCH360 (N.B.FUSTI DA 200 KG)</v>
      </c>
      <c r="K189" s="86"/>
      <c r="L189" s="84" t="str">
        <f>IFERROR(VLOOKUP(CONCATENATE($B189,"_",L$3),materiali!$C:$K,5,0),"")</f>
        <v/>
      </c>
      <c r="M189" s="85" t="str">
        <f>IFERROR(VLOOKUP(CONCATENATE($B189,"_",M$3),materiali!$C:$K,6,0),"")</f>
        <v/>
      </c>
      <c r="N189" s="86"/>
      <c r="O189" s="84" t="str">
        <f>IFERROR(VLOOKUP(CONCATENATE($B189,"_",O$3),materiali!$C:$K,5,0),"")</f>
        <v>040001013</v>
      </c>
      <c r="P189" s="85" t="str">
        <f>IFERROR(VLOOKUP(CONCATENATE($B189,"_",P$3),materiali!$C:$K,6,0),"")</f>
        <v>CATALIZZATORE TECNOKAT E, 10KG</v>
      </c>
      <c r="Q189" s="86"/>
      <c r="R189" s="84" t="str">
        <f>IFERROR(VLOOKUP(CONCATENATE($B189,"_",R$3),materiali!$C:$K,5,0),"")</f>
        <v>997001508</v>
      </c>
      <c r="S189" s="85" t="str">
        <f>IFERROR(VLOOKUP(CONCATENATE($B189,"_",S$3),materiali!$C:$K,6,0),"")</f>
        <v>COLORANTE GIALLO REPIPLAST/CE 28713</v>
      </c>
      <c r="T189" s="86"/>
      <c r="U189" s="31"/>
      <c r="AD189" s="97"/>
    </row>
    <row r="190" spans="1:30" ht="35.1" hidden="1" customHeight="1" x14ac:dyDescent="0.25">
      <c r="A190" s="83">
        <v>46111</v>
      </c>
      <c r="B190" s="7">
        <v>438014257</v>
      </c>
      <c r="C190" s="8" t="s">
        <v>36</v>
      </c>
      <c r="D190" s="8" t="s">
        <v>267</v>
      </c>
      <c r="E190" s="60"/>
      <c r="F190" s="84" t="str">
        <f>IFERROR(VLOOKUP(CONCATENATE($B190,"_",F$3),materiali!$C:$K,5,0),"")</f>
        <v>997001502</v>
      </c>
      <c r="G190" s="85" t="str">
        <f>IFERROR(VLOOKUP(CONCATENATE($B190,"_",G$3),materiali!$C:$K,6,0),"")</f>
        <v>ISOCIANATO POLIETERE SH.70/90 TECNOTHANE MPT 109SG</v>
      </c>
      <c r="H190" s="86"/>
      <c r="I190" s="84" t="str">
        <f>IFERROR(VLOOKUP(CONCATENATE($B190,"_",I$3),materiali!$C:$K,5,0),"")</f>
        <v>997001503</v>
      </c>
      <c r="J190" s="85" t="str">
        <f>IFERROR(VLOOKUP(CONCATENATE($B190,"_",J$3),materiali!$C:$K,6,0),"")</f>
        <v>POLIOLO POLIETERE SH.70 TECNOTHANE RH 275</v>
      </c>
      <c r="K190" s="86"/>
      <c r="L190" s="84" t="str">
        <f>IFERROR(VLOOKUP(CONCATENATE($B190,"_",L$3),materiali!$C:$K,5,0),"")</f>
        <v/>
      </c>
      <c r="M190" s="85" t="str">
        <f>IFERROR(VLOOKUP(CONCATENATE($B190,"_",M$3),materiali!$C:$K,6,0),"")</f>
        <v/>
      </c>
      <c r="N190" s="86"/>
      <c r="O190" s="84" t="str">
        <f>IFERROR(VLOOKUP(CONCATENATE($B190,"_",O$3),materiali!$C:$K,5,0),"")</f>
        <v>040001013</v>
      </c>
      <c r="P190" s="85" t="str">
        <f>IFERROR(VLOOKUP(CONCATENATE($B190,"_",P$3),materiali!$C:$K,6,0),"")</f>
        <v>CATALIZZATORE TECNOKAT E, 10KG</v>
      </c>
      <c r="Q190" s="86"/>
      <c r="R190" s="84" t="str">
        <f>IFERROR(VLOOKUP(CONCATENATE($B190,"_",R$3),materiali!$C:$K,5,0),"")</f>
        <v>040001014</v>
      </c>
      <c r="S190" s="85" t="str">
        <f>IFERROR(VLOOKUP(CONCATENATE($B190,"_",S$3),materiali!$C:$K,6,0),"")</f>
        <v>ADDITTIVO ANTISTAT.PER POLIOLO POLIEST.CATAFOR PU</v>
      </c>
      <c r="T190" s="86"/>
      <c r="U190" s="31"/>
      <c r="AD190" s="97"/>
    </row>
    <row r="191" spans="1:30" ht="35.1" hidden="1" customHeight="1" x14ac:dyDescent="0.25">
      <c r="A191" s="83">
        <v>46111</v>
      </c>
      <c r="B191" s="7" t="s">
        <v>38</v>
      </c>
      <c r="C191" s="8" t="s">
        <v>39</v>
      </c>
      <c r="D191" s="8" t="s">
        <v>272</v>
      </c>
      <c r="E191" s="60"/>
      <c r="F191" s="84" t="str">
        <f>IFERROR(VLOOKUP(CONCATENATE($B191,"_",F$3),materiali!$C:$K,5,0),"")</f>
        <v>997001518</v>
      </c>
      <c r="G191" s="85" t="str">
        <f>IFERROR(VLOOKUP(CONCATENATE($B191,"_",G$3),materiali!$C:$K,6,0),"")</f>
        <v>PREPOLIMERO HTR 2011 (FUSTI DA 60 KG)</v>
      </c>
      <c r="H191" s="86"/>
      <c r="I191" s="84" t="str">
        <f>IFERROR(VLOOKUP(CONCATENATE($B191,"_",I$3),materiali!$C:$K,5,0),"")</f>
        <v>997001519</v>
      </c>
      <c r="J191" s="85" t="str">
        <f>IFERROR(VLOOKUP(CONCATENATE($B191,"_",J$3),materiali!$C:$K,6,0),"")</f>
        <v>RETICOLANTE TH 380 (FUSTI DA 20 KG.)</v>
      </c>
      <c r="K191" s="86"/>
      <c r="L191" s="84" t="str">
        <f>IFERROR(VLOOKUP(CONCATENATE($B191,"_",L$3),materiali!$C:$K,5,0),"")</f>
        <v/>
      </c>
      <c r="M191" s="85" t="str">
        <f>IFERROR(VLOOKUP(CONCATENATE($B191,"_",M$3),materiali!$C:$K,6,0),"")</f>
        <v/>
      </c>
      <c r="N191" s="86"/>
      <c r="O191" s="84" t="str">
        <f>IFERROR(VLOOKUP(CONCATENATE($B191,"_",O$3),materiali!$C:$K,5,0),"")</f>
        <v>040001013</v>
      </c>
      <c r="P191" s="85" t="str">
        <f>IFERROR(VLOOKUP(CONCATENATE($B191,"_",P$3),materiali!$C:$K,6,0),"")</f>
        <v>CATALIZZATORE TECNOKAT E, 10KG</v>
      </c>
      <c r="Q191" s="86"/>
      <c r="R191" s="84" t="str">
        <f>IFERROR(VLOOKUP(CONCATENATE($B191,"_",R$3),materiali!$C:$K,5,0),"")</f>
        <v/>
      </c>
      <c r="S191" s="85" t="str">
        <f>IFERROR(VLOOKUP(CONCATENATE($B191,"_",S$3),materiali!$C:$K,6,0),"")</f>
        <v/>
      </c>
      <c r="T191" s="86"/>
      <c r="U191" s="31"/>
      <c r="AD191" s="97"/>
    </row>
    <row r="192" spans="1:30" ht="35.1" hidden="1" customHeight="1" x14ac:dyDescent="0.25">
      <c r="A192" s="83">
        <v>46111</v>
      </c>
      <c r="B192" s="7" t="s">
        <v>42</v>
      </c>
      <c r="C192" s="8" t="s">
        <v>43</v>
      </c>
      <c r="D192" s="8" t="s">
        <v>263</v>
      </c>
      <c r="E192" s="60"/>
      <c r="F192" s="84" t="str">
        <f>IFERROR(VLOOKUP(CONCATENATE($B192,"_",F$3),materiali!$C:$K,5,0),"")</f>
        <v>997005963</v>
      </c>
      <c r="G192" s="85" t="str">
        <f>IFERROR(VLOOKUP(CONCATENATE($B192,"_",G$3),materiali!$C:$K,6,0),"")</f>
        <v>MPC 2013F (FUSTI 50 KG)</v>
      </c>
      <c r="H192" s="86"/>
      <c r="I192" s="84" t="str">
        <f>IFERROR(VLOOKUP(CONCATENATE($B192,"_",I$3),materiali!$C:$K,5,0),"")</f>
        <v>997005965</v>
      </c>
      <c r="J192" s="85" t="str">
        <f>IFERROR(VLOOKUP(CONCATENATE($B192,"_",J$3),materiali!$C:$K,6,0),"")</f>
        <v>RCH 350F (FUSTI 25 KG)</v>
      </c>
      <c r="K192" s="86"/>
      <c r="L192" s="84" t="str">
        <f>IFERROR(VLOOKUP(CONCATENATE($B192,"_",L$3),materiali!$C:$K,5,0),"")</f>
        <v/>
      </c>
      <c r="M192" s="85" t="str">
        <f>IFERROR(VLOOKUP(CONCATENATE($B192,"_",M$3),materiali!$C:$K,6,0),"")</f>
        <v/>
      </c>
      <c r="N192" s="86"/>
      <c r="O192" s="84" t="str">
        <f>IFERROR(VLOOKUP(CONCATENATE($B192,"_",O$3),materiali!$C:$K,5,0),"")</f>
        <v>997006168</v>
      </c>
      <c r="P192" s="85" t="str">
        <f>IFERROR(VLOOKUP(CONCATENATE($B192,"_",P$3),materiali!$C:$K,6,0),"")</f>
        <v>CATALIZZATORE TECNOKAT T12-500</v>
      </c>
      <c r="Q192" s="86"/>
      <c r="R192" s="84" t="str">
        <f>IFERROR(VLOOKUP(CONCATENATE($B192,"_",R$3),materiali!$C:$K,5,0),"")</f>
        <v>997004318</v>
      </c>
      <c r="S192" s="85" t="str">
        <f>IFERROR(VLOOKUP(CONCATENATE($B192,"_",S$3),materiali!$C:$K,6,0),"")</f>
        <v>BIANCO REMAP 10080 FDA 178.3297 (COLORANTE FDA PER SISTEMI)</v>
      </c>
      <c r="T192" s="86"/>
      <c r="U192" s="31"/>
      <c r="AD192" s="97"/>
    </row>
    <row r="193" spans="1:30" ht="35.1" customHeight="1" x14ac:dyDescent="0.25">
      <c r="A193" s="83">
        <v>46119</v>
      </c>
      <c r="B193" s="7" t="s">
        <v>24</v>
      </c>
      <c r="C193" s="8" t="s">
        <v>25</v>
      </c>
      <c r="D193" s="8" t="s">
        <v>247</v>
      </c>
      <c r="E193" s="60"/>
      <c r="F193" s="84" t="str">
        <f>IFERROR(VLOOKUP(CONCATENATE($B193,"_",F$3),materiali!$C:$K,5,0),"")</f>
        <v>997006153</v>
      </c>
      <c r="G193" s="85" t="str">
        <f>IFERROR(VLOOKUP(CONCATENATE($B193,"_",G$3),materiali!$C:$K,6,0),"")</f>
        <v>MPC 109A (FUSTI 50 KG)</v>
      </c>
      <c r="H193" s="86"/>
      <c r="I193" s="84" t="str">
        <f>IFERROR(VLOOKUP(CONCATENATE($B193,"_",I$3),materiali!$C:$K,5,0),"")</f>
        <v>997006154</v>
      </c>
      <c r="J193" s="85" t="str">
        <f>IFERROR(VLOOKUP(CONCATENATE($B193,"_",J$3),materiali!$C:$K,6,0),"")</f>
        <v>RH 275B (FUSTI 25 KG)</v>
      </c>
      <c r="K193" s="86"/>
      <c r="L193" s="84" t="str">
        <f>IFERROR(VLOOKUP(CONCATENATE($B193,"_",L$3),materiali!$C:$K,5,0),"")</f>
        <v/>
      </c>
      <c r="M193" s="85" t="str">
        <f>IFERROR(VLOOKUP(CONCATENATE($B193,"_",M$3),materiali!$C:$K,6,0),"")</f>
        <v/>
      </c>
      <c r="N193" s="86"/>
      <c r="O193" s="84" t="str">
        <f>IFERROR(VLOOKUP(CONCATENATE($B193,"_",O$3),materiali!$C:$K,5,0),"")</f>
        <v>997006168</v>
      </c>
      <c r="P193" s="85" t="str">
        <f>IFERROR(VLOOKUP(CONCATENATE($B193,"_",P$3),materiali!$C:$K,6,0),"")</f>
        <v>CATALIZZATORE TECNOKAT T12-500</v>
      </c>
      <c r="Q193" s="86"/>
      <c r="R193" s="84" t="str">
        <f>IFERROR(VLOOKUP(CONCATENATE($B193,"_",R$3),materiali!$C:$K,5,0),"")</f>
        <v>997004318</v>
      </c>
      <c r="S193" s="85" t="str">
        <f>IFERROR(VLOOKUP(CONCATENATE($B193,"_",S$3),materiali!$C:$K,6,0),"")</f>
        <v>BIANCO REMAP 10080 FDA 178.3297 (COLORANTE FDA PER SISTEMI)</v>
      </c>
      <c r="T193" s="86"/>
      <c r="U193" s="31"/>
      <c r="AD193" s="97"/>
    </row>
    <row r="194" spans="1:30" ht="35.1" customHeight="1" x14ac:dyDescent="0.25">
      <c r="A194" s="83">
        <v>46125</v>
      </c>
      <c r="B194" s="7" t="s">
        <v>24</v>
      </c>
      <c r="C194" s="8" t="s">
        <v>25</v>
      </c>
      <c r="D194" s="8" t="s">
        <v>247</v>
      </c>
      <c r="E194" s="60"/>
      <c r="F194" s="84" t="str">
        <f>IFERROR(VLOOKUP(CONCATENATE($B194,"_",F$3),materiali!$C:$K,5,0),"")</f>
        <v>997006153</v>
      </c>
      <c r="G194" s="85" t="str">
        <f>IFERROR(VLOOKUP(CONCATENATE($B194,"_",G$3),materiali!$C:$K,6,0),"")</f>
        <v>MPC 109A (FUSTI 50 KG)</v>
      </c>
      <c r="H194" s="86"/>
      <c r="I194" s="84" t="str">
        <f>IFERROR(VLOOKUP(CONCATENATE($B194,"_",I$3),materiali!$C:$K,5,0),"")</f>
        <v>997006154</v>
      </c>
      <c r="J194" s="85" t="str">
        <f>IFERROR(VLOOKUP(CONCATENATE($B194,"_",J$3),materiali!$C:$K,6,0),"")</f>
        <v>RH 275B (FUSTI 25 KG)</v>
      </c>
      <c r="K194" s="86"/>
      <c r="L194" s="84" t="str">
        <f>IFERROR(VLOOKUP(CONCATENATE($B194,"_",L$3),materiali!$C:$K,5,0),"")</f>
        <v/>
      </c>
      <c r="M194" s="85" t="str">
        <f>IFERROR(VLOOKUP(CONCATENATE($B194,"_",M$3),materiali!$C:$K,6,0),"")</f>
        <v/>
      </c>
      <c r="N194" s="86"/>
      <c r="O194" s="84" t="str">
        <f>IFERROR(VLOOKUP(CONCATENATE($B194,"_",O$3),materiali!$C:$K,5,0),"")</f>
        <v>997006168</v>
      </c>
      <c r="P194" s="85" t="str">
        <f>IFERROR(VLOOKUP(CONCATENATE($B194,"_",P$3),materiali!$C:$K,6,0),"")</f>
        <v>CATALIZZATORE TECNOKAT T12-500</v>
      </c>
      <c r="Q194" s="86"/>
      <c r="R194" s="84" t="str">
        <f>IFERROR(VLOOKUP(CONCATENATE($B194,"_",R$3),materiali!$C:$K,5,0),"")</f>
        <v>997004318</v>
      </c>
      <c r="S194" s="85" t="str">
        <f>IFERROR(VLOOKUP(CONCATENATE($B194,"_",S$3),materiali!$C:$K,6,0),"")</f>
        <v>BIANCO REMAP 10080 FDA 178.3297 (COLORANTE FDA PER SISTEMI)</v>
      </c>
      <c r="T194" s="86"/>
      <c r="U194" s="31"/>
      <c r="AD194" s="97"/>
    </row>
    <row r="195" spans="1:30" ht="35.1" hidden="1" customHeight="1" x14ac:dyDescent="0.25">
      <c r="A195" s="83">
        <v>46127</v>
      </c>
      <c r="B195" s="7" t="s">
        <v>10</v>
      </c>
      <c r="C195" s="8" t="s">
        <v>11</v>
      </c>
      <c r="D195" s="8" t="s">
        <v>65</v>
      </c>
      <c r="E195" s="60"/>
      <c r="F195" s="84" t="str">
        <f>IFERROR(VLOOKUP(CONCATENATE($B195,"_",F$3),materiali!$C:$K,5,0),"")</f>
        <v>997001502</v>
      </c>
      <c r="G195" s="85" t="str">
        <f>IFERROR(VLOOKUP(CONCATENATE($B195,"_",G$3),materiali!$C:$K,6,0),"")</f>
        <v>ISOCIANATO POLIETERE SH.70/90 TECNOTHANE MPT 109SG</v>
      </c>
      <c r="H195" s="86"/>
      <c r="I195" s="84" t="str">
        <f>IFERROR(VLOOKUP(CONCATENATE($B195,"_",I$3),materiali!$C:$K,5,0),"")</f>
        <v>997005228</v>
      </c>
      <c r="J195" s="85" t="str">
        <f>IFERROR(VLOOKUP(CONCATENATE($B195,"_",J$3),materiali!$C:$K,6,0),"")</f>
        <v>POLIOLO POLIETERE SH.70 TECNOTHANE RH 246  FORMATO 200 KG.</v>
      </c>
      <c r="K195" s="86"/>
      <c r="L195" s="84" t="str">
        <f>IFERROR(VLOOKUP(CONCATENATE($B195,"_",L$3),materiali!$C:$K,5,0),"")</f>
        <v/>
      </c>
      <c r="M195" s="85" t="str">
        <f>IFERROR(VLOOKUP(CONCATENATE($B195,"_",M$3),materiali!$C:$K,6,0),"")</f>
        <v/>
      </c>
      <c r="N195" s="86"/>
      <c r="O195" s="84" t="str">
        <f>IFERROR(VLOOKUP(CONCATENATE($B195,"_",O$3),materiali!$C:$K,5,0),"")</f>
        <v>040001013</v>
      </c>
      <c r="P195" s="85" t="str">
        <f>IFERROR(VLOOKUP(CONCATENATE($B195,"_",P$3),materiali!$C:$K,6,0),"")</f>
        <v>ACCELERANTE X POLIOLO POLIESTE RE (per macchine pur old)</v>
      </c>
      <c r="Q195" s="86"/>
      <c r="R195" s="84" t="str">
        <f>IFERROR(VLOOKUP(CONCATENATE($B195,"_",R$3),materiali!$C:$K,5,0),"")</f>
        <v>997001508</v>
      </c>
      <c r="S195" s="85" t="str">
        <f>IFERROR(VLOOKUP(CONCATENATE($B195,"_",S$3),materiali!$C:$K,6,0),"")</f>
        <v>COLORE GIALLO PER POLIOLO</v>
      </c>
      <c r="T195" s="86"/>
      <c r="U195" s="31"/>
      <c r="AD195" s="97"/>
    </row>
    <row r="196" spans="1:30" ht="35.1" hidden="1" customHeight="1" x14ac:dyDescent="0.25">
      <c r="A196" s="83">
        <v>46127</v>
      </c>
      <c r="B196" s="7" t="s">
        <v>14</v>
      </c>
      <c r="C196" s="8" t="s">
        <v>15</v>
      </c>
      <c r="D196" s="8" t="s">
        <v>97</v>
      </c>
      <c r="E196" s="60"/>
      <c r="F196" s="84" t="str">
        <f>IFERROR(VLOOKUP(CONCATENATE($B196,"_",F$3),materiali!$C:$K,5,0),"")</f>
        <v>997001513</v>
      </c>
      <c r="G196" s="85" t="str">
        <f>IFERROR(VLOOKUP(CONCATENATE($B196,"_",G$3),materiali!$C:$K,6,0),"")</f>
        <v>RESINA TECNOTHANE MPC2013SG</v>
      </c>
      <c r="H196" s="86"/>
      <c r="I196" s="84" t="str">
        <f>IFERROR(VLOOKUP(CONCATENATE($B196,"_",I$3),materiali!$C:$K,5,0),"")</f>
        <v>997001515</v>
      </c>
      <c r="J196" s="85" t="str">
        <f>IFERROR(VLOOKUP(CONCATENATE($B196,"_",J$3),materiali!$C:$K,6,0),"")</f>
        <v>RETICOLANTE TECNOTHANE RCH160 (50 KG)</v>
      </c>
      <c r="K196" s="86"/>
      <c r="L196" s="84" t="str">
        <f>IFERROR(VLOOKUP(CONCATENATE($B196,"_",L$3),materiali!$C:$K,5,0),"")</f>
        <v/>
      </c>
      <c r="M196" s="85" t="str">
        <f>IFERROR(VLOOKUP(CONCATENATE($B196,"_",M$3),materiali!$C:$K,6,0),"")</f>
        <v/>
      </c>
      <c r="N196" s="86"/>
      <c r="O196" s="84" t="str">
        <f>IFERROR(VLOOKUP(CONCATENATE($B196,"_",O$3),materiali!$C:$K,5,0),"")</f>
        <v>040001013</v>
      </c>
      <c r="P196" s="85" t="str">
        <f>IFERROR(VLOOKUP(CONCATENATE($B196,"_",P$3),materiali!$C:$K,6,0),"")</f>
        <v>ACCELERANTE X POLIOLO POLIESTERE TECNOKAT  PURO NON DILUITO</v>
      </c>
      <c r="Q196" s="86"/>
      <c r="R196" s="84" t="str">
        <f>IFERROR(VLOOKUP(CONCATENATE($B196,"_",R$3),materiali!$C:$K,5,0),"")</f>
        <v>997001508</v>
      </c>
      <c r="S196" s="85" t="str">
        <f>IFERROR(VLOOKUP(CONCATENATE($B196,"_",S$3),materiali!$C:$K,6,0),"")</f>
        <v>COLORE GIALLO PER POLIOLO</v>
      </c>
      <c r="T196" s="86"/>
      <c r="U196" s="31"/>
      <c r="AD196" s="97"/>
    </row>
    <row r="197" spans="1:30" ht="35.1" hidden="1" customHeight="1" x14ac:dyDescent="0.25">
      <c r="A197" s="83">
        <v>46127</v>
      </c>
      <c r="B197" s="7" t="s">
        <v>20</v>
      </c>
      <c r="C197" s="8" t="s">
        <v>21</v>
      </c>
      <c r="D197" s="8" t="s">
        <v>193</v>
      </c>
      <c r="E197" s="60"/>
      <c r="F197" s="84" t="str">
        <f>IFERROR(VLOOKUP(CONCATENATE($B197,"_",F$3),materiali!$C:$K,5,0),"")</f>
        <v>997001513</v>
      </c>
      <c r="G197" s="85" t="str">
        <f>IFERROR(VLOOKUP(CONCATENATE($B197,"_",G$3),materiali!$C:$K,6,0),"")</f>
        <v>RESINA TECNOTHANE MPC2013SG</v>
      </c>
      <c r="H197" s="86"/>
      <c r="I197" s="84" t="str">
        <f>IFERROR(VLOOKUP(CONCATENATE($B197,"_",I$3),materiali!$C:$K,5,0),"")</f>
        <v>997001514</v>
      </c>
      <c r="J197" s="85" t="str">
        <f>IFERROR(VLOOKUP(CONCATENATE($B197,"_",J$3),materiali!$C:$K,6,0),"")</f>
        <v>RETICOLANTE TECNOTHANE RCH361</v>
      </c>
      <c r="K197" s="86"/>
      <c r="L197" s="84" t="str">
        <f>IFERROR(VLOOKUP(CONCATENATE($B197,"_",L$3),materiali!$C:$K,5,0),"")</f>
        <v/>
      </c>
      <c r="M197" s="85" t="str">
        <f>IFERROR(VLOOKUP(CONCATENATE($B197,"_",M$3),materiali!$C:$K,6,0),"")</f>
        <v/>
      </c>
      <c r="N197" s="86"/>
      <c r="O197" s="84" t="str">
        <f>IFERROR(VLOOKUP(CONCATENATE($B197,"_",O$3),materiali!$C:$K,5,0),"")</f>
        <v>040001013</v>
      </c>
      <c r="P197" s="85" t="str">
        <f>IFERROR(VLOOKUP(CONCATENATE($B197,"_",P$3),materiali!$C:$K,6,0),"")</f>
        <v>ACCELERANTE X POLIOLO POLIESTERE TECNOKAT  PURO NON DILUITO</v>
      </c>
      <c r="Q197" s="86"/>
      <c r="R197" s="84" t="str">
        <f>IFERROR(VLOOKUP(CONCATENATE($B197,"_",R$3),materiali!$C:$K,5,0),"")</f>
        <v>997001508</v>
      </c>
      <c r="S197" s="85" t="str">
        <f>IFERROR(VLOOKUP(CONCATENATE($B197,"_",S$3),materiali!$C:$K,6,0),"")</f>
        <v>COLORE GIALLO PER POLIOLO</v>
      </c>
      <c r="T197" s="86"/>
      <c r="U197" s="31"/>
      <c r="AD197" s="97"/>
    </row>
    <row r="198" spans="1:30" ht="35.1" hidden="1" customHeight="1" x14ac:dyDescent="0.25">
      <c r="A198" s="83">
        <v>46127</v>
      </c>
      <c r="B198" s="7" t="s">
        <v>28</v>
      </c>
      <c r="C198" s="8" t="s">
        <v>29</v>
      </c>
      <c r="D198" s="8" t="s">
        <v>93</v>
      </c>
      <c r="E198" s="60"/>
      <c r="F198" s="84" t="str">
        <f>IFERROR(VLOOKUP(CONCATENATE($B198,"_",F$3),materiali!$C:$K,5,0),"")</f>
        <v>997001513</v>
      </c>
      <c r="G198" s="85" t="str">
        <f>IFERROR(VLOOKUP(CONCATENATE($B198,"_",G$3),materiali!$C:$K,6,0),"")</f>
        <v>RESINA TECNOTHANE MPC2013SG</v>
      </c>
      <c r="H198" s="86"/>
      <c r="I198" s="84" t="str">
        <f>IFERROR(VLOOKUP(CONCATENATE($B198,"_",I$3),materiali!$C:$K,5,0),"")</f>
        <v>997001514</v>
      </c>
      <c r="J198" s="85" t="str">
        <f>IFERROR(VLOOKUP(CONCATENATE($B198,"_",J$3),materiali!$C:$K,6,0),"")</f>
        <v>RETICOLANTE TECNOTHANE RCH361</v>
      </c>
      <c r="K198" s="86"/>
      <c r="L198" s="84" t="str">
        <f>IFERROR(VLOOKUP(CONCATENATE($B198,"_",L$3),materiali!$C:$K,5,0),"")</f>
        <v/>
      </c>
      <c r="M198" s="85" t="str">
        <f>IFERROR(VLOOKUP(CONCATENATE($B198,"_",M$3),materiali!$C:$K,6,0),"")</f>
        <v/>
      </c>
      <c r="N198" s="86"/>
      <c r="O198" s="84" t="str">
        <f>IFERROR(VLOOKUP(CONCATENATE($B198,"_",O$3),materiali!$C:$K,5,0),"")</f>
        <v>040001013</v>
      </c>
      <c r="P198" s="85" t="str">
        <f>IFERROR(VLOOKUP(CONCATENATE($B198,"_",P$3),materiali!$C:$K,6,0),"")</f>
        <v>ACCELERANTE X POLIOLO POLIESTERE TECNOKAT  PURO NON DILUITO</v>
      </c>
      <c r="Q198" s="86"/>
      <c r="R198" s="84" t="str">
        <f>IFERROR(VLOOKUP(CONCATENATE($B198,"_",R$3),materiali!$C:$K,5,0),"")</f>
        <v>997001508</v>
      </c>
      <c r="S198" s="85" t="str">
        <f>IFERROR(VLOOKUP(CONCATENATE($B198,"_",S$3),materiali!$C:$K,6,0),"")</f>
        <v>COLORE GIALLO PER POLIOLO</v>
      </c>
      <c r="T198" s="86"/>
      <c r="U198" s="31"/>
      <c r="AD198" s="97"/>
    </row>
    <row r="199" spans="1:30" ht="35.1" hidden="1" customHeight="1" x14ac:dyDescent="0.25">
      <c r="A199" s="83">
        <v>46127</v>
      </c>
      <c r="B199" s="7">
        <v>438044935</v>
      </c>
      <c r="C199" s="8" t="s">
        <v>32</v>
      </c>
      <c r="D199" s="8" t="s">
        <v>255</v>
      </c>
      <c r="E199" s="60"/>
      <c r="F199" s="84" t="str">
        <f>IFERROR(VLOOKUP(CONCATENATE($B199,"_",F$3),materiali!$C:$K,5,0),"")</f>
        <v>997001513</v>
      </c>
      <c r="G199" s="85" t="str">
        <f>IFERROR(VLOOKUP(CONCATENATE($B199,"_",G$3),materiali!$C:$K,6,0),"")</f>
        <v>RESINA TECNOTHANE MPC2013SG</v>
      </c>
      <c r="H199" s="86"/>
      <c r="I199" s="84" t="str">
        <f>IFERROR(VLOOKUP(CONCATENATE($B199,"_",I$3),materiali!$C:$K,5,0),"")</f>
        <v>997001514</v>
      </c>
      <c r="J199" s="85" t="str">
        <f>IFERROR(VLOOKUP(CONCATENATE($B199,"_",J$3),materiali!$C:$K,6,0),"")</f>
        <v>RETICOLANTE TECNOTHANE RCH360 (N.B.FUSTI DA 200 KG)</v>
      </c>
      <c r="K199" s="86"/>
      <c r="L199" s="84" t="str">
        <f>IFERROR(VLOOKUP(CONCATENATE($B199,"_",L$3),materiali!$C:$K,5,0),"")</f>
        <v/>
      </c>
      <c r="M199" s="85" t="str">
        <f>IFERROR(VLOOKUP(CONCATENATE($B199,"_",M$3),materiali!$C:$K,6,0),"")</f>
        <v/>
      </c>
      <c r="N199" s="86"/>
      <c r="O199" s="84" t="str">
        <f>IFERROR(VLOOKUP(CONCATENATE($B199,"_",O$3),materiali!$C:$K,5,0),"")</f>
        <v>040001013</v>
      </c>
      <c r="P199" s="85" t="str">
        <f>IFERROR(VLOOKUP(CONCATENATE($B199,"_",P$3),materiali!$C:$K,6,0),"")</f>
        <v>CATALIZZATORE TECNOKAT E, 10KG</v>
      </c>
      <c r="Q199" s="86"/>
      <c r="R199" s="84" t="str">
        <f>IFERROR(VLOOKUP(CONCATENATE($B199,"_",R$3),materiali!$C:$K,5,0),"")</f>
        <v>997001508</v>
      </c>
      <c r="S199" s="85" t="str">
        <f>IFERROR(VLOOKUP(CONCATENATE($B199,"_",S$3),materiali!$C:$K,6,0),"")</f>
        <v>COLORANTE GIALLO REPIPLAST/CE 28713</v>
      </c>
      <c r="T199" s="86"/>
      <c r="U199" s="31"/>
      <c r="AD199" s="97"/>
    </row>
    <row r="200" spans="1:30" ht="35.1" hidden="1" customHeight="1" x14ac:dyDescent="0.25">
      <c r="A200" s="83">
        <v>46127</v>
      </c>
      <c r="B200" s="7">
        <v>438014257</v>
      </c>
      <c r="C200" s="8" t="s">
        <v>36</v>
      </c>
      <c r="D200" s="8" t="s">
        <v>267</v>
      </c>
      <c r="E200" s="60"/>
      <c r="F200" s="84" t="str">
        <f>IFERROR(VLOOKUP(CONCATENATE($B200,"_",F$3),materiali!$C:$K,5,0),"")</f>
        <v>997001502</v>
      </c>
      <c r="G200" s="85" t="str">
        <f>IFERROR(VLOOKUP(CONCATENATE($B200,"_",G$3),materiali!$C:$K,6,0),"")</f>
        <v>ISOCIANATO POLIETERE SH.70/90 TECNOTHANE MPT 109SG</v>
      </c>
      <c r="H200" s="86"/>
      <c r="I200" s="84" t="str">
        <f>IFERROR(VLOOKUP(CONCATENATE($B200,"_",I$3),materiali!$C:$K,5,0),"")</f>
        <v>997001503</v>
      </c>
      <c r="J200" s="85" t="str">
        <f>IFERROR(VLOOKUP(CONCATENATE($B200,"_",J$3),materiali!$C:$K,6,0),"")</f>
        <v>POLIOLO POLIETERE SH.70 TECNOTHANE RH 275</v>
      </c>
      <c r="K200" s="86"/>
      <c r="L200" s="84" t="str">
        <f>IFERROR(VLOOKUP(CONCATENATE($B200,"_",L$3),materiali!$C:$K,5,0),"")</f>
        <v/>
      </c>
      <c r="M200" s="85" t="str">
        <f>IFERROR(VLOOKUP(CONCATENATE($B200,"_",M$3),materiali!$C:$K,6,0),"")</f>
        <v/>
      </c>
      <c r="N200" s="86"/>
      <c r="O200" s="84" t="str">
        <f>IFERROR(VLOOKUP(CONCATENATE($B200,"_",O$3),materiali!$C:$K,5,0),"")</f>
        <v>040001013</v>
      </c>
      <c r="P200" s="85" t="str">
        <f>IFERROR(VLOOKUP(CONCATENATE($B200,"_",P$3),materiali!$C:$K,6,0),"")</f>
        <v>CATALIZZATORE TECNOKAT E, 10KG</v>
      </c>
      <c r="Q200" s="86"/>
      <c r="R200" s="84" t="str">
        <f>IFERROR(VLOOKUP(CONCATENATE($B200,"_",R$3),materiali!$C:$K,5,0),"")</f>
        <v>040001014</v>
      </c>
      <c r="S200" s="85" t="str">
        <f>IFERROR(VLOOKUP(CONCATENATE($B200,"_",S$3),materiali!$C:$K,6,0),"")</f>
        <v>ADDITTIVO ANTISTAT.PER POLIOLO POLIEST.CATAFOR PU</v>
      </c>
      <c r="T200" s="86"/>
      <c r="U200" s="31"/>
      <c r="AD200" s="97"/>
    </row>
    <row r="201" spans="1:30" ht="35.1" hidden="1" customHeight="1" x14ac:dyDescent="0.25">
      <c r="A201" s="83">
        <v>46127</v>
      </c>
      <c r="B201" s="7" t="s">
        <v>42</v>
      </c>
      <c r="C201" s="8" t="s">
        <v>43</v>
      </c>
      <c r="D201" s="8" t="s">
        <v>263</v>
      </c>
      <c r="E201" s="60"/>
      <c r="F201" s="84" t="str">
        <f>IFERROR(VLOOKUP(CONCATENATE($B201,"_",F$3),materiali!$C:$K,5,0),"")</f>
        <v>997005963</v>
      </c>
      <c r="G201" s="85" t="str">
        <f>IFERROR(VLOOKUP(CONCATENATE($B201,"_",G$3),materiali!$C:$K,6,0),"")</f>
        <v>MPC 2013F (FUSTI 50 KG)</v>
      </c>
      <c r="H201" s="86"/>
      <c r="I201" s="84" t="str">
        <f>IFERROR(VLOOKUP(CONCATENATE($B201,"_",I$3),materiali!$C:$K,5,0),"")</f>
        <v>997005965</v>
      </c>
      <c r="J201" s="85" t="str">
        <f>IFERROR(VLOOKUP(CONCATENATE($B201,"_",J$3),materiali!$C:$K,6,0),"")</f>
        <v>RCH 350F (FUSTI 25 KG)</v>
      </c>
      <c r="K201" s="86"/>
      <c r="L201" s="84" t="str">
        <f>IFERROR(VLOOKUP(CONCATENATE($B201,"_",L$3),materiali!$C:$K,5,0),"")</f>
        <v/>
      </c>
      <c r="M201" s="85" t="str">
        <f>IFERROR(VLOOKUP(CONCATENATE($B201,"_",M$3),materiali!$C:$K,6,0),"")</f>
        <v/>
      </c>
      <c r="N201" s="86"/>
      <c r="O201" s="84" t="str">
        <f>IFERROR(VLOOKUP(CONCATENATE($B201,"_",O$3),materiali!$C:$K,5,0),"")</f>
        <v>997006168</v>
      </c>
      <c r="P201" s="85" t="str">
        <f>IFERROR(VLOOKUP(CONCATENATE($B201,"_",P$3),materiali!$C:$K,6,0),"")</f>
        <v>CATALIZZATORE TECNOKAT T12-500</v>
      </c>
      <c r="Q201" s="86"/>
      <c r="R201" s="84" t="str">
        <f>IFERROR(VLOOKUP(CONCATENATE($B201,"_",R$3),materiali!$C:$K,5,0),"")</f>
        <v>997004318</v>
      </c>
      <c r="S201" s="85" t="str">
        <f>IFERROR(VLOOKUP(CONCATENATE($B201,"_",S$3),materiali!$C:$K,6,0),"")</f>
        <v>BIANCO REMAP 10080 FDA 178.3297 (COLORANTE FDA PER SISTEMI)</v>
      </c>
      <c r="T201" s="86"/>
      <c r="U201" s="31"/>
      <c r="AD201" s="97"/>
    </row>
    <row r="202" spans="1:30" ht="35.1" hidden="1" customHeight="1" x14ac:dyDescent="0.25">
      <c r="A202" s="83"/>
      <c r="B202" s="7"/>
      <c r="C202" s="8"/>
      <c r="D202" s="8"/>
      <c r="E202" s="60"/>
      <c r="F202" s="84" t="str">
        <f>IFERROR(VLOOKUP(CONCATENATE($B202,"_",F$3),materiali!$C:$K,5,0),"")</f>
        <v/>
      </c>
      <c r="G202" s="85" t="str">
        <f>IFERROR(VLOOKUP(CONCATENATE($B202,"_",G$3),materiali!$C:$K,6,0),"")</f>
        <v/>
      </c>
      <c r="H202" s="86"/>
      <c r="I202" s="84" t="str">
        <f>IFERROR(VLOOKUP(CONCATENATE($B202,"_",I$3),materiali!$C:$K,5,0),"")</f>
        <v/>
      </c>
      <c r="J202" s="85" t="str">
        <f>IFERROR(VLOOKUP(CONCATENATE($B202,"_",J$3),materiali!$C:$K,6,0),"")</f>
        <v/>
      </c>
      <c r="K202" s="86"/>
      <c r="L202" s="84" t="str">
        <f>IFERROR(VLOOKUP(CONCATENATE($B202,"_",L$3),materiali!$C:$K,5,0),"")</f>
        <v/>
      </c>
      <c r="M202" s="85" t="str">
        <f>IFERROR(VLOOKUP(CONCATENATE($B202,"_",M$3),materiali!$C:$K,6,0),"")</f>
        <v/>
      </c>
      <c r="N202" s="86"/>
      <c r="O202" s="84" t="str">
        <f>IFERROR(VLOOKUP(CONCATENATE($B202,"_",O$3),materiali!$C:$K,5,0),"")</f>
        <v/>
      </c>
      <c r="P202" s="85" t="str">
        <f>IFERROR(VLOOKUP(CONCATENATE($B202,"_",P$3),materiali!$C:$K,6,0),"")</f>
        <v/>
      </c>
      <c r="Q202" s="86"/>
      <c r="R202" s="84" t="str">
        <f>IFERROR(VLOOKUP(CONCATENATE($B202,"_",R$3),materiali!$C:$K,5,0),"")</f>
        <v/>
      </c>
      <c r="S202" s="85" t="str">
        <f>IFERROR(VLOOKUP(CONCATENATE($B202,"_",S$3),materiali!$C:$K,6,0),"")</f>
        <v/>
      </c>
      <c r="T202" s="86"/>
      <c r="U202" s="31"/>
      <c r="AD202" s="97"/>
    </row>
    <row r="203" spans="1:30" ht="35.1" hidden="1" customHeight="1" x14ac:dyDescent="0.25">
      <c r="A203" s="83"/>
      <c r="B203" s="7"/>
      <c r="C203" s="8"/>
      <c r="D203" s="8"/>
      <c r="E203" s="60"/>
      <c r="F203" s="84" t="str">
        <f>IFERROR(VLOOKUP(CONCATENATE($B203,"_",F$3),materiali!$C:$K,5,0),"")</f>
        <v/>
      </c>
      <c r="G203" s="85" t="str">
        <f>IFERROR(VLOOKUP(CONCATENATE($B203,"_",G$3),materiali!$C:$K,6,0),"")</f>
        <v/>
      </c>
      <c r="H203" s="86"/>
      <c r="I203" s="84" t="str">
        <f>IFERROR(VLOOKUP(CONCATENATE($B203,"_",I$3),materiali!$C:$K,5,0),"")</f>
        <v/>
      </c>
      <c r="J203" s="85" t="str">
        <f>IFERROR(VLOOKUP(CONCATENATE($B203,"_",J$3),materiali!$C:$K,6,0),"")</f>
        <v/>
      </c>
      <c r="K203" s="86"/>
      <c r="L203" s="84" t="str">
        <f>IFERROR(VLOOKUP(CONCATENATE($B203,"_",L$3),materiali!$C:$K,5,0),"")</f>
        <v/>
      </c>
      <c r="M203" s="85" t="str">
        <f>IFERROR(VLOOKUP(CONCATENATE($B203,"_",M$3),materiali!$C:$K,6,0),"")</f>
        <v/>
      </c>
      <c r="N203" s="86"/>
      <c r="O203" s="84" t="str">
        <f>IFERROR(VLOOKUP(CONCATENATE($B203,"_",O$3),materiali!$C:$K,5,0),"")</f>
        <v/>
      </c>
      <c r="P203" s="85" t="str">
        <f>IFERROR(VLOOKUP(CONCATENATE($B203,"_",P$3),materiali!$C:$K,6,0),"")</f>
        <v/>
      </c>
      <c r="Q203" s="86"/>
      <c r="R203" s="84" t="str">
        <f>IFERROR(VLOOKUP(CONCATENATE($B203,"_",R$3),materiali!$C:$K,5,0),"")</f>
        <v/>
      </c>
      <c r="S203" s="85" t="str">
        <f>IFERROR(VLOOKUP(CONCATENATE($B203,"_",S$3),materiali!$C:$K,6,0),"")</f>
        <v/>
      </c>
      <c r="T203" s="86"/>
      <c r="U203" s="31"/>
      <c r="AD203" s="97"/>
    </row>
    <row r="204" spans="1:30" ht="35.1" hidden="1" customHeight="1" x14ac:dyDescent="0.25">
      <c r="A204" s="83"/>
      <c r="B204" s="7"/>
      <c r="C204" s="8"/>
      <c r="D204" s="8"/>
      <c r="E204" s="60"/>
      <c r="F204" s="84" t="str">
        <f>IFERROR(VLOOKUP(CONCATENATE($B204,"_",F$3),materiali!$C:$K,5,0),"")</f>
        <v/>
      </c>
      <c r="G204" s="85" t="str">
        <f>IFERROR(VLOOKUP(CONCATENATE($B204,"_",G$3),materiali!$C:$K,6,0),"")</f>
        <v/>
      </c>
      <c r="H204" s="86"/>
      <c r="I204" s="84" t="str">
        <f>IFERROR(VLOOKUP(CONCATENATE($B204,"_",I$3),materiali!$C:$K,5,0),"")</f>
        <v/>
      </c>
      <c r="J204" s="85" t="str">
        <f>IFERROR(VLOOKUP(CONCATENATE($B204,"_",J$3),materiali!$C:$K,6,0),"")</f>
        <v/>
      </c>
      <c r="K204" s="86"/>
      <c r="L204" s="84" t="str">
        <f>IFERROR(VLOOKUP(CONCATENATE($B204,"_",L$3),materiali!$C:$K,5,0),"")</f>
        <v/>
      </c>
      <c r="M204" s="85" t="str">
        <f>IFERROR(VLOOKUP(CONCATENATE($B204,"_",M$3),materiali!$C:$K,6,0),"")</f>
        <v/>
      </c>
      <c r="N204" s="86"/>
      <c r="O204" s="84" t="str">
        <f>IFERROR(VLOOKUP(CONCATENATE($B204,"_",O$3),materiali!$C:$K,5,0),"")</f>
        <v/>
      </c>
      <c r="P204" s="85" t="str">
        <f>IFERROR(VLOOKUP(CONCATENATE($B204,"_",P$3),materiali!$C:$K,6,0),"")</f>
        <v/>
      </c>
      <c r="Q204" s="86"/>
      <c r="R204" s="84" t="str">
        <f>IFERROR(VLOOKUP(CONCATENATE($B204,"_",R$3),materiali!$C:$K,5,0),"")</f>
        <v/>
      </c>
      <c r="S204" s="85" t="str">
        <f>IFERROR(VLOOKUP(CONCATENATE($B204,"_",S$3),materiali!$C:$K,6,0),"")</f>
        <v/>
      </c>
      <c r="T204" s="86"/>
      <c r="U204" s="31"/>
      <c r="AD204" s="97"/>
    </row>
    <row r="205" spans="1:30" ht="35.1" hidden="1" customHeight="1" x14ac:dyDescent="0.25">
      <c r="A205" s="83"/>
      <c r="B205" s="7"/>
      <c r="C205" s="8"/>
      <c r="D205" s="8"/>
      <c r="E205" s="60"/>
      <c r="F205" s="84" t="str">
        <f>IFERROR(VLOOKUP(CONCATENATE($B205,"_",F$3),materiali!$C:$K,5,0),"")</f>
        <v/>
      </c>
      <c r="G205" s="85" t="str">
        <f>IFERROR(VLOOKUP(CONCATENATE($B205,"_",G$3),materiali!$C:$K,6,0),"")</f>
        <v/>
      </c>
      <c r="H205" s="86"/>
      <c r="I205" s="84" t="str">
        <f>IFERROR(VLOOKUP(CONCATENATE($B205,"_",I$3),materiali!$C:$K,5,0),"")</f>
        <v/>
      </c>
      <c r="J205" s="85" t="str">
        <f>IFERROR(VLOOKUP(CONCATENATE($B205,"_",J$3),materiali!$C:$K,6,0),"")</f>
        <v/>
      </c>
      <c r="K205" s="86"/>
      <c r="L205" s="84" t="str">
        <f>IFERROR(VLOOKUP(CONCATENATE($B205,"_",L$3),materiali!$C:$K,5,0),"")</f>
        <v/>
      </c>
      <c r="M205" s="85" t="str">
        <f>IFERROR(VLOOKUP(CONCATENATE($B205,"_",M$3),materiali!$C:$K,6,0),"")</f>
        <v/>
      </c>
      <c r="N205" s="86"/>
      <c r="O205" s="84" t="str">
        <f>IFERROR(VLOOKUP(CONCATENATE($B205,"_",O$3),materiali!$C:$K,5,0),"")</f>
        <v/>
      </c>
      <c r="P205" s="85" t="str">
        <f>IFERROR(VLOOKUP(CONCATENATE($B205,"_",P$3),materiali!$C:$K,6,0),"")</f>
        <v/>
      </c>
      <c r="Q205" s="86"/>
      <c r="R205" s="84" t="str">
        <f>IFERROR(VLOOKUP(CONCATENATE($B205,"_",R$3),materiali!$C:$K,5,0),"")</f>
        <v/>
      </c>
      <c r="S205" s="85" t="str">
        <f>IFERROR(VLOOKUP(CONCATENATE($B205,"_",S$3),materiali!$C:$K,6,0),"")</f>
        <v/>
      </c>
      <c r="T205" s="86"/>
      <c r="U205" s="31"/>
      <c r="AD205" s="97"/>
    </row>
    <row r="206" spans="1:30" ht="35.1" hidden="1" customHeight="1" x14ac:dyDescent="0.25">
      <c r="A206" s="83"/>
      <c r="B206" s="7"/>
      <c r="C206" s="8"/>
      <c r="D206" s="8"/>
      <c r="E206" s="60"/>
      <c r="F206" s="84" t="str">
        <f>IFERROR(VLOOKUP(CONCATENATE($B206,"_",F$3),materiali!$C:$K,5,0),"")</f>
        <v/>
      </c>
      <c r="G206" s="85" t="str">
        <f>IFERROR(VLOOKUP(CONCATENATE($B206,"_",G$3),materiali!$C:$K,6,0),"")</f>
        <v/>
      </c>
      <c r="H206" s="86"/>
      <c r="I206" s="84" t="str">
        <f>IFERROR(VLOOKUP(CONCATENATE($B206,"_",I$3),materiali!$C:$K,5,0),"")</f>
        <v/>
      </c>
      <c r="J206" s="85" t="str">
        <f>IFERROR(VLOOKUP(CONCATENATE($B206,"_",J$3),materiali!$C:$K,6,0),"")</f>
        <v/>
      </c>
      <c r="K206" s="86"/>
      <c r="L206" s="84" t="str">
        <f>IFERROR(VLOOKUP(CONCATENATE($B206,"_",L$3),materiali!$C:$K,5,0),"")</f>
        <v/>
      </c>
      <c r="M206" s="85" t="str">
        <f>IFERROR(VLOOKUP(CONCATENATE($B206,"_",M$3),materiali!$C:$K,6,0),"")</f>
        <v/>
      </c>
      <c r="N206" s="86"/>
      <c r="O206" s="84" t="str">
        <f>IFERROR(VLOOKUP(CONCATENATE($B206,"_",O$3),materiali!$C:$K,5,0),"")</f>
        <v/>
      </c>
      <c r="P206" s="85" t="str">
        <f>IFERROR(VLOOKUP(CONCATENATE($B206,"_",P$3),materiali!$C:$K,6,0),"")</f>
        <v/>
      </c>
      <c r="Q206" s="86"/>
      <c r="R206" s="84" t="str">
        <f>IFERROR(VLOOKUP(CONCATENATE($B206,"_",R$3),materiali!$C:$K,5,0),"")</f>
        <v/>
      </c>
      <c r="S206" s="85" t="str">
        <f>IFERROR(VLOOKUP(CONCATENATE($B206,"_",S$3),materiali!$C:$K,6,0),"")</f>
        <v/>
      </c>
      <c r="T206" s="86"/>
      <c r="U206" s="31"/>
      <c r="AD206" s="97"/>
    </row>
    <row r="207" spans="1:30" ht="35.1" hidden="1" customHeight="1" x14ac:dyDescent="0.25">
      <c r="A207" s="83"/>
      <c r="B207" s="7"/>
      <c r="C207" s="8"/>
      <c r="D207" s="8"/>
      <c r="E207" s="60"/>
      <c r="F207" s="84" t="str">
        <f>IFERROR(VLOOKUP(CONCATENATE($B207,"_",F$3),materiali!$C:$K,5,0),"")</f>
        <v/>
      </c>
      <c r="G207" s="85" t="str">
        <f>IFERROR(VLOOKUP(CONCATENATE($B207,"_",G$3),materiali!$C:$K,6,0),"")</f>
        <v/>
      </c>
      <c r="H207" s="86"/>
      <c r="I207" s="84" t="str">
        <f>IFERROR(VLOOKUP(CONCATENATE($B207,"_",I$3),materiali!$C:$K,5,0),"")</f>
        <v/>
      </c>
      <c r="J207" s="85" t="str">
        <f>IFERROR(VLOOKUP(CONCATENATE($B207,"_",J$3),materiali!$C:$K,6,0),"")</f>
        <v/>
      </c>
      <c r="K207" s="86"/>
      <c r="L207" s="84" t="str">
        <f>IFERROR(VLOOKUP(CONCATENATE($B207,"_",L$3),materiali!$C:$K,5,0),"")</f>
        <v/>
      </c>
      <c r="M207" s="85" t="str">
        <f>IFERROR(VLOOKUP(CONCATENATE($B207,"_",M$3),materiali!$C:$K,6,0),"")</f>
        <v/>
      </c>
      <c r="N207" s="86"/>
      <c r="O207" s="84" t="str">
        <f>IFERROR(VLOOKUP(CONCATENATE($B207,"_",O$3),materiali!$C:$K,5,0),"")</f>
        <v/>
      </c>
      <c r="P207" s="85" t="str">
        <f>IFERROR(VLOOKUP(CONCATENATE($B207,"_",P$3),materiali!$C:$K,6,0),"")</f>
        <v/>
      </c>
      <c r="Q207" s="86"/>
      <c r="R207" s="84" t="str">
        <f>IFERROR(VLOOKUP(CONCATENATE($B207,"_",R$3),materiali!$C:$K,5,0),"")</f>
        <v/>
      </c>
      <c r="S207" s="85" t="str">
        <f>IFERROR(VLOOKUP(CONCATENATE($B207,"_",S$3),materiali!$C:$K,6,0),"")</f>
        <v/>
      </c>
      <c r="T207" s="86"/>
      <c r="U207" s="31"/>
      <c r="AD207" s="97"/>
    </row>
    <row r="208" spans="1:30" ht="35.1" hidden="1" customHeight="1" x14ac:dyDescent="0.25">
      <c r="A208" s="83"/>
      <c r="B208" s="7"/>
      <c r="C208" s="8"/>
      <c r="D208" s="8"/>
      <c r="E208" s="60"/>
      <c r="F208" s="84" t="str">
        <f>IFERROR(VLOOKUP(CONCATENATE($B208,"_",F$3),materiali!$C:$K,5,0),"")</f>
        <v/>
      </c>
      <c r="G208" s="85" t="str">
        <f>IFERROR(VLOOKUP(CONCATENATE($B208,"_",G$3),materiali!$C:$K,6,0),"")</f>
        <v/>
      </c>
      <c r="H208" s="86"/>
      <c r="I208" s="84" t="str">
        <f>IFERROR(VLOOKUP(CONCATENATE($B208,"_",I$3),materiali!$C:$K,5,0),"")</f>
        <v/>
      </c>
      <c r="J208" s="85" t="str">
        <f>IFERROR(VLOOKUP(CONCATENATE($B208,"_",J$3),materiali!$C:$K,6,0),"")</f>
        <v/>
      </c>
      <c r="K208" s="86"/>
      <c r="L208" s="84" t="str">
        <f>IFERROR(VLOOKUP(CONCATENATE($B208,"_",L$3),materiali!$C:$K,5,0),"")</f>
        <v/>
      </c>
      <c r="M208" s="85" t="str">
        <f>IFERROR(VLOOKUP(CONCATENATE($B208,"_",M$3),materiali!$C:$K,6,0),"")</f>
        <v/>
      </c>
      <c r="N208" s="86"/>
      <c r="O208" s="84" t="str">
        <f>IFERROR(VLOOKUP(CONCATENATE($B208,"_",O$3),materiali!$C:$K,5,0),"")</f>
        <v/>
      </c>
      <c r="P208" s="85" t="str">
        <f>IFERROR(VLOOKUP(CONCATENATE($B208,"_",P$3),materiali!$C:$K,6,0),"")</f>
        <v/>
      </c>
      <c r="Q208" s="86"/>
      <c r="R208" s="84" t="str">
        <f>IFERROR(VLOOKUP(CONCATENATE($B208,"_",R$3),materiali!$C:$K,5,0),"")</f>
        <v/>
      </c>
      <c r="S208" s="85" t="str">
        <f>IFERROR(VLOOKUP(CONCATENATE($B208,"_",S$3),materiali!$C:$K,6,0),"")</f>
        <v/>
      </c>
      <c r="T208" s="86"/>
      <c r="U208" s="31"/>
      <c r="AD208" s="97"/>
    </row>
    <row r="209" spans="1:30" ht="35.1" hidden="1" customHeight="1" x14ac:dyDescent="0.25">
      <c r="A209" s="83"/>
      <c r="B209" s="7"/>
      <c r="C209" s="8"/>
      <c r="D209" s="8"/>
      <c r="E209" s="60"/>
      <c r="F209" s="84" t="str">
        <f>IFERROR(VLOOKUP(CONCATENATE($B209,"_",F$3),materiali!$C:$K,5,0),"")</f>
        <v/>
      </c>
      <c r="G209" s="85" t="str">
        <f>IFERROR(VLOOKUP(CONCATENATE($B209,"_",G$3),materiali!$C:$K,6,0),"")</f>
        <v/>
      </c>
      <c r="H209" s="86"/>
      <c r="I209" s="84" t="str">
        <f>IFERROR(VLOOKUP(CONCATENATE($B209,"_",I$3),materiali!$C:$K,5,0),"")</f>
        <v/>
      </c>
      <c r="J209" s="85" t="str">
        <f>IFERROR(VLOOKUP(CONCATENATE($B209,"_",J$3),materiali!$C:$K,6,0),"")</f>
        <v/>
      </c>
      <c r="K209" s="86"/>
      <c r="L209" s="84" t="str">
        <f>IFERROR(VLOOKUP(CONCATENATE($B209,"_",L$3),materiali!$C:$K,5,0),"")</f>
        <v/>
      </c>
      <c r="M209" s="85" t="str">
        <f>IFERROR(VLOOKUP(CONCATENATE($B209,"_",M$3),materiali!$C:$K,6,0),"")</f>
        <v/>
      </c>
      <c r="N209" s="86"/>
      <c r="O209" s="84" t="str">
        <f>IFERROR(VLOOKUP(CONCATENATE($B209,"_",O$3),materiali!$C:$K,5,0),"")</f>
        <v/>
      </c>
      <c r="P209" s="85" t="str">
        <f>IFERROR(VLOOKUP(CONCATENATE($B209,"_",P$3),materiali!$C:$K,6,0),"")</f>
        <v/>
      </c>
      <c r="Q209" s="86"/>
      <c r="R209" s="84" t="str">
        <f>IFERROR(VLOOKUP(CONCATENATE($B209,"_",R$3),materiali!$C:$K,5,0),"")</f>
        <v/>
      </c>
      <c r="S209" s="85" t="str">
        <f>IFERROR(VLOOKUP(CONCATENATE($B209,"_",S$3),materiali!$C:$K,6,0),"")</f>
        <v/>
      </c>
      <c r="T209" s="86"/>
      <c r="U209" s="31"/>
      <c r="AD209" s="97"/>
    </row>
    <row r="210" spans="1:30" ht="35.1" hidden="1" customHeight="1" x14ac:dyDescent="0.25">
      <c r="A210" s="83"/>
      <c r="B210" s="7"/>
      <c r="C210" s="8"/>
      <c r="D210" s="8"/>
      <c r="E210" s="60"/>
      <c r="F210" s="84" t="str">
        <f>IFERROR(VLOOKUP(CONCATENATE($B210,"_",F$3),materiali!$C:$K,5,0),"")</f>
        <v/>
      </c>
      <c r="G210" s="85" t="str">
        <f>IFERROR(VLOOKUP(CONCATENATE($B210,"_",G$3),materiali!$C:$K,6,0),"")</f>
        <v/>
      </c>
      <c r="H210" s="86"/>
      <c r="I210" s="84" t="str">
        <f>IFERROR(VLOOKUP(CONCATENATE($B210,"_",I$3),materiali!$C:$K,5,0),"")</f>
        <v/>
      </c>
      <c r="J210" s="85" t="str">
        <f>IFERROR(VLOOKUP(CONCATENATE($B210,"_",J$3),materiali!$C:$K,6,0),"")</f>
        <v/>
      </c>
      <c r="K210" s="86"/>
      <c r="L210" s="84" t="str">
        <f>IFERROR(VLOOKUP(CONCATENATE($B210,"_",L$3),materiali!$C:$K,5,0),"")</f>
        <v/>
      </c>
      <c r="M210" s="85" t="str">
        <f>IFERROR(VLOOKUP(CONCATENATE($B210,"_",M$3),materiali!$C:$K,6,0),"")</f>
        <v/>
      </c>
      <c r="N210" s="86"/>
      <c r="O210" s="84" t="str">
        <f>IFERROR(VLOOKUP(CONCATENATE($B210,"_",O$3),materiali!$C:$K,5,0),"")</f>
        <v/>
      </c>
      <c r="P210" s="85" t="str">
        <f>IFERROR(VLOOKUP(CONCATENATE($B210,"_",P$3),materiali!$C:$K,6,0),"")</f>
        <v/>
      </c>
      <c r="Q210" s="86"/>
      <c r="R210" s="84" t="str">
        <f>IFERROR(VLOOKUP(CONCATENATE($B210,"_",R$3),materiali!$C:$K,5,0),"")</f>
        <v/>
      </c>
      <c r="S210" s="85" t="str">
        <f>IFERROR(VLOOKUP(CONCATENATE($B210,"_",S$3),materiali!$C:$K,6,0),"")</f>
        <v/>
      </c>
      <c r="T210" s="86"/>
      <c r="U210" s="31"/>
      <c r="AD210" s="97"/>
    </row>
    <row r="211" spans="1:30" ht="35.1" hidden="1" customHeight="1" x14ac:dyDescent="0.25">
      <c r="A211" s="83"/>
      <c r="B211" s="7"/>
      <c r="C211" s="8"/>
      <c r="D211" s="8"/>
      <c r="E211" s="60"/>
      <c r="F211" s="84" t="str">
        <f>IFERROR(VLOOKUP(CONCATENATE($B211,"_",F$3),materiali!$C:$K,5,0),"")</f>
        <v/>
      </c>
      <c r="G211" s="85" t="str">
        <f>IFERROR(VLOOKUP(CONCATENATE($B211,"_",G$3),materiali!$C:$K,6,0),"")</f>
        <v/>
      </c>
      <c r="H211" s="86"/>
      <c r="I211" s="84" t="str">
        <f>IFERROR(VLOOKUP(CONCATENATE($B211,"_",I$3),materiali!$C:$K,5,0),"")</f>
        <v/>
      </c>
      <c r="J211" s="85" t="str">
        <f>IFERROR(VLOOKUP(CONCATENATE($B211,"_",J$3),materiali!$C:$K,6,0),"")</f>
        <v/>
      </c>
      <c r="K211" s="86"/>
      <c r="L211" s="84" t="str">
        <f>IFERROR(VLOOKUP(CONCATENATE($B211,"_",L$3),materiali!$C:$K,5,0),"")</f>
        <v/>
      </c>
      <c r="M211" s="85" t="str">
        <f>IFERROR(VLOOKUP(CONCATENATE($B211,"_",M$3),materiali!$C:$K,6,0),"")</f>
        <v/>
      </c>
      <c r="N211" s="86"/>
      <c r="O211" s="84" t="str">
        <f>IFERROR(VLOOKUP(CONCATENATE($B211,"_",O$3),materiali!$C:$K,5,0),"")</f>
        <v/>
      </c>
      <c r="P211" s="85" t="str">
        <f>IFERROR(VLOOKUP(CONCATENATE($B211,"_",P$3),materiali!$C:$K,6,0),"")</f>
        <v/>
      </c>
      <c r="Q211" s="86"/>
      <c r="R211" s="84" t="str">
        <f>IFERROR(VLOOKUP(CONCATENATE($B211,"_",R$3),materiali!$C:$K,5,0),"")</f>
        <v/>
      </c>
      <c r="S211" s="85" t="str">
        <f>IFERROR(VLOOKUP(CONCATENATE($B211,"_",S$3),materiali!$C:$K,6,0),"")</f>
        <v/>
      </c>
      <c r="T211" s="86"/>
      <c r="U211" s="31"/>
      <c r="AD211" s="97"/>
    </row>
    <row r="212" spans="1:30" ht="35.1" hidden="1" customHeight="1" x14ac:dyDescent="0.25">
      <c r="A212" s="83"/>
      <c r="B212" s="7"/>
      <c r="C212" s="8"/>
      <c r="D212" s="8"/>
      <c r="E212" s="60"/>
      <c r="F212" s="84" t="str">
        <f>IFERROR(VLOOKUP(CONCATENATE($B212,"_",F$3),materiali!$C:$K,5,0),"")</f>
        <v/>
      </c>
      <c r="G212" s="85" t="str">
        <f>IFERROR(VLOOKUP(CONCATENATE($B212,"_",G$3),materiali!$C:$K,6,0),"")</f>
        <v/>
      </c>
      <c r="H212" s="86"/>
      <c r="I212" s="84" t="str">
        <f>IFERROR(VLOOKUP(CONCATENATE($B212,"_",I$3),materiali!$C:$K,5,0),"")</f>
        <v/>
      </c>
      <c r="J212" s="85" t="str">
        <f>IFERROR(VLOOKUP(CONCATENATE($B212,"_",J$3),materiali!$C:$K,6,0),"")</f>
        <v/>
      </c>
      <c r="K212" s="86"/>
      <c r="L212" s="84" t="str">
        <f>IFERROR(VLOOKUP(CONCATENATE($B212,"_",L$3),materiali!$C:$K,5,0),"")</f>
        <v/>
      </c>
      <c r="M212" s="85" t="str">
        <f>IFERROR(VLOOKUP(CONCATENATE($B212,"_",M$3),materiali!$C:$K,6,0),"")</f>
        <v/>
      </c>
      <c r="N212" s="86"/>
      <c r="O212" s="84" t="str">
        <f>IFERROR(VLOOKUP(CONCATENATE($B212,"_",O$3),materiali!$C:$K,5,0),"")</f>
        <v/>
      </c>
      <c r="P212" s="85" t="str">
        <f>IFERROR(VLOOKUP(CONCATENATE($B212,"_",P$3),materiali!$C:$K,6,0),"")</f>
        <v/>
      </c>
      <c r="Q212" s="86"/>
      <c r="R212" s="84" t="str">
        <f>IFERROR(VLOOKUP(CONCATENATE($B212,"_",R$3),materiali!$C:$K,5,0),"")</f>
        <v/>
      </c>
      <c r="S212" s="85" t="str">
        <f>IFERROR(VLOOKUP(CONCATENATE($B212,"_",S$3),materiali!$C:$K,6,0),"")</f>
        <v/>
      </c>
      <c r="T212" s="86"/>
      <c r="U212" s="31"/>
      <c r="AD212" s="97"/>
    </row>
    <row r="213" spans="1:30" ht="35.1" hidden="1" customHeight="1" x14ac:dyDescent="0.25">
      <c r="A213" s="83"/>
      <c r="B213" s="7"/>
      <c r="C213" s="8"/>
      <c r="D213" s="8"/>
      <c r="E213" s="60"/>
      <c r="F213" s="84" t="str">
        <f>IFERROR(VLOOKUP(CONCATENATE($B213,"_",F$3),materiali!$C:$K,5,0),"")</f>
        <v/>
      </c>
      <c r="G213" s="85" t="str">
        <f>IFERROR(VLOOKUP(CONCATENATE($B213,"_",G$3),materiali!$C:$K,6,0),"")</f>
        <v/>
      </c>
      <c r="H213" s="86"/>
      <c r="I213" s="84" t="str">
        <f>IFERROR(VLOOKUP(CONCATENATE($B213,"_",I$3),materiali!$C:$K,5,0),"")</f>
        <v/>
      </c>
      <c r="J213" s="85" t="str">
        <f>IFERROR(VLOOKUP(CONCATENATE($B213,"_",J$3),materiali!$C:$K,6,0),"")</f>
        <v/>
      </c>
      <c r="K213" s="86"/>
      <c r="L213" s="84" t="str">
        <f>IFERROR(VLOOKUP(CONCATENATE($B213,"_",L$3),materiali!$C:$K,5,0),"")</f>
        <v/>
      </c>
      <c r="M213" s="85" t="str">
        <f>IFERROR(VLOOKUP(CONCATENATE($B213,"_",M$3),materiali!$C:$K,6,0),"")</f>
        <v/>
      </c>
      <c r="N213" s="86"/>
      <c r="O213" s="84" t="str">
        <f>IFERROR(VLOOKUP(CONCATENATE($B213,"_",O$3),materiali!$C:$K,5,0),"")</f>
        <v/>
      </c>
      <c r="P213" s="85" t="str">
        <f>IFERROR(VLOOKUP(CONCATENATE($B213,"_",P$3),materiali!$C:$K,6,0),"")</f>
        <v/>
      </c>
      <c r="Q213" s="86"/>
      <c r="R213" s="84" t="str">
        <f>IFERROR(VLOOKUP(CONCATENATE($B213,"_",R$3),materiali!$C:$K,5,0),"")</f>
        <v/>
      </c>
      <c r="S213" s="85" t="str">
        <f>IFERROR(VLOOKUP(CONCATENATE($B213,"_",S$3),materiali!$C:$K,6,0),"")</f>
        <v/>
      </c>
      <c r="T213" s="86"/>
      <c r="U213" s="31"/>
      <c r="AD213" s="97"/>
    </row>
    <row r="214" spans="1:30" ht="35.1" hidden="1" customHeight="1" x14ac:dyDescent="0.25">
      <c r="A214" s="83"/>
      <c r="B214" s="7"/>
      <c r="C214" s="8"/>
      <c r="D214" s="8"/>
      <c r="E214" s="60"/>
      <c r="F214" s="84" t="str">
        <f>IFERROR(VLOOKUP(CONCATENATE($B214,"_",F$3),materiali!$C:$K,5,0),"")</f>
        <v/>
      </c>
      <c r="G214" s="85" t="str">
        <f>IFERROR(VLOOKUP(CONCATENATE($B214,"_",G$3),materiali!$C:$K,6,0),"")</f>
        <v/>
      </c>
      <c r="H214" s="86"/>
      <c r="I214" s="84" t="str">
        <f>IFERROR(VLOOKUP(CONCATENATE($B214,"_",I$3),materiali!$C:$K,5,0),"")</f>
        <v/>
      </c>
      <c r="J214" s="85" t="str">
        <f>IFERROR(VLOOKUP(CONCATENATE($B214,"_",J$3),materiali!$C:$K,6,0),"")</f>
        <v/>
      </c>
      <c r="K214" s="86"/>
      <c r="L214" s="84" t="str">
        <f>IFERROR(VLOOKUP(CONCATENATE($B214,"_",L$3),materiali!$C:$K,5,0),"")</f>
        <v/>
      </c>
      <c r="M214" s="85" t="str">
        <f>IFERROR(VLOOKUP(CONCATENATE($B214,"_",M$3),materiali!$C:$K,6,0),"")</f>
        <v/>
      </c>
      <c r="N214" s="86"/>
      <c r="O214" s="84" t="str">
        <f>IFERROR(VLOOKUP(CONCATENATE($B214,"_",O$3),materiali!$C:$K,5,0),"")</f>
        <v/>
      </c>
      <c r="P214" s="85" t="str">
        <f>IFERROR(VLOOKUP(CONCATENATE($B214,"_",P$3),materiali!$C:$K,6,0),"")</f>
        <v/>
      </c>
      <c r="Q214" s="86"/>
      <c r="R214" s="84" t="str">
        <f>IFERROR(VLOOKUP(CONCATENATE($B214,"_",R$3),materiali!$C:$K,5,0),"")</f>
        <v/>
      </c>
      <c r="S214" s="85" t="str">
        <f>IFERROR(VLOOKUP(CONCATENATE($B214,"_",S$3),materiali!$C:$K,6,0),"")</f>
        <v/>
      </c>
      <c r="T214" s="86"/>
      <c r="U214" s="31"/>
      <c r="AD214" s="97"/>
    </row>
    <row r="215" spans="1:30" ht="35.1" hidden="1" customHeight="1" x14ac:dyDescent="0.25">
      <c r="A215" s="83"/>
      <c r="B215" s="7"/>
      <c r="C215" s="8"/>
      <c r="D215" s="8"/>
      <c r="E215" s="60"/>
      <c r="F215" s="84" t="str">
        <f>IFERROR(VLOOKUP(CONCATENATE($B215,"_",F$3),materiali!$C:$K,5,0),"")</f>
        <v/>
      </c>
      <c r="G215" s="85" t="str">
        <f>IFERROR(VLOOKUP(CONCATENATE($B215,"_",G$3),materiali!$C:$K,6,0),"")</f>
        <v/>
      </c>
      <c r="H215" s="86"/>
      <c r="I215" s="84" t="str">
        <f>IFERROR(VLOOKUP(CONCATENATE($B215,"_",I$3),materiali!$C:$K,5,0),"")</f>
        <v/>
      </c>
      <c r="J215" s="85" t="str">
        <f>IFERROR(VLOOKUP(CONCATENATE($B215,"_",J$3),materiali!$C:$K,6,0),"")</f>
        <v/>
      </c>
      <c r="K215" s="86"/>
      <c r="L215" s="84" t="str">
        <f>IFERROR(VLOOKUP(CONCATENATE($B215,"_",L$3),materiali!$C:$K,5,0),"")</f>
        <v/>
      </c>
      <c r="M215" s="85" t="str">
        <f>IFERROR(VLOOKUP(CONCATENATE($B215,"_",M$3),materiali!$C:$K,6,0),"")</f>
        <v/>
      </c>
      <c r="N215" s="86"/>
      <c r="O215" s="84" t="str">
        <f>IFERROR(VLOOKUP(CONCATENATE($B215,"_",O$3),materiali!$C:$K,5,0),"")</f>
        <v/>
      </c>
      <c r="P215" s="85" t="str">
        <f>IFERROR(VLOOKUP(CONCATENATE($B215,"_",P$3),materiali!$C:$K,6,0),"")</f>
        <v/>
      </c>
      <c r="Q215" s="86"/>
      <c r="R215" s="84" t="str">
        <f>IFERROR(VLOOKUP(CONCATENATE($B215,"_",R$3),materiali!$C:$K,5,0),"")</f>
        <v/>
      </c>
      <c r="S215" s="85" t="str">
        <f>IFERROR(VLOOKUP(CONCATENATE($B215,"_",S$3),materiali!$C:$K,6,0),"")</f>
        <v/>
      </c>
      <c r="T215" s="86"/>
      <c r="U215" s="31"/>
      <c r="AD215" s="97"/>
    </row>
    <row r="216" spans="1:30" ht="35.1" hidden="1" customHeight="1" x14ac:dyDescent="0.25">
      <c r="A216" s="83"/>
      <c r="B216" s="7"/>
      <c r="C216" s="8"/>
      <c r="D216" s="8"/>
      <c r="E216" s="60"/>
      <c r="F216" s="84" t="str">
        <f>IFERROR(VLOOKUP(CONCATENATE($B216,"_",F$3),materiali!$C:$K,5,0),"")</f>
        <v/>
      </c>
      <c r="G216" s="85" t="str">
        <f>IFERROR(VLOOKUP(CONCATENATE($B216,"_",G$3),materiali!$C:$K,6,0),"")</f>
        <v/>
      </c>
      <c r="H216" s="86"/>
      <c r="I216" s="84" t="str">
        <f>IFERROR(VLOOKUP(CONCATENATE($B216,"_",I$3),materiali!$C:$K,5,0),"")</f>
        <v/>
      </c>
      <c r="J216" s="85" t="str">
        <f>IFERROR(VLOOKUP(CONCATENATE($B216,"_",J$3),materiali!$C:$K,6,0),"")</f>
        <v/>
      </c>
      <c r="K216" s="86"/>
      <c r="L216" s="84" t="str">
        <f>IFERROR(VLOOKUP(CONCATENATE($B216,"_",L$3),materiali!$C:$K,5,0),"")</f>
        <v/>
      </c>
      <c r="M216" s="85" t="str">
        <f>IFERROR(VLOOKUP(CONCATENATE($B216,"_",M$3),materiali!$C:$K,6,0),"")</f>
        <v/>
      </c>
      <c r="N216" s="86"/>
      <c r="O216" s="84" t="str">
        <f>IFERROR(VLOOKUP(CONCATENATE($B216,"_",O$3),materiali!$C:$K,5,0),"")</f>
        <v/>
      </c>
      <c r="P216" s="85" t="str">
        <f>IFERROR(VLOOKUP(CONCATENATE($B216,"_",P$3),materiali!$C:$K,6,0),"")</f>
        <v/>
      </c>
      <c r="Q216" s="86"/>
      <c r="R216" s="84" t="str">
        <f>IFERROR(VLOOKUP(CONCATENATE($B216,"_",R$3),materiali!$C:$K,5,0),"")</f>
        <v/>
      </c>
      <c r="S216" s="85" t="str">
        <f>IFERROR(VLOOKUP(CONCATENATE($B216,"_",S$3),materiali!$C:$K,6,0),"")</f>
        <v/>
      </c>
      <c r="T216" s="86"/>
      <c r="U216" s="31"/>
      <c r="AD216" s="97"/>
    </row>
    <row r="217" spans="1:30" ht="35.1" hidden="1" customHeight="1" x14ac:dyDescent="0.25">
      <c r="A217" s="83"/>
      <c r="B217" s="7"/>
      <c r="C217" s="8"/>
      <c r="D217" s="8"/>
      <c r="E217" s="60"/>
      <c r="F217" s="84" t="str">
        <f>IFERROR(VLOOKUP(CONCATENATE($B217,"_",F$3),materiali!$C:$K,5,0),"")</f>
        <v/>
      </c>
      <c r="G217" s="85" t="str">
        <f>IFERROR(VLOOKUP(CONCATENATE($B217,"_",G$3),materiali!$C:$K,6,0),"")</f>
        <v/>
      </c>
      <c r="H217" s="86"/>
      <c r="I217" s="84" t="str">
        <f>IFERROR(VLOOKUP(CONCATENATE($B217,"_",I$3),materiali!$C:$K,5,0),"")</f>
        <v/>
      </c>
      <c r="J217" s="85" t="str">
        <f>IFERROR(VLOOKUP(CONCATENATE($B217,"_",J$3),materiali!$C:$K,6,0),"")</f>
        <v/>
      </c>
      <c r="K217" s="86"/>
      <c r="L217" s="84" t="str">
        <f>IFERROR(VLOOKUP(CONCATENATE($B217,"_",L$3),materiali!$C:$K,5,0),"")</f>
        <v/>
      </c>
      <c r="M217" s="85" t="str">
        <f>IFERROR(VLOOKUP(CONCATENATE($B217,"_",M$3),materiali!$C:$K,6,0),"")</f>
        <v/>
      </c>
      <c r="N217" s="86"/>
      <c r="O217" s="84" t="str">
        <f>IFERROR(VLOOKUP(CONCATENATE($B217,"_",O$3),materiali!$C:$K,5,0),"")</f>
        <v/>
      </c>
      <c r="P217" s="85" t="str">
        <f>IFERROR(VLOOKUP(CONCATENATE($B217,"_",P$3),materiali!$C:$K,6,0),"")</f>
        <v/>
      </c>
      <c r="Q217" s="86"/>
      <c r="R217" s="84" t="str">
        <f>IFERROR(VLOOKUP(CONCATENATE($B217,"_",R$3),materiali!$C:$K,5,0),"")</f>
        <v/>
      </c>
      <c r="S217" s="85" t="str">
        <f>IFERROR(VLOOKUP(CONCATENATE($B217,"_",S$3),materiali!$C:$K,6,0),"")</f>
        <v/>
      </c>
      <c r="T217" s="86"/>
      <c r="U217" s="31"/>
      <c r="AD217" s="97"/>
    </row>
    <row r="218" spans="1:30" ht="35.1" hidden="1" customHeight="1" x14ac:dyDescent="0.25">
      <c r="A218" s="83"/>
      <c r="B218" s="7"/>
      <c r="C218" s="8"/>
      <c r="D218" s="8"/>
      <c r="E218" s="60"/>
      <c r="F218" s="84" t="str">
        <f>IFERROR(VLOOKUP(CONCATENATE($B218,"_",F$3),materiali!$C:$K,5,0),"")</f>
        <v/>
      </c>
      <c r="G218" s="85" t="str">
        <f>IFERROR(VLOOKUP(CONCATENATE($B218,"_",G$3),materiali!$C:$K,6,0),"")</f>
        <v/>
      </c>
      <c r="H218" s="86"/>
      <c r="I218" s="84" t="str">
        <f>IFERROR(VLOOKUP(CONCATENATE($B218,"_",I$3),materiali!$C:$K,5,0),"")</f>
        <v/>
      </c>
      <c r="J218" s="85" t="str">
        <f>IFERROR(VLOOKUP(CONCATENATE($B218,"_",J$3),materiali!$C:$K,6,0),"")</f>
        <v/>
      </c>
      <c r="K218" s="86"/>
      <c r="L218" s="84" t="str">
        <f>IFERROR(VLOOKUP(CONCATENATE($B218,"_",L$3),materiali!$C:$K,5,0),"")</f>
        <v/>
      </c>
      <c r="M218" s="85" t="str">
        <f>IFERROR(VLOOKUP(CONCATENATE($B218,"_",M$3),materiali!$C:$K,6,0),"")</f>
        <v/>
      </c>
      <c r="N218" s="86"/>
      <c r="O218" s="84" t="str">
        <f>IFERROR(VLOOKUP(CONCATENATE($B218,"_",O$3),materiali!$C:$K,5,0),"")</f>
        <v/>
      </c>
      <c r="P218" s="85" t="str">
        <f>IFERROR(VLOOKUP(CONCATENATE($B218,"_",P$3),materiali!$C:$K,6,0),"")</f>
        <v/>
      </c>
      <c r="Q218" s="86"/>
      <c r="R218" s="84" t="str">
        <f>IFERROR(VLOOKUP(CONCATENATE($B218,"_",R$3),materiali!$C:$K,5,0),"")</f>
        <v/>
      </c>
      <c r="S218" s="85" t="str">
        <f>IFERROR(VLOOKUP(CONCATENATE($B218,"_",S$3),materiali!$C:$K,6,0),"")</f>
        <v/>
      </c>
      <c r="T218" s="86"/>
      <c r="U218" s="31"/>
      <c r="AD218" s="97"/>
    </row>
    <row r="219" spans="1:30" ht="35.1" hidden="1" customHeight="1" x14ac:dyDescent="0.25">
      <c r="A219" s="83"/>
      <c r="B219" s="7"/>
      <c r="C219" s="8"/>
      <c r="D219" s="8"/>
      <c r="E219" s="60"/>
      <c r="F219" s="84" t="str">
        <f>IFERROR(VLOOKUP(CONCATENATE($B219,"_",F$3),materiali!$C:$K,5,0),"")</f>
        <v/>
      </c>
      <c r="G219" s="85" t="str">
        <f>IFERROR(VLOOKUP(CONCATENATE($B219,"_",G$3),materiali!$C:$K,6,0),"")</f>
        <v/>
      </c>
      <c r="H219" s="86"/>
      <c r="I219" s="84" t="str">
        <f>IFERROR(VLOOKUP(CONCATENATE($B219,"_",I$3),materiali!$C:$K,5,0),"")</f>
        <v/>
      </c>
      <c r="J219" s="85" t="str">
        <f>IFERROR(VLOOKUP(CONCATENATE($B219,"_",J$3),materiali!$C:$K,6,0),"")</f>
        <v/>
      </c>
      <c r="K219" s="86"/>
      <c r="L219" s="84" t="str">
        <f>IFERROR(VLOOKUP(CONCATENATE($B219,"_",L$3),materiali!$C:$K,5,0),"")</f>
        <v/>
      </c>
      <c r="M219" s="85" t="str">
        <f>IFERROR(VLOOKUP(CONCATENATE($B219,"_",M$3),materiali!$C:$K,6,0),"")</f>
        <v/>
      </c>
      <c r="N219" s="86"/>
      <c r="O219" s="84" t="str">
        <f>IFERROR(VLOOKUP(CONCATENATE($B219,"_",O$3),materiali!$C:$K,5,0),"")</f>
        <v/>
      </c>
      <c r="P219" s="85" t="str">
        <f>IFERROR(VLOOKUP(CONCATENATE($B219,"_",P$3),materiali!$C:$K,6,0),"")</f>
        <v/>
      </c>
      <c r="Q219" s="86"/>
      <c r="R219" s="84" t="str">
        <f>IFERROR(VLOOKUP(CONCATENATE($B219,"_",R$3),materiali!$C:$K,5,0),"")</f>
        <v/>
      </c>
      <c r="S219" s="85" t="str">
        <f>IFERROR(VLOOKUP(CONCATENATE($B219,"_",S$3),materiali!$C:$K,6,0),"")</f>
        <v/>
      </c>
      <c r="T219" s="86"/>
      <c r="U219" s="31"/>
      <c r="AD219" s="97"/>
    </row>
    <row r="220" spans="1:30" ht="35.1" hidden="1" customHeight="1" x14ac:dyDescent="0.25">
      <c r="A220" s="83"/>
      <c r="B220" s="7"/>
      <c r="C220" s="8"/>
      <c r="D220" s="8"/>
      <c r="E220" s="60"/>
      <c r="F220" s="84" t="str">
        <f>IFERROR(VLOOKUP(CONCATENATE($B220,"_",F$3),materiali!$C:$K,5,0),"")</f>
        <v/>
      </c>
      <c r="G220" s="85" t="str">
        <f>IFERROR(VLOOKUP(CONCATENATE($B220,"_",G$3),materiali!$C:$K,6,0),"")</f>
        <v/>
      </c>
      <c r="H220" s="86"/>
      <c r="I220" s="84" t="str">
        <f>IFERROR(VLOOKUP(CONCATENATE($B220,"_",I$3),materiali!$C:$K,5,0),"")</f>
        <v/>
      </c>
      <c r="J220" s="85" t="str">
        <f>IFERROR(VLOOKUP(CONCATENATE($B220,"_",J$3),materiali!$C:$K,6,0),"")</f>
        <v/>
      </c>
      <c r="K220" s="86"/>
      <c r="L220" s="84" t="str">
        <f>IFERROR(VLOOKUP(CONCATENATE($B220,"_",L$3),materiali!$C:$K,5,0),"")</f>
        <v/>
      </c>
      <c r="M220" s="85" t="str">
        <f>IFERROR(VLOOKUP(CONCATENATE($B220,"_",M$3),materiali!$C:$K,6,0),"")</f>
        <v/>
      </c>
      <c r="N220" s="86"/>
      <c r="O220" s="84" t="str">
        <f>IFERROR(VLOOKUP(CONCATENATE($B220,"_",O$3),materiali!$C:$K,5,0),"")</f>
        <v/>
      </c>
      <c r="P220" s="85" t="str">
        <f>IFERROR(VLOOKUP(CONCATENATE($B220,"_",P$3),materiali!$C:$K,6,0),"")</f>
        <v/>
      </c>
      <c r="Q220" s="86"/>
      <c r="R220" s="84" t="str">
        <f>IFERROR(VLOOKUP(CONCATENATE($B220,"_",R$3),materiali!$C:$K,5,0),"")</f>
        <v/>
      </c>
      <c r="S220" s="85" t="str">
        <f>IFERROR(VLOOKUP(CONCATENATE($B220,"_",S$3),materiali!$C:$K,6,0),"")</f>
        <v/>
      </c>
      <c r="T220" s="86"/>
      <c r="U220" s="31"/>
      <c r="AD220" s="97"/>
    </row>
    <row r="221" spans="1:30" ht="35.1" hidden="1" customHeight="1" x14ac:dyDescent="0.25">
      <c r="A221" s="83"/>
      <c r="B221" s="7"/>
      <c r="C221" s="8"/>
      <c r="D221" s="8"/>
      <c r="E221" s="60"/>
      <c r="F221" s="84" t="str">
        <f>IFERROR(VLOOKUP(CONCATENATE($B221,"_",F$3),materiali!$C:$K,5,0),"")</f>
        <v/>
      </c>
      <c r="G221" s="85" t="str">
        <f>IFERROR(VLOOKUP(CONCATENATE($B221,"_",G$3),materiali!$C:$K,6,0),"")</f>
        <v/>
      </c>
      <c r="H221" s="86"/>
      <c r="I221" s="84" t="str">
        <f>IFERROR(VLOOKUP(CONCATENATE($B221,"_",I$3),materiali!$C:$K,5,0),"")</f>
        <v/>
      </c>
      <c r="J221" s="85" t="str">
        <f>IFERROR(VLOOKUP(CONCATENATE($B221,"_",J$3),materiali!$C:$K,6,0),"")</f>
        <v/>
      </c>
      <c r="K221" s="86"/>
      <c r="L221" s="84" t="str">
        <f>IFERROR(VLOOKUP(CONCATENATE($B221,"_",L$3),materiali!$C:$K,5,0),"")</f>
        <v/>
      </c>
      <c r="M221" s="85" t="str">
        <f>IFERROR(VLOOKUP(CONCATENATE($B221,"_",M$3),materiali!$C:$K,6,0),"")</f>
        <v/>
      </c>
      <c r="N221" s="86"/>
      <c r="O221" s="84" t="str">
        <f>IFERROR(VLOOKUP(CONCATENATE($B221,"_",O$3),materiali!$C:$K,5,0),"")</f>
        <v/>
      </c>
      <c r="P221" s="85" t="str">
        <f>IFERROR(VLOOKUP(CONCATENATE($B221,"_",P$3),materiali!$C:$K,6,0),"")</f>
        <v/>
      </c>
      <c r="Q221" s="86"/>
      <c r="R221" s="84" t="str">
        <f>IFERROR(VLOOKUP(CONCATENATE($B221,"_",R$3),materiali!$C:$K,5,0),"")</f>
        <v/>
      </c>
      <c r="S221" s="85" t="str">
        <f>IFERROR(VLOOKUP(CONCATENATE($B221,"_",S$3),materiali!$C:$K,6,0),"")</f>
        <v/>
      </c>
      <c r="T221" s="86"/>
      <c r="U221" s="31"/>
      <c r="AD221" s="97"/>
    </row>
    <row r="222" spans="1:30" ht="35.1" hidden="1" customHeight="1" x14ac:dyDescent="0.25">
      <c r="A222" s="83"/>
      <c r="B222" s="7"/>
      <c r="C222" s="8"/>
      <c r="D222" s="8"/>
      <c r="E222" s="60"/>
      <c r="F222" s="84" t="str">
        <f>IFERROR(VLOOKUP(CONCATENATE($B222,"_",F$3),materiali!$C:$K,5,0),"")</f>
        <v/>
      </c>
      <c r="G222" s="85" t="str">
        <f>IFERROR(VLOOKUP(CONCATENATE($B222,"_",G$3),materiali!$C:$K,6,0),"")</f>
        <v/>
      </c>
      <c r="H222" s="86"/>
      <c r="I222" s="84" t="str">
        <f>IFERROR(VLOOKUP(CONCATENATE($B222,"_",I$3),materiali!$C:$K,5,0),"")</f>
        <v/>
      </c>
      <c r="J222" s="85" t="str">
        <f>IFERROR(VLOOKUP(CONCATENATE($B222,"_",J$3),materiali!$C:$K,6,0),"")</f>
        <v/>
      </c>
      <c r="K222" s="86"/>
      <c r="L222" s="84" t="str">
        <f>IFERROR(VLOOKUP(CONCATENATE($B222,"_",L$3),materiali!$C:$K,5,0),"")</f>
        <v/>
      </c>
      <c r="M222" s="85" t="str">
        <f>IFERROR(VLOOKUP(CONCATENATE($B222,"_",M$3),materiali!$C:$K,6,0),"")</f>
        <v/>
      </c>
      <c r="N222" s="86"/>
      <c r="O222" s="84" t="str">
        <f>IFERROR(VLOOKUP(CONCATENATE($B222,"_",O$3),materiali!$C:$K,5,0),"")</f>
        <v/>
      </c>
      <c r="P222" s="85" t="str">
        <f>IFERROR(VLOOKUP(CONCATENATE($B222,"_",P$3),materiali!$C:$K,6,0),"")</f>
        <v/>
      </c>
      <c r="Q222" s="86"/>
      <c r="R222" s="84" t="str">
        <f>IFERROR(VLOOKUP(CONCATENATE($B222,"_",R$3),materiali!$C:$K,5,0),"")</f>
        <v/>
      </c>
      <c r="S222" s="85" t="str">
        <f>IFERROR(VLOOKUP(CONCATENATE($B222,"_",S$3),materiali!$C:$K,6,0),"")</f>
        <v/>
      </c>
      <c r="T222" s="86"/>
      <c r="U222" s="31"/>
      <c r="AD222" s="97"/>
    </row>
    <row r="223" spans="1:30" ht="35.1" hidden="1" customHeight="1" x14ac:dyDescent="0.25">
      <c r="A223" s="83"/>
      <c r="B223" s="7"/>
      <c r="C223" s="8"/>
      <c r="D223" s="8"/>
      <c r="E223" s="60"/>
      <c r="F223" s="84" t="str">
        <f>IFERROR(VLOOKUP(CONCATENATE($B223,"_",F$3),materiali!$C:$K,5,0),"")</f>
        <v/>
      </c>
      <c r="G223" s="85" t="str">
        <f>IFERROR(VLOOKUP(CONCATENATE($B223,"_",G$3),materiali!$C:$K,6,0),"")</f>
        <v/>
      </c>
      <c r="H223" s="86"/>
      <c r="I223" s="84" t="str">
        <f>IFERROR(VLOOKUP(CONCATENATE($B223,"_",I$3),materiali!$C:$K,5,0),"")</f>
        <v/>
      </c>
      <c r="J223" s="85" t="str">
        <f>IFERROR(VLOOKUP(CONCATENATE($B223,"_",J$3),materiali!$C:$K,6,0),"")</f>
        <v/>
      </c>
      <c r="K223" s="86"/>
      <c r="L223" s="84" t="str">
        <f>IFERROR(VLOOKUP(CONCATENATE($B223,"_",L$3),materiali!$C:$K,5,0),"")</f>
        <v/>
      </c>
      <c r="M223" s="85" t="str">
        <f>IFERROR(VLOOKUP(CONCATENATE($B223,"_",M$3),materiali!$C:$K,6,0),"")</f>
        <v/>
      </c>
      <c r="N223" s="86"/>
      <c r="O223" s="84" t="str">
        <f>IFERROR(VLOOKUP(CONCATENATE($B223,"_",O$3),materiali!$C:$K,5,0),"")</f>
        <v/>
      </c>
      <c r="P223" s="85" t="str">
        <f>IFERROR(VLOOKUP(CONCATENATE($B223,"_",P$3),materiali!$C:$K,6,0),"")</f>
        <v/>
      </c>
      <c r="Q223" s="86"/>
      <c r="R223" s="84" t="str">
        <f>IFERROR(VLOOKUP(CONCATENATE($B223,"_",R$3),materiali!$C:$K,5,0),"")</f>
        <v/>
      </c>
      <c r="S223" s="85" t="str">
        <f>IFERROR(VLOOKUP(CONCATENATE($B223,"_",S$3),materiali!$C:$K,6,0),"")</f>
        <v/>
      </c>
      <c r="T223" s="86"/>
      <c r="U223" s="31"/>
      <c r="AD223" s="97"/>
    </row>
    <row r="224" spans="1:30" ht="35.1" hidden="1" customHeight="1" x14ac:dyDescent="0.25">
      <c r="A224" s="83"/>
      <c r="B224" s="7"/>
      <c r="C224" s="8"/>
      <c r="D224" s="8"/>
      <c r="E224" s="60"/>
      <c r="F224" s="84" t="str">
        <f>IFERROR(VLOOKUP(CONCATENATE($B224,"_",F$3),materiali!$C:$K,5,0),"")</f>
        <v/>
      </c>
      <c r="G224" s="85" t="str">
        <f>IFERROR(VLOOKUP(CONCATENATE($B224,"_",G$3),materiali!$C:$K,6,0),"")</f>
        <v/>
      </c>
      <c r="H224" s="86"/>
      <c r="I224" s="84" t="str">
        <f>IFERROR(VLOOKUP(CONCATENATE($B224,"_",I$3),materiali!$C:$K,5,0),"")</f>
        <v/>
      </c>
      <c r="J224" s="85" t="str">
        <f>IFERROR(VLOOKUP(CONCATENATE($B224,"_",J$3),materiali!$C:$K,6,0),"")</f>
        <v/>
      </c>
      <c r="K224" s="86"/>
      <c r="L224" s="84" t="str">
        <f>IFERROR(VLOOKUP(CONCATENATE($B224,"_",L$3),materiali!$C:$K,5,0),"")</f>
        <v/>
      </c>
      <c r="M224" s="85" t="str">
        <f>IFERROR(VLOOKUP(CONCATENATE($B224,"_",M$3),materiali!$C:$K,6,0),"")</f>
        <v/>
      </c>
      <c r="N224" s="86"/>
      <c r="O224" s="84" t="str">
        <f>IFERROR(VLOOKUP(CONCATENATE($B224,"_",O$3),materiali!$C:$K,5,0),"")</f>
        <v/>
      </c>
      <c r="P224" s="85" t="str">
        <f>IFERROR(VLOOKUP(CONCATENATE($B224,"_",P$3),materiali!$C:$K,6,0),"")</f>
        <v/>
      </c>
      <c r="Q224" s="86"/>
      <c r="R224" s="84" t="str">
        <f>IFERROR(VLOOKUP(CONCATENATE($B224,"_",R$3),materiali!$C:$K,5,0),"")</f>
        <v/>
      </c>
      <c r="S224" s="85" t="str">
        <f>IFERROR(VLOOKUP(CONCATENATE($B224,"_",S$3),materiali!$C:$K,6,0),"")</f>
        <v/>
      </c>
      <c r="T224" s="86"/>
      <c r="U224" s="31"/>
      <c r="AD224" s="97"/>
    </row>
    <row r="225" spans="1:30" ht="35.1" hidden="1" customHeight="1" x14ac:dyDescent="0.25">
      <c r="A225" s="83"/>
      <c r="B225" s="7"/>
      <c r="C225" s="8"/>
      <c r="D225" s="8"/>
      <c r="E225" s="60"/>
      <c r="F225" s="84" t="str">
        <f>IFERROR(VLOOKUP(CONCATENATE($B225,"_",F$3),materiali!$C:$K,5,0),"")</f>
        <v/>
      </c>
      <c r="G225" s="85" t="str">
        <f>IFERROR(VLOOKUP(CONCATENATE($B225,"_",G$3),materiali!$C:$K,6,0),"")</f>
        <v/>
      </c>
      <c r="H225" s="86"/>
      <c r="I225" s="84" t="str">
        <f>IFERROR(VLOOKUP(CONCATENATE($B225,"_",I$3),materiali!$C:$K,5,0),"")</f>
        <v/>
      </c>
      <c r="J225" s="85" t="str">
        <f>IFERROR(VLOOKUP(CONCATENATE($B225,"_",J$3),materiali!$C:$K,6,0),"")</f>
        <v/>
      </c>
      <c r="K225" s="86"/>
      <c r="L225" s="84" t="str">
        <f>IFERROR(VLOOKUP(CONCATENATE($B225,"_",L$3),materiali!$C:$K,5,0),"")</f>
        <v/>
      </c>
      <c r="M225" s="85" t="str">
        <f>IFERROR(VLOOKUP(CONCATENATE($B225,"_",M$3),materiali!$C:$K,6,0),"")</f>
        <v/>
      </c>
      <c r="N225" s="86"/>
      <c r="O225" s="84" t="str">
        <f>IFERROR(VLOOKUP(CONCATENATE($B225,"_",O$3),materiali!$C:$K,5,0),"")</f>
        <v/>
      </c>
      <c r="P225" s="85" t="str">
        <f>IFERROR(VLOOKUP(CONCATENATE($B225,"_",P$3),materiali!$C:$K,6,0),"")</f>
        <v/>
      </c>
      <c r="Q225" s="86"/>
      <c r="R225" s="84" t="str">
        <f>IFERROR(VLOOKUP(CONCATENATE($B225,"_",R$3),materiali!$C:$K,5,0),"")</f>
        <v/>
      </c>
      <c r="S225" s="85" t="str">
        <f>IFERROR(VLOOKUP(CONCATENATE($B225,"_",S$3),materiali!$C:$K,6,0),"")</f>
        <v/>
      </c>
      <c r="T225" s="86"/>
      <c r="U225" s="31"/>
      <c r="AD225" s="97"/>
    </row>
    <row r="226" spans="1:30" ht="35.1" hidden="1" customHeight="1" x14ac:dyDescent="0.25">
      <c r="A226" s="83"/>
      <c r="B226" s="7"/>
      <c r="C226" s="8"/>
      <c r="D226" s="8"/>
      <c r="E226" s="60"/>
      <c r="F226" s="84" t="str">
        <f>IFERROR(VLOOKUP(CONCATENATE($B226,"_",F$3),materiali!$C:$K,5,0),"")</f>
        <v/>
      </c>
      <c r="G226" s="85" t="str">
        <f>IFERROR(VLOOKUP(CONCATENATE($B226,"_",G$3),materiali!$C:$K,6,0),"")</f>
        <v/>
      </c>
      <c r="H226" s="86"/>
      <c r="I226" s="84" t="str">
        <f>IFERROR(VLOOKUP(CONCATENATE($B226,"_",I$3),materiali!$C:$K,5,0),"")</f>
        <v/>
      </c>
      <c r="J226" s="85" t="str">
        <f>IFERROR(VLOOKUP(CONCATENATE($B226,"_",J$3),materiali!$C:$K,6,0),"")</f>
        <v/>
      </c>
      <c r="K226" s="86"/>
      <c r="L226" s="84" t="str">
        <f>IFERROR(VLOOKUP(CONCATENATE($B226,"_",L$3),materiali!$C:$K,5,0),"")</f>
        <v/>
      </c>
      <c r="M226" s="85" t="str">
        <f>IFERROR(VLOOKUP(CONCATENATE($B226,"_",M$3),materiali!$C:$K,6,0),"")</f>
        <v/>
      </c>
      <c r="N226" s="86"/>
      <c r="O226" s="84" t="str">
        <f>IFERROR(VLOOKUP(CONCATENATE($B226,"_",O$3),materiali!$C:$K,5,0),"")</f>
        <v/>
      </c>
      <c r="P226" s="85" t="str">
        <f>IFERROR(VLOOKUP(CONCATENATE($B226,"_",P$3),materiali!$C:$K,6,0),"")</f>
        <v/>
      </c>
      <c r="Q226" s="86"/>
      <c r="R226" s="84" t="str">
        <f>IFERROR(VLOOKUP(CONCATENATE($B226,"_",R$3),materiali!$C:$K,5,0),"")</f>
        <v/>
      </c>
      <c r="S226" s="85" t="str">
        <f>IFERROR(VLOOKUP(CONCATENATE($B226,"_",S$3),materiali!$C:$K,6,0),"")</f>
        <v/>
      </c>
      <c r="T226" s="86"/>
      <c r="U226" s="31"/>
      <c r="AD226" s="97"/>
    </row>
    <row r="227" spans="1:30" ht="35.1" hidden="1" customHeight="1" x14ac:dyDescent="0.25">
      <c r="A227" s="83"/>
      <c r="B227" s="7"/>
      <c r="C227" s="8"/>
      <c r="D227" s="8"/>
      <c r="E227" s="60"/>
      <c r="F227" s="84" t="str">
        <f>IFERROR(VLOOKUP(CONCATENATE($B227,"_",F$3),materiali!$C:$K,5,0),"")</f>
        <v/>
      </c>
      <c r="G227" s="85" t="str">
        <f>IFERROR(VLOOKUP(CONCATENATE($B227,"_",G$3),materiali!$C:$K,6,0),"")</f>
        <v/>
      </c>
      <c r="H227" s="86"/>
      <c r="I227" s="84" t="str">
        <f>IFERROR(VLOOKUP(CONCATENATE($B227,"_",I$3),materiali!$C:$K,5,0),"")</f>
        <v/>
      </c>
      <c r="J227" s="85" t="str">
        <f>IFERROR(VLOOKUP(CONCATENATE($B227,"_",J$3),materiali!$C:$K,6,0),"")</f>
        <v/>
      </c>
      <c r="K227" s="86"/>
      <c r="L227" s="84" t="str">
        <f>IFERROR(VLOOKUP(CONCATENATE($B227,"_",L$3),materiali!$C:$K,5,0),"")</f>
        <v/>
      </c>
      <c r="M227" s="85" t="str">
        <f>IFERROR(VLOOKUP(CONCATENATE($B227,"_",M$3),materiali!$C:$K,6,0),"")</f>
        <v/>
      </c>
      <c r="N227" s="86"/>
      <c r="O227" s="84" t="str">
        <f>IFERROR(VLOOKUP(CONCATENATE($B227,"_",O$3),materiali!$C:$K,5,0),"")</f>
        <v/>
      </c>
      <c r="P227" s="85" t="str">
        <f>IFERROR(VLOOKUP(CONCATENATE($B227,"_",P$3),materiali!$C:$K,6,0),"")</f>
        <v/>
      </c>
      <c r="Q227" s="86"/>
      <c r="R227" s="84" t="str">
        <f>IFERROR(VLOOKUP(CONCATENATE($B227,"_",R$3),materiali!$C:$K,5,0),"")</f>
        <v/>
      </c>
      <c r="S227" s="85" t="str">
        <f>IFERROR(VLOOKUP(CONCATENATE($B227,"_",S$3),materiali!$C:$K,6,0),"")</f>
        <v/>
      </c>
      <c r="T227" s="86"/>
      <c r="U227" s="31"/>
      <c r="AD227" s="97"/>
    </row>
    <row r="228" spans="1:30" ht="35.1" hidden="1" customHeight="1" x14ac:dyDescent="0.25">
      <c r="A228" s="83"/>
      <c r="B228" s="7"/>
      <c r="C228" s="8"/>
      <c r="D228" s="8"/>
      <c r="E228" s="60"/>
      <c r="F228" s="84" t="str">
        <f>IFERROR(VLOOKUP(CONCATENATE($B228,"_",F$3),materiali!$C:$K,5,0),"")</f>
        <v/>
      </c>
      <c r="G228" s="85" t="str">
        <f>IFERROR(VLOOKUP(CONCATENATE($B228,"_",G$3),materiali!$C:$K,6,0),"")</f>
        <v/>
      </c>
      <c r="H228" s="86"/>
      <c r="I228" s="84" t="str">
        <f>IFERROR(VLOOKUP(CONCATENATE($B228,"_",I$3),materiali!$C:$K,5,0),"")</f>
        <v/>
      </c>
      <c r="J228" s="85" t="str">
        <f>IFERROR(VLOOKUP(CONCATENATE($B228,"_",J$3),materiali!$C:$K,6,0),"")</f>
        <v/>
      </c>
      <c r="K228" s="86"/>
      <c r="L228" s="84" t="str">
        <f>IFERROR(VLOOKUP(CONCATENATE($B228,"_",L$3),materiali!$C:$K,5,0),"")</f>
        <v/>
      </c>
      <c r="M228" s="85" t="str">
        <f>IFERROR(VLOOKUP(CONCATENATE($B228,"_",M$3),materiali!$C:$K,6,0),"")</f>
        <v/>
      </c>
      <c r="N228" s="86"/>
      <c r="O228" s="84" t="str">
        <f>IFERROR(VLOOKUP(CONCATENATE($B228,"_",O$3),materiali!$C:$K,5,0),"")</f>
        <v/>
      </c>
      <c r="P228" s="85" t="str">
        <f>IFERROR(VLOOKUP(CONCATENATE($B228,"_",P$3),materiali!$C:$K,6,0),"")</f>
        <v/>
      </c>
      <c r="Q228" s="86"/>
      <c r="R228" s="84" t="str">
        <f>IFERROR(VLOOKUP(CONCATENATE($B228,"_",R$3),materiali!$C:$K,5,0),"")</f>
        <v/>
      </c>
      <c r="S228" s="85" t="str">
        <f>IFERROR(VLOOKUP(CONCATENATE($B228,"_",S$3),materiali!$C:$K,6,0),"")</f>
        <v/>
      </c>
      <c r="T228" s="86"/>
      <c r="U228" s="31"/>
      <c r="AD228" s="97"/>
    </row>
    <row r="229" spans="1:30" ht="35.1" hidden="1" customHeight="1" x14ac:dyDescent="0.25">
      <c r="A229" s="83"/>
      <c r="B229" s="7"/>
      <c r="C229" s="8"/>
      <c r="D229" s="8"/>
      <c r="E229" s="60"/>
      <c r="F229" s="84" t="str">
        <f>IFERROR(VLOOKUP(CONCATENATE($B229,"_",F$3),materiali!$C:$K,5,0),"")</f>
        <v/>
      </c>
      <c r="G229" s="85" t="str">
        <f>IFERROR(VLOOKUP(CONCATENATE($B229,"_",G$3),materiali!$C:$K,6,0),"")</f>
        <v/>
      </c>
      <c r="H229" s="86"/>
      <c r="I229" s="84" t="str">
        <f>IFERROR(VLOOKUP(CONCATENATE($B229,"_",I$3),materiali!$C:$K,5,0),"")</f>
        <v/>
      </c>
      <c r="J229" s="85" t="str">
        <f>IFERROR(VLOOKUP(CONCATENATE($B229,"_",J$3),materiali!$C:$K,6,0),"")</f>
        <v/>
      </c>
      <c r="K229" s="86"/>
      <c r="L229" s="84" t="str">
        <f>IFERROR(VLOOKUP(CONCATENATE($B229,"_",L$3),materiali!$C:$K,5,0),"")</f>
        <v/>
      </c>
      <c r="M229" s="85" t="str">
        <f>IFERROR(VLOOKUP(CONCATENATE($B229,"_",M$3),materiali!$C:$K,6,0),"")</f>
        <v/>
      </c>
      <c r="N229" s="86"/>
      <c r="O229" s="84" t="str">
        <f>IFERROR(VLOOKUP(CONCATENATE($B229,"_",O$3),materiali!$C:$K,5,0),"")</f>
        <v/>
      </c>
      <c r="P229" s="85" t="str">
        <f>IFERROR(VLOOKUP(CONCATENATE($B229,"_",P$3),materiali!$C:$K,6,0),"")</f>
        <v/>
      </c>
      <c r="Q229" s="86"/>
      <c r="R229" s="84" t="str">
        <f>IFERROR(VLOOKUP(CONCATENATE($B229,"_",R$3),materiali!$C:$K,5,0),"")</f>
        <v/>
      </c>
      <c r="S229" s="85" t="str">
        <f>IFERROR(VLOOKUP(CONCATENATE($B229,"_",S$3),materiali!$C:$K,6,0),"")</f>
        <v/>
      </c>
      <c r="T229" s="86"/>
      <c r="U229" s="31"/>
      <c r="AD229" s="97"/>
    </row>
    <row r="230" spans="1:30" ht="35.1" hidden="1" customHeight="1" x14ac:dyDescent="0.25">
      <c r="A230" s="83"/>
      <c r="B230" s="7"/>
      <c r="C230" s="8"/>
      <c r="D230" s="8"/>
      <c r="E230" s="60"/>
      <c r="F230" s="84" t="str">
        <f>IFERROR(VLOOKUP(CONCATENATE($B230,"_",F$3),materiali!$C:$K,5,0),"")</f>
        <v/>
      </c>
      <c r="G230" s="85" t="str">
        <f>IFERROR(VLOOKUP(CONCATENATE($B230,"_",G$3),materiali!$C:$K,6,0),"")</f>
        <v/>
      </c>
      <c r="H230" s="86"/>
      <c r="I230" s="84" t="str">
        <f>IFERROR(VLOOKUP(CONCATENATE($B230,"_",I$3),materiali!$C:$K,5,0),"")</f>
        <v/>
      </c>
      <c r="J230" s="85" t="str">
        <f>IFERROR(VLOOKUP(CONCATENATE($B230,"_",J$3),materiali!$C:$K,6,0),"")</f>
        <v/>
      </c>
      <c r="K230" s="86"/>
      <c r="L230" s="84" t="str">
        <f>IFERROR(VLOOKUP(CONCATENATE($B230,"_",L$3),materiali!$C:$K,5,0),"")</f>
        <v/>
      </c>
      <c r="M230" s="85" t="str">
        <f>IFERROR(VLOOKUP(CONCATENATE($B230,"_",M$3),materiali!$C:$K,6,0),"")</f>
        <v/>
      </c>
      <c r="N230" s="86"/>
      <c r="O230" s="84" t="str">
        <f>IFERROR(VLOOKUP(CONCATENATE($B230,"_",O$3),materiali!$C:$K,5,0),"")</f>
        <v/>
      </c>
      <c r="P230" s="85" t="str">
        <f>IFERROR(VLOOKUP(CONCATENATE($B230,"_",P$3),materiali!$C:$K,6,0),"")</f>
        <v/>
      </c>
      <c r="Q230" s="86"/>
      <c r="R230" s="84" t="str">
        <f>IFERROR(VLOOKUP(CONCATENATE($B230,"_",R$3),materiali!$C:$K,5,0),"")</f>
        <v/>
      </c>
      <c r="S230" s="85" t="str">
        <f>IFERROR(VLOOKUP(CONCATENATE($B230,"_",S$3),materiali!$C:$K,6,0),"")</f>
        <v/>
      </c>
      <c r="T230" s="86"/>
      <c r="U230" s="31"/>
      <c r="AD230" s="97"/>
    </row>
    <row r="231" spans="1:30" ht="35.1" hidden="1" customHeight="1" x14ac:dyDescent="0.25">
      <c r="A231" s="83"/>
      <c r="B231" s="7"/>
      <c r="C231" s="8"/>
      <c r="D231" s="8"/>
      <c r="E231" s="60"/>
      <c r="F231" s="84" t="str">
        <f>IFERROR(VLOOKUP(CONCATENATE($B231,"_",F$3),materiali!$C:$K,5,0),"")</f>
        <v/>
      </c>
      <c r="G231" s="85" t="str">
        <f>IFERROR(VLOOKUP(CONCATENATE($B231,"_",G$3),materiali!$C:$K,6,0),"")</f>
        <v/>
      </c>
      <c r="H231" s="86"/>
      <c r="I231" s="84" t="str">
        <f>IFERROR(VLOOKUP(CONCATENATE($B231,"_",I$3),materiali!$C:$K,5,0),"")</f>
        <v/>
      </c>
      <c r="J231" s="85" t="str">
        <f>IFERROR(VLOOKUP(CONCATENATE($B231,"_",J$3),materiali!$C:$K,6,0),"")</f>
        <v/>
      </c>
      <c r="K231" s="86"/>
      <c r="L231" s="84" t="str">
        <f>IFERROR(VLOOKUP(CONCATENATE($B231,"_",L$3),materiali!$C:$K,5,0),"")</f>
        <v/>
      </c>
      <c r="M231" s="85" t="str">
        <f>IFERROR(VLOOKUP(CONCATENATE($B231,"_",M$3),materiali!$C:$K,6,0),"")</f>
        <v/>
      </c>
      <c r="N231" s="86"/>
      <c r="O231" s="84" t="str">
        <f>IFERROR(VLOOKUP(CONCATENATE($B231,"_",O$3),materiali!$C:$K,5,0),"")</f>
        <v/>
      </c>
      <c r="P231" s="85" t="str">
        <f>IFERROR(VLOOKUP(CONCATENATE($B231,"_",P$3),materiali!$C:$K,6,0),"")</f>
        <v/>
      </c>
      <c r="Q231" s="86"/>
      <c r="R231" s="84" t="str">
        <f>IFERROR(VLOOKUP(CONCATENATE($B231,"_",R$3),materiali!$C:$K,5,0),"")</f>
        <v/>
      </c>
      <c r="S231" s="85" t="str">
        <f>IFERROR(VLOOKUP(CONCATENATE($B231,"_",S$3),materiali!$C:$K,6,0),"")</f>
        <v/>
      </c>
      <c r="T231" s="86"/>
      <c r="U231" s="31"/>
      <c r="AD231" s="97"/>
    </row>
    <row r="232" spans="1:30" ht="35.1" hidden="1" customHeight="1" x14ac:dyDescent="0.25">
      <c r="A232" s="83"/>
      <c r="B232" s="7"/>
      <c r="C232" s="8"/>
      <c r="D232" s="8"/>
      <c r="E232" s="60"/>
      <c r="F232" s="84" t="str">
        <f>IFERROR(VLOOKUP(CONCATENATE($B232,"_",F$3),materiali!$C:$K,5,0),"")</f>
        <v/>
      </c>
      <c r="G232" s="85" t="str">
        <f>IFERROR(VLOOKUP(CONCATENATE($B232,"_",G$3),materiali!$C:$K,6,0),"")</f>
        <v/>
      </c>
      <c r="H232" s="86"/>
      <c r="I232" s="84" t="str">
        <f>IFERROR(VLOOKUP(CONCATENATE($B232,"_",I$3),materiali!$C:$K,5,0),"")</f>
        <v/>
      </c>
      <c r="J232" s="85" t="str">
        <f>IFERROR(VLOOKUP(CONCATENATE($B232,"_",J$3),materiali!$C:$K,6,0),"")</f>
        <v/>
      </c>
      <c r="K232" s="86"/>
      <c r="L232" s="84" t="str">
        <f>IFERROR(VLOOKUP(CONCATENATE($B232,"_",L$3),materiali!$C:$K,5,0),"")</f>
        <v/>
      </c>
      <c r="M232" s="85" t="str">
        <f>IFERROR(VLOOKUP(CONCATENATE($B232,"_",M$3),materiali!$C:$K,6,0),"")</f>
        <v/>
      </c>
      <c r="N232" s="86"/>
      <c r="O232" s="84" t="str">
        <f>IFERROR(VLOOKUP(CONCATENATE($B232,"_",O$3),materiali!$C:$K,5,0),"")</f>
        <v/>
      </c>
      <c r="P232" s="85" t="str">
        <f>IFERROR(VLOOKUP(CONCATENATE($B232,"_",P$3),materiali!$C:$K,6,0),"")</f>
        <v/>
      </c>
      <c r="Q232" s="86"/>
      <c r="R232" s="84" t="str">
        <f>IFERROR(VLOOKUP(CONCATENATE($B232,"_",R$3),materiali!$C:$K,5,0),"")</f>
        <v/>
      </c>
      <c r="S232" s="85" t="str">
        <f>IFERROR(VLOOKUP(CONCATENATE($B232,"_",S$3),materiali!$C:$K,6,0),"")</f>
        <v/>
      </c>
      <c r="T232" s="86"/>
      <c r="U232" s="31"/>
      <c r="AD232" s="97"/>
    </row>
    <row r="233" spans="1:30" ht="35.1" hidden="1" customHeight="1" x14ac:dyDescent="0.25">
      <c r="A233" s="83"/>
      <c r="B233" s="7"/>
      <c r="C233" s="8"/>
      <c r="D233" s="8"/>
      <c r="E233" s="60"/>
      <c r="F233" s="84" t="str">
        <f>IFERROR(VLOOKUP(CONCATENATE($B233,"_",F$3),materiali!$C:$K,5,0),"")</f>
        <v/>
      </c>
      <c r="G233" s="85" t="str">
        <f>IFERROR(VLOOKUP(CONCATENATE($B233,"_",G$3),materiali!$C:$K,6,0),"")</f>
        <v/>
      </c>
      <c r="H233" s="86"/>
      <c r="I233" s="84" t="str">
        <f>IFERROR(VLOOKUP(CONCATENATE($B233,"_",I$3),materiali!$C:$K,5,0),"")</f>
        <v/>
      </c>
      <c r="J233" s="85" t="str">
        <f>IFERROR(VLOOKUP(CONCATENATE($B233,"_",J$3),materiali!$C:$K,6,0),"")</f>
        <v/>
      </c>
      <c r="K233" s="86"/>
      <c r="L233" s="84" t="str">
        <f>IFERROR(VLOOKUP(CONCATENATE($B233,"_",L$3),materiali!$C:$K,5,0),"")</f>
        <v/>
      </c>
      <c r="M233" s="85" t="str">
        <f>IFERROR(VLOOKUP(CONCATENATE($B233,"_",M$3),materiali!$C:$K,6,0),"")</f>
        <v/>
      </c>
      <c r="N233" s="86"/>
      <c r="O233" s="84" t="str">
        <f>IFERROR(VLOOKUP(CONCATENATE($B233,"_",O$3),materiali!$C:$K,5,0),"")</f>
        <v/>
      </c>
      <c r="P233" s="85" t="str">
        <f>IFERROR(VLOOKUP(CONCATENATE($B233,"_",P$3),materiali!$C:$K,6,0),"")</f>
        <v/>
      </c>
      <c r="Q233" s="86"/>
      <c r="R233" s="84" t="str">
        <f>IFERROR(VLOOKUP(CONCATENATE($B233,"_",R$3),materiali!$C:$K,5,0),"")</f>
        <v/>
      </c>
      <c r="S233" s="85" t="str">
        <f>IFERROR(VLOOKUP(CONCATENATE($B233,"_",S$3),materiali!$C:$K,6,0),"")</f>
        <v/>
      </c>
      <c r="T233" s="86"/>
      <c r="U233" s="31"/>
      <c r="AD233" s="97"/>
    </row>
    <row r="234" spans="1:30" ht="35.1" hidden="1" customHeight="1" x14ac:dyDescent="0.25">
      <c r="A234" s="83"/>
      <c r="B234" s="7"/>
      <c r="C234" s="8"/>
      <c r="D234" s="8"/>
      <c r="E234" s="60"/>
      <c r="F234" s="84" t="str">
        <f>IFERROR(VLOOKUP(CONCATENATE($B234,"_",F$3),materiali!$C:$K,5,0),"")</f>
        <v/>
      </c>
      <c r="G234" s="85" t="str">
        <f>IFERROR(VLOOKUP(CONCATENATE($B234,"_",G$3),materiali!$C:$K,6,0),"")</f>
        <v/>
      </c>
      <c r="H234" s="86"/>
      <c r="I234" s="84" t="str">
        <f>IFERROR(VLOOKUP(CONCATENATE($B234,"_",I$3),materiali!$C:$K,5,0),"")</f>
        <v/>
      </c>
      <c r="J234" s="85" t="str">
        <f>IFERROR(VLOOKUP(CONCATENATE($B234,"_",J$3),materiali!$C:$K,6,0),"")</f>
        <v/>
      </c>
      <c r="K234" s="86"/>
      <c r="L234" s="84" t="str">
        <f>IFERROR(VLOOKUP(CONCATENATE($B234,"_",L$3),materiali!$C:$K,5,0),"")</f>
        <v/>
      </c>
      <c r="M234" s="85" t="str">
        <f>IFERROR(VLOOKUP(CONCATENATE($B234,"_",M$3),materiali!$C:$K,6,0),"")</f>
        <v/>
      </c>
      <c r="N234" s="86"/>
      <c r="O234" s="84" t="str">
        <f>IFERROR(VLOOKUP(CONCATENATE($B234,"_",O$3),materiali!$C:$K,5,0),"")</f>
        <v/>
      </c>
      <c r="P234" s="85" t="str">
        <f>IFERROR(VLOOKUP(CONCATENATE($B234,"_",P$3),materiali!$C:$K,6,0),"")</f>
        <v/>
      </c>
      <c r="Q234" s="86"/>
      <c r="R234" s="84" t="str">
        <f>IFERROR(VLOOKUP(CONCATENATE($B234,"_",R$3),materiali!$C:$K,5,0),"")</f>
        <v/>
      </c>
      <c r="S234" s="85" t="str">
        <f>IFERROR(VLOOKUP(CONCATENATE($B234,"_",S$3),materiali!$C:$K,6,0),"")</f>
        <v/>
      </c>
      <c r="T234" s="86"/>
      <c r="U234" s="31"/>
      <c r="AD234" s="97"/>
    </row>
    <row r="235" spans="1:30" ht="35.1" hidden="1" customHeight="1" x14ac:dyDescent="0.25">
      <c r="A235" s="83"/>
      <c r="B235" s="7"/>
      <c r="C235" s="8"/>
      <c r="D235" s="8"/>
      <c r="E235" s="60"/>
      <c r="F235" s="84" t="str">
        <f>IFERROR(VLOOKUP(CONCATENATE($B235,"_",F$3),materiali!$C:$K,5,0),"")</f>
        <v/>
      </c>
      <c r="G235" s="85" t="str">
        <f>IFERROR(VLOOKUP(CONCATENATE($B235,"_",G$3),materiali!$C:$K,6,0),"")</f>
        <v/>
      </c>
      <c r="H235" s="86"/>
      <c r="I235" s="84" t="str">
        <f>IFERROR(VLOOKUP(CONCATENATE($B235,"_",I$3),materiali!$C:$K,5,0),"")</f>
        <v/>
      </c>
      <c r="J235" s="85" t="str">
        <f>IFERROR(VLOOKUP(CONCATENATE($B235,"_",J$3),materiali!$C:$K,6,0),"")</f>
        <v/>
      </c>
      <c r="K235" s="86"/>
      <c r="L235" s="84" t="str">
        <f>IFERROR(VLOOKUP(CONCATENATE($B235,"_",L$3),materiali!$C:$K,5,0),"")</f>
        <v/>
      </c>
      <c r="M235" s="85" t="str">
        <f>IFERROR(VLOOKUP(CONCATENATE($B235,"_",M$3),materiali!$C:$K,6,0),"")</f>
        <v/>
      </c>
      <c r="N235" s="86"/>
      <c r="O235" s="84" t="str">
        <f>IFERROR(VLOOKUP(CONCATENATE($B235,"_",O$3),materiali!$C:$K,5,0),"")</f>
        <v/>
      </c>
      <c r="P235" s="85" t="str">
        <f>IFERROR(VLOOKUP(CONCATENATE($B235,"_",P$3),materiali!$C:$K,6,0),"")</f>
        <v/>
      </c>
      <c r="Q235" s="86"/>
      <c r="R235" s="84" t="str">
        <f>IFERROR(VLOOKUP(CONCATENATE($B235,"_",R$3),materiali!$C:$K,5,0),"")</f>
        <v/>
      </c>
      <c r="S235" s="85" t="str">
        <f>IFERROR(VLOOKUP(CONCATENATE($B235,"_",S$3),materiali!$C:$K,6,0),"")</f>
        <v/>
      </c>
      <c r="T235" s="86"/>
      <c r="U235" s="31"/>
      <c r="AD235" s="97"/>
    </row>
    <row r="236" spans="1:30" ht="35.1" hidden="1" customHeight="1" x14ac:dyDescent="0.25">
      <c r="A236" s="83"/>
      <c r="B236" s="7"/>
      <c r="C236" s="8"/>
      <c r="D236" s="8"/>
      <c r="E236" s="60"/>
      <c r="F236" s="84" t="str">
        <f>IFERROR(VLOOKUP(CONCATENATE($B236,"_",F$3),materiali!$C:$K,5,0),"")</f>
        <v/>
      </c>
      <c r="G236" s="85" t="str">
        <f>IFERROR(VLOOKUP(CONCATENATE($B236,"_",G$3),materiali!$C:$K,6,0),"")</f>
        <v/>
      </c>
      <c r="H236" s="86"/>
      <c r="I236" s="84" t="str">
        <f>IFERROR(VLOOKUP(CONCATENATE($B236,"_",I$3),materiali!$C:$K,5,0),"")</f>
        <v/>
      </c>
      <c r="J236" s="85" t="str">
        <f>IFERROR(VLOOKUP(CONCATENATE($B236,"_",J$3),materiali!$C:$K,6,0),"")</f>
        <v/>
      </c>
      <c r="K236" s="86"/>
      <c r="L236" s="84" t="str">
        <f>IFERROR(VLOOKUP(CONCATENATE($B236,"_",L$3),materiali!$C:$K,5,0),"")</f>
        <v/>
      </c>
      <c r="M236" s="85" t="str">
        <f>IFERROR(VLOOKUP(CONCATENATE($B236,"_",M$3),materiali!$C:$K,6,0),"")</f>
        <v/>
      </c>
      <c r="N236" s="86"/>
      <c r="O236" s="84" t="str">
        <f>IFERROR(VLOOKUP(CONCATENATE($B236,"_",O$3),materiali!$C:$K,5,0),"")</f>
        <v/>
      </c>
      <c r="P236" s="85" t="str">
        <f>IFERROR(VLOOKUP(CONCATENATE($B236,"_",P$3),materiali!$C:$K,6,0),"")</f>
        <v/>
      </c>
      <c r="Q236" s="86"/>
      <c r="R236" s="84" t="str">
        <f>IFERROR(VLOOKUP(CONCATENATE($B236,"_",R$3),materiali!$C:$K,5,0),"")</f>
        <v/>
      </c>
      <c r="S236" s="85" t="str">
        <f>IFERROR(VLOOKUP(CONCATENATE($B236,"_",S$3),materiali!$C:$K,6,0),"")</f>
        <v/>
      </c>
      <c r="T236" s="86"/>
      <c r="U236" s="31"/>
      <c r="AD236" s="97"/>
    </row>
    <row r="237" spans="1:30" ht="35.1" hidden="1" customHeight="1" x14ac:dyDescent="0.25">
      <c r="A237" s="83"/>
      <c r="B237" s="7"/>
      <c r="C237" s="8"/>
      <c r="D237" s="8"/>
      <c r="E237" s="60"/>
      <c r="F237" s="84" t="str">
        <f>IFERROR(VLOOKUP(CONCATENATE($B237,"_",F$3),materiali!$C:$K,5,0),"")</f>
        <v/>
      </c>
      <c r="G237" s="85" t="str">
        <f>IFERROR(VLOOKUP(CONCATENATE($B237,"_",G$3),materiali!$C:$K,6,0),"")</f>
        <v/>
      </c>
      <c r="H237" s="86"/>
      <c r="I237" s="84" t="str">
        <f>IFERROR(VLOOKUP(CONCATENATE($B237,"_",I$3),materiali!$C:$K,5,0),"")</f>
        <v/>
      </c>
      <c r="J237" s="85" t="str">
        <f>IFERROR(VLOOKUP(CONCATENATE($B237,"_",J$3),materiali!$C:$K,6,0),"")</f>
        <v/>
      </c>
      <c r="K237" s="86"/>
      <c r="L237" s="84" t="str">
        <f>IFERROR(VLOOKUP(CONCATENATE($B237,"_",L$3),materiali!$C:$K,5,0),"")</f>
        <v/>
      </c>
      <c r="M237" s="85" t="str">
        <f>IFERROR(VLOOKUP(CONCATENATE($B237,"_",M$3),materiali!$C:$K,6,0),"")</f>
        <v/>
      </c>
      <c r="N237" s="86"/>
      <c r="O237" s="84" t="str">
        <f>IFERROR(VLOOKUP(CONCATENATE($B237,"_",O$3),materiali!$C:$K,5,0),"")</f>
        <v/>
      </c>
      <c r="P237" s="85" t="str">
        <f>IFERROR(VLOOKUP(CONCATENATE($B237,"_",P$3),materiali!$C:$K,6,0),"")</f>
        <v/>
      </c>
      <c r="Q237" s="86"/>
      <c r="R237" s="84" t="str">
        <f>IFERROR(VLOOKUP(CONCATENATE($B237,"_",R$3),materiali!$C:$K,5,0),"")</f>
        <v/>
      </c>
      <c r="S237" s="85" t="str">
        <f>IFERROR(VLOOKUP(CONCATENATE($B237,"_",S$3),materiali!$C:$K,6,0),"")</f>
        <v/>
      </c>
      <c r="T237" s="86"/>
      <c r="U237" s="31"/>
      <c r="AD237" s="97"/>
    </row>
    <row r="238" spans="1:30" ht="35.1" hidden="1" customHeight="1" x14ac:dyDescent="0.25">
      <c r="A238" s="83"/>
      <c r="B238" s="7"/>
      <c r="C238" s="8"/>
      <c r="D238" s="8"/>
      <c r="E238" s="60"/>
      <c r="F238" s="84" t="str">
        <f>IFERROR(VLOOKUP(CONCATENATE($B238,"_",F$3),materiali!$C:$K,5,0),"")</f>
        <v/>
      </c>
      <c r="G238" s="85" t="str">
        <f>IFERROR(VLOOKUP(CONCATENATE($B238,"_",G$3),materiali!$C:$K,6,0),"")</f>
        <v/>
      </c>
      <c r="H238" s="86"/>
      <c r="I238" s="84" t="str">
        <f>IFERROR(VLOOKUP(CONCATENATE($B238,"_",I$3),materiali!$C:$K,5,0),"")</f>
        <v/>
      </c>
      <c r="J238" s="85" t="str">
        <f>IFERROR(VLOOKUP(CONCATENATE($B238,"_",J$3),materiali!$C:$K,6,0),"")</f>
        <v/>
      </c>
      <c r="K238" s="86"/>
      <c r="L238" s="84" t="str">
        <f>IFERROR(VLOOKUP(CONCATENATE($B238,"_",L$3),materiali!$C:$K,5,0),"")</f>
        <v/>
      </c>
      <c r="M238" s="85" t="str">
        <f>IFERROR(VLOOKUP(CONCATENATE($B238,"_",M$3),materiali!$C:$K,6,0),"")</f>
        <v/>
      </c>
      <c r="N238" s="86"/>
      <c r="O238" s="84" t="str">
        <f>IFERROR(VLOOKUP(CONCATENATE($B238,"_",O$3),materiali!$C:$K,5,0),"")</f>
        <v/>
      </c>
      <c r="P238" s="85" t="str">
        <f>IFERROR(VLOOKUP(CONCATENATE($B238,"_",P$3),materiali!$C:$K,6,0),"")</f>
        <v/>
      </c>
      <c r="Q238" s="86"/>
      <c r="R238" s="84" t="str">
        <f>IFERROR(VLOOKUP(CONCATENATE($B238,"_",R$3),materiali!$C:$K,5,0),"")</f>
        <v/>
      </c>
      <c r="S238" s="85" t="str">
        <f>IFERROR(VLOOKUP(CONCATENATE($B238,"_",S$3),materiali!$C:$K,6,0),"")</f>
        <v/>
      </c>
      <c r="T238" s="86"/>
      <c r="U238" s="31"/>
      <c r="AD238" s="97"/>
    </row>
    <row r="239" spans="1:30" ht="35.1" hidden="1" customHeight="1" x14ac:dyDescent="0.25">
      <c r="A239" s="83"/>
      <c r="B239" s="7"/>
      <c r="C239" s="8"/>
      <c r="D239" s="8"/>
      <c r="E239" s="60"/>
      <c r="F239" s="84" t="str">
        <f>IFERROR(VLOOKUP(CONCATENATE($B239,"_",F$3),materiali!$C:$K,5,0),"")</f>
        <v/>
      </c>
      <c r="G239" s="85" t="str">
        <f>IFERROR(VLOOKUP(CONCATENATE($B239,"_",G$3),materiali!$C:$K,6,0),"")</f>
        <v/>
      </c>
      <c r="H239" s="86"/>
      <c r="I239" s="84" t="str">
        <f>IFERROR(VLOOKUP(CONCATENATE($B239,"_",I$3),materiali!$C:$K,5,0),"")</f>
        <v/>
      </c>
      <c r="J239" s="85" t="str">
        <f>IFERROR(VLOOKUP(CONCATENATE($B239,"_",J$3),materiali!$C:$K,6,0),"")</f>
        <v/>
      </c>
      <c r="K239" s="86"/>
      <c r="L239" s="84" t="str">
        <f>IFERROR(VLOOKUP(CONCATENATE($B239,"_",L$3),materiali!$C:$K,5,0),"")</f>
        <v/>
      </c>
      <c r="M239" s="85" t="str">
        <f>IFERROR(VLOOKUP(CONCATENATE($B239,"_",M$3),materiali!$C:$K,6,0),"")</f>
        <v/>
      </c>
      <c r="N239" s="86"/>
      <c r="O239" s="84" t="str">
        <f>IFERROR(VLOOKUP(CONCATENATE($B239,"_",O$3),materiali!$C:$K,5,0),"")</f>
        <v/>
      </c>
      <c r="P239" s="85" t="str">
        <f>IFERROR(VLOOKUP(CONCATENATE($B239,"_",P$3),materiali!$C:$K,6,0),"")</f>
        <v/>
      </c>
      <c r="Q239" s="86"/>
      <c r="R239" s="84" t="str">
        <f>IFERROR(VLOOKUP(CONCATENATE($B239,"_",R$3),materiali!$C:$K,5,0),"")</f>
        <v/>
      </c>
      <c r="S239" s="85" t="str">
        <f>IFERROR(VLOOKUP(CONCATENATE($B239,"_",S$3),materiali!$C:$K,6,0),"")</f>
        <v/>
      </c>
      <c r="T239" s="86"/>
      <c r="U239" s="31"/>
      <c r="AD239" s="97"/>
    </row>
    <row r="240" spans="1:30" ht="35.1" hidden="1" customHeight="1" x14ac:dyDescent="0.25">
      <c r="A240" s="83"/>
      <c r="B240" s="7"/>
      <c r="C240" s="8"/>
      <c r="D240" s="8"/>
      <c r="E240" s="60"/>
      <c r="F240" s="84" t="str">
        <f>IFERROR(VLOOKUP(CONCATENATE($B240,"_",F$3),materiali!$C:$K,5,0),"")</f>
        <v/>
      </c>
      <c r="G240" s="85" t="str">
        <f>IFERROR(VLOOKUP(CONCATENATE($B240,"_",G$3),materiali!$C:$K,6,0),"")</f>
        <v/>
      </c>
      <c r="H240" s="86"/>
      <c r="I240" s="84" t="str">
        <f>IFERROR(VLOOKUP(CONCATENATE($B240,"_",I$3),materiali!$C:$K,5,0),"")</f>
        <v/>
      </c>
      <c r="J240" s="85" t="str">
        <f>IFERROR(VLOOKUP(CONCATENATE($B240,"_",J$3),materiali!$C:$K,6,0),"")</f>
        <v/>
      </c>
      <c r="K240" s="86"/>
      <c r="L240" s="84" t="str">
        <f>IFERROR(VLOOKUP(CONCATENATE($B240,"_",L$3),materiali!$C:$K,5,0),"")</f>
        <v/>
      </c>
      <c r="M240" s="85" t="str">
        <f>IFERROR(VLOOKUP(CONCATENATE($B240,"_",M$3),materiali!$C:$K,6,0),"")</f>
        <v/>
      </c>
      <c r="N240" s="86"/>
      <c r="O240" s="84" t="str">
        <f>IFERROR(VLOOKUP(CONCATENATE($B240,"_",O$3),materiali!$C:$K,5,0),"")</f>
        <v/>
      </c>
      <c r="P240" s="85" t="str">
        <f>IFERROR(VLOOKUP(CONCATENATE($B240,"_",P$3),materiali!$C:$K,6,0),"")</f>
        <v/>
      </c>
      <c r="Q240" s="86"/>
      <c r="R240" s="84" t="str">
        <f>IFERROR(VLOOKUP(CONCATENATE($B240,"_",R$3),materiali!$C:$K,5,0),"")</f>
        <v/>
      </c>
      <c r="S240" s="85" t="str">
        <f>IFERROR(VLOOKUP(CONCATENATE($B240,"_",S$3),materiali!$C:$K,6,0),"")</f>
        <v/>
      </c>
      <c r="T240" s="86"/>
      <c r="U240" s="31"/>
      <c r="AD240" s="97"/>
    </row>
    <row r="241" spans="1:30" ht="35.1" hidden="1" customHeight="1" x14ac:dyDescent="0.25">
      <c r="A241" s="83"/>
      <c r="B241" s="7"/>
      <c r="C241" s="8"/>
      <c r="D241" s="8"/>
      <c r="E241" s="60"/>
      <c r="F241" s="84" t="str">
        <f>IFERROR(VLOOKUP(CONCATENATE($B241,"_",F$3),materiali!$C:$K,5,0),"")</f>
        <v/>
      </c>
      <c r="G241" s="85" t="str">
        <f>IFERROR(VLOOKUP(CONCATENATE($B241,"_",G$3),materiali!$C:$K,6,0),"")</f>
        <v/>
      </c>
      <c r="H241" s="86"/>
      <c r="I241" s="84" t="str">
        <f>IFERROR(VLOOKUP(CONCATENATE($B241,"_",I$3),materiali!$C:$K,5,0),"")</f>
        <v/>
      </c>
      <c r="J241" s="85" t="str">
        <f>IFERROR(VLOOKUP(CONCATENATE($B241,"_",J$3),materiali!$C:$K,6,0),"")</f>
        <v/>
      </c>
      <c r="K241" s="86"/>
      <c r="L241" s="84" t="str">
        <f>IFERROR(VLOOKUP(CONCATENATE($B241,"_",L$3),materiali!$C:$K,5,0),"")</f>
        <v/>
      </c>
      <c r="M241" s="85" t="str">
        <f>IFERROR(VLOOKUP(CONCATENATE($B241,"_",M$3),materiali!$C:$K,6,0),"")</f>
        <v/>
      </c>
      <c r="N241" s="86"/>
      <c r="O241" s="84" t="str">
        <f>IFERROR(VLOOKUP(CONCATENATE($B241,"_",O$3),materiali!$C:$K,5,0),"")</f>
        <v/>
      </c>
      <c r="P241" s="85" t="str">
        <f>IFERROR(VLOOKUP(CONCATENATE($B241,"_",P$3),materiali!$C:$K,6,0),"")</f>
        <v/>
      </c>
      <c r="Q241" s="86"/>
      <c r="R241" s="84" t="str">
        <f>IFERROR(VLOOKUP(CONCATENATE($B241,"_",R$3),materiali!$C:$K,5,0),"")</f>
        <v/>
      </c>
      <c r="S241" s="85" t="str">
        <f>IFERROR(VLOOKUP(CONCATENATE($B241,"_",S$3),materiali!$C:$K,6,0),"")</f>
        <v/>
      </c>
      <c r="T241" s="86"/>
      <c r="U241" s="31"/>
      <c r="AD241" s="97"/>
    </row>
    <row r="242" spans="1:30" ht="35.1" hidden="1" customHeight="1" x14ac:dyDescent="0.25">
      <c r="A242" s="83"/>
      <c r="B242" s="7"/>
      <c r="C242" s="8"/>
      <c r="D242" s="8"/>
      <c r="E242" s="60"/>
      <c r="F242" s="84" t="str">
        <f>IFERROR(VLOOKUP(CONCATENATE($B242,"_",F$3),materiali!$C:$K,5,0),"")</f>
        <v/>
      </c>
      <c r="G242" s="85" t="str">
        <f>IFERROR(VLOOKUP(CONCATENATE($B242,"_",G$3),materiali!$C:$K,6,0),"")</f>
        <v/>
      </c>
      <c r="H242" s="86"/>
      <c r="I242" s="84" t="str">
        <f>IFERROR(VLOOKUP(CONCATENATE($B242,"_",I$3),materiali!$C:$K,5,0),"")</f>
        <v/>
      </c>
      <c r="J242" s="85" t="str">
        <f>IFERROR(VLOOKUP(CONCATENATE($B242,"_",J$3),materiali!$C:$K,6,0),"")</f>
        <v/>
      </c>
      <c r="K242" s="86"/>
      <c r="L242" s="84" t="str">
        <f>IFERROR(VLOOKUP(CONCATENATE($B242,"_",L$3),materiali!$C:$K,5,0),"")</f>
        <v/>
      </c>
      <c r="M242" s="85" t="str">
        <f>IFERROR(VLOOKUP(CONCATENATE($B242,"_",M$3),materiali!$C:$K,6,0),"")</f>
        <v/>
      </c>
      <c r="N242" s="86"/>
      <c r="O242" s="84" t="str">
        <f>IFERROR(VLOOKUP(CONCATENATE($B242,"_",O$3),materiali!$C:$K,5,0),"")</f>
        <v/>
      </c>
      <c r="P242" s="85" t="str">
        <f>IFERROR(VLOOKUP(CONCATENATE($B242,"_",P$3),materiali!$C:$K,6,0),"")</f>
        <v/>
      </c>
      <c r="Q242" s="86"/>
      <c r="R242" s="84" t="str">
        <f>IFERROR(VLOOKUP(CONCATENATE($B242,"_",R$3),materiali!$C:$K,5,0),"")</f>
        <v/>
      </c>
      <c r="S242" s="85" t="str">
        <f>IFERROR(VLOOKUP(CONCATENATE($B242,"_",S$3),materiali!$C:$K,6,0),"")</f>
        <v/>
      </c>
      <c r="T242" s="86"/>
      <c r="U242" s="31"/>
      <c r="AD242" s="97"/>
    </row>
    <row r="243" spans="1:30" ht="35.1" hidden="1" customHeight="1" x14ac:dyDescent="0.25">
      <c r="A243" s="83"/>
      <c r="B243" s="7"/>
      <c r="C243" s="8"/>
      <c r="D243" s="8"/>
      <c r="E243" s="60"/>
      <c r="F243" s="84" t="str">
        <f>IFERROR(VLOOKUP(CONCATENATE($B243,"_",F$3),materiali!$C:$K,5,0),"")</f>
        <v/>
      </c>
      <c r="G243" s="85" t="str">
        <f>IFERROR(VLOOKUP(CONCATENATE($B243,"_",G$3),materiali!$C:$K,6,0),"")</f>
        <v/>
      </c>
      <c r="H243" s="86"/>
      <c r="I243" s="84" t="str">
        <f>IFERROR(VLOOKUP(CONCATENATE($B243,"_",I$3),materiali!$C:$K,5,0),"")</f>
        <v/>
      </c>
      <c r="J243" s="85" t="str">
        <f>IFERROR(VLOOKUP(CONCATENATE($B243,"_",J$3),materiali!$C:$K,6,0),"")</f>
        <v/>
      </c>
      <c r="K243" s="86"/>
      <c r="L243" s="84" t="str">
        <f>IFERROR(VLOOKUP(CONCATENATE($B243,"_",L$3),materiali!$C:$K,5,0),"")</f>
        <v/>
      </c>
      <c r="M243" s="85" t="str">
        <f>IFERROR(VLOOKUP(CONCATENATE($B243,"_",M$3),materiali!$C:$K,6,0),"")</f>
        <v/>
      </c>
      <c r="N243" s="86"/>
      <c r="O243" s="84" t="str">
        <f>IFERROR(VLOOKUP(CONCATENATE($B243,"_",O$3),materiali!$C:$K,5,0),"")</f>
        <v/>
      </c>
      <c r="P243" s="85" t="str">
        <f>IFERROR(VLOOKUP(CONCATENATE($B243,"_",P$3),materiali!$C:$K,6,0),"")</f>
        <v/>
      </c>
      <c r="Q243" s="86"/>
      <c r="R243" s="84" t="str">
        <f>IFERROR(VLOOKUP(CONCATENATE($B243,"_",R$3),materiali!$C:$K,5,0),"")</f>
        <v/>
      </c>
      <c r="S243" s="85" t="str">
        <f>IFERROR(VLOOKUP(CONCATENATE($B243,"_",S$3),materiali!$C:$K,6,0),"")</f>
        <v/>
      </c>
      <c r="T243" s="86"/>
      <c r="U243" s="31"/>
      <c r="AD243" s="97"/>
    </row>
    <row r="244" spans="1:30" ht="35.1" hidden="1" customHeight="1" x14ac:dyDescent="0.25">
      <c r="A244" s="83"/>
      <c r="B244" s="7"/>
      <c r="C244" s="8"/>
      <c r="D244" s="8"/>
      <c r="E244" s="60"/>
      <c r="F244" s="84" t="str">
        <f>IFERROR(VLOOKUP(CONCATENATE($B244,"_",F$3),materiali!$C:$K,5,0),"")</f>
        <v/>
      </c>
      <c r="G244" s="85" t="str">
        <f>IFERROR(VLOOKUP(CONCATENATE($B244,"_",G$3),materiali!$C:$K,6,0),"")</f>
        <v/>
      </c>
      <c r="H244" s="86"/>
      <c r="I244" s="84" t="str">
        <f>IFERROR(VLOOKUP(CONCATENATE($B244,"_",I$3),materiali!$C:$K,5,0),"")</f>
        <v/>
      </c>
      <c r="J244" s="85" t="str">
        <f>IFERROR(VLOOKUP(CONCATENATE($B244,"_",J$3),materiali!$C:$K,6,0),"")</f>
        <v/>
      </c>
      <c r="K244" s="86"/>
      <c r="L244" s="84" t="str">
        <f>IFERROR(VLOOKUP(CONCATENATE($B244,"_",L$3),materiali!$C:$K,5,0),"")</f>
        <v/>
      </c>
      <c r="M244" s="85" t="str">
        <f>IFERROR(VLOOKUP(CONCATENATE($B244,"_",M$3),materiali!$C:$K,6,0),"")</f>
        <v/>
      </c>
      <c r="N244" s="86"/>
      <c r="O244" s="84" t="str">
        <f>IFERROR(VLOOKUP(CONCATENATE($B244,"_",O$3),materiali!$C:$K,5,0),"")</f>
        <v/>
      </c>
      <c r="P244" s="85" t="str">
        <f>IFERROR(VLOOKUP(CONCATENATE($B244,"_",P$3),materiali!$C:$K,6,0),"")</f>
        <v/>
      </c>
      <c r="Q244" s="86"/>
      <c r="R244" s="84" t="str">
        <f>IFERROR(VLOOKUP(CONCATENATE($B244,"_",R$3),materiali!$C:$K,5,0),"")</f>
        <v/>
      </c>
      <c r="S244" s="85" t="str">
        <f>IFERROR(VLOOKUP(CONCATENATE($B244,"_",S$3),materiali!$C:$K,6,0),"")</f>
        <v/>
      </c>
      <c r="T244" s="86"/>
      <c r="U244" s="31"/>
      <c r="AD244" s="97"/>
    </row>
    <row r="245" spans="1:30" ht="35.1" hidden="1" customHeight="1" x14ac:dyDescent="0.25">
      <c r="A245" s="83"/>
      <c r="B245" s="7"/>
      <c r="C245" s="8"/>
      <c r="D245" s="8"/>
      <c r="E245" s="60"/>
      <c r="F245" s="84" t="str">
        <f>IFERROR(VLOOKUP(CONCATENATE($B245,"_",F$3),materiali!$C:$K,5,0),"")</f>
        <v/>
      </c>
      <c r="G245" s="85" t="str">
        <f>IFERROR(VLOOKUP(CONCATENATE($B245,"_",G$3),materiali!$C:$K,6,0),"")</f>
        <v/>
      </c>
      <c r="H245" s="86"/>
      <c r="I245" s="84" t="str">
        <f>IFERROR(VLOOKUP(CONCATENATE($B245,"_",I$3),materiali!$C:$K,5,0),"")</f>
        <v/>
      </c>
      <c r="J245" s="85" t="str">
        <f>IFERROR(VLOOKUP(CONCATENATE($B245,"_",J$3),materiali!$C:$K,6,0),"")</f>
        <v/>
      </c>
      <c r="K245" s="86"/>
      <c r="L245" s="84" t="str">
        <f>IFERROR(VLOOKUP(CONCATENATE($B245,"_",L$3),materiali!$C:$K,5,0),"")</f>
        <v/>
      </c>
      <c r="M245" s="85" t="str">
        <f>IFERROR(VLOOKUP(CONCATENATE($B245,"_",M$3),materiali!$C:$K,6,0),"")</f>
        <v/>
      </c>
      <c r="N245" s="86"/>
      <c r="O245" s="84" t="str">
        <f>IFERROR(VLOOKUP(CONCATENATE($B245,"_",O$3),materiali!$C:$K,5,0),"")</f>
        <v/>
      </c>
      <c r="P245" s="85" t="str">
        <f>IFERROR(VLOOKUP(CONCATENATE($B245,"_",P$3),materiali!$C:$K,6,0),"")</f>
        <v/>
      </c>
      <c r="Q245" s="86"/>
      <c r="R245" s="84" t="str">
        <f>IFERROR(VLOOKUP(CONCATENATE($B245,"_",R$3),materiali!$C:$K,5,0),"")</f>
        <v/>
      </c>
      <c r="S245" s="85" t="str">
        <f>IFERROR(VLOOKUP(CONCATENATE($B245,"_",S$3),materiali!$C:$K,6,0),"")</f>
        <v/>
      </c>
      <c r="T245" s="86"/>
      <c r="U245" s="31"/>
      <c r="AD245" s="97"/>
    </row>
    <row r="246" spans="1:30" ht="35.1" hidden="1" customHeight="1" x14ac:dyDescent="0.25">
      <c r="A246" s="83"/>
      <c r="B246" s="7"/>
      <c r="C246" s="8"/>
      <c r="D246" s="8"/>
      <c r="E246" s="60"/>
      <c r="F246" s="84" t="str">
        <f>IFERROR(VLOOKUP(CONCATENATE($B246,"_",F$3),materiali!$C:$K,5,0),"")</f>
        <v/>
      </c>
      <c r="G246" s="85" t="str">
        <f>IFERROR(VLOOKUP(CONCATENATE($B246,"_",G$3),materiali!$C:$K,6,0),"")</f>
        <v/>
      </c>
      <c r="H246" s="86"/>
      <c r="I246" s="84" t="str">
        <f>IFERROR(VLOOKUP(CONCATENATE($B246,"_",I$3),materiali!$C:$K,5,0),"")</f>
        <v/>
      </c>
      <c r="J246" s="85" t="str">
        <f>IFERROR(VLOOKUP(CONCATENATE($B246,"_",J$3),materiali!$C:$K,6,0),"")</f>
        <v/>
      </c>
      <c r="K246" s="86"/>
      <c r="L246" s="84" t="str">
        <f>IFERROR(VLOOKUP(CONCATENATE($B246,"_",L$3),materiali!$C:$K,5,0),"")</f>
        <v/>
      </c>
      <c r="M246" s="85" t="str">
        <f>IFERROR(VLOOKUP(CONCATENATE($B246,"_",M$3),materiali!$C:$K,6,0),"")</f>
        <v/>
      </c>
      <c r="N246" s="86"/>
      <c r="O246" s="84" t="str">
        <f>IFERROR(VLOOKUP(CONCATENATE($B246,"_",O$3),materiali!$C:$K,5,0),"")</f>
        <v/>
      </c>
      <c r="P246" s="85" t="str">
        <f>IFERROR(VLOOKUP(CONCATENATE($B246,"_",P$3),materiali!$C:$K,6,0),"")</f>
        <v/>
      </c>
      <c r="Q246" s="86"/>
      <c r="R246" s="84" t="str">
        <f>IFERROR(VLOOKUP(CONCATENATE($B246,"_",R$3),materiali!$C:$K,5,0),"")</f>
        <v/>
      </c>
      <c r="S246" s="85" t="str">
        <f>IFERROR(VLOOKUP(CONCATENATE($B246,"_",S$3),materiali!$C:$K,6,0),"")</f>
        <v/>
      </c>
      <c r="T246" s="86"/>
      <c r="U246" s="31"/>
      <c r="AD246" s="97"/>
    </row>
    <row r="247" spans="1:30" ht="35.1" hidden="1" customHeight="1" x14ac:dyDescent="0.25">
      <c r="A247" s="83"/>
      <c r="B247" s="7"/>
      <c r="C247" s="8"/>
      <c r="D247" s="8"/>
      <c r="E247" s="60"/>
      <c r="F247" s="84" t="str">
        <f>IFERROR(VLOOKUP(CONCATENATE($B247,"_",F$3),materiali!$C:$K,5,0),"")</f>
        <v/>
      </c>
      <c r="G247" s="85" t="str">
        <f>IFERROR(VLOOKUP(CONCATENATE($B247,"_",G$3),materiali!$C:$K,6,0),"")</f>
        <v/>
      </c>
      <c r="H247" s="86"/>
      <c r="I247" s="84" t="str">
        <f>IFERROR(VLOOKUP(CONCATENATE($B247,"_",I$3),materiali!$C:$K,5,0),"")</f>
        <v/>
      </c>
      <c r="J247" s="85" t="str">
        <f>IFERROR(VLOOKUP(CONCATENATE($B247,"_",J$3),materiali!$C:$K,6,0),"")</f>
        <v/>
      </c>
      <c r="K247" s="86"/>
      <c r="L247" s="84" t="str">
        <f>IFERROR(VLOOKUP(CONCATENATE($B247,"_",L$3),materiali!$C:$K,5,0),"")</f>
        <v/>
      </c>
      <c r="M247" s="85" t="str">
        <f>IFERROR(VLOOKUP(CONCATENATE($B247,"_",M$3),materiali!$C:$K,6,0),"")</f>
        <v/>
      </c>
      <c r="N247" s="86"/>
      <c r="O247" s="84" t="str">
        <f>IFERROR(VLOOKUP(CONCATENATE($B247,"_",O$3),materiali!$C:$K,5,0),"")</f>
        <v/>
      </c>
      <c r="P247" s="85" t="str">
        <f>IFERROR(VLOOKUP(CONCATENATE($B247,"_",P$3),materiali!$C:$K,6,0),"")</f>
        <v/>
      </c>
      <c r="Q247" s="86"/>
      <c r="R247" s="84" t="str">
        <f>IFERROR(VLOOKUP(CONCATENATE($B247,"_",R$3),materiali!$C:$K,5,0),"")</f>
        <v/>
      </c>
      <c r="S247" s="85" t="str">
        <f>IFERROR(VLOOKUP(CONCATENATE($B247,"_",S$3),materiali!$C:$K,6,0),"")</f>
        <v/>
      </c>
      <c r="T247" s="86"/>
      <c r="U247" s="31"/>
      <c r="AD247" s="97"/>
    </row>
    <row r="248" spans="1:30" ht="35.1" hidden="1" customHeight="1" x14ac:dyDescent="0.25">
      <c r="A248" s="83"/>
      <c r="B248" s="7"/>
      <c r="C248" s="8"/>
      <c r="D248" s="8"/>
      <c r="E248" s="60"/>
      <c r="F248" s="84" t="str">
        <f>IFERROR(VLOOKUP(CONCATENATE($B248,"_",F$3),materiali!$C:$K,5,0),"")</f>
        <v/>
      </c>
      <c r="G248" s="85" t="str">
        <f>IFERROR(VLOOKUP(CONCATENATE($B248,"_",G$3),materiali!$C:$K,6,0),"")</f>
        <v/>
      </c>
      <c r="H248" s="86"/>
      <c r="I248" s="84" t="str">
        <f>IFERROR(VLOOKUP(CONCATENATE($B248,"_",I$3),materiali!$C:$K,5,0),"")</f>
        <v/>
      </c>
      <c r="J248" s="85" t="str">
        <f>IFERROR(VLOOKUP(CONCATENATE($B248,"_",J$3),materiali!$C:$K,6,0),"")</f>
        <v/>
      </c>
      <c r="K248" s="86"/>
      <c r="L248" s="84" t="str">
        <f>IFERROR(VLOOKUP(CONCATENATE($B248,"_",L$3),materiali!$C:$K,5,0),"")</f>
        <v/>
      </c>
      <c r="M248" s="85" t="str">
        <f>IFERROR(VLOOKUP(CONCATENATE($B248,"_",M$3),materiali!$C:$K,6,0),"")</f>
        <v/>
      </c>
      <c r="N248" s="86"/>
      <c r="O248" s="84" t="str">
        <f>IFERROR(VLOOKUP(CONCATENATE($B248,"_",O$3),materiali!$C:$K,5,0),"")</f>
        <v/>
      </c>
      <c r="P248" s="85" t="str">
        <f>IFERROR(VLOOKUP(CONCATENATE($B248,"_",P$3),materiali!$C:$K,6,0),"")</f>
        <v/>
      </c>
      <c r="Q248" s="86"/>
      <c r="R248" s="84" t="str">
        <f>IFERROR(VLOOKUP(CONCATENATE($B248,"_",R$3),materiali!$C:$K,5,0),"")</f>
        <v/>
      </c>
      <c r="S248" s="85" t="str">
        <f>IFERROR(VLOOKUP(CONCATENATE($B248,"_",S$3),materiali!$C:$K,6,0),"")</f>
        <v/>
      </c>
      <c r="T248" s="86"/>
      <c r="U248" s="31"/>
      <c r="AD248" s="97"/>
    </row>
    <row r="249" spans="1:30" ht="35.1" hidden="1" customHeight="1" x14ac:dyDescent="0.25">
      <c r="A249" s="83"/>
      <c r="B249" s="7"/>
      <c r="C249" s="8"/>
      <c r="D249" s="8"/>
      <c r="E249" s="60"/>
      <c r="F249" s="84" t="str">
        <f>IFERROR(VLOOKUP(CONCATENATE($B249,"_",F$3),materiali!$C:$K,5,0),"")</f>
        <v/>
      </c>
      <c r="G249" s="85" t="str">
        <f>IFERROR(VLOOKUP(CONCATENATE($B249,"_",G$3),materiali!$C:$K,6,0),"")</f>
        <v/>
      </c>
      <c r="H249" s="86"/>
      <c r="I249" s="84" t="str">
        <f>IFERROR(VLOOKUP(CONCATENATE($B249,"_",I$3),materiali!$C:$K,5,0),"")</f>
        <v/>
      </c>
      <c r="J249" s="85" t="str">
        <f>IFERROR(VLOOKUP(CONCATENATE($B249,"_",J$3),materiali!$C:$K,6,0),"")</f>
        <v/>
      </c>
      <c r="K249" s="86"/>
      <c r="L249" s="84" t="str">
        <f>IFERROR(VLOOKUP(CONCATENATE($B249,"_",L$3),materiali!$C:$K,5,0),"")</f>
        <v/>
      </c>
      <c r="M249" s="85" t="str">
        <f>IFERROR(VLOOKUP(CONCATENATE($B249,"_",M$3),materiali!$C:$K,6,0),"")</f>
        <v/>
      </c>
      <c r="N249" s="86"/>
      <c r="O249" s="84" t="str">
        <f>IFERROR(VLOOKUP(CONCATENATE($B249,"_",O$3),materiali!$C:$K,5,0),"")</f>
        <v/>
      </c>
      <c r="P249" s="85" t="str">
        <f>IFERROR(VLOOKUP(CONCATENATE($B249,"_",P$3),materiali!$C:$K,6,0),"")</f>
        <v/>
      </c>
      <c r="Q249" s="86"/>
      <c r="R249" s="84" t="str">
        <f>IFERROR(VLOOKUP(CONCATENATE($B249,"_",R$3),materiali!$C:$K,5,0),"")</f>
        <v/>
      </c>
      <c r="S249" s="85" t="str">
        <f>IFERROR(VLOOKUP(CONCATENATE($B249,"_",S$3),materiali!$C:$K,6,0),"")</f>
        <v/>
      </c>
      <c r="T249" s="86"/>
      <c r="U249" s="31"/>
      <c r="AD249" s="97"/>
    </row>
    <row r="250" spans="1:30" ht="35.1" hidden="1" customHeight="1" x14ac:dyDescent="0.25">
      <c r="A250" s="83"/>
      <c r="B250" s="7"/>
      <c r="C250" s="8"/>
      <c r="D250" s="8"/>
      <c r="E250" s="60"/>
      <c r="F250" s="84" t="str">
        <f>IFERROR(VLOOKUP(CONCATENATE($B250,"_",F$3),materiali!$C:$K,5,0),"")</f>
        <v/>
      </c>
      <c r="G250" s="85" t="str">
        <f>IFERROR(VLOOKUP(CONCATENATE($B250,"_",G$3),materiali!$C:$K,6,0),"")</f>
        <v/>
      </c>
      <c r="H250" s="86"/>
      <c r="I250" s="84" t="str">
        <f>IFERROR(VLOOKUP(CONCATENATE($B250,"_",I$3),materiali!$C:$K,5,0),"")</f>
        <v/>
      </c>
      <c r="J250" s="85" t="str">
        <f>IFERROR(VLOOKUP(CONCATENATE($B250,"_",J$3),materiali!$C:$K,6,0),"")</f>
        <v/>
      </c>
      <c r="K250" s="86"/>
      <c r="L250" s="84" t="str">
        <f>IFERROR(VLOOKUP(CONCATENATE($B250,"_",L$3),materiali!$C:$K,5,0),"")</f>
        <v/>
      </c>
      <c r="M250" s="85" t="str">
        <f>IFERROR(VLOOKUP(CONCATENATE($B250,"_",M$3),materiali!$C:$K,6,0),"")</f>
        <v/>
      </c>
      <c r="N250" s="86"/>
      <c r="O250" s="84" t="str">
        <f>IFERROR(VLOOKUP(CONCATENATE($B250,"_",O$3),materiali!$C:$K,5,0),"")</f>
        <v/>
      </c>
      <c r="P250" s="85" t="str">
        <f>IFERROR(VLOOKUP(CONCATENATE($B250,"_",P$3),materiali!$C:$K,6,0),"")</f>
        <v/>
      </c>
      <c r="Q250" s="86"/>
      <c r="R250" s="84" t="str">
        <f>IFERROR(VLOOKUP(CONCATENATE($B250,"_",R$3),materiali!$C:$K,5,0),"")</f>
        <v/>
      </c>
      <c r="S250" s="85" t="str">
        <f>IFERROR(VLOOKUP(CONCATENATE($B250,"_",S$3),materiali!$C:$K,6,0),"")</f>
        <v/>
      </c>
      <c r="T250" s="86"/>
      <c r="U250" s="31"/>
      <c r="AD250" s="97"/>
    </row>
    <row r="251" spans="1:30" ht="35.1" hidden="1" customHeight="1" x14ac:dyDescent="0.25">
      <c r="A251" s="83"/>
      <c r="B251" s="7"/>
      <c r="C251" s="8"/>
      <c r="D251" s="8"/>
      <c r="E251" s="60"/>
      <c r="F251" s="84" t="str">
        <f>IFERROR(VLOOKUP(CONCATENATE($B251,"_",F$3),materiali!$C:$K,5,0),"")</f>
        <v/>
      </c>
      <c r="G251" s="85" t="str">
        <f>IFERROR(VLOOKUP(CONCATENATE($B251,"_",G$3),materiali!$C:$K,6,0),"")</f>
        <v/>
      </c>
      <c r="H251" s="86"/>
      <c r="I251" s="84" t="str">
        <f>IFERROR(VLOOKUP(CONCATENATE($B251,"_",I$3),materiali!$C:$K,5,0),"")</f>
        <v/>
      </c>
      <c r="J251" s="85" t="str">
        <f>IFERROR(VLOOKUP(CONCATENATE($B251,"_",J$3),materiali!$C:$K,6,0),"")</f>
        <v/>
      </c>
      <c r="K251" s="86"/>
      <c r="L251" s="84" t="str">
        <f>IFERROR(VLOOKUP(CONCATENATE($B251,"_",L$3),materiali!$C:$K,5,0),"")</f>
        <v/>
      </c>
      <c r="M251" s="85" t="str">
        <f>IFERROR(VLOOKUP(CONCATENATE($B251,"_",M$3),materiali!$C:$K,6,0),"")</f>
        <v/>
      </c>
      <c r="N251" s="86"/>
      <c r="O251" s="84" t="str">
        <f>IFERROR(VLOOKUP(CONCATENATE($B251,"_",O$3),materiali!$C:$K,5,0),"")</f>
        <v/>
      </c>
      <c r="P251" s="85" t="str">
        <f>IFERROR(VLOOKUP(CONCATENATE($B251,"_",P$3),materiali!$C:$K,6,0),"")</f>
        <v/>
      </c>
      <c r="Q251" s="86"/>
      <c r="R251" s="84" t="str">
        <f>IFERROR(VLOOKUP(CONCATENATE($B251,"_",R$3),materiali!$C:$K,5,0),"")</f>
        <v/>
      </c>
      <c r="S251" s="85" t="str">
        <f>IFERROR(VLOOKUP(CONCATENATE($B251,"_",S$3),materiali!$C:$K,6,0),"")</f>
        <v/>
      </c>
      <c r="T251" s="86"/>
      <c r="U251" s="31"/>
      <c r="AD251" s="97"/>
    </row>
    <row r="252" spans="1:30" ht="35.1" hidden="1" customHeight="1" x14ac:dyDescent="0.25">
      <c r="A252" s="83"/>
      <c r="B252" s="7"/>
      <c r="C252" s="8"/>
      <c r="D252" s="8"/>
      <c r="E252" s="60"/>
      <c r="F252" s="84" t="str">
        <f>IFERROR(VLOOKUP(CONCATENATE($B252,"_",F$3),materiali!$C:$K,5,0),"")</f>
        <v/>
      </c>
      <c r="G252" s="85" t="str">
        <f>IFERROR(VLOOKUP(CONCATENATE($B252,"_",G$3),materiali!$C:$K,6,0),"")</f>
        <v/>
      </c>
      <c r="H252" s="86"/>
      <c r="I252" s="84" t="str">
        <f>IFERROR(VLOOKUP(CONCATENATE($B252,"_",I$3),materiali!$C:$K,5,0),"")</f>
        <v/>
      </c>
      <c r="J252" s="85" t="str">
        <f>IFERROR(VLOOKUP(CONCATENATE($B252,"_",J$3),materiali!$C:$K,6,0),"")</f>
        <v/>
      </c>
      <c r="K252" s="86"/>
      <c r="L252" s="84" t="str">
        <f>IFERROR(VLOOKUP(CONCATENATE($B252,"_",L$3),materiali!$C:$K,5,0),"")</f>
        <v/>
      </c>
      <c r="M252" s="85" t="str">
        <f>IFERROR(VLOOKUP(CONCATENATE($B252,"_",M$3),materiali!$C:$K,6,0),"")</f>
        <v/>
      </c>
      <c r="N252" s="86"/>
      <c r="O252" s="84" t="str">
        <f>IFERROR(VLOOKUP(CONCATENATE($B252,"_",O$3),materiali!$C:$K,5,0),"")</f>
        <v/>
      </c>
      <c r="P252" s="85" t="str">
        <f>IFERROR(VLOOKUP(CONCATENATE($B252,"_",P$3),materiali!$C:$K,6,0),"")</f>
        <v/>
      </c>
      <c r="Q252" s="86"/>
      <c r="R252" s="84" t="str">
        <f>IFERROR(VLOOKUP(CONCATENATE($B252,"_",R$3),materiali!$C:$K,5,0),"")</f>
        <v/>
      </c>
      <c r="S252" s="85" t="str">
        <f>IFERROR(VLOOKUP(CONCATENATE($B252,"_",S$3),materiali!$C:$K,6,0),"")</f>
        <v/>
      </c>
      <c r="T252" s="86"/>
      <c r="U252" s="31"/>
      <c r="AD252" s="97"/>
    </row>
    <row r="253" spans="1:30" ht="35.1" hidden="1" customHeight="1" x14ac:dyDescent="0.25">
      <c r="A253" s="83"/>
      <c r="B253" s="7"/>
      <c r="C253" s="8"/>
      <c r="D253" s="8"/>
      <c r="E253" s="60"/>
      <c r="F253" s="84" t="str">
        <f>IFERROR(VLOOKUP(CONCATENATE($B253,"_",F$3),materiali!$C:$K,5,0),"")</f>
        <v/>
      </c>
      <c r="G253" s="85" t="str">
        <f>IFERROR(VLOOKUP(CONCATENATE($B253,"_",G$3),materiali!$C:$K,6,0),"")</f>
        <v/>
      </c>
      <c r="H253" s="86"/>
      <c r="I253" s="84" t="str">
        <f>IFERROR(VLOOKUP(CONCATENATE($B253,"_",I$3),materiali!$C:$K,5,0),"")</f>
        <v/>
      </c>
      <c r="J253" s="85" t="str">
        <f>IFERROR(VLOOKUP(CONCATENATE($B253,"_",J$3),materiali!$C:$K,6,0),"")</f>
        <v/>
      </c>
      <c r="K253" s="86"/>
      <c r="L253" s="84" t="str">
        <f>IFERROR(VLOOKUP(CONCATENATE($B253,"_",L$3),materiali!$C:$K,5,0),"")</f>
        <v/>
      </c>
      <c r="M253" s="85" t="str">
        <f>IFERROR(VLOOKUP(CONCATENATE($B253,"_",M$3),materiali!$C:$K,6,0),"")</f>
        <v/>
      </c>
      <c r="N253" s="86"/>
      <c r="O253" s="84" t="str">
        <f>IFERROR(VLOOKUP(CONCATENATE($B253,"_",O$3),materiali!$C:$K,5,0),"")</f>
        <v/>
      </c>
      <c r="P253" s="85" t="str">
        <f>IFERROR(VLOOKUP(CONCATENATE($B253,"_",P$3),materiali!$C:$K,6,0),"")</f>
        <v/>
      </c>
      <c r="Q253" s="86"/>
      <c r="R253" s="84" t="str">
        <f>IFERROR(VLOOKUP(CONCATENATE($B253,"_",R$3),materiali!$C:$K,5,0),"")</f>
        <v/>
      </c>
      <c r="S253" s="85" t="str">
        <f>IFERROR(VLOOKUP(CONCATENATE($B253,"_",S$3),materiali!$C:$K,6,0),"")</f>
        <v/>
      </c>
      <c r="T253" s="86"/>
      <c r="U253" s="31"/>
      <c r="AD253" s="97"/>
    </row>
    <row r="254" spans="1:30" ht="35.1" hidden="1" customHeight="1" x14ac:dyDescent="0.25">
      <c r="A254" s="83"/>
      <c r="B254" s="7"/>
      <c r="C254" s="8"/>
      <c r="D254" s="8"/>
      <c r="E254" s="60"/>
      <c r="F254" s="84" t="str">
        <f>IFERROR(VLOOKUP(CONCATENATE($B254,"_",F$3),materiali!$C:$K,5,0),"")</f>
        <v/>
      </c>
      <c r="G254" s="85" t="str">
        <f>IFERROR(VLOOKUP(CONCATENATE($B254,"_",G$3),materiali!$C:$K,6,0),"")</f>
        <v/>
      </c>
      <c r="H254" s="86"/>
      <c r="I254" s="84" t="str">
        <f>IFERROR(VLOOKUP(CONCATENATE($B254,"_",I$3),materiali!$C:$K,5,0),"")</f>
        <v/>
      </c>
      <c r="J254" s="85" t="str">
        <f>IFERROR(VLOOKUP(CONCATENATE($B254,"_",J$3),materiali!$C:$K,6,0),"")</f>
        <v/>
      </c>
      <c r="K254" s="86"/>
      <c r="L254" s="84" t="str">
        <f>IFERROR(VLOOKUP(CONCATENATE($B254,"_",L$3),materiali!$C:$K,5,0),"")</f>
        <v/>
      </c>
      <c r="M254" s="85" t="str">
        <f>IFERROR(VLOOKUP(CONCATENATE($B254,"_",M$3),materiali!$C:$K,6,0),"")</f>
        <v/>
      </c>
      <c r="N254" s="86"/>
      <c r="O254" s="84" t="str">
        <f>IFERROR(VLOOKUP(CONCATENATE($B254,"_",O$3),materiali!$C:$K,5,0),"")</f>
        <v/>
      </c>
      <c r="P254" s="85" t="str">
        <f>IFERROR(VLOOKUP(CONCATENATE($B254,"_",P$3),materiali!$C:$K,6,0),"")</f>
        <v/>
      </c>
      <c r="Q254" s="86"/>
      <c r="R254" s="84" t="str">
        <f>IFERROR(VLOOKUP(CONCATENATE($B254,"_",R$3),materiali!$C:$K,5,0),"")</f>
        <v/>
      </c>
      <c r="S254" s="85" t="str">
        <f>IFERROR(VLOOKUP(CONCATENATE($B254,"_",S$3),materiali!$C:$K,6,0),"")</f>
        <v/>
      </c>
      <c r="T254" s="86"/>
      <c r="U254" s="31"/>
      <c r="AD254" s="97"/>
    </row>
    <row r="255" spans="1:30" ht="35.1" hidden="1" customHeight="1" x14ac:dyDescent="0.25">
      <c r="A255" s="83"/>
      <c r="B255" s="7"/>
      <c r="C255" s="8"/>
      <c r="D255" s="8"/>
      <c r="E255" s="60"/>
      <c r="F255" s="84" t="str">
        <f>IFERROR(VLOOKUP(CONCATENATE($B255,"_",F$3),materiali!$C:$K,5,0),"")</f>
        <v/>
      </c>
      <c r="G255" s="85" t="str">
        <f>IFERROR(VLOOKUP(CONCATENATE($B255,"_",G$3),materiali!$C:$K,6,0),"")</f>
        <v/>
      </c>
      <c r="H255" s="86"/>
      <c r="I255" s="84" t="str">
        <f>IFERROR(VLOOKUP(CONCATENATE($B255,"_",I$3),materiali!$C:$K,5,0),"")</f>
        <v/>
      </c>
      <c r="J255" s="85" t="str">
        <f>IFERROR(VLOOKUP(CONCATENATE($B255,"_",J$3),materiali!$C:$K,6,0),"")</f>
        <v/>
      </c>
      <c r="K255" s="86"/>
      <c r="L255" s="84" t="str">
        <f>IFERROR(VLOOKUP(CONCATENATE($B255,"_",L$3),materiali!$C:$K,5,0),"")</f>
        <v/>
      </c>
      <c r="M255" s="85" t="str">
        <f>IFERROR(VLOOKUP(CONCATENATE($B255,"_",M$3),materiali!$C:$K,6,0),"")</f>
        <v/>
      </c>
      <c r="N255" s="86"/>
      <c r="O255" s="84" t="str">
        <f>IFERROR(VLOOKUP(CONCATENATE($B255,"_",O$3),materiali!$C:$K,5,0),"")</f>
        <v/>
      </c>
      <c r="P255" s="85" t="str">
        <f>IFERROR(VLOOKUP(CONCATENATE($B255,"_",P$3),materiali!$C:$K,6,0),"")</f>
        <v/>
      </c>
      <c r="Q255" s="86"/>
      <c r="R255" s="84" t="str">
        <f>IFERROR(VLOOKUP(CONCATENATE($B255,"_",R$3),materiali!$C:$K,5,0),"")</f>
        <v/>
      </c>
      <c r="S255" s="85" t="str">
        <f>IFERROR(VLOOKUP(CONCATENATE($B255,"_",S$3),materiali!$C:$K,6,0),"")</f>
        <v/>
      </c>
      <c r="T255" s="86"/>
      <c r="U255" s="31"/>
      <c r="AD255" s="97"/>
    </row>
    <row r="256" spans="1:30" ht="35.1" hidden="1" customHeight="1" x14ac:dyDescent="0.25">
      <c r="A256" s="83"/>
      <c r="B256" s="7"/>
      <c r="C256" s="8"/>
      <c r="D256" s="8"/>
      <c r="E256" s="60"/>
      <c r="F256" s="84" t="str">
        <f>IFERROR(VLOOKUP(CONCATENATE($B256,"_",F$3),materiali!$C:$K,5,0),"")</f>
        <v/>
      </c>
      <c r="G256" s="85" t="str">
        <f>IFERROR(VLOOKUP(CONCATENATE($B256,"_",G$3),materiali!$C:$K,6,0),"")</f>
        <v/>
      </c>
      <c r="H256" s="86"/>
      <c r="I256" s="84" t="str">
        <f>IFERROR(VLOOKUP(CONCATENATE($B256,"_",I$3),materiali!$C:$K,5,0),"")</f>
        <v/>
      </c>
      <c r="J256" s="85" t="str">
        <f>IFERROR(VLOOKUP(CONCATENATE($B256,"_",J$3),materiali!$C:$K,6,0),"")</f>
        <v/>
      </c>
      <c r="K256" s="86"/>
      <c r="L256" s="84" t="str">
        <f>IFERROR(VLOOKUP(CONCATENATE($B256,"_",L$3),materiali!$C:$K,5,0),"")</f>
        <v/>
      </c>
      <c r="M256" s="85" t="str">
        <f>IFERROR(VLOOKUP(CONCATENATE($B256,"_",M$3),materiali!$C:$K,6,0),"")</f>
        <v/>
      </c>
      <c r="N256" s="86"/>
      <c r="O256" s="84" t="str">
        <f>IFERROR(VLOOKUP(CONCATENATE($B256,"_",O$3),materiali!$C:$K,5,0),"")</f>
        <v/>
      </c>
      <c r="P256" s="85" t="str">
        <f>IFERROR(VLOOKUP(CONCATENATE($B256,"_",P$3),materiali!$C:$K,6,0),"")</f>
        <v/>
      </c>
      <c r="Q256" s="86"/>
      <c r="R256" s="84" t="str">
        <f>IFERROR(VLOOKUP(CONCATENATE($B256,"_",R$3),materiali!$C:$K,5,0),"")</f>
        <v/>
      </c>
      <c r="S256" s="85" t="str">
        <f>IFERROR(VLOOKUP(CONCATENATE($B256,"_",S$3),materiali!$C:$K,6,0),"")</f>
        <v/>
      </c>
      <c r="T256" s="86"/>
      <c r="U256" s="31"/>
      <c r="AD256" s="97"/>
    </row>
    <row r="257" spans="1:30" ht="35.1" hidden="1" customHeight="1" x14ac:dyDescent="0.25">
      <c r="A257" s="83"/>
      <c r="B257" s="7"/>
      <c r="C257" s="8"/>
      <c r="D257" s="8"/>
      <c r="E257" s="60"/>
      <c r="F257" s="84" t="str">
        <f>IFERROR(VLOOKUP(CONCATENATE($B257,"_",F$3),materiali!$C:$K,5,0),"")</f>
        <v/>
      </c>
      <c r="G257" s="85" t="str">
        <f>IFERROR(VLOOKUP(CONCATENATE($B257,"_",G$3),materiali!$C:$K,6,0),"")</f>
        <v/>
      </c>
      <c r="H257" s="86"/>
      <c r="I257" s="84" t="str">
        <f>IFERROR(VLOOKUP(CONCATENATE($B257,"_",I$3),materiali!$C:$K,5,0),"")</f>
        <v/>
      </c>
      <c r="J257" s="85" t="str">
        <f>IFERROR(VLOOKUP(CONCATENATE($B257,"_",J$3),materiali!$C:$K,6,0),"")</f>
        <v/>
      </c>
      <c r="K257" s="86"/>
      <c r="L257" s="84" t="str">
        <f>IFERROR(VLOOKUP(CONCATENATE($B257,"_",L$3),materiali!$C:$K,5,0),"")</f>
        <v/>
      </c>
      <c r="M257" s="85" t="str">
        <f>IFERROR(VLOOKUP(CONCATENATE($B257,"_",M$3),materiali!$C:$K,6,0),"")</f>
        <v/>
      </c>
      <c r="N257" s="86"/>
      <c r="O257" s="84" t="str">
        <f>IFERROR(VLOOKUP(CONCATENATE($B257,"_",O$3),materiali!$C:$K,5,0),"")</f>
        <v/>
      </c>
      <c r="P257" s="85" t="str">
        <f>IFERROR(VLOOKUP(CONCATENATE($B257,"_",P$3),materiali!$C:$K,6,0),"")</f>
        <v/>
      </c>
      <c r="Q257" s="86"/>
      <c r="R257" s="84" t="str">
        <f>IFERROR(VLOOKUP(CONCATENATE($B257,"_",R$3),materiali!$C:$K,5,0),"")</f>
        <v/>
      </c>
      <c r="S257" s="85" t="str">
        <f>IFERROR(VLOOKUP(CONCATENATE($B257,"_",S$3),materiali!$C:$K,6,0),"")</f>
        <v/>
      </c>
      <c r="T257" s="86"/>
      <c r="U257" s="31"/>
      <c r="AD257" s="97"/>
    </row>
    <row r="258" spans="1:30" ht="35.1" hidden="1" customHeight="1" x14ac:dyDescent="0.25">
      <c r="A258" s="83"/>
      <c r="B258" s="7"/>
      <c r="C258" s="8"/>
      <c r="D258" s="8"/>
      <c r="E258" s="60"/>
      <c r="F258" s="84" t="str">
        <f>IFERROR(VLOOKUP(CONCATENATE($B258,"_",F$3),materiali!$C:$K,5,0),"")</f>
        <v/>
      </c>
      <c r="G258" s="85" t="str">
        <f>IFERROR(VLOOKUP(CONCATENATE($B258,"_",G$3),materiali!$C:$K,6,0),"")</f>
        <v/>
      </c>
      <c r="H258" s="86"/>
      <c r="I258" s="84" t="str">
        <f>IFERROR(VLOOKUP(CONCATENATE($B258,"_",I$3),materiali!$C:$K,5,0),"")</f>
        <v/>
      </c>
      <c r="J258" s="85" t="str">
        <f>IFERROR(VLOOKUP(CONCATENATE($B258,"_",J$3),materiali!$C:$K,6,0),"")</f>
        <v/>
      </c>
      <c r="K258" s="86"/>
      <c r="L258" s="84" t="str">
        <f>IFERROR(VLOOKUP(CONCATENATE($B258,"_",L$3),materiali!$C:$K,5,0),"")</f>
        <v/>
      </c>
      <c r="M258" s="85" t="str">
        <f>IFERROR(VLOOKUP(CONCATENATE($B258,"_",M$3),materiali!$C:$K,6,0),"")</f>
        <v/>
      </c>
      <c r="N258" s="86"/>
      <c r="O258" s="84" t="str">
        <f>IFERROR(VLOOKUP(CONCATENATE($B258,"_",O$3),materiali!$C:$K,5,0),"")</f>
        <v/>
      </c>
      <c r="P258" s="85" t="str">
        <f>IFERROR(VLOOKUP(CONCATENATE($B258,"_",P$3),materiali!$C:$K,6,0),"")</f>
        <v/>
      </c>
      <c r="Q258" s="86"/>
      <c r="R258" s="84" t="str">
        <f>IFERROR(VLOOKUP(CONCATENATE($B258,"_",R$3),materiali!$C:$K,5,0),"")</f>
        <v/>
      </c>
      <c r="S258" s="85" t="str">
        <f>IFERROR(VLOOKUP(CONCATENATE($B258,"_",S$3),materiali!$C:$K,6,0),"")</f>
        <v/>
      </c>
      <c r="T258" s="86"/>
      <c r="U258" s="31"/>
      <c r="AD258" s="97"/>
    </row>
    <row r="259" spans="1:30" ht="35.1" hidden="1" customHeight="1" x14ac:dyDescent="0.25">
      <c r="A259" s="83"/>
      <c r="B259" s="7"/>
      <c r="C259" s="8"/>
      <c r="D259" s="8"/>
      <c r="E259" s="60"/>
      <c r="F259" s="84" t="str">
        <f>IFERROR(VLOOKUP(CONCATENATE($B259,"_",F$3),materiali!$C:$K,5,0),"")</f>
        <v/>
      </c>
      <c r="G259" s="85" t="str">
        <f>IFERROR(VLOOKUP(CONCATENATE($B259,"_",G$3),materiali!$C:$K,6,0),"")</f>
        <v/>
      </c>
      <c r="H259" s="86"/>
      <c r="I259" s="84" t="str">
        <f>IFERROR(VLOOKUP(CONCATENATE($B259,"_",I$3),materiali!$C:$K,5,0),"")</f>
        <v/>
      </c>
      <c r="J259" s="85" t="str">
        <f>IFERROR(VLOOKUP(CONCATENATE($B259,"_",J$3),materiali!$C:$K,6,0),"")</f>
        <v/>
      </c>
      <c r="K259" s="86"/>
      <c r="L259" s="84" t="str">
        <f>IFERROR(VLOOKUP(CONCATENATE($B259,"_",L$3),materiali!$C:$K,5,0),"")</f>
        <v/>
      </c>
      <c r="M259" s="85" t="str">
        <f>IFERROR(VLOOKUP(CONCATENATE($B259,"_",M$3),materiali!$C:$K,6,0),"")</f>
        <v/>
      </c>
      <c r="N259" s="86"/>
      <c r="O259" s="84" t="str">
        <f>IFERROR(VLOOKUP(CONCATENATE($B259,"_",O$3),materiali!$C:$K,5,0),"")</f>
        <v/>
      </c>
      <c r="P259" s="85" t="str">
        <f>IFERROR(VLOOKUP(CONCATENATE($B259,"_",P$3),materiali!$C:$K,6,0),"")</f>
        <v/>
      </c>
      <c r="Q259" s="86"/>
      <c r="R259" s="84" t="str">
        <f>IFERROR(VLOOKUP(CONCATENATE($B259,"_",R$3),materiali!$C:$K,5,0),"")</f>
        <v/>
      </c>
      <c r="S259" s="85" t="str">
        <f>IFERROR(VLOOKUP(CONCATENATE($B259,"_",S$3),materiali!$C:$K,6,0),"")</f>
        <v/>
      </c>
      <c r="T259" s="86"/>
      <c r="U259" s="31"/>
      <c r="AD259" s="97"/>
    </row>
    <row r="260" spans="1:30" ht="35.1" hidden="1" customHeight="1" x14ac:dyDescent="0.25">
      <c r="A260" s="83"/>
      <c r="B260" s="7"/>
      <c r="C260" s="8"/>
      <c r="D260" s="8"/>
      <c r="E260" s="60"/>
      <c r="F260" s="84" t="str">
        <f>IFERROR(VLOOKUP(CONCATENATE($B260,"_",F$3),materiali!$C:$K,5,0),"")</f>
        <v/>
      </c>
      <c r="G260" s="85" t="str">
        <f>IFERROR(VLOOKUP(CONCATENATE($B260,"_",G$3),materiali!$C:$K,6,0),"")</f>
        <v/>
      </c>
      <c r="H260" s="86"/>
      <c r="I260" s="84" t="str">
        <f>IFERROR(VLOOKUP(CONCATENATE($B260,"_",I$3),materiali!$C:$K,5,0),"")</f>
        <v/>
      </c>
      <c r="J260" s="85" t="str">
        <f>IFERROR(VLOOKUP(CONCATENATE($B260,"_",J$3),materiali!$C:$K,6,0),"")</f>
        <v/>
      </c>
      <c r="K260" s="86"/>
      <c r="L260" s="84" t="str">
        <f>IFERROR(VLOOKUP(CONCATENATE($B260,"_",L$3),materiali!$C:$K,5,0),"")</f>
        <v/>
      </c>
      <c r="M260" s="85" t="str">
        <f>IFERROR(VLOOKUP(CONCATENATE($B260,"_",M$3),materiali!$C:$K,6,0),"")</f>
        <v/>
      </c>
      <c r="N260" s="86"/>
      <c r="O260" s="84" t="str">
        <f>IFERROR(VLOOKUP(CONCATENATE($B260,"_",O$3),materiali!$C:$K,5,0),"")</f>
        <v/>
      </c>
      <c r="P260" s="85" t="str">
        <f>IFERROR(VLOOKUP(CONCATENATE($B260,"_",P$3),materiali!$C:$K,6,0),"")</f>
        <v/>
      </c>
      <c r="Q260" s="86"/>
      <c r="R260" s="84" t="str">
        <f>IFERROR(VLOOKUP(CONCATENATE($B260,"_",R$3),materiali!$C:$K,5,0),"")</f>
        <v/>
      </c>
      <c r="S260" s="85" t="str">
        <f>IFERROR(VLOOKUP(CONCATENATE($B260,"_",S$3),materiali!$C:$K,6,0),"")</f>
        <v/>
      </c>
      <c r="T260" s="86"/>
      <c r="U260" s="31"/>
      <c r="AD260" s="97"/>
    </row>
    <row r="261" spans="1:30" ht="35.1" hidden="1" customHeight="1" x14ac:dyDescent="0.25">
      <c r="A261" s="83"/>
      <c r="B261" s="7"/>
      <c r="C261" s="8"/>
      <c r="D261" s="8"/>
      <c r="E261" s="60"/>
      <c r="F261" s="84" t="str">
        <f>IFERROR(VLOOKUP(CONCATENATE($B261,"_",F$3),materiali!$C:$K,5,0),"")</f>
        <v/>
      </c>
      <c r="G261" s="85" t="str">
        <f>IFERROR(VLOOKUP(CONCATENATE($B261,"_",G$3),materiali!$C:$K,6,0),"")</f>
        <v/>
      </c>
      <c r="H261" s="86"/>
      <c r="I261" s="84" t="str">
        <f>IFERROR(VLOOKUP(CONCATENATE($B261,"_",I$3),materiali!$C:$K,5,0),"")</f>
        <v/>
      </c>
      <c r="J261" s="85" t="str">
        <f>IFERROR(VLOOKUP(CONCATENATE($B261,"_",J$3),materiali!$C:$K,6,0),"")</f>
        <v/>
      </c>
      <c r="K261" s="86"/>
      <c r="L261" s="84" t="str">
        <f>IFERROR(VLOOKUP(CONCATENATE($B261,"_",L$3),materiali!$C:$K,5,0),"")</f>
        <v/>
      </c>
      <c r="M261" s="85" t="str">
        <f>IFERROR(VLOOKUP(CONCATENATE($B261,"_",M$3),materiali!$C:$K,6,0),"")</f>
        <v/>
      </c>
      <c r="N261" s="86"/>
      <c r="O261" s="84" t="str">
        <f>IFERROR(VLOOKUP(CONCATENATE($B261,"_",O$3),materiali!$C:$K,5,0),"")</f>
        <v/>
      </c>
      <c r="P261" s="85" t="str">
        <f>IFERROR(VLOOKUP(CONCATENATE($B261,"_",P$3),materiali!$C:$K,6,0),"")</f>
        <v/>
      </c>
      <c r="Q261" s="86"/>
      <c r="R261" s="84" t="str">
        <f>IFERROR(VLOOKUP(CONCATENATE($B261,"_",R$3),materiali!$C:$K,5,0),"")</f>
        <v/>
      </c>
      <c r="S261" s="85" t="str">
        <f>IFERROR(VLOOKUP(CONCATENATE($B261,"_",S$3),materiali!$C:$K,6,0),"")</f>
        <v/>
      </c>
      <c r="T261" s="86"/>
      <c r="U261" s="31"/>
      <c r="AD261" s="97"/>
    </row>
    <row r="262" spans="1:30" ht="35.1" hidden="1" customHeight="1" x14ac:dyDescent="0.25">
      <c r="A262" s="83"/>
      <c r="B262" s="7"/>
      <c r="C262" s="8"/>
      <c r="D262" s="8"/>
      <c r="E262" s="60"/>
      <c r="F262" s="84" t="str">
        <f>IFERROR(VLOOKUP(CONCATENATE($B262,"_",F$3),materiali!$C:$K,5,0),"")</f>
        <v/>
      </c>
      <c r="G262" s="85" t="str">
        <f>IFERROR(VLOOKUP(CONCATENATE($B262,"_",G$3),materiali!$C:$K,6,0),"")</f>
        <v/>
      </c>
      <c r="H262" s="86"/>
      <c r="I262" s="84" t="str">
        <f>IFERROR(VLOOKUP(CONCATENATE($B262,"_",I$3),materiali!$C:$K,5,0),"")</f>
        <v/>
      </c>
      <c r="J262" s="85" t="str">
        <f>IFERROR(VLOOKUP(CONCATENATE($B262,"_",J$3),materiali!$C:$K,6,0),"")</f>
        <v/>
      </c>
      <c r="K262" s="86"/>
      <c r="L262" s="84" t="str">
        <f>IFERROR(VLOOKUP(CONCATENATE($B262,"_",L$3),materiali!$C:$K,5,0),"")</f>
        <v/>
      </c>
      <c r="M262" s="85" t="str">
        <f>IFERROR(VLOOKUP(CONCATENATE($B262,"_",M$3),materiali!$C:$K,6,0),"")</f>
        <v/>
      </c>
      <c r="N262" s="86"/>
      <c r="O262" s="84" t="str">
        <f>IFERROR(VLOOKUP(CONCATENATE($B262,"_",O$3),materiali!$C:$K,5,0),"")</f>
        <v/>
      </c>
      <c r="P262" s="85" t="str">
        <f>IFERROR(VLOOKUP(CONCATENATE($B262,"_",P$3),materiali!$C:$K,6,0),"")</f>
        <v/>
      </c>
      <c r="Q262" s="86"/>
      <c r="R262" s="84" t="str">
        <f>IFERROR(VLOOKUP(CONCATENATE($B262,"_",R$3),materiali!$C:$K,5,0),"")</f>
        <v/>
      </c>
      <c r="S262" s="85" t="str">
        <f>IFERROR(VLOOKUP(CONCATENATE($B262,"_",S$3),materiali!$C:$K,6,0),"")</f>
        <v/>
      </c>
      <c r="T262" s="86"/>
      <c r="U262" s="31"/>
      <c r="AD262" s="97"/>
    </row>
    <row r="263" spans="1:30" ht="35.1" hidden="1" customHeight="1" x14ac:dyDescent="0.25">
      <c r="A263" s="83"/>
      <c r="B263" s="7"/>
      <c r="C263" s="8"/>
      <c r="D263" s="8"/>
      <c r="E263" s="60"/>
      <c r="F263" s="84" t="str">
        <f>IFERROR(VLOOKUP(CONCATENATE($B263,"_",F$3),materiali!$C:$K,5,0),"")</f>
        <v/>
      </c>
      <c r="G263" s="85" t="str">
        <f>IFERROR(VLOOKUP(CONCATENATE($B263,"_",G$3),materiali!$C:$K,6,0),"")</f>
        <v/>
      </c>
      <c r="H263" s="86"/>
      <c r="I263" s="84" t="str">
        <f>IFERROR(VLOOKUP(CONCATENATE($B263,"_",I$3),materiali!$C:$K,5,0),"")</f>
        <v/>
      </c>
      <c r="J263" s="85" t="str">
        <f>IFERROR(VLOOKUP(CONCATENATE($B263,"_",J$3),materiali!$C:$K,6,0),"")</f>
        <v/>
      </c>
      <c r="K263" s="86"/>
      <c r="L263" s="84" t="str">
        <f>IFERROR(VLOOKUP(CONCATENATE($B263,"_",L$3),materiali!$C:$K,5,0),"")</f>
        <v/>
      </c>
      <c r="M263" s="85" t="str">
        <f>IFERROR(VLOOKUP(CONCATENATE($B263,"_",M$3),materiali!$C:$K,6,0),"")</f>
        <v/>
      </c>
      <c r="N263" s="86"/>
      <c r="O263" s="84" t="str">
        <f>IFERROR(VLOOKUP(CONCATENATE($B263,"_",O$3),materiali!$C:$K,5,0),"")</f>
        <v/>
      </c>
      <c r="P263" s="85" t="str">
        <f>IFERROR(VLOOKUP(CONCATENATE($B263,"_",P$3),materiali!$C:$K,6,0),"")</f>
        <v/>
      </c>
      <c r="Q263" s="86"/>
      <c r="R263" s="84" t="str">
        <f>IFERROR(VLOOKUP(CONCATENATE($B263,"_",R$3),materiali!$C:$K,5,0),"")</f>
        <v/>
      </c>
      <c r="S263" s="85" t="str">
        <f>IFERROR(VLOOKUP(CONCATENATE($B263,"_",S$3),materiali!$C:$K,6,0),"")</f>
        <v/>
      </c>
      <c r="T263" s="86"/>
      <c r="U263" s="31"/>
      <c r="AD263" s="97"/>
    </row>
    <row r="264" spans="1:30" ht="35.1" hidden="1" customHeight="1" x14ac:dyDescent="0.25">
      <c r="A264" s="83"/>
      <c r="B264" s="7"/>
      <c r="C264" s="8"/>
      <c r="D264" s="8"/>
      <c r="E264" s="60"/>
      <c r="F264" s="84" t="str">
        <f>IFERROR(VLOOKUP(CONCATENATE($B264,"_",F$3),materiali!$C:$K,5,0),"")</f>
        <v/>
      </c>
      <c r="G264" s="85" t="str">
        <f>IFERROR(VLOOKUP(CONCATENATE($B264,"_",G$3),materiali!$C:$K,6,0),"")</f>
        <v/>
      </c>
      <c r="H264" s="86"/>
      <c r="I264" s="84" t="str">
        <f>IFERROR(VLOOKUP(CONCATENATE($B264,"_",I$3),materiali!$C:$K,5,0),"")</f>
        <v/>
      </c>
      <c r="J264" s="85" t="str">
        <f>IFERROR(VLOOKUP(CONCATENATE($B264,"_",J$3),materiali!$C:$K,6,0),"")</f>
        <v/>
      </c>
      <c r="K264" s="86"/>
      <c r="L264" s="84" t="str">
        <f>IFERROR(VLOOKUP(CONCATENATE($B264,"_",L$3),materiali!$C:$K,5,0),"")</f>
        <v/>
      </c>
      <c r="M264" s="85" t="str">
        <f>IFERROR(VLOOKUP(CONCATENATE($B264,"_",M$3),materiali!$C:$K,6,0),"")</f>
        <v/>
      </c>
      <c r="N264" s="86"/>
      <c r="O264" s="84" t="str">
        <f>IFERROR(VLOOKUP(CONCATENATE($B264,"_",O$3),materiali!$C:$K,5,0),"")</f>
        <v/>
      </c>
      <c r="P264" s="85" t="str">
        <f>IFERROR(VLOOKUP(CONCATENATE($B264,"_",P$3),materiali!$C:$K,6,0),"")</f>
        <v/>
      </c>
      <c r="Q264" s="86"/>
      <c r="R264" s="84" t="str">
        <f>IFERROR(VLOOKUP(CONCATENATE($B264,"_",R$3),materiali!$C:$K,5,0),"")</f>
        <v/>
      </c>
      <c r="S264" s="85" t="str">
        <f>IFERROR(VLOOKUP(CONCATENATE($B264,"_",S$3),materiali!$C:$K,6,0),"")</f>
        <v/>
      </c>
      <c r="T264" s="86"/>
      <c r="U264" s="31"/>
      <c r="AD264" s="97"/>
    </row>
    <row r="265" spans="1:30" ht="35.1" hidden="1" customHeight="1" x14ac:dyDescent="0.25">
      <c r="A265" s="83"/>
      <c r="B265" s="7"/>
      <c r="C265" s="8"/>
      <c r="D265" s="8"/>
      <c r="E265" s="60"/>
      <c r="F265" s="84" t="str">
        <f>IFERROR(VLOOKUP(CONCATENATE($B265,"_",F$3),materiali!$C:$K,5,0),"")</f>
        <v/>
      </c>
      <c r="G265" s="85" t="str">
        <f>IFERROR(VLOOKUP(CONCATENATE($B265,"_",G$3),materiali!$C:$K,6,0),"")</f>
        <v/>
      </c>
      <c r="H265" s="86"/>
      <c r="I265" s="84" t="str">
        <f>IFERROR(VLOOKUP(CONCATENATE($B265,"_",I$3),materiali!$C:$K,5,0),"")</f>
        <v/>
      </c>
      <c r="J265" s="85" t="str">
        <f>IFERROR(VLOOKUP(CONCATENATE($B265,"_",J$3),materiali!$C:$K,6,0),"")</f>
        <v/>
      </c>
      <c r="K265" s="86"/>
      <c r="L265" s="84" t="str">
        <f>IFERROR(VLOOKUP(CONCATENATE($B265,"_",L$3),materiali!$C:$K,5,0),"")</f>
        <v/>
      </c>
      <c r="M265" s="85" t="str">
        <f>IFERROR(VLOOKUP(CONCATENATE($B265,"_",M$3),materiali!$C:$K,6,0),"")</f>
        <v/>
      </c>
      <c r="N265" s="86"/>
      <c r="O265" s="84" t="str">
        <f>IFERROR(VLOOKUP(CONCATENATE($B265,"_",O$3),materiali!$C:$K,5,0),"")</f>
        <v/>
      </c>
      <c r="P265" s="85" t="str">
        <f>IFERROR(VLOOKUP(CONCATENATE($B265,"_",P$3),materiali!$C:$K,6,0),"")</f>
        <v/>
      </c>
      <c r="Q265" s="86"/>
      <c r="R265" s="84" t="str">
        <f>IFERROR(VLOOKUP(CONCATENATE($B265,"_",R$3),materiali!$C:$K,5,0),"")</f>
        <v/>
      </c>
      <c r="S265" s="85" t="str">
        <f>IFERROR(VLOOKUP(CONCATENATE($B265,"_",S$3),materiali!$C:$K,6,0),"")</f>
        <v/>
      </c>
      <c r="T265" s="86"/>
      <c r="U265" s="31"/>
      <c r="AD265" s="97"/>
    </row>
    <row r="266" spans="1:30" ht="35.1" hidden="1" customHeight="1" x14ac:dyDescent="0.25">
      <c r="A266" s="83"/>
      <c r="B266" s="7"/>
      <c r="C266" s="8"/>
      <c r="D266" s="8"/>
      <c r="E266" s="60"/>
      <c r="F266" s="84" t="str">
        <f>IFERROR(VLOOKUP(CONCATENATE($B266,"_",F$3),materiali!$C:$K,5,0),"")</f>
        <v/>
      </c>
      <c r="G266" s="85" t="str">
        <f>IFERROR(VLOOKUP(CONCATENATE($B266,"_",G$3),materiali!$C:$K,6,0),"")</f>
        <v/>
      </c>
      <c r="H266" s="86"/>
      <c r="I266" s="84" t="str">
        <f>IFERROR(VLOOKUP(CONCATENATE($B266,"_",I$3),materiali!$C:$K,5,0),"")</f>
        <v/>
      </c>
      <c r="J266" s="85" t="str">
        <f>IFERROR(VLOOKUP(CONCATENATE($B266,"_",J$3),materiali!$C:$K,6,0),"")</f>
        <v/>
      </c>
      <c r="K266" s="86"/>
      <c r="L266" s="84" t="str">
        <f>IFERROR(VLOOKUP(CONCATENATE($B266,"_",L$3),materiali!$C:$K,5,0),"")</f>
        <v/>
      </c>
      <c r="M266" s="85" t="str">
        <f>IFERROR(VLOOKUP(CONCATENATE($B266,"_",M$3),materiali!$C:$K,6,0),"")</f>
        <v/>
      </c>
      <c r="N266" s="86"/>
      <c r="O266" s="84" t="str">
        <f>IFERROR(VLOOKUP(CONCATENATE($B266,"_",O$3),materiali!$C:$K,5,0),"")</f>
        <v/>
      </c>
      <c r="P266" s="85" t="str">
        <f>IFERROR(VLOOKUP(CONCATENATE($B266,"_",P$3),materiali!$C:$K,6,0),"")</f>
        <v/>
      </c>
      <c r="Q266" s="86"/>
      <c r="R266" s="84" t="str">
        <f>IFERROR(VLOOKUP(CONCATENATE($B266,"_",R$3),materiali!$C:$K,5,0),"")</f>
        <v/>
      </c>
      <c r="S266" s="85" t="str">
        <f>IFERROR(VLOOKUP(CONCATENATE($B266,"_",S$3),materiali!$C:$K,6,0),"")</f>
        <v/>
      </c>
      <c r="T266" s="86"/>
      <c r="U266" s="31"/>
      <c r="AD266" s="97"/>
    </row>
    <row r="267" spans="1:30" ht="35.1" hidden="1" customHeight="1" x14ac:dyDescent="0.25">
      <c r="A267" s="83"/>
      <c r="B267" s="7"/>
      <c r="C267" s="8"/>
      <c r="D267" s="8"/>
      <c r="E267" s="60"/>
      <c r="F267" s="84" t="str">
        <f>IFERROR(VLOOKUP(CONCATENATE($B267,"_",F$3),materiali!$C:$K,5,0),"")</f>
        <v/>
      </c>
      <c r="G267" s="85" t="str">
        <f>IFERROR(VLOOKUP(CONCATENATE($B267,"_",G$3),materiali!$C:$K,6,0),"")</f>
        <v/>
      </c>
      <c r="H267" s="86"/>
      <c r="I267" s="84" t="str">
        <f>IFERROR(VLOOKUP(CONCATENATE($B267,"_",I$3),materiali!$C:$K,5,0),"")</f>
        <v/>
      </c>
      <c r="J267" s="85" t="str">
        <f>IFERROR(VLOOKUP(CONCATENATE($B267,"_",J$3),materiali!$C:$K,6,0),"")</f>
        <v/>
      </c>
      <c r="K267" s="86"/>
      <c r="L267" s="84" t="str">
        <f>IFERROR(VLOOKUP(CONCATENATE($B267,"_",L$3),materiali!$C:$K,5,0),"")</f>
        <v/>
      </c>
      <c r="M267" s="85" t="str">
        <f>IFERROR(VLOOKUP(CONCATENATE($B267,"_",M$3),materiali!$C:$K,6,0),"")</f>
        <v/>
      </c>
      <c r="N267" s="86"/>
      <c r="O267" s="84" t="str">
        <f>IFERROR(VLOOKUP(CONCATENATE($B267,"_",O$3),materiali!$C:$K,5,0),"")</f>
        <v/>
      </c>
      <c r="P267" s="85" t="str">
        <f>IFERROR(VLOOKUP(CONCATENATE($B267,"_",P$3),materiali!$C:$K,6,0),"")</f>
        <v/>
      </c>
      <c r="Q267" s="86"/>
      <c r="R267" s="84" t="str">
        <f>IFERROR(VLOOKUP(CONCATENATE($B267,"_",R$3),materiali!$C:$K,5,0),"")</f>
        <v/>
      </c>
      <c r="S267" s="85" t="str">
        <f>IFERROR(VLOOKUP(CONCATENATE($B267,"_",S$3),materiali!$C:$K,6,0),"")</f>
        <v/>
      </c>
      <c r="T267" s="86"/>
      <c r="U267" s="31"/>
      <c r="AD267" s="97"/>
    </row>
    <row r="268" spans="1:30" ht="35.1" hidden="1" customHeight="1" x14ac:dyDescent="0.25">
      <c r="A268" s="83"/>
      <c r="B268" s="7"/>
      <c r="C268" s="8"/>
      <c r="D268" s="8"/>
      <c r="E268" s="60"/>
      <c r="F268" s="84" t="str">
        <f>IFERROR(VLOOKUP(CONCATENATE($B268,"_",F$3),materiali!$C:$K,5,0),"")</f>
        <v/>
      </c>
      <c r="G268" s="85" t="str">
        <f>IFERROR(VLOOKUP(CONCATENATE($B268,"_",G$3),materiali!$C:$K,6,0),"")</f>
        <v/>
      </c>
      <c r="H268" s="86"/>
      <c r="I268" s="84" t="str">
        <f>IFERROR(VLOOKUP(CONCATENATE($B268,"_",I$3),materiali!$C:$K,5,0),"")</f>
        <v/>
      </c>
      <c r="J268" s="85" t="str">
        <f>IFERROR(VLOOKUP(CONCATENATE($B268,"_",J$3),materiali!$C:$K,6,0),"")</f>
        <v/>
      </c>
      <c r="K268" s="86"/>
      <c r="L268" s="84" t="str">
        <f>IFERROR(VLOOKUP(CONCATENATE($B268,"_",L$3),materiali!$C:$K,5,0),"")</f>
        <v/>
      </c>
      <c r="M268" s="85" t="str">
        <f>IFERROR(VLOOKUP(CONCATENATE($B268,"_",M$3),materiali!$C:$K,6,0),"")</f>
        <v/>
      </c>
      <c r="N268" s="86"/>
      <c r="O268" s="84" t="str">
        <f>IFERROR(VLOOKUP(CONCATENATE($B268,"_",O$3),materiali!$C:$K,5,0),"")</f>
        <v/>
      </c>
      <c r="P268" s="85" t="str">
        <f>IFERROR(VLOOKUP(CONCATENATE($B268,"_",P$3),materiali!$C:$K,6,0),"")</f>
        <v/>
      </c>
      <c r="Q268" s="86"/>
      <c r="R268" s="84" t="str">
        <f>IFERROR(VLOOKUP(CONCATENATE($B268,"_",R$3),materiali!$C:$K,5,0),"")</f>
        <v/>
      </c>
      <c r="S268" s="85" t="str">
        <f>IFERROR(VLOOKUP(CONCATENATE($B268,"_",S$3),materiali!$C:$K,6,0),"")</f>
        <v/>
      </c>
      <c r="T268" s="86"/>
      <c r="U268" s="31"/>
      <c r="AD268" s="97"/>
    </row>
    <row r="269" spans="1:30" ht="35.1" hidden="1" customHeight="1" x14ac:dyDescent="0.25">
      <c r="A269" s="83"/>
      <c r="B269" s="7"/>
      <c r="C269" s="8"/>
      <c r="D269" s="8"/>
      <c r="E269" s="60"/>
      <c r="F269" s="84" t="str">
        <f>IFERROR(VLOOKUP(CONCATENATE($B269,"_",F$3),materiali!$C:$K,5,0),"")</f>
        <v/>
      </c>
      <c r="G269" s="85" t="str">
        <f>IFERROR(VLOOKUP(CONCATENATE($B269,"_",G$3),materiali!$C:$K,6,0),"")</f>
        <v/>
      </c>
      <c r="H269" s="86"/>
      <c r="I269" s="84" t="str">
        <f>IFERROR(VLOOKUP(CONCATENATE($B269,"_",I$3),materiali!$C:$K,5,0),"")</f>
        <v/>
      </c>
      <c r="J269" s="85" t="str">
        <f>IFERROR(VLOOKUP(CONCATENATE($B269,"_",J$3),materiali!$C:$K,6,0),"")</f>
        <v/>
      </c>
      <c r="K269" s="86"/>
      <c r="L269" s="84" t="str">
        <f>IFERROR(VLOOKUP(CONCATENATE($B269,"_",L$3),materiali!$C:$K,5,0),"")</f>
        <v/>
      </c>
      <c r="M269" s="85" t="str">
        <f>IFERROR(VLOOKUP(CONCATENATE($B269,"_",M$3),materiali!$C:$K,6,0),"")</f>
        <v/>
      </c>
      <c r="N269" s="86"/>
      <c r="O269" s="84" t="str">
        <f>IFERROR(VLOOKUP(CONCATENATE($B269,"_",O$3),materiali!$C:$K,5,0),"")</f>
        <v/>
      </c>
      <c r="P269" s="85" t="str">
        <f>IFERROR(VLOOKUP(CONCATENATE($B269,"_",P$3),materiali!$C:$K,6,0),"")</f>
        <v/>
      </c>
      <c r="Q269" s="86"/>
      <c r="R269" s="84" t="str">
        <f>IFERROR(VLOOKUP(CONCATENATE($B269,"_",R$3),materiali!$C:$K,5,0),"")</f>
        <v/>
      </c>
      <c r="S269" s="85" t="str">
        <f>IFERROR(VLOOKUP(CONCATENATE($B269,"_",S$3),materiali!$C:$K,6,0),"")</f>
        <v/>
      </c>
      <c r="T269" s="86"/>
      <c r="U269" s="31"/>
      <c r="AD269" s="97"/>
    </row>
    <row r="270" spans="1:30" ht="35.1" hidden="1" customHeight="1" x14ac:dyDescent="0.25">
      <c r="A270" s="83"/>
      <c r="B270" s="7"/>
      <c r="C270" s="8"/>
      <c r="D270" s="8"/>
      <c r="E270" s="60"/>
      <c r="F270" s="84" t="str">
        <f>IFERROR(VLOOKUP(CONCATENATE($B270,"_",F$3),materiali!$C:$K,5,0),"")</f>
        <v/>
      </c>
      <c r="G270" s="85" t="str">
        <f>IFERROR(VLOOKUP(CONCATENATE($B270,"_",G$3),materiali!$C:$K,6,0),"")</f>
        <v/>
      </c>
      <c r="H270" s="86"/>
      <c r="I270" s="84" t="str">
        <f>IFERROR(VLOOKUP(CONCATENATE($B270,"_",I$3),materiali!$C:$K,5,0),"")</f>
        <v/>
      </c>
      <c r="J270" s="85" t="str">
        <f>IFERROR(VLOOKUP(CONCATENATE($B270,"_",J$3),materiali!$C:$K,6,0),"")</f>
        <v/>
      </c>
      <c r="K270" s="86"/>
      <c r="L270" s="84" t="str">
        <f>IFERROR(VLOOKUP(CONCATENATE($B270,"_",L$3),materiali!$C:$K,5,0),"")</f>
        <v/>
      </c>
      <c r="M270" s="85" t="str">
        <f>IFERROR(VLOOKUP(CONCATENATE($B270,"_",M$3),materiali!$C:$K,6,0),"")</f>
        <v/>
      </c>
      <c r="N270" s="86"/>
      <c r="O270" s="84" t="str">
        <f>IFERROR(VLOOKUP(CONCATENATE($B270,"_",O$3),materiali!$C:$K,5,0),"")</f>
        <v/>
      </c>
      <c r="P270" s="85" t="str">
        <f>IFERROR(VLOOKUP(CONCATENATE($B270,"_",P$3),materiali!$C:$K,6,0),"")</f>
        <v/>
      </c>
      <c r="Q270" s="86"/>
      <c r="R270" s="84" t="str">
        <f>IFERROR(VLOOKUP(CONCATENATE($B270,"_",R$3),materiali!$C:$K,5,0),"")</f>
        <v/>
      </c>
      <c r="S270" s="85" t="str">
        <f>IFERROR(VLOOKUP(CONCATENATE($B270,"_",S$3),materiali!$C:$K,6,0),"")</f>
        <v/>
      </c>
      <c r="T270" s="86"/>
      <c r="U270" s="31"/>
      <c r="AD270" s="97"/>
    </row>
    <row r="271" spans="1:30" ht="35.1" hidden="1" customHeight="1" x14ac:dyDescent="0.25">
      <c r="A271" s="83"/>
      <c r="B271" s="7"/>
      <c r="C271" s="8"/>
      <c r="D271" s="8"/>
      <c r="E271" s="60"/>
      <c r="F271" s="84" t="str">
        <f>IFERROR(VLOOKUP(CONCATENATE($B271,"_",F$3),materiali!$C:$K,5,0),"")</f>
        <v/>
      </c>
      <c r="G271" s="85" t="str">
        <f>IFERROR(VLOOKUP(CONCATENATE($B271,"_",G$3),materiali!$C:$K,6,0),"")</f>
        <v/>
      </c>
      <c r="H271" s="86"/>
      <c r="I271" s="84" t="str">
        <f>IFERROR(VLOOKUP(CONCATENATE($B271,"_",I$3),materiali!$C:$K,5,0),"")</f>
        <v/>
      </c>
      <c r="J271" s="85" t="str">
        <f>IFERROR(VLOOKUP(CONCATENATE($B271,"_",J$3),materiali!$C:$K,6,0),"")</f>
        <v/>
      </c>
      <c r="K271" s="86"/>
      <c r="L271" s="84" t="str">
        <f>IFERROR(VLOOKUP(CONCATENATE($B271,"_",L$3),materiali!$C:$K,5,0),"")</f>
        <v/>
      </c>
      <c r="M271" s="85" t="str">
        <f>IFERROR(VLOOKUP(CONCATENATE($B271,"_",M$3),materiali!$C:$K,6,0),"")</f>
        <v/>
      </c>
      <c r="N271" s="86"/>
      <c r="O271" s="84" t="str">
        <f>IFERROR(VLOOKUP(CONCATENATE($B271,"_",O$3),materiali!$C:$K,5,0),"")</f>
        <v/>
      </c>
      <c r="P271" s="85" t="str">
        <f>IFERROR(VLOOKUP(CONCATENATE($B271,"_",P$3),materiali!$C:$K,6,0),"")</f>
        <v/>
      </c>
      <c r="Q271" s="86"/>
      <c r="R271" s="84" t="str">
        <f>IFERROR(VLOOKUP(CONCATENATE($B271,"_",R$3),materiali!$C:$K,5,0),"")</f>
        <v/>
      </c>
      <c r="S271" s="85" t="str">
        <f>IFERROR(VLOOKUP(CONCATENATE($B271,"_",S$3),materiali!$C:$K,6,0),"")</f>
        <v/>
      </c>
      <c r="T271" s="86"/>
      <c r="U271" s="31"/>
      <c r="AD271" s="97"/>
    </row>
    <row r="272" spans="1:30" ht="35.1" hidden="1" customHeight="1" x14ac:dyDescent="0.25">
      <c r="A272" s="83"/>
      <c r="B272" s="7"/>
      <c r="C272" s="8"/>
      <c r="D272" s="8"/>
      <c r="E272" s="60"/>
      <c r="F272" s="84" t="str">
        <f>IFERROR(VLOOKUP(CONCATENATE($B272,"_",F$3),materiali!$C:$K,5,0),"")</f>
        <v/>
      </c>
      <c r="G272" s="85" t="str">
        <f>IFERROR(VLOOKUP(CONCATENATE($B272,"_",G$3),materiali!$C:$K,6,0),"")</f>
        <v/>
      </c>
      <c r="H272" s="86"/>
      <c r="I272" s="84" t="str">
        <f>IFERROR(VLOOKUP(CONCATENATE($B272,"_",I$3),materiali!$C:$K,5,0),"")</f>
        <v/>
      </c>
      <c r="J272" s="85" t="str">
        <f>IFERROR(VLOOKUP(CONCATENATE($B272,"_",J$3),materiali!$C:$K,6,0),"")</f>
        <v/>
      </c>
      <c r="K272" s="86"/>
      <c r="L272" s="84" t="str">
        <f>IFERROR(VLOOKUP(CONCATENATE($B272,"_",L$3),materiali!$C:$K,5,0),"")</f>
        <v/>
      </c>
      <c r="M272" s="85" t="str">
        <f>IFERROR(VLOOKUP(CONCATENATE($B272,"_",M$3),materiali!$C:$K,6,0),"")</f>
        <v/>
      </c>
      <c r="N272" s="86"/>
      <c r="O272" s="84" t="str">
        <f>IFERROR(VLOOKUP(CONCATENATE($B272,"_",O$3),materiali!$C:$K,5,0),"")</f>
        <v/>
      </c>
      <c r="P272" s="85" t="str">
        <f>IFERROR(VLOOKUP(CONCATENATE($B272,"_",P$3),materiali!$C:$K,6,0),"")</f>
        <v/>
      </c>
      <c r="Q272" s="86"/>
      <c r="R272" s="84" t="str">
        <f>IFERROR(VLOOKUP(CONCATENATE($B272,"_",R$3),materiali!$C:$K,5,0),"")</f>
        <v/>
      </c>
      <c r="S272" s="85" t="str">
        <f>IFERROR(VLOOKUP(CONCATENATE($B272,"_",S$3),materiali!$C:$K,6,0),"")</f>
        <v/>
      </c>
      <c r="T272" s="86"/>
      <c r="U272" s="31"/>
      <c r="AD272" s="97"/>
    </row>
    <row r="273" spans="1:30" ht="35.1" hidden="1" customHeight="1" x14ac:dyDescent="0.25">
      <c r="A273" s="83"/>
      <c r="B273" s="7"/>
      <c r="C273" s="8"/>
      <c r="D273" s="8"/>
      <c r="E273" s="60"/>
      <c r="F273" s="84" t="str">
        <f>IFERROR(VLOOKUP(CONCATENATE($B273,"_",F$3),materiali!$C:$K,5,0),"")</f>
        <v/>
      </c>
      <c r="G273" s="85" t="str">
        <f>IFERROR(VLOOKUP(CONCATENATE($B273,"_",G$3),materiali!$C:$K,6,0),"")</f>
        <v/>
      </c>
      <c r="H273" s="86"/>
      <c r="I273" s="84" t="str">
        <f>IFERROR(VLOOKUP(CONCATENATE($B273,"_",I$3),materiali!$C:$K,5,0),"")</f>
        <v/>
      </c>
      <c r="J273" s="85" t="str">
        <f>IFERROR(VLOOKUP(CONCATENATE($B273,"_",J$3),materiali!$C:$K,6,0),"")</f>
        <v/>
      </c>
      <c r="K273" s="86"/>
      <c r="L273" s="84" t="str">
        <f>IFERROR(VLOOKUP(CONCATENATE($B273,"_",L$3),materiali!$C:$K,5,0),"")</f>
        <v/>
      </c>
      <c r="M273" s="85" t="str">
        <f>IFERROR(VLOOKUP(CONCATENATE($B273,"_",M$3),materiali!$C:$K,6,0),"")</f>
        <v/>
      </c>
      <c r="N273" s="86"/>
      <c r="O273" s="84" t="str">
        <f>IFERROR(VLOOKUP(CONCATENATE($B273,"_",O$3),materiali!$C:$K,5,0),"")</f>
        <v/>
      </c>
      <c r="P273" s="85" t="str">
        <f>IFERROR(VLOOKUP(CONCATENATE($B273,"_",P$3),materiali!$C:$K,6,0),"")</f>
        <v/>
      </c>
      <c r="Q273" s="86"/>
      <c r="R273" s="84" t="str">
        <f>IFERROR(VLOOKUP(CONCATENATE($B273,"_",R$3),materiali!$C:$K,5,0),"")</f>
        <v/>
      </c>
      <c r="S273" s="85" t="str">
        <f>IFERROR(VLOOKUP(CONCATENATE($B273,"_",S$3),materiali!$C:$K,6,0),"")</f>
        <v/>
      </c>
      <c r="T273" s="86"/>
      <c r="U273" s="31"/>
      <c r="AD273" s="97"/>
    </row>
    <row r="274" spans="1:30" ht="35.1" hidden="1" customHeight="1" x14ac:dyDescent="0.25">
      <c r="A274" s="83"/>
      <c r="B274" s="7"/>
      <c r="C274" s="8"/>
      <c r="D274" s="8"/>
      <c r="E274" s="60"/>
      <c r="F274" s="84" t="str">
        <f>IFERROR(VLOOKUP(CONCATENATE($B274,"_",F$3),materiali!$C:$K,5,0),"")</f>
        <v/>
      </c>
      <c r="G274" s="85" t="str">
        <f>IFERROR(VLOOKUP(CONCATENATE($B274,"_",G$3),materiali!$C:$K,6,0),"")</f>
        <v/>
      </c>
      <c r="H274" s="86"/>
      <c r="I274" s="84" t="str">
        <f>IFERROR(VLOOKUP(CONCATENATE($B274,"_",I$3),materiali!$C:$K,5,0),"")</f>
        <v/>
      </c>
      <c r="J274" s="85" t="str">
        <f>IFERROR(VLOOKUP(CONCATENATE($B274,"_",J$3),materiali!$C:$K,6,0),"")</f>
        <v/>
      </c>
      <c r="K274" s="86"/>
      <c r="L274" s="84" t="str">
        <f>IFERROR(VLOOKUP(CONCATENATE($B274,"_",L$3),materiali!$C:$K,5,0),"")</f>
        <v/>
      </c>
      <c r="M274" s="85" t="str">
        <f>IFERROR(VLOOKUP(CONCATENATE($B274,"_",M$3),materiali!$C:$K,6,0),"")</f>
        <v/>
      </c>
      <c r="N274" s="86"/>
      <c r="O274" s="84" t="str">
        <f>IFERROR(VLOOKUP(CONCATENATE($B274,"_",O$3),materiali!$C:$K,5,0),"")</f>
        <v/>
      </c>
      <c r="P274" s="85" t="str">
        <f>IFERROR(VLOOKUP(CONCATENATE($B274,"_",P$3),materiali!$C:$K,6,0),"")</f>
        <v/>
      </c>
      <c r="Q274" s="86"/>
      <c r="R274" s="84" t="str">
        <f>IFERROR(VLOOKUP(CONCATENATE($B274,"_",R$3),materiali!$C:$K,5,0),"")</f>
        <v/>
      </c>
      <c r="S274" s="85" t="str">
        <f>IFERROR(VLOOKUP(CONCATENATE($B274,"_",S$3),materiali!$C:$K,6,0),"")</f>
        <v/>
      </c>
      <c r="T274" s="86"/>
      <c r="U274" s="31"/>
      <c r="AD274" s="97"/>
    </row>
    <row r="275" spans="1:30" ht="35.1" hidden="1" customHeight="1" x14ac:dyDescent="0.25">
      <c r="A275" s="83"/>
      <c r="B275" s="7"/>
      <c r="C275" s="8"/>
      <c r="D275" s="8"/>
      <c r="E275" s="60"/>
      <c r="F275" s="84" t="str">
        <f>IFERROR(VLOOKUP(CONCATENATE($B275,"_",F$3),materiali!$C:$K,5,0),"")</f>
        <v/>
      </c>
      <c r="G275" s="85" t="str">
        <f>IFERROR(VLOOKUP(CONCATENATE($B275,"_",G$3),materiali!$C:$K,6,0),"")</f>
        <v/>
      </c>
      <c r="H275" s="86"/>
      <c r="I275" s="84" t="str">
        <f>IFERROR(VLOOKUP(CONCATENATE($B275,"_",I$3),materiali!$C:$K,5,0),"")</f>
        <v/>
      </c>
      <c r="J275" s="85" t="str">
        <f>IFERROR(VLOOKUP(CONCATENATE($B275,"_",J$3),materiali!$C:$K,6,0),"")</f>
        <v/>
      </c>
      <c r="K275" s="86"/>
      <c r="L275" s="84" t="str">
        <f>IFERROR(VLOOKUP(CONCATENATE($B275,"_",L$3),materiali!$C:$K,5,0),"")</f>
        <v/>
      </c>
      <c r="M275" s="85" t="str">
        <f>IFERROR(VLOOKUP(CONCATENATE($B275,"_",M$3),materiali!$C:$K,6,0),"")</f>
        <v/>
      </c>
      <c r="N275" s="86"/>
      <c r="O275" s="84" t="str">
        <f>IFERROR(VLOOKUP(CONCATENATE($B275,"_",O$3),materiali!$C:$K,5,0),"")</f>
        <v/>
      </c>
      <c r="P275" s="85" t="str">
        <f>IFERROR(VLOOKUP(CONCATENATE($B275,"_",P$3),materiali!$C:$K,6,0),"")</f>
        <v/>
      </c>
      <c r="Q275" s="86"/>
      <c r="R275" s="84" t="str">
        <f>IFERROR(VLOOKUP(CONCATENATE($B275,"_",R$3),materiali!$C:$K,5,0),"")</f>
        <v/>
      </c>
      <c r="S275" s="85" t="str">
        <f>IFERROR(VLOOKUP(CONCATENATE($B275,"_",S$3),materiali!$C:$K,6,0),"")</f>
        <v/>
      </c>
      <c r="T275" s="86"/>
      <c r="U275" s="31"/>
      <c r="AD275" s="97"/>
    </row>
    <row r="276" spans="1:30" ht="35.1" hidden="1" customHeight="1" x14ac:dyDescent="0.25">
      <c r="A276" s="83"/>
      <c r="B276" s="7"/>
      <c r="C276" s="8"/>
      <c r="D276" s="8"/>
      <c r="E276" s="60"/>
      <c r="F276" s="84" t="str">
        <f>IFERROR(VLOOKUP(CONCATENATE($B276,"_",F$3),materiali!$C:$K,5,0),"")</f>
        <v/>
      </c>
      <c r="G276" s="85" t="str">
        <f>IFERROR(VLOOKUP(CONCATENATE($B276,"_",G$3),materiali!$C:$K,6,0),"")</f>
        <v/>
      </c>
      <c r="H276" s="86"/>
      <c r="I276" s="84" t="str">
        <f>IFERROR(VLOOKUP(CONCATENATE($B276,"_",I$3),materiali!$C:$K,5,0),"")</f>
        <v/>
      </c>
      <c r="J276" s="85" t="str">
        <f>IFERROR(VLOOKUP(CONCATENATE($B276,"_",J$3),materiali!$C:$K,6,0),"")</f>
        <v/>
      </c>
      <c r="K276" s="86"/>
      <c r="L276" s="84" t="str">
        <f>IFERROR(VLOOKUP(CONCATENATE($B276,"_",L$3),materiali!$C:$K,5,0),"")</f>
        <v/>
      </c>
      <c r="M276" s="85" t="str">
        <f>IFERROR(VLOOKUP(CONCATENATE($B276,"_",M$3),materiali!$C:$K,6,0),"")</f>
        <v/>
      </c>
      <c r="N276" s="86"/>
      <c r="O276" s="84" t="str">
        <f>IFERROR(VLOOKUP(CONCATENATE($B276,"_",O$3),materiali!$C:$K,5,0),"")</f>
        <v/>
      </c>
      <c r="P276" s="85" t="str">
        <f>IFERROR(VLOOKUP(CONCATENATE($B276,"_",P$3),materiali!$C:$K,6,0),"")</f>
        <v/>
      </c>
      <c r="Q276" s="86"/>
      <c r="R276" s="84" t="str">
        <f>IFERROR(VLOOKUP(CONCATENATE($B276,"_",R$3),materiali!$C:$K,5,0),"")</f>
        <v/>
      </c>
      <c r="S276" s="85" t="str">
        <f>IFERROR(VLOOKUP(CONCATENATE($B276,"_",S$3),materiali!$C:$K,6,0),"")</f>
        <v/>
      </c>
      <c r="T276" s="86"/>
      <c r="U276" s="31"/>
      <c r="AD276" s="97"/>
    </row>
    <row r="277" spans="1:30" ht="35.1" hidden="1" customHeight="1" x14ac:dyDescent="0.25">
      <c r="A277" s="83"/>
      <c r="B277" s="7"/>
      <c r="C277" s="8"/>
      <c r="D277" s="8"/>
      <c r="E277" s="60"/>
      <c r="F277" s="84" t="str">
        <f>IFERROR(VLOOKUP(CONCATENATE($B277,"_",F$3),materiali!$C:$K,5,0),"")</f>
        <v/>
      </c>
      <c r="G277" s="85" t="str">
        <f>IFERROR(VLOOKUP(CONCATENATE($B277,"_",G$3),materiali!$C:$K,6,0),"")</f>
        <v/>
      </c>
      <c r="H277" s="86"/>
      <c r="I277" s="84" t="str">
        <f>IFERROR(VLOOKUP(CONCATENATE($B277,"_",I$3),materiali!$C:$K,5,0),"")</f>
        <v/>
      </c>
      <c r="J277" s="85" t="str">
        <f>IFERROR(VLOOKUP(CONCATENATE($B277,"_",J$3),materiali!$C:$K,6,0),"")</f>
        <v/>
      </c>
      <c r="K277" s="86"/>
      <c r="L277" s="84" t="str">
        <f>IFERROR(VLOOKUP(CONCATENATE($B277,"_",L$3),materiali!$C:$K,5,0),"")</f>
        <v/>
      </c>
      <c r="M277" s="85" t="str">
        <f>IFERROR(VLOOKUP(CONCATENATE($B277,"_",M$3),materiali!$C:$K,6,0),"")</f>
        <v/>
      </c>
      <c r="N277" s="86"/>
      <c r="O277" s="84" t="str">
        <f>IFERROR(VLOOKUP(CONCATENATE($B277,"_",O$3),materiali!$C:$K,5,0),"")</f>
        <v/>
      </c>
      <c r="P277" s="85" t="str">
        <f>IFERROR(VLOOKUP(CONCATENATE($B277,"_",P$3),materiali!$C:$K,6,0),"")</f>
        <v/>
      </c>
      <c r="Q277" s="86"/>
      <c r="R277" s="84" t="str">
        <f>IFERROR(VLOOKUP(CONCATENATE($B277,"_",R$3),materiali!$C:$K,5,0),"")</f>
        <v/>
      </c>
      <c r="S277" s="85" t="str">
        <f>IFERROR(VLOOKUP(CONCATENATE($B277,"_",S$3),materiali!$C:$K,6,0),"")</f>
        <v/>
      </c>
      <c r="T277" s="86"/>
      <c r="U277" s="31"/>
      <c r="AD277" s="97"/>
    </row>
    <row r="278" spans="1:30" ht="35.1" hidden="1" customHeight="1" x14ac:dyDescent="0.25">
      <c r="A278" s="83"/>
      <c r="B278" s="7"/>
      <c r="C278" s="8"/>
      <c r="D278" s="8"/>
      <c r="E278" s="60"/>
      <c r="F278" s="84" t="str">
        <f>IFERROR(VLOOKUP(CONCATENATE($B278,"_",F$3),materiali!$C:$K,5,0),"")</f>
        <v/>
      </c>
      <c r="G278" s="85" t="str">
        <f>IFERROR(VLOOKUP(CONCATENATE($B278,"_",G$3),materiali!$C:$K,6,0),"")</f>
        <v/>
      </c>
      <c r="H278" s="86"/>
      <c r="I278" s="84" t="str">
        <f>IFERROR(VLOOKUP(CONCATENATE($B278,"_",I$3),materiali!$C:$K,5,0),"")</f>
        <v/>
      </c>
      <c r="J278" s="85" t="str">
        <f>IFERROR(VLOOKUP(CONCATENATE($B278,"_",J$3),materiali!$C:$K,6,0),"")</f>
        <v/>
      </c>
      <c r="K278" s="86"/>
      <c r="L278" s="84" t="str">
        <f>IFERROR(VLOOKUP(CONCATENATE($B278,"_",L$3),materiali!$C:$K,5,0),"")</f>
        <v/>
      </c>
      <c r="M278" s="85" t="str">
        <f>IFERROR(VLOOKUP(CONCATENATE($B278,"_",M$3),materiali!$C:$K,6,0),"")</f>
        <v/>
      </c>
      <c r="N278" s="86"/>
      <c r="O278" s="84" t="str">
        <f>IFERROR(VLOOKUP(CONCATENATE($B278,"_",O$3),materiali!$C:$K,5,0),"")</f>
        <v/>
      </c>
      <c r="P278" s="85" t="str">
        <f>IFERROR(VLOOKUP(CONCATENATE($B278,"_",P$3),materiali!$C:$K,6,0),"")</f>
        <v/>
      </c>
      <c r="Q278" s="86"/>
      <c r="R278" s="84" t="str">
        <f>IFERROR(VLOOKUP(CONCATENATE($B278,"_",R$3),materiali!$C:$K,5,0),"")</f>
        <v/>
      </c>
      <c r="S278" s="85" t="str">
        <f>IFERROR(VLOOKUP(CONCATENATE($B278,"_",S$3),materiali!$C:$K,6,0),"")</f>
        <v/>
      </c>
      <c r="T278" s="86"/>
      <c r="U278" s="31"/>
      <c r="AD278" s="97"/>
    </row>
    <row r="279" spans="1:30" ht="35.1" hidden="1" customHeight="1" x14ac:dyDescent="0.25">
      <c r="A279" s="83"/>
      <c r="B279" s="7"/>
      <c r="C279" s="8"/>
      <c r="D279" s="8"/>
      <c r="E279" s="60"/>
      <c r="F279" s="84" t="str">
        <f>IFERROR(VLOOKUP(CONCATENATE($B279,"_",F$3),materiali!$C:$K,5,0),"")</f>
        <v/>
      </c>
      <c r="G279" s="85" t="str">
        <f>IFERROR(VLOOKUP(CONCATENATE($B279,"_",G$3),materiali!$C:$K,6,0),"")</f>
        <v/>
      </c>
      <c r="H279" s="86"/>
      <c r="I279" s="84" t="str">
        <f>IFERROR(VLOOKUP(CONCATENATE($B279,"_",I$3),materiali!$C:$K,5,0),"")</f>
        <v/>
      </c>
      <c r="J279" s="85" t="str">
        <f>IFERROR(VLOOKUP(CONCATENATE($B279,"_",J$3),materiali!$C:$K,6,0),"")</f>
        <v/>
      </c>
      <c r="K279" s="86"/>
      <c r="L279" s="84" t="str">
        <f>IFERROR(VLOOKUP(CONCATENATE($B279,"_",L$3),materiali!$C:$K,5,0),"")</f>
        <v/>
      </c>
      <c r="M279" s="85" t="str">
        <f>IFERROR(VLOOKUP(CONCATENATE($B279,"_",M$3),materiali!$C:$K,6,0),"")</f>
        <v/>
      </c>
      <c r="N279" s="86"/>
      <c r="O279" s="84" t="str">
        <f>IFERROR(VLOOKUP(CONCATENATE($B279,"_",O$3),materiali!$C:$K,5,0),"")</f>
        <v/>
      </c>
      <c r="P279" s="85" t="str">
        <f>IFERROR(VLOOKUP(CONCATENATE($B279,"_",P$3),materiali!$C:$K,6,0),"")</f>
        <v/>
      </c>
      <c r="Q279" s="86"/>
      <c r="R279" s="84" t="str">
        <f>IFERROR(VLOOKUP(CONCATENATE($B279,"_",R$3),materiali!$C:$K,5,0),"")</f>
        <v/>
      </c>
      <c r="S279" s="85" t="str">
        <f>IFERROR(VLOOKUP(CONCATENATE($B279,"_",S$3),materiali!$C:$K,6,0),"")</f>
        <v/>
      </c>
      <c r="T279" s="86"/>
      <c r="U279" s="31"/>
      <c r="AD279" s="97"/>
    </row>
    <row r="280" spans="1:30" ht="35.1" hidden="1" customHeight="1" x14ac:dyDescent="0.25">
      <c r="A280" s="83"/>
      <c r="B280" s="7"/>
      <c r="C280" s="8"/>
      <c r="D280" s="8"/>
      <c r="E280" s="60"/>
      <c r="F280" s="84" t="str">
        <f>IFERROR(VLOOKUP(CONCATENATE($B280,"_",F$3),materiali!$C:$K,5,0),"")</f>
        <v/>
      </c>
      <c r="G280" s="85" t="str">
        <f>IFERROR(VLOOKUP(CONCATENATE($B280,"_",G$3),materiali!$C:$K,6,0),"")</f>
        <v/>
      </c>
      <c r="H280" s="86"/>
      <c r="I280" s="84" t="str">
        <f>IFERROR(VLOOKUP(CONCATENATE($B280,"_",I$3),materiali!$C:$K,5,0),"")</f>
        <v/>
      </c>
      <c r="J280" s="85" t="str">
        <f>IFERROR(VLOOKUP(CONCATENATE($B280,"_",J$3),materiali!$C:$K,6,0),"")</f>
        <v/>
      </c>
      <c r="K280" s="86"/>
      <c r="L280" s="84" t="str">
        <f>IFERROR(VLOOKUP(CONCATENATE($B280,"_",L$3),materiali!$C:$K,5,0),"")</f>
        <v/>
      </c>
      <c r="M280" s="85" t="str">
        <f>IFERROR(VLOOKUP(CONCATENATE($B280,"_",M$3),materiali!$C:$K,6,0),"")</f>
        <v/>
      </c>
      <c r="N280" s="86"/>
      <c r="O280" s="84" t="str">
        <f>IFERROR(VLOOKUP(CONCATENATE($B280,"_",O$3),materiali!$C:$K,5,0),"")</f>
        <v/>
      </c>
      <c r="P280" s="85" t="str">
        <f>IFERROR(VLOOKUP(CONCATENATE($B280,"_",P$3),materiali!$C:$K,6,0),"")</f>
        <v/>
      </c>
      <c r="Q280" s="86"/>
      <c r="R280" s="84" t="str">
        <f>IFERROR(VLOOKUP(CONCATENATE($B280,"_",R$3),materiali!$C:$K,5,0),"")</f>
        <v/>
      </c>
      <c r="S280" s="85" t="str">
        <f>IFERROR(VLOOKUP(CONCATENATE($B280,"_",S$3),materiali!$C:$K,6,0),"")</f>
        <v/>
      </c>
      <c r="T280" s="86"/>
      <c r="U280" s="31"/>
      <c r="AD280" s="97"/>
    </row>
    <row r="281" spans="1:30" ht="35.1" hidden="1" customHeight="1" x14ac:dyDescent="0.25">
      <c r="A281" s="83"/>
      <c r="B281" s="7"/>
      <c r="C281" s="8"/>
      <c r="D281" s="8"/>
      <c r="E281" s="60"/>
      <c r="F281" s="84" t="str">
        <f>IFERROR(VLOOKUP(CONCATENATE($B281,"_",F$3),materiali!$C:$K,5,0),"")</f>
        <v/>
      </c>
      <c r="G281" s="85" t="str">
        <f>IFERROR(VLOOKUP(CONCATENATE($B281,"_",G$3),materiali!$C:$K,6,0),"")</f>
        <v/>
      </c>
      <c r="H281" s="86"/>
      <c r="I281" s="84" t="str">
        <f>IFERROR(VLOOKUP(CONCATENATE($B281,"_",I$3),materiali!$C:$K,5,0),"")</f>
        <v/>
      </c>
      <c r="J281" s="85" t="str">
        <f>IFERROR(VLOOKUP(CONCATENATE($B281,"_",J$3),materiali!$C:$K,6,0),"")</f>
        <v/>
      </c>
      <c r="K281" s="86"/>
      <c r="L281" s="84" t="str">
        <f>IFERROR(VLOOKUP(CONCATENATE($B281,"_",L$3),materiali!$C:$K,5,0),"")</f>
        <v/>
      </c>
      <c r="M281" s="85" t="str">
        <f>IFERROR(VLOOKUP(CONCATENATE($B281,"_",M$3),materiali!$C:$K,6,0),"")</f>
        <v/>
      </c>
      <c r="N281" s="86"/>
      <c r="O281" s="84" t="str">
        <f>IFERROR(VLOOKUP(CONCATENATE($B281,"_",O$3),materiali!$C:$K,5,0),"")</f>
        <v/>
      </c>
      <c r="P281" s="85" t="str">
        <f>IFERROR(VLOOKUP(CONCATENATE($B281,"_",P$3),materiali!$C:$K,6,0),"")</f>
        <v/>
      </c>
      <c r="Q281" s="86"/>
      <c r="R281" s="84" t="str">
        <f>IFERROR(VLOOKUP(CONCATENATE($B281,"_",R$3),materiali!$C:$K,5,0),"")</f>
        <v/>
      </c>
      <c r="S281" s="85" t="str">
        <f>IFERROR(VLOOKUP(CONCATENATE($B281,"_",S$3),materiali!$C:$K,6,0),"")</f>
        <v/>
      </c>
      <c r="T281" s="86"/>
      <c r="U281" s="31"/>
      <c r="AD281" s="97"/>
    </row>
    <row r="282" spans="1:30" ht="35.1" hidden="1" customHeight="1" x14ac:dyDescent="0.25">
      <c r="A282" s="83"/>
      <c r="B282" s="7"/>
      <c r="C282" s="8"/>
      <c r="D282" s="8"/>
      <c r="E282" s="60"/>
      <c r="F282" s="84" t="str">
        <f>IFERROR(VLOOKUP(CONCATENATE($B282,"_",F$3),materiali!$C:$K,5,0),"")</f>
        <v/>
      </c>
      <c r="G282" s="85" t="str">
        <f>IFERROR(VLOOKUP(CONCATENATE($B282,"_",G$3),materiali!$C:$K,6,0),"")</f>
        <v/>
      </c>
      <c r="H282" s="86"/>
      <c r="I282" s="84" t="str">
        <f>IFERROR(VLOOKUP(CONCATENATE($B282,"_",I$3),materiali!$C:$K,5,0),"")</f>
        <v/>
      </c>
      <c r="J282" s="85" t="str">
        <f>IFERROR(VLOOKUP(CONCATENATE($B282,"_",J$3),materiali!$C:$K,6,0),"")</f>
        <v/>
      </c>
      <c r="K282" s="86"/>
      <c r="L282" s="84" t="str">
        <f>IFERROR(VLOOKUP(CONCATENATE($B282,"_",L$3),materiali!$C:$K,5,0),"")</f>
        <v/>
      </c>
      <c r="M282" s="85" t="str">
        <f>IFERROR(VLOOKUP(CONCATENATE($B282,"_",M$3),materiali!$C:$K,6,0),"")</f>
        <v/>
      </c>
      <c r="N282" s="86"/>
      <c r="O282" s="84" t="str">
        <f>IFERROR(VLOOKUP(CONCATENATE($B282,"_",O$3),materiali!$C:$K,5,0),"")</f>
        <v/>
      </c>
      <c r="P282" s="85" t="str">
        <f>IFERROR(VLOOKUP(CONCATENATE($B282,"_",P$3),materiali!$C:$K,6,0),"")</f>
        <v/>
      </c>
      <c r="Q282" s="86"/>
      <c r="R282" s="84" t="str">
        <f>IFERROR(VLOOKUP(CONCATENATE($B282,"_",R$3),materiali!$C:$K,5,0),"")</f>
        <v/>
      </c>
      <c r="S282" s="85" t="str">
        <f>IFERROR(VLOOKUP(CONCATENATE($B282,"_",S$3),materiali!$C:$K,6,0),"")</f>
        <v/>
      </c>
      <c r="T282" s="86"/>
      <c r="U282" s="31"/>
      <c r="AD282" s="97"/>
    </row>
    <row r="283" spans="1:30" ht="35.1" hidden="1" customHeight="1" x14ac:dyDescent="0.25">
      <c r="A283" s="83"/>
      <c r="B283" s="7"/>
      <c r="C283" s="8"/>
      <c r="D283" s="8"/>
      <c r="E283" s="60"/>
      <c r="F283" s="84" t="str">
        <f>IFERROR(VLOOKUP(CONCATENATE($B283,"_",F$3),materiali!$C:$K,5,0),"")</f>
        <v/>
      </c>
      <c r="G283" s="85" t="str">
        <f>IFERROR(VLOOKUP(CONCATENATE($B283,"_",G$3),materiali!$C:$K,6,0),"")</f>
        <v/>
      </c>
      <c r="H283" s="86"/>
      <c r="I283" s="84" t="str">
        <f>IFERROR(VLOOKUP(CONCATENATE($B283,"_",I$3),materiali!$C:$K,5,0),"")</f>
        <v/>
      </c>
      <c r="J283" s="85" t="str">
        <f>IFERROR(VLOOKUP(CONCATENATE($B283,"_",J$3),materiali!$C:$K,6,0),"")</f>
        <v/>
      </c>
      <c r="K283" s="86"/>
      <c r="L283" s="84" t="str">
        <f>IFERROR(VLOOKUP(CONCATENATE($B283,"_",L$3),materiali!$C:$K,5,0),"")</f>
        <v/>
      </c>
      <c r="M283" s="85" t="str">
        <f>IFERROR(VLOOKUP(CONCATENATE($B283,"_",M$3),materiali!$C:$K,6,0),"")</f>
        <v/>
      </c>
      <c r="N283" s="86"/>
      <c r="O283" s="84" t="str">
        <f>IFERROR(VLOOKUP(CONCATENATE($B283,"_",O$3),materiali!$C:$K,5,0),"")</f>
        <v/>
      </c>
      <c r="P283" s="85" t="str">
        <f>IFERROR(VLOOKUP(CONCATENATE($B283,"_",P$3),materiali!$C:$K,6,0),"")</f>
        <v/>
      </c>
      <c r="Q283" s="86"/>
      <c r="R283" s="84" t="str">
        <f>IFERROR(VLOOKUP(CONCATENATE($B283,"_",R$3),materiali!$C:$K,5,0),"")</f>
        <v/>
      </c>
      <c r="S283" s="85" t="str">
        <f>IFERROR(VLOOKUP(CONCATENATE($B283,"_",S$3),materiali!$C:$K,6,0),"")</f>
        <v/>
      </c>
      <c r="T283" s="86"/>
      <c r="U283" s="31"/>
      <c r="AD283" s="97"/>
    </row>
    <row r="284" spans="1:30" ht="35.1" hidden="1" customHeight="1" x14ac:dyDescent="0.25">
      <c r="A284" s="83"/>
      <c r="B284" s="7"/>
      <c r="C284" s="8"/>
      <c r="D284" s="8"/>
      <c r="E284" s="60"/>
      <c r="F284" s="84" t="str">
        <f>IFERROR(VLOOKUP(CONCATENATE($B284,"_",F$3),materiali!$C:$K,5,0),"")</f>
        <v/>
      </c>
      <c r="G284" s="85" t="str">
        <f>IFERROR(VLOOKUP(CONCATENATE($B284,"_",G$3),materiali!$C:$K,6,0),"")</f>
        <v/>
      </c>
      <c r="H284" s="86"/>
      <c r="I284" s="84" t="str">
        <f>IFERROR(VLOOKUP(CONCATENATE($B284,"_",I$3),materiali!$C:$K,5,0),"")</f>
        <v/>
      </c>
      <c r="J284" s="85" t="str">
        <f>IFERROR(VLOOKUP(CONCATENATE($B284,"_",J$3),materiali!$C:$K,6,0),"")</f>
        <v/>
      </c>
      <c r="K284" s="86"/>
      <c r="L284" s="84" t="str">
        <f>IFERROR(VLOOKUP(CONCATENATE($B284,"_",L$3),materiali!$C:$K,5,0),"")</f>
        <v/>
      </c>
      <c r="M284" s="85" t="str">
        <f>IFERROR(VLOOKUP(CONCATENATE($B284,"_",M$3),materiali!$C:$K,6,0),"")</f>
        <v/>
      </c>
      <c r="N284" s="86"/>
      <c r="O284" s="84" t="str">
        <f>IFERROR(VLOOKUP(CONCATENATE($B284,"_",O$3),materiali!$C:$K,5,0),"")</f>
        <v/>
      </c>
      <c r="P284" s="85" t="str">
        <f>IFERROR(VLOOKUP(CONCATENATE($B284,"_",P$3),materiali!$C:$K,6,0),"")</f>
        <v/>
      </c>
      <c r="Q284" s="86"/>
      <c r="R284" s="84" t="str">
        <f>IFERROR(VLOOKUP(CONCATENATE($B284,"_",R$3),materiali!$C:$K,5,0),"")</f>
        <v/>
      </c>
      <c r="S284" s="85" t="str">
        <f>IFERROR(VLOOKUP(CONCATENATE($B284,"_",S$3),materiali!$C:$K,6,0),"")</f>
        <v/>
      </c>
      <c r="T284" s="86"/>
      <c r="U284" s="31"/>
      <c r="AD284" s="97"/>
    </row>
    <row r="285" spans="1:30" ht="35.1" hidden="1" customHeight="1" x14ac:dyDescent="0.25">
      <c r="A285" s="83"/>
      <c r="B285" s="7"/>
      <c r="C285" s="8"/>
      <c r="D285" s="8"/>
      <c r="E285" s="60"/>
      <c r="F285" s="84" t="str">
        <f>IFERROR(VLOOKUP(CONCATENATE($B285,"_",F$3),materiali!$C:$K,5,0),"")</f>
        <v/>
      </c>
      <c r="G285" s="85" t="str">
        <f>IFERROR(VLOOKUP(CONCATENATE($B285,"_",G$3),materiali!$C:$K,6,0),"")</f>
        <v/>
      </c>
      <c r="H285" s="86"/>
      <c r="I285" s="84" t="str">
        <f>IFERROR(VLOOKUP(CONCATENATE($B285,"_",I$3),materiali!$C:$K,5,0),"")</f>
        <v/>
      </c>
      <c r="J285" s="85" t="str">
        <f>IFERROR(VLOOKUP(CONCATENATE($B285,"_",J$3),materiali!$C:$K,6,0),"")</f>
        <v/>
      </c>
      <c r="K285" s="86"/>
      <c r="L285" s="84" t="str">
        <f>IFERROR(VLOOKUP(CONCATENATE($B285,"_",L$3),materiali!$C:$K,5,0),"")</f>
        <v/>
      </c>
      <c r="M285" s="85" t="str">
        <f>IFERROR(VLOOKUP(CONCATENATE($B285,"_",M$3),materiali!$C:$K,6,0),"")</f>
        <v/>
      </c>
      <c r="N285" s="86"/>
      <c r="O285" s="84" t="str">
        <f>IFERROR(VLOOKUP(CONCATENATE($B285,"_",O$3),materiali!$C:$K,5,0),"")</f>
        <v/>
      </c>
      <c r="P285" s="85" t="str">
        <f>IFERROR(VLOOKUP(CONCATENATE($B285,"_",P$3),materiali!$C:$K,6,0),"")</f>
        <v/>
      </c>
      <c r="Q285" s="86"/>
      <c r="R285" s="84" t="str">
        <f>IFERROR(VLOOKUP(CONCATENATE($B285,"_",R$3),materiali!$C:$K,5,0),"")</f>
        <v/>
      </c>
      <c r="S285" s="85" t="str">
        <f>IFERROR(VLOOKUP(CONCATENATE($B285,"_",S$3),materiali!$C:$K,6,0),"")</f>
        <v/>
      </c>
      <c r="T285" s="86"/>
      <c r="U285" s="31"/>
      <c r="AD285" s="97"/>
    </row>
    <row r="286" spans="1:30" ht="35.1" hidden="1" customHeight="1" x14ac:dyDescent="0.25">
      <c r="A286" s="83"/>
      <c r="B286" s="7"/>
      <c r="C286" s="8"/>
      <c r="D286" s="8"/>
      <c r="E286" s="60"/>
      <c r="F286" s="84" t="str">
        <f>IFERROR(VLOOKUP(CONCATENATE($B286,"_",F$3),materiali!$C:$K,5,0),"")</f>
        <v/>
      </c>
      <c r="G286" s="85" t="str">
        <f>IFERROR(VLOOKUP(CONCATENATE($B286,"_",G$3),materiali!$C:$K,6,0),"")</f>
        <v/>
      </c>
      <c r="H286" s="86"/>
      <c r="I286" s="84" t="str">
        <f>IFERROR(VLOOKUP(CONCATENATE($B286,"_",I$3),materiali!$C:$K,5,0),"")</f>
        <v/>
      </c>
      <c r="J286" s="85" t="str">
        <f>IFERROR(VLOOKUP(CONCATENATE($B286,"_",J$3),materiali!$C:$K,6,0),"")</f>
        <v/>
      </c>
      <c r="K286" s="86"/>
      <c r="L286" s="84" t="str">
        <f>IFERROR(VLOOKUP(CONCATENATE($B286,"_",L$3),materiali!$C:$K,5,0),"")</f>
        <v/>
      </c>
      <c r="M286" s="85" t="str">
        <f>IFERROR(VLOOKUP(CONCATENATE($B286,"_",M$3),materiali!$C:$K,6,0),"")</f>
        <v/>
      </c>
      <c r="N286" s="86"/>
      <c r="O286" s="84" t="str">
        <f>IFERROR(VLOOKUP(CONCATENATE($B286,"_",O$3),materiali!$C:$K,5,0),"")</f>
        <v/>
      </c>
      <c r="P286" s="85" t="str">
        <f>IFERROR(VLOOKUP(CONCATENATE($B286,"_",P$3),materiali!$C:$K,6,0),"")</f>
        <v/>
      </c>
      <c r="Q286" s="86"/>
      <c r="R286" s="84" t="str">
        <f>IFERROR(VLOOKUP(CONCATENATE($B286,"_",R$3),materiali!$C:$K,5,0),"")</f>
        <v/>
      </c>
      <c r="S286" s="85" t="str">
        <f>IFERROR(VLOOKUP(CONCATENATE($B286,"_",S$3),materiali!$C:$K,6,0),"")</f>
        <v/>
      </c>
      <c r="T286" s="86"/>
      <c r="U286" s="31"/>
      <c r="AD286" s="97"/>
    </row>
    <row r="287" spans="1:30" ht="35.1" hidden="1" customHeight="1" x14ac:dyDescent="0.25">
      <c r="A287" s="83"/>
      <c r="B287" s="7"/>
      <c r="C287" s="8"/>
      <c r="D287" s="8"/>
      <c r="E287" s="60"/>
      <c r="F287" s="84" t="str">
        <f>IFERROR(VLOOKUP(CONCATENATE($B287,"_",F$3),materiali!$C:$K,5,0),"")</f>
        <v/>
      </c>
      <c r="G287" s="85" t="str">
        <f>IFERROR(VLOOKUP(CONCATENATE($B287,"_",G$3),materiali!$C:$K,6,0),"")</f>
        <v/>
      </c>
      <c r="H287" s="86"/>
      <c r="I287" s="84" t="str">
        <f>IFERROR(VLOOKUP(CONCATENATE($B287,"_",I$3),materiali!$C:$K,5,0),"")</f>
        <v/>
      </c>
      <c r="J287" s="85" t="str">
        <f>IFERROR(VLOOKUP(CONCATENATE($B287,"_",J$3),materiali!$C:$K,6,0),"")</f>
        <v/>
      </c>
      <c r="K287" s="86"/>
      <c r="L287" s="84" t="str">
        <f>IFERROR(VLOOKUP(CONCATENATE($B287,"_",L$3),materiali!$C:$K,5,0),"")</f>
        <v/>
      </c>
      <c r="M287" s="85" t="str">
        <f>IFERROR(VLOOKUP(CONCATENATE($B287,"_",M$3),materiali!$C:$K,6,0),"")</f>
        <v/>
      </c>
      <c r="N287" s="86"/>
      <c r="O287" s="84" t="str">
        <f>IFERROR(VLOOKUP(CONCATENATE($B287,"_",O$3),materiali!$C:$K,5,0),"")</f>
        <v/>
      </c>
      <c r="P287" s="85" t="str">
        <f>IFERROR(VLOOKUP(CONCATENATE($B287,"_",P$3),materiali!$C:$K,6,0),"")</f>
        <v/>
      </c>
      <c r="Q287" s="86"/>
      <c r="R287" s="84" t="str">
        <f>IFERROR(VLOOKUP(CONCATENATE($B287,"_",R$3),materiali!$C:$K,5,0),"")</f>
        <v/>
      </c>
      <c r="S287" s="85" t="str">
        <f>IFERROR(VLOOKUP(CONCATENATE($B287,"_",S$3),materiali!$C:$K,6,0),"")</f>
        <v/>
      </c>
      <c r="T287" s="86"/>
      <c r="U287" s="31"/>
      <c r="AD287" s="97"/>
    </row>
    <row r="288" spans="1:30" ht="35.1" hidden="1" customHeight="1" x14ac:dyDescent="0.25">
      <c r="A288" s="83"/>
      <c r="B288" s="7"/>
      <c r="C288" s="8"/>
      <c r="D288" s="8"/>
      <c r="E288" s="60"/>
      <c r="F288" s="84" t="str">
        <f>IFERROR(VLOOKUP(CONCATENATE($B288,"_",F$3),materiali!$C:$K,5,0),"")</f>
        <v/>
      </c>
      <c r="G288" s="85" t="str">
        <f>IFERROR(VLOOKUP(CONCATENATE($B288,"_",G$3),materiali!$C:$K,6,0),"")</f>
        <v/>
      </c>
      <c r="H288" s="86"/>
      <c r="I288" s="84" t="str">
        <f>IFERROR(VLOOKUP(CONCATENATE($B288,"_",I$3),materiali!$C:$K,5,0),"")</f>
        <v/>
      </c>
      <c r="J288" s="85" t="str">
        <f>IFERROR(VLOOKUP(CONCATENATE($B288,"_",J$3),materiali!$C:$K,6,0),"")</f>
        <v/>
      </c>
      <c r="K288" s="86"/>
      <c r="L288" s="84" t="str">
        <f>IFERROR(VLOOKUP(CONCATENATE($B288,"_",L$3),materiali!$C:$K,5,0),"")</f>
        <v/>
      </c>
      <c r="M288" s="85" t="str">
        <f>IFERROR(VLOOKUP(CONCATENATE($B288,"_",M$3),materiali!$C:$K,6,0),"")</f>
        <v/>
      </c>
      <c r="N288" s="86"/>
      <c r="O288" s="84" t="str">
        <f>IFERROR(VLOOKUP(CONCATENATE($B288,"_",O$3),materiali!$C:$K,5,0),"")</f>
        <v/>
      </c>
      <c r="P288" s="85" t="str">
        <f>IFERROR(VLOOKUP(CONCATENATE($B288,"_",P$3),materiali!$C:$K,6,0),"")</f>
        <v/>
      </c>
      <c r="Q288" s="86"/>
      <c r="R288" s="84" t="str">
        <f>IFERROR(VLOOKUP(CONCATENATE($B288,"_",R$3),materiali!$C:$K,5,0),"")</f>
        <v/>
      </c>
      <c r="S288" s="85" t="str">
        <f>IFERROR(VLOOKUP(CONCATENATE($B288,"_",S$3),materiali!$C:$K,6,0),"")</f>
        <v/>
      </c>
      <c r="T288" s="86"/>
      <c r="U288" s="31"/>
      <c r="AD288" s="97"/>
    </row>
    <row r="289" spans="1:30" ht="35.1" hidden="1" customHeight="1" x14ac:dyDescent="0.25">
      <c r="A289" s="83"/>
      <c r="B289" s="7"/>
      <c r="C289" s="8"/>
      <c r="D289" s="8"/>
      <c r="E289" s="60"/>
      <c r="F289" s="84" t="str">
        <f>IFERROR(VLOOKUP(CONCATENATE($B289,"_",F$3),materiali!$C:$K,5,0),"")</f>
        <v/>
      </c>
      <c r="G289" s="85" t="str">
        <f>IFERROR(VLOOKUP(CONCATENATE($B289,"_",G$3),materiali!$C:$K,6,0),"")</f>
        <v/>
      </c>
      <c r="H289" s="86"/>
      <c r="I289" s="84" t="str">
        <f>IFERROR(VLOOKUP(CONCATENATE($B289,"_",I$3),materiali!$C:$K,5,0),"")</f>
        <v/>
      </c>
      <c r="J289" s="85" t="str">
        <f>IFERROR(VLOOKUP(CONCATENATE($B289,"_",J$3),materiali!$C:$K,6,0),"")</f>
        <v/>
      </c>
      <c r="K289" s="86"/>
      <c r="L289" s="84" t="str">
        <f>IFERROR(VLOOKUP(CONCATENATE($B289,"_",L$3),materiali!$C:$K,5,0),"")</f>
        <v/>
      </c>
      <c r="M289" s="85" t="str">
        <f>IFERROR(VLOOKUP(CONCATENATE($B289,"_",M$3),materiali!$C:$K,6,0),"")</f>
        <v/>
      </c>
      <c r="N289" s="86"/>
      <c r="O289" s="84" t="str">
        <f>IFERROR(VLOOKUP(CONCATENATE($B289,"_",O$3),materiali!$C:$K,5,0),"")</f>
        <v/>
      </c>
      <c r="P289" s="85" t="str">
        <f>IFERROR(VLOOKUP(CONCATENATE($B289,"_",P$3),materiali!$C:$K,6,0),"")</f>
        <v/>
      </c>
      <c r="Q289" s="86"/>
      <c r="R289" s="84" t="str">
        <f>IFERROR(VLOOKUP(CONCATENATE($B289,"_",R$3),materiali!$C:$K,5,0),"")</f>
        <v/>
      </c>
      <c r="S289" s="85" t="str">
        <f>IFERROR(VLOOKUP(CONCATENATE($B289,"_",S$3),materiali!$C:$K,6,0),"")</f>
        <v/>
      </c>
      <c r="T289" s="86"/>
      <c r="U289" s="31"/>
      <c r="AD289" s="97"/>
    </row>
    <row r="290" spans="1:30" ht="35.1" hidden="1" customHeight="1" x14ac:dyDescent="0.25">
      <c r="A290" s="83"/>
      <c r="B290" s="7"/>
      <c r="C290" s="8"/>
      <c r="D290" s="8"/>
      <c r="E290" s="60"/>
      <c r="F290" s="84" t="str">
        <f>IFERROR(VLOOKUP(CONCATENATE($B290,"_",F$3),materiali!$C:$K,5,0),"")</f>
        <v/>
      </c>
      <c r="G290" s="85" t="str">
        <f>IFERROR(VLOOKUP(CONCATENATE($B290,"_",G$3),materiali!$C:$K,6,0),"")</f>
        <v/>
      </c>
      <c r="H290" s="86"/>
      <c r="I290" s="84" t="str">
        <f>IFERROR(VLOOKUP(CONCATENATE($B290,"_",I$3),materiali!$C:$K,5,0),"")</f>
        <v/>
      </c>
      <c r="J290" s="85" t="str">
        <f>IFERROR(VLOOKUP(CONCATENATE($B290,"_",J$3),materiali!$C:$K,6,0),"")</f>
        <v/>
      </c>
      <c r="K290" s="86"/>
      <c r="L290" s="84" t="str">
        <f>IFERROR(VLOOKUP(CONCATENATE($B290,"_",L$3),materiali!$C:$K,5,0),"")</f>
        <v/>
      </c>
      <c r="M290" s="85" t="str">
        <f>IFERROR(VLOOKUP(CONCATENATE($B290,"_",M$3),materiali!$C:$K,6,0),"")</f>
        <v/>
      </c>
      <c r="N290" s="86"/>
      <c r="O290" s="84" t="str">
        <f>IFERROR(VLOOKUP(CONCATENATE($B290,"_",O$3),materiali!$C:$K,5,0),"")</f>
        <v/>
      </c>
      <c r="P290" s="85" t="str">
        <f>IFERROR(VLOOKUP(CONCATENATE($B290,"_",P$3),materiali!$C:$K,6,0),"")</f>
        <v/>
      </c>
      <c r="Q290" s="86"/>
      <c r="R290" s="84" t="str">
        <f>IFERROR(VLOOKUP(CONCATENATE($B290,"_",R$3),materiali!$C:$K,5,0),"")</f>
        <v/>
      </c>
      <c r="S290" s="85" t="str">
        <f>IFERROR(VLOOKUP(CONCATENATE($B290,"_",S$3),materiali!$C:$K,6,0),"")</f>
        <v/>
      </c>
      <c r="T290" s="86"/>
      <c r="U290" s="31"/>
      <c r="AD290" s="97"/>
    </row>
    <row r="291" spans="1:30" ht="35.1" hidden="1" customHeight="1" x14ac:dyDescent="0.25">
      <c r="A291" s="83"/>
      <c r="B291" s="7"/>
      <c r="C291" s="8"/>
      <c r="D291" s="8"/>
      <c r="E291" s="60"/>
      <c r="F291" s="84" t="str">
        <f>IFERROR(VLOOKUP(CONCATENATE($B291,"_",F$3),materiali!$C:$K,5,0),"")</f>
        <v/>
      </c>
      <c r="G291" s="85" t="str">
        <f>IFERROR(VLOOKUP(CONCATENATE($B291,"_",G$3),materiali!$C:$K,6,0),"")</f>
        <v/>
      </c>
      <c r="H291" s="86"/>
      <c r="I291" s="84" t="str">
        <f>IFERROR(VLOOKUP(CONCATENATE($B291,"_",I$3),materiali!$C:$K,5,0),"")</f>
        <v/>
      </c>
      <c r="J291" s="85" t="str">
        <f>IFERROR(VLOOKUP(CONCATENATE($B291,"_",J$3),materiali!$C:$K,6,0),"")</f>
        <v/>
      </c>
      <c r="K291" s="86"/>
      <c r="L291" s="84" t="str">
        <f>IFERROR(VLOOKUP(CONCATENATE($B291,"_",L$3),materiali!$C:$K,5,0),"")</f>
        <v/>
      </c>
      <c r="M291" s="85" t="str">
        <f>IFERROR(VLOOKUP(CONCATENATE($B291,"_",M$3),materiali!$C:$K,6,0),"")</f>
        <v/>
      </c>
      <c r="N291" s="86"/>
      <c r="O291" s="84" t="str">
        <f>IFERROR(VLOOKUP(CONCATENATE($B291,"_",O$3),materiali!$C:$K,5,0),"")</f>
        <v/>
      </c>
      <c r="P291" s="85" t="str">
        <f>IFERROR(VLOOKUP(CONCATENATE($B291,"_",P$3),materiali!$C:$K,6,0),"")</f>
        <v/>
      </c>
      <c r="Q291" s="86"/>
      <c r="R291" s="84" t="str">
        <f>IFERROR(VLOOKUP(CONCATENATE($B291,"_",R$3),materiali!$C:$K,5,0),"")</f>
        <v/>
      </c>
      <c r="S291" s="85" t="str">
        <f>IFERROR(VLOOKUP(CONCATENATE($B291,"_",S$3),materiali!$C:$K,6,0),"")</f>
        <v/>
      </c>
      <c r="T291" s="86"/>
      <c r="U291" s="31"/>
      <c r="AD291" s="97"/>
    </row>
    <row r="292" spans="1:30" ht="35.1" hidden="1" customHeight="1" x14ac:dyDescent="0.25">
      <c r="A292" s="83"/>
      <c r="B292" s="7"/>
      <c r="C292" s="8"/>
      <c r="D292" s="8"/>
      <c r="E292" s="60"/>
      <c r="F292" s="84" t="str">
        <f>IFERROR(VLOOKUP(CONCATENATE($B292,"_",F$3),materiali!$C:$K,5,0),"")</f>
        <v/>
      </c>
      <c r="G292" s="85" t="str">
        <f>IFERROR(VLOOKUP(CONCATENATE($B292,"_",G$3),materiali!$C:$K,6,0),"")</f>
        <v/>
      </c>
      <c r="H292" s="86"/>
      <c r="I292" s="84" t="str">
        <f>IFERROR(VLOOKUP(CONCATENATE($B292,"_",I$3),materiali!$C:$K,5,0),"")</f>
        <v/>
      </c>
      <c r="J292" s="85" t="str">
        <f>IFERROR(VLOOKUP(CONCATENATE($B292,"_",J$3),materiali!$C:$K,6,0),"")</f>
        <v/>
      </c>
      <c r="K292" s="86"/>
      <c r="L292" s="84" t="str">
        <f>IFERROR(VLOOKUP(CONCATENATE($B292,"_",L$3),materiali!$C:$K,5,0),"")</f>
        <v/>
      </c>
      <c r="M292" s="85" t="str">
        <f>IFERROR(VLOOKUP(CONCATENATE($B292,"_",M$3),materiali!$C:$K,6,0),"")</f>
        <v/>
      </c>
      <c r="N292" s="86"/>
      <c r="O292" s="84" t="str">
        <f>IFERROR(VLOOKUP(CONCATENATE($B292,"_",O$3),materiali!$C:$K,5,0),"")</f>
        <v/>
      </c>
      <c r="P292" s="85" t="str">
        <f>IFERROR(VLOOKUP(CONCATENATE($B292,"_",P$3),materiali!$C:$K,6,0),"")</f>
        <v/>
      </c>
      <c r="Q292" s="86"/>
      <c r="R292" s="84" t="str">
        <f>IFERROR(VLOOKUP(CONCATENATE($B292,"_",R$3),materiali!$C:$K,5,0),"")</f>
        <v/>
      </c>
      <c r="S292" s="85" t="str">
        <f>IFERROR(VLOOKUP(CONCATENATE($B292,"_",S$3),materiali!$C:$K,6,0),"")</f>
        <v/>
      </c>
      <c r="T292" s="86"/>
      <c r="U292" s="31"/>
      <c r="AD292" s="97"/>
    </row>
    <row r="293" spans="1:30" ht="35.1" hidden="1" customHeight="1" x14ac:dyDescent="0.25">
      <c r="A293" s="83"/>
      <c r="B293" s="7"/>
      <c r="C293" s="8"/>
      <c r="D293" s="8"/>
      <c r="E293" s="60"/>
      <c r="F293" s="84" t="str">
        <f>IFERROR(VLOOKUP(CONCATENATE($B293,"_",F$3),materiali!$C:$K,5,0),"")</f>
        <v/>
      </c>
      <c r="G293" s="85" t="str">
        <f>IFERROR(VLOOKUP(CONCATENATE($B293,"_",G$3),materiali!$C:$K,6,0),"")</f>
        <v/>
      </c>
      <c r="H293" s="86"/>
      <c r="I293" s="84" t="str">
        <f>IFERROR(VLOOKUP(CONCATENATE($B293,"_",I$3),materiali!$C:$K,5,0),"")</f>
        <v/>
      </c>
      <c r="J293" s="85" t="str">
        <f>IFERROR(VLOOKUP(CONCATENATE($B293,"_",J$3),materiali!$C:$K,6,0),"")</f>
        <v/>
      </c>
      <c r="K293" s="86"/>
      <c r="L293" s="84" t="str">
        <f>IFERROR(VLOOKUP(CONCATENATE($B293,"_",L$3),materiali!$C:$K,5,0),"")</f>
        <v/>
      </c>
      <c r="M293" s="85" t="str">
        <f>IFERROR(VLOOKUP(CONCATENATE($B293,"_",M$3),materiali!$C:$K,6,0),"")</f>
        <v/>
      </c>
      <c r="N293" s="86"/>
      <c r="O293" s="84" t="str">
        <f>IFERROR(VLOOKUP(CONCATENATE($B293,"_",O$3),materiali!$C:$K,5,0),"")</f>
        <v/>
      </c>
      <c r="P293" s="85" t="str">
        <f>IFERROR(VLOOKUP(CONCATENATE($B293,"_",P$3),materiali!$C:$K,6,0),"")</f>
        <v/>
      </c>
      <c r="Q293" s="86"/>
      <c r="R293" s="84" t="str">
        <f>IFERROR(VLOOKUP(CONCATENATE($B293,"_",R$3),materiali!$C:$K,5,0),"")</f>
        <v/>
      </c>
      <c r="S293" s="85" t="str">
        <f>IFERROR(VLOOKUP(CONCATENATE($B293,"_",S$3),materiali!$C:$K,6,0),"")</f>
        <v/>
      </c>
      <c r="T293" s="86"/>
      <c r="U293" s="31"/>
      <c r="AD293" s="97"/>
    </row>
    <row r="294" spans="1:30" ht="35.1" hidden="1" customHeight="1" x14ac:dyDescent="0.25">
      <c r="A294" s="83"/>
      <c r="B294" s="7"/>
      <c r="C294" s="8"/>
      <c r="D294" s="8"/>
      <c r="E294" s="60"/>
      <c r="F294" s="84" t="str">
        <f>IFERROR(VLOOKUP(CONCATENATE($B294,"_",F$3),materiali!$C:$K,5,0),"")</f>
        <v/>
      </c>
      <c r="G294" s="85" t="str">
        <f>IFERROR(VLOOKUP(CONCATENATE($B294,"_",G$3),materiali!$C:$K,6,0),"")</f>
        <v/>
      </c>
      <c r="H294" s="86"/>
      <c r="I294" s="84" t="str">
        <f>IFERROR(VLOOKUP(CONCATENATE($B294,"_",I$3),materiali!$C:$K,5,0),"")</f>
        <v/>
      </c>
      <c r="J294" s="85" t="str">
        <f>IFERROR(VLOOKUP(CONCATENATE($B294,"_",J$3),materiali!$C:$K,6,0),"")</f>
        <v/>
      </c>
      <c r="K294" s="86"/>
      <c r="L294" s="84" t="str">
        <f>IFERROR(VLOOKUP(CONCATENATE($B294,"_",L$3),materiali!$C:$K,5,0),"")</f>
        <v/>
      </c>
      <c r="M294" s="85" t="str">
        <f>IFERROR(VLOOKUP(CONCATENATE($B294,"_",M$3),materiali!$C:$K,6,0),"")</f>
        <v/>
      </c>
      <c r="N294" s="86"/>
      <c r="O294" s="84" t="str">
        <f>IFERROR(VLOOKUP(CONCATENATE($B294,"_",O$3),materiali!$C:$K,5,0),"")</f>
        <v/>
      </c>
      <c r="P294" s="85" t="str">
        <f>IFERROR(VLOOKUP(CONCATENATE($B294,"_",P$3),materiali!$C:$K,6,0),"")</f>
        <v/>
      </c>
      <c r="Q294" s="86"/>
      <c r="R294" s="84" t="str">
        <f>IFERROR(VLOOKUP(CONCATENATE($B294,"_",R$3),materiali!$C:$K,5,0),"")</f>
        <v/>
      </c>
      <c r="S294" s="85" t="str">
        <f>IFERROR(VLOOKUP(CONCATENATE($B294,"_",S$3),materiali!$C:$K,6,0),"")</f>
        <v/>
      </c>
      <c r="T294" s="86"/>
      <c r="U294" s="31"/>
      <c r="AD294" s="97"/>
    </row>
    <row r="295" spans="1:30" ht="35.1" hidden="1" customHeight="1" x14ac:dyDescent="0.25">
      <c r="A295" s="83"/>
      <c r="B295" s="7"/>
      <c r="C295" s="8"/>
      <c r="D295" s="8"/>
      <c r="E295" s="60"/>
      <c r="F295" s="84" t="str">
        <f>IFERROR(VLOOKUP(CONCATENATE($B295,"_",F$3),materiali!$C:$K,5,0),"")</f>
        <v/>
      </c>
      <c r="G295" s="85" t="str">
        <f>IFERROR(VLOOKUP(CONCATENATE($B295,"_",G$3),materiali!$C:$K,6,0),"")</f>
        <v/>
      </c>
      <c r="H295" s="86"/>
      <c r="I295" s="84" t="str">
        <f>IFERROR(VLOOKUP(CONCATENATE($B295,"_",I$3),materiali!$C:$K,5,0),"")</f>
        <v/>
      </c>
      <c r="J295" s="85" t="str">
        <f>IFERROR(VLOOKUP(CONCATENATE($B295,"_",J$3),materiali!$C:$K,6,0),"")</f>
        <v/>
      </c>
      <c r="K295" s="86"/>
      <c r="L295" s="84" t="str">
        <f>IFERROR(VLOOKUP(CONCATENATE($B295,"_",L$3),materiali!$C:$K,5,0),"")</f>
        <v/>
      </c>
      <c r="M295" s="85" t="str">
        <f>IFERROR(VLOOKUP(CONCATENATE($B295,"_",M$3),materiali!$C:$K,6,0),"")</f>
        <v/>
      </c>
      <c r="N295" s="86"/>
      <c r="O295" s="84" t="str">
        <f>IFERROR(VLOOKUP(CONCATENATE($B295,"_",O$3),materiali!$C:$K,5,0),"")</f>
        <v/>
      </c>
      <c r="P295" s="85" t="str">
        <f>IFERROR(VLOOKUP(CONCATENATE($B295,"_",P$3),materiali!$C:$K,6,0),"")</f>
        <v/>
      </c>
      <c r="Q295" s="86"/>
      <c r="R295" s="84" t="str">
        <f>IFERROR(VLOOKUP(CONCATENATE($B295,"_",R$3),materiali!$C:$K,5,0),"")</f>
        <v/>
      </c>
      <c r="S295" s="85" t="str">
        <f>IFERROR(VLOOKUP(CONCATENATE($B295,"_",S$3),materiali!$C:$K,6,0),"")</f>
        <v/>
      </c>
      <c r="T295" s="86"/>
      <c r="U295" s="31"/>
      <c r="AD295" s="97"/>
    </row>
    <row r="296" spans="1:30" ht="35.1" hidden="1" customHeight="1" x14ac:dyDescent="0.25">
      <c r="A296" s="83"/>
      <c r="B296" s="7"/>
      <c r="C296" s="8"/>
      <c r="D296" s="8"/>
      <c r="E296" s="60"/>
      <c r="F296" s="84" t="str">
        <f>IFERROR(VLOOKUP(CONCATENATE($B296,"_",F$3),materiali!$C:$K,5,0),"")</f>
        <v/>
      </c>
      <c r="G296" s="85" t="str">
        <f>IFERROR(VLOOKUP(CONCATENATE($B296,"_",G$3),materiali!$C:$K,6,0),"")</f>
        <v/>
      </c>
      <c r="H296" s="86"/>
      <c r="I296" s="84" t="str">
        <f>IFERROR(VLOOKUP(CONCATENATE($B296,"_",I$3),materiali!$C:$K,5,0),"")</f>
        <v/>
      </c>
      <c r="J296" s="85" t="str">
        <f>IFERROR(VLOOKUP(CONCATENATE($B296,"_",J$3),materiali!$C:$K,6,0),"")</f>
        <v/>
      </c>
      <c r="K296" s="86"/>
      <c r="L296" s="84" t="str">
        <f>IFERROR(VLOOKUP(CONCATENATE($B296,"_",L$3),materiali!$C:$K,5,0),"")</f>
        <v/>
      </c>
      <c r="M296" s="85" t="str">
        <f>IFERROR(VLOOKUP(CONCATENATE($B296,"_",M$3),materiali!$C:$K,6,0),"")</f>
        <v/>
      </c>
      <c r="N296" s="86"/>
      <c r="O296" s="84" t="str">
        <f>IFERROR(VLOOKUP(CONCATENATE($B296,"_",O$3),materiali!$C:$K,5,0),"")</f>
        <v/>
      </c>
      <c r="P296" s="85" t="str">
        <f>IFERROR(VLOOKUP(CONCATENATE($B296,"_",P$3),materiali!$C:$K,6,0),"")</f>
        <v/>
      </c>
      <c r="Q296" s="86"/>
      <c r="R296" s="84" t="str">
        <f>IFERROR(VLOOKUP(CONCATENATE($B296,"_",R$3),materiali!$C:$K,5,0),"")</f>
        <v/>
      </c>
      <c r="S296" s="85" t="str">
        <f>IFERROR(VLOOKUP(CONCATENATE($B296,"_",S$3),materiali!$C:$K,6,0),"")</f>
        <v/>
      </c>
      <c r="T296" s="86"/>
      <c r="U296" s="31"/>
      <c r="AD296" s="97"/>
    </row>
    <row r="297" spans="1:30" ht="35.1" hidden="1" customHeight="1" x14ac:dyDescent="0.25">
      <c r="A297" s="83"/>
      <c r="B297" s="7"/>
      <c r="C297" s="8"/>
      <c r="D297" s="8"/>
      <c r="E297" s="60"/>
      <c r="F297" s="84" t="str">
        <f>IFERROR(VLOOKUP(CONCATENATE($B297,"_",F$3),materiali!$C:$K,5,0),"")</f>
        <v/>
      </c>
      <c r="G297" s="85" t="str">
        <f>IFERROR(VLOOKUP(CONCATENATE($B297,"_",G$3),materiali!$C:$K,6,0),"")</f>
        <v/>
      </c>
      <c r="H297" s="86"/>
      <c r="I297" s="84" t="str">
        <f>IFERROR(VLOOKUP(CONCATENATE($B297,"_",I$3),materiali!$C:$K,5,0),"")</f>
        <v/>
      </c>
      <c r="J297" s="85" t="str">
        <f>IFERROR(VLOOKUP(CONCATENATE($B297,"_",J$3),materiali!$C:$K,6,0),"")</f>
        <v/>
      </c>
      <c r="K297" s="86"/>
      <c r="L297" s="84" t="str">
        <f>IFERROR(VLOOKUP(CONCATENATE($B297,"_",L$3),materiali!$C:$K,5,0),"")</f>
        <v/>
      </c>
      <c r="M297" s="85" t="str">
        <f>IFERROR(VLOOKUP(CONCATENATE($B297,"_",M$3),materiali!$C:$K,6,0),"")</f>
        <v/>
      </c>
      <c r="N297" s="86"/>
      <c r="O297" s="84" t="str">
        <f>IFERROR(VLOOKUP(CONCATENATE($B297,"_",O$3),materiali!$C:$K,5,0),"")</f>
        <v/>
      </c>
      <c r="P297" s="85" t="str">
        <f>IFERROR(VLOOKUP(CONCATENATE($B297,"_",P$3),materiali!$C:$K,6,0),"")</f>
        <v/>
      </c>
      <c r="Q297" s="86"/>
      <c r="R297" s="84" t="str">
        <f>IFERROR(VLOOKUP(CONCATENATE($B297,"_",R$3),materiali!$C:$K,5,0),"")</f>
        <v/>
      </c>
      <c r="S297" s="85" t="str">
        <f>IFERROR(VLOOKUP(CONCATENATE($B297,"_",S$3),materiali!$C:$K,6,0),"")</f>
        <v/>
      </c>
      <c r="T297" s="86"/>
      <c r="U297" s="31"/>
      <c r="AD297" s="97"/>
    </row>
    <row r="298" spans="1:30" ht="35.1" hidden="1" customHeight="1" x14ac:dyDescent="0.25">
      <c r="A298" s="83"/>
      <c r="B298" s="7"/>
      <c r="C298" s="8"/>
      <c r="D298" s="8"/>
      <c r="E298" s="60"/>
      <c r="F298" s="84" t="str">
        <f>IFERROR(VLOOKUP(CONCATENATE($B298,"_",F$3),materiali!$C:$K,5,0),"")</f>
        <v/>
      </c>
      <c r="G298" s="85" t="str">
        <f>IFERROR(VLOOKUP(CONCATENATE($B298,"_",G$3),materiali!$C:$K,6,0),"")</f>
        <v/>
      </c>
      <c r="H298" s="86"/>
      <c r="I298" s="84" t="str">
        <f>IFERROR(VLOOKUP(CONCATENATE($B298,"_",I$3),materiali!$C:$K,5,0),"")</f>
        <v/>
      </c>
      <c r="J298" s="85" t="str">
        <f>IFERROR(VLOOKUP(CONCATENATE($B298,"_",J$3),materiali!$C:$K,6,0),"")</f>
        <v/>
      </c>
      <c r="K298" s="86"/>
      <c r="L298" s="84" t="str">
        <f>IFERROR(VLOOKUP(CONCATENATE($B298,"_",L$3),materiali!$C:$K,5,0),"")</f>
        <v/>
      </c>
      <c r="M298" s="85" t="str">
        <f>IFERROR(VLOOKUP(CONCATENATE($B298,"_",M$3),materiali!$C:$K,6,0),"")</f>
        <v/>
      </c>
      <c r="N298" s="86"/>
      <c r="O298" s="84" t="str">
        <f>IFERROR(VLOOKUP(CONCATENATE($B298,"_",O$3),materiali!$C:$K,5,0),"")</f>
        <v/>
      </c>
      <c r="P298" s="85" t="str">
        <f>IFERROR(VLOOKUP(CONCATENATE($B298,"_",P$3),materiali!$C:$K,6,0),"")</f>
        <v/>
      </c>
      <c r="Q298" s="86"/>
      <c r="R298" s="84" t="str">
        <f>IFERROR(VLOOKUP(CONCATENATE($B298,"_",R$3),materiali!$C:$K,5,0),"")</f>
        <v/>
      </c>
      <c r="S298" s="85" t="str">
        <f>IFERROR(VLOOKUP(CONCATENATE($B298,"_",S$3),materiali!$C:$K,6,0),"")</f>
        <v/>
      </c>
      <c r="T298" s="86"/>
      <c r="U298" s="31"/>
      <c r="AD298" s="97"/>
    </row>
    <row r="299" spans="1:30" ht="35.1" hidden="1" customHeight="1" x14ac:dyDescent="0.25">
      <c r="A299" s="83"/>
      <c r="B299" s="7"/>
      <c r="C299" s="8"/>
      <c r="D299" s="8"/>
      <c r="E299" s="60"/>
      <c r="F299" s="84" t="str">
        <f>IFERROR(VLOOKUP(CONCATENATE($B299,"_",F$3),materiali!$C:$K,5,0),"")</f>
        <v/>
      </c>
      <c r="G299" s="85" t="str">
        <f>IFERROR(VLOOKUP(CONCATENATE($B299,"_",G$3),materiali!$C:$K,6,0),"")</f>
        <v/>
      </c>
      <c r="H299" s="86"/>
      <c r="I299" s="84" t="str">
        <f>IFERROR(VLOOKUP(CONCATENATE($B299,"_",I$3),materiali!$C:$K,5,0),"")</f>
        <v/>
      </c>
      <c r="J299" s="85" t="str">
        <f>IFERROR(VLOOKUP(CONCATENATE($B299,"_",J$3),materiali!$C:$K,6,0),"")</f>
        <v/>
      </c>
      <c r="K299" s="86"/>
      <c r="L299" s="84" t="str">
        <f>IFERROR(VLOOKUP(CONCATENATE($B299,"_",L$3),materiali!$C:$K,5,0),"")</f>
        <v/>
      </c>
      <c r="M299" s="85" t="str">
        <f>IFERROR(VLOOKUP(CONCATENATE($B299,"_",M$3),materiali!$C:$K,6,0),"")</f>
        <v/>
      </c>
      <c r="N299" s="86"/>
      <c r="O299" s="84" t="str">
        <f>IFERROR(VLOOKUP(CONCATENATE($B299,"_",O$3),materiali!$C:$K,5,0),"")</f>
        <v/>
      </c>
      <c r="P299" s="85" t="str">
        <f>IFERROR(VLOOKUP(CONCATENATE($B299,"_",P$3),materiali!$C:$K,6,0),"")</f>
        <v/>
      </c>
      <c r="Q299" s="86"/>
      <c r="R299" s="84" t="str">
        <f>IFERROR(VLOOKUP(CONCATENATE($B299,"_",R$3),materiali!$C:$K,5,0),"")</f>
        <v/>
      </c>
      <c r="S299" s="85" t="str">
        <f>IFERROR(VLOOKUP(CONCATENATE($B299,"_",S$3),materiali!$C:$K,6,0),"")</f>
        <v/>
      </c>
      <c r="T299" s="86"/>
      <c r="U299" s="31"/>
      <c r="AD299" s="97"/>
    </row>
    <row r="300" spans="1:30" ht="35.1" hidden="1" customHeight="1" x14ac:dyDescent="0.25">
      <c r="A300" s="83"/>
      <c r="B300" s="7"/>
      <c r="C300" s="8"/>
      <c r="D300" s="8"/>
      <c r="E300" s="60"/>
      <c r="F300" s="84" t="str">
        <f>IFERROR(VLOOKUP(CONCATENATE($B300,"_",F$3),materiali!$C:$K,5,0),"")</f>
        <v/>
      </c>
      <c r="G300" s="85" t="str">
        <f>IFERROR(VLOOKUP(CONCATENATE($B300,"_",G$3),materiali!$C:$K,6,0),"")</f>
        <v/>
      </c>
      <c r="H300" s="86"/>
      <c r="I300" s="84" t="str">
        <f>IFERROR(VLOOKUP(CONCATENATE($B300,"_",I$3),materiali!$C:$K,5,0),"")</f>
        <v/>
      </c>
      <c r="J300" s="85" t="str">
        <f>IFERROR(VLOOKUP(CONCATENATE($B300,"_",J$3),materiali!$C:$K,6,0),"")</f>
        <v/>
      </c>
      <c r="K300" s="86"/>
      <c r="L300" s="84" t="str">
        <f>IFERROR(VLOOKUP(CONCATENATE($B300,"_",L$3),materiali!$C:$K,5,0),"")</f>
        <v/>
      </c>
      <c r="M300" s="85" t="str">
        <f>IFERROR(VLOOKUP(CONCATENATE($B300,"_",M$3),materiali!$C:$K,6,0),"")</f>
        <v/>
      </c>
      <c r="N300" s="86"/>
      <c r="O300" s="84" t="str">
        <f>IFERROR(VLOOKUP(CONCATENATE($B300,"_",O$3),materiali!$C:$K,5,0),"")</f>
        <v/>
      </c>
      <c r="P300" s="85" t="str">
        <f>IFERROR(VLOOKUP(CONCATENATE($B300,"_",P$3),materiali!$C:$K,6,0),"")</f>
        <v/>
      </c>
      <c r="Q300" s="86"/>
      <c r="R300" s="84" t="str">
        <f>IFERROR(VLOOKUP(CONCATENATE($B300,"_",R$3),materiali!$C:$K,5,0),"")</f>
        <v/>
      </c>
      <c r="S300" s="85" t="str">
        <f>IFERROR(VLOOKUP(CONCATENATE($B300,"_",S$3),materiali!$C:$K,6,0),"")</f>
        <v/>
      </c>
      <c r="T300" s="86"/>
      <c r="U300" s="31"/>
      <c r="AD300" s="97"/>
    </row>
    <row r="301" spans="1:30" ht="35.1" hidden="1" customHeight="1" x14ac:dyDescent="0.25">
      <c r="A301" s="83"/>
      <c r="B301" s="7"/>
      <c r="C301" s="8"/>
      <c r="D301" s="8"/>
      <c r="E301" s="60"/>
      <c r="F301" s="84" t="str">
        <f>IFERROR(VLOOKUP(CONCATENATE($B301,"_",F$3),materiali!$C:$K,5,0),"")</f>
        <v/>
      </c>
      <c r="G301" s="85" t="str">
        <f>IFERROR(VLOOKUP(CONCATENATE($B301,"_",G$3),materiali!$C:$K,6,0),"")</f>
        <v/>
      </c>
      <c r="H301" s="86"/>
      <c r="I301" s="84" t="str">
        <f>IFERROR(VLOOKUP(CONCATENATE($B301,"_",I$3),materiali!$C:$K,5,0),"")</f>
        <v/>
      </c>
      <c r="J301" s="85" t="str">
        <f>IFERROR(VLOOKUP(CONCATENATE($B301,"_",J$3),materiali!$C:$K,6,0),"")</f>
        <v/>
      </c>
      <c r="K301" s="86"/>
      <c r="L301" s="84" t="str">
        <f>IFERROR(VLOOKUP(CONCATENATE($B301,"_",L$3),materiali!$C:$K,5,0),"")</f>
        <v/>
      </c>
      <c r="M301" s="85" t="str">
        <f>IFERROR(VLOOKUP(CONCATENATE($B301,"_",M$3),materiali!$C:$K,6,0),"")</f>
        <v/>
      </c>
      <c r="N301" s="86"/>
      <c r="O301" s="84" t="str">
        <f>IFERROR(VLOOKUP(CONCATENATE($B301,"_",O$3),materiali!$C:$K,5,0),"")</f>
        <v/>
      </c>
      <c r="P301" s="85" t="str">
        <f>IFERROR(VLOOKUP(CONCATENATE($B301,"_",P$3),materiali!$C:$K,6,0),"")</f>
        <v/>
      </c>
      <c r="Q301" s="86"/>
      <c r="R301" s="84" t="str">
        <f>IFERROR(VLOOKUP(CONCATENATE($B301,"_",R$3),materiali!$C:$K,5,0),"")</f>
        <v/>
      </c>
      <c r="S301" s="85" t="str">
        <f>IFERROR(VLOOKUP(CONCATENATE($B301,"_",S$3),materiali!$C:$K,6,0),"")</f>
        <v/>
      </c>
      <c r="T301" s="86"/>
      <c r="U301" s="31"/>
      <c r="AD301" s="97"/>
    </row>
    <row r="302" spans="1:30" ht="35.1" hidden="1" customHeight="1" x14ac:dyDescent="0.25">
      <c r="A302" s="83"/>
      <c r="B302" s="7"/>
      <c r="C302" s="8"/>
      <c r="D302" s="8"/>
      <c r="E302" s="60"/>
      <c r="F302" s="84" t="str">
        <f>IFERROR(VLOOKUP(CONCATENATE($B302,"_",F$3),materiali!$C:$K,5,0),"")</f>
        <v/>
      </c>
      <c r="G302" s="85" t="str">
        <f>IFERROR(VLOOKUP(CONCATENATE($B302,"_",G$3),materiali!$C:$K,6,0),"")</f>
        <v/>
      </c>
      <c r="H302" s="86"/>
      <c r="I302" s="84" t="str">
        <f>IFERROR(VLOOKUP(CONCATENATE($B302,"_",I$3),materiali!$C:$K,5,0),"")</f>
        <v/>
      </c>
      <c r="J302" s="85" t="str">
        <f>IFERROR(VLOOKUP(CONCATENATE($B302,"_",J$3),materiali!$C:$K,6,0),"")</f>
        <v/>
      </c>
      <c r="K302" s="86"/>
      <c r="L302" s="84" t="str">
        <f>IFERROR(VLOOKUP(CONCATENATE($B302,"_",L$3),materiali!$C:$K,5,0),"")</f>
        <v/>
      </c>
      <c r="M302" s="85" t="str">
        <f>IFERROR(VLOOKUP(CONCATENATE($B302,"_",M$3),materiali!$C:$K,6,0),"")</f>
        <v/>
      </c>
      <c r="N302" s="86"/>
      <c r="O302" s="84" t="str">
        <f>IFERROR(VLOOKUP(CONCATENATE($B302,"_",O$3),materiali!$C:$K,5,0),"")</f>
        <v/>
      </c>
      <c r="P302" s="85" t="str">
        <f>IFERROR(VLOOKUP(CONCATENATE($B302,"_",P$3),materiali!$C:$K,6,0),"")</f>
        <v/>
      </c>
      <c r="Q302" s="86"/>
      <c r="R302" s="84" t="str">
        <f>IFERROR(VLOOKUP(CONCATENATE($B302,"_",R$3),materiali!$C:$K,5,0),"")</f>
        <v/>
      </c>
      <c r="S302" s="85" t="str">
        <f>IFERROR(VLOOKUP(CONCATENATE($B302,"_",S$3),materiali!$C:$K,6,0),"")</f>
        <v/>
      </c>
      <c r="T302" s="86"/>
      <c r="U302" s="31"/>
      <c r="AD302" s="97"/>
    </row>
    <row r="303" spans="1:30" ht="35.1" hidden="1" customHeight="1" x14ac:dyDescent="0.25">
      <c r="A303" s="83"/>
      <c r="B303" s="7"/>
      <c r="C303" s="8"/>
      <c r="D303" s="8"/>
      <c r="E303" s="60"/>
      <c r="F303" s="84" t="str">
        <f>IFERROR(VLOOKUP(CONCATENATE($B303,"_",F$3),materiali!$C:$K,5,0),"")</f>
        <v/>
      </c>
      <c r="G303" s="85" t="str">
        <f>IFERROR(VLOOKUP(CONCATENATE($B303,"_",G$3),materiali!$C:$K,6,0),"")</f>
        <v/>
      </c>
      <c r="H303" s="86"/>
      <c r="I303" s="84" t="str">
        <f>IFERROR(VLOOKUP(CONCATENATE($B303,"_",I$3),materiali!$C:$K,5,0),"")</f>
        <v/>
      </c>
      <c r="J303" s="85" t="str">
        <f>IFERROR(VLOOKUP(CONCATENATE($B303,"_",J$3),materiali!$C:$K,6,0),"")</f>
        <v/>
      </c>
      <c r="K303" s="86"/>
      <c r="L303" s="84" t="str">
        <f>IFERROR(VLOOKUP(CONCATENATE($B303,"_",L$3),materiali!$C:$K,5,0),"")</f>
        <v/>
      </c>
      <c r="M303" s="85" t="str">
        <f>IFERROR(VLOOKUP(CONCATENATE($B303,"_",M$3),materiali!$C:$K,6,0),"")</f>
        <v/>
      </c>
      <c r="N303" s="86"/>
      <c r="O303" s="84" t="str">
        <f>IFERROR(VLOOKUP(CONCATENATE($B303,"_",O$3),materiali!$C:$K,5,0),"")</f>
        <v/>
      </c>
      <c r="P303" s="85" t="str">
        <f>IFERROR(VLOOKUP(CONCATENATE($B303,"_",P$3),materiali!$C:$K,6,0),"")</f>
        <v/>
      </c>
      <c r="Q303" s="86"/>
      <c r="R303" s="84" t="str">
        <f>IFERROR(VLOOKUP(CONCATENATE($B303,"_",R$3),materiali!$C:$K,5,0),"")</f>
        <v/>
      </c>
      <c r="S303" s="85" t="str">
        <f>IFERROR(VLOOKUP(CONCATENATE($B303,"_",S$3),materiali!$C:$K,6,0),"")</f>
        <v/>
      </c>
      <c r="T303" s="86"/>
      <c r="U303" s="31"/>
      <c r="AD303" s="97"/>
    </row>
    <row r="304" spans="1:30" ht="35.1" hidden="1" customHeight="1" x14ac:dyDescent="0.25">
      <c r="A304" s="83"/>
      <c r="B304" s="7"/>
      <c r="C304" s="8"/>
      <c r="D304" s="8"/>
      <c r="E304" s="60"/>
      <c r="F304" s="84" t="str">
        <f>IFERROR(VLOOKUP(CONCATENATE($B304,"_",F$3),materiali!$C:$K,5,0),"")</f>
        <v/>
      </c>
      <c r="G304" s="85" t="str">
        <f>IFERROR(VLOOKUP(CONCATENATE($B304,"_",G$3),materiali!$C:$K,6,0),"")</f>
        <v/>
      </c>
      <c r="H304" s="86"/>
      <c r="I304" s="84" t="str">
        <f>IFERROR(VLOOKUP(CONCATENATE($B304,"_",I$3),materiali!$C:$K,5,0),"")</f>
        <v/>
      </c>
      <c r="J304" s="85" t="str">
        <f>IFERROR(VLOOKUP(CONCATENATE($B304,"_",J$3),materiali!$C:$K,6,0),"")</f>
        <v/>
      </c>
      <c r="K304" s="86"/>
      <c r="L304" s="84" t="str">
        <f>IFERROR(VLOOKUP(CONCATENATE($B304,"_",L$3),materiali!$C:$K,5,0),"")</f>
        <v/>
      </c>
      <c r="M304" s="85" t="str">
        <f>IFERROR(VLOOKUP(CONCATENATE($B304,"_",M$3),materiali!$C:$K,6,0),"")</f>
        <v/>
      </c>
      <c r="N304" s="86"/>
      <c r="O304" s="84" t="str">
        <f>IFERROR(VLOOKUP(CONCATENATE($B304,"_",O$3),materiali!$C:$K,5,0),"")</f>
        <v/>
      </c>
      <c r="P304" s="85" t="str">
        <f>IFERROR(VLOOKUP(CONCATENATE($B304,"_",P$3),materiali!$C:$K,6,0),"")</f>
        <v/>
      </c>
      <c r="Q304" s="86"/>
      <c r="R304" s="84" t="str">
        <f>IFERROR(VLOOKUP(CONCATENATE($B304,"_",R$3),materiali!$C:$K,5,0),"")</f>
        <v/>
      </c>
      <c r="S304" s="85" t="str">
        <f>IFERROR(VLOOKUP(CONCATENATE($B304,"_",S$3),materiali!$C:$K,6,0),"")</f>
        <v/>
      </c>
      <c r="T304" s="86"/>
      <c r="U304" s="31"/>
      <c r="AD304" s="97"/>
    </row>
    <row r="305" spans="1:30" ht="35.1" hidden="1" customHeight="1" x14ac:dyDescent="0.25">
      <c r="A305" s="83"/>
      <c r="B305" s="7"/>
      <c r="C305" s="8"/>
      <c r="D305" s="8"/>
      <c r="E305" s="60"/>
      <c r="F305" s="84" t="str">
        <f>IFERROR(VLOOKUP(CONCATENATE($B305,"_",F$3),materiali!$C:$K,5,0),"")</f>
        <v/>
      </c>
      <c r="G305" s="85" t="str">
        <f>IFERROR(VLOOKUP(CONCATENATE($B305,"_",G$3),materiali!$C:$K,6,0),"")</f>
        <v/>
      </c>
      <c r="H305" s="86"/>
      <c r="I305" s="84" t="str">
        <f>IFERROR(VLOOKUP(CONCATENATE($B305,"_",I$3),materiali!$C:$K,5,0),"")</f>
        <v/>
      </c>
      <c r="J305" s="85" t="str">
        <f>IFERROR(VLOOKUP(CONCATENATE($B305,"_",J$3),materiali!$C:$K,6,0),"")</f>
        <v/>
      </c>
      <c r="K305" s="86"/>
      <c r="L305" s="84" t="str">
        <f>IFERROR(VLOOKUP(CONCATENATE($B305,"_",L$3),materiali!$C:$K,5,0),"")</f>
        <v/>
      </c>
      <c r="M305" s="85" t="str">
        <f>IFERROR(VLOOKUP(CONCATENATE($B305,"_",M$3),materiali!$C:$K,6,0),"")</f>
        <v/>
      </c>
      <c r="N305" s="86"/>
      <c r="O305" s="84" t="str">
        <f>IFERROR(VLOOKUP(CONCATENATE($B305,"_",O$3),materiali!$C:$K,5,0),"")</f>
        <v/>
      </c>
      <c r="P305" s="85" t="str">
        <f>IFERROR(VLOOKUP(CONCATENATE($B305,"_",P$3),materiali!$C:$K,6,0),"")</f>
        <v/>
      </c>
      <c r="Q305" s="86"/>
      <c r="R305" s="84" t="str">
        <f>IFERROR(VLOOKUP(CONCATENATE($B305,"_",R$3),materiali!$C:$K,5,0),"")</f>
        <v/>
      </c>
      <c r="S305" s="85" t="str">
        <f>IFERROR(VLOOKUP(CONCATENATE($B305,"_",S$3),materiali!$C:$K,6,0),"")</f>
        <v/>
      </c>
      <c r="T305" s="86"/>
      <c r="U305" s="31"/>
      <c r="AD305" s="97"/>
    </row>
    <row r="306" spans="1:30" ht="35.1" hidden="1" customHeight="1" x14ac:dyDescent="0.25">
      <c r="A306" s="83"/>
      <c r="B306" s="7"/>
      <c r="C306" s="8"/>
      <c r="D306" s="8"/>
      <c r="E306" s="60"/>
      <c r="F306" s="84" t="str">
        <f>IFERROR(VLOOKUP(CONCATENATE($B306,"_",F$3),materiali!$C:$K,5,0),"")</f>
        <v/>
      </c>
      <c r="G306" s="85" t="str">
        <f>IFERROR(VLOOKUP(CONCATENATE($B306,"_",G$3),materiali!$C:$K,6,0),"")</f>
        <v/>
      </c>
      <c r="H306" s="86"/>
      <c r="I306" s="84" t="str">
        <f>IFERROR(VLOOKUP(CONCATENATE($B306,"_",I$3),materiali!$C:$K,5,0),"")</f>
        <v/>
      </c>
      <c r="J306" s="85" t="str">
        <f>IFERROR(VLOOKUP(CONCATENATE($B306,"_",J$3),materiali!$C:$K,6,0),"")</f>
        <v/>
      </c>
      <c r="K306" s="86"/>
      <c r="L306" s="84" t="str">
        <f>IFERROR(VLOOKUP(CONCATENATE($B306,"_",L$3),materiali!$C:$K,5,0),"")</f>
        <v/>
      </c>
      <c r="M306" s="85" t="str">
        <f>IFERROR(VLOOKUP(CONCATENATE($B306,"_",M$3),materiali!$C:$K,6,0),"")</f>
        <v/>
      </c>
      <c r="N306" s="86"/>
      <c r="O306" s="84" t="str">
        <f>IFERROR(VLOOKUP(CONCATENATE($B306,"_",O$3),materiali!$C:$K,5,0),"")</f>
        <v/>
      </c>
      <c r="P306" s="85" t="str">
        <f>IFERROR(VLOOKUP(CONCATENATE($B306,"_",P$3),materiali!$C:$K,6,0),"")</f>
        <v/>
      </c>
      <c r="Q306" s="86"/>
      <c r="R306" s="84" t="str">
        <f>IFERROR(VLOOKUP(CONCATENATE($B306,"_",R$3),materiali!$C:$K,5,0),"")</f>
        <v/>
      </c>
      <c r="S306" s="85" t="str">
        <f>IFERROR(VLOOKUP(CONCATENATE($B306,"_",S$3),materiali!$C:$K,6,0),"")</f>
        <v/>
      </c>
      <c r="T306" s="86"/>
      <c r="U306" s="31"/>
      <c r="AD306" s="97"/>
    </row>
    <row r="307" spans="1:30" ht="35.1" hidden="1" customHeight="1" x14ac:dyDescent="0.25">
      <c r="A307" s="83"/>
      <c r="B307" s="7"/>
      <c r="C307" s="8"/>
      <c r="D307" s="8"/>
      <c r="E307" s="60"/>
      <c r="F307" s="84" t="str">
        <f>IFERROR(VLOOKUP(CONCATENATE($B307,"_",F$3),materiali!$C:$K,5,0),"")</f>
        <v/>
      </c>
      <c r="G307" s="85" t="str">
        <f>IFERROR(VLOOKUP(CONCATENATE($B307,"_",G$3),materiali!$C:$K,6,0),"")</f>
        <v/>
      </c>
      <c r="H307" s="86"/>
      <c r="I307" s="84" t="str">
        <f>IFERROR(VLOOKUP(CONCATENATE($B307,"_",I$3),materiali!$C:$K,5,0),"")</f>
        <v/>
      </c>
      <c r="J307" s="85" t="str">
        <f>IFERROR(VLOOKUP(CONCATENATE($B307,"_",J$3),materiali!$C:$K,6,0),"")</f>
        <v/>
      </c>
      <c r="K307" s="86"/>
      <c r="L307" s="84" t="str">
        <f>IFERROR(VLOOKUP(CONCATENATE($B307,"_",L$3),materiali!$C:$K,5,0),"")</f>
        <v/>
      </c>
      <c r="M307" s="85" t="str">
        <f>IFERROR(VLOOKUP(CONCATENATE($B307,"_",M$3),materiali!$C:$K,6,0),"")</f>
        <v/>
      </c>
      <c r="N307" s="86"/>
      <c r="O307" s="84" t="str">
        <f>IFERROR(VLOOKUP(CONCATENATE($B307,"_",O$3),materiali!$C:$K,5,0),"")</f>
        <v/>
      </c>
      <c r="P307" s="85" t="str">
        <f>IFERROR(VLOOKUP(CONCATENATE($B307,"_",P$3),materiali!$C:$K,6,0),"")</f>
        <v/>
      </c>
      <c r="Q307" s="86"/>
      <c r="R307" s="84" t="str">
        <f>IFERROR(VLOOKUP(CONCATENATE($B307,"_",R$3),materiali!$C:$K,5,0),"")</f>
        <v/>
      </c>
      <c r="S307" s="85" t="str">
        <f>IFERROR(VLOOKUP(CONCATENATE($B307,"_",S$3),materiali!$C:$K,6,0),"")</f>
        <v/>
      </c>
      <c r="T307" s="86"/>
      <c r="U307" s="31"/>
      <c r="AD307" s="97"/>
    </row>
    <row r="308" spans="1:30" ht="35.1" hidden="1" customHeight="1" x14ac:dyDescent="0.25">
      <c r="A308" s="83"/>
      <c r="B308" s="7"/>
      <c r="C308" s="8"/>
      <c r="D308" s="8"/>
      <c r="E308" s="60"/>
      <c r="F308" s="84" t="str">
        <f>IFERROR(VLOOKUP(CONCATENATE($B308,"_",F$3),materiali!$C:$K,5,0),"")</f>
        <v/>
      </c>
      <c r="G308" s="85" t="str">
        <f>IFERROR(VLOOKUP(CONCATENATE($B308,"_",G$3),materiali!$C:$K,6,0),"")</f>
        <v/>
      </c>
      <c r="H308" s="86"/>
      <c r="I308" s="84" t="str">
        <f>IFERROR(VLOOKUP(CONCATENATE($B308,"_",I$3),materiali!$C:$K,5,0),"")</f>
        <v/>
      </c>
      <c r="J308" s="85" t="str">
        <f>IFERROR(VLOOKUP(CONCATENATE($B308,"_",J$3),materiali!$C:$K,6,0),"")</f>
        <v/>
      </c>
      <c r="K308" s="86"/>
      <c r="L308" s="84" t="str">
        <f>IFERROR(VLOOKUP(CONCATENATE($B308,"_",L$3),materiali!$C:$K,5,0),"")</f>
        <v/>
      </c>
      <c r="M308" s="85" t="str">
        <f>IFERROR(VLOOKUP(CONCATENATE($B308,"_",M$3),materiali!$C:$K,6,0),"")</f>
        <v/>
      </c>
      <c r="N308" s="86"/>
      <c r="O308" s="84" t="str">
        <f>IFERROR(VLOOKUP(CONCATENATE($B308,"_",O$3),materiali!$C:$K,5,0),"")</f>
        <v/>
      </c>
      <c r="P308" s="85" t="str">
        <f>IFERROR(VLOOKUP(CONCATENATE($B308,"_",P$3),materiali!$C:$K,6,0),"")</f>
        <v/>
      </c>
      <c r="Q308" s="86"/>
      <c r="R308" s="84" t="str">
        <f>IFERROR(VLOOKUP(CONCATENATE($B308,"_",R$3),materiali!$C:$K,5,0),"")</f>
        <v/>
      </c>
      <c r="S308" s="85" t="str">
        <f>IFERROR(VLOOKUP(CONCATENATE($B308,"_",S$3),materiali!$C:$K,6,0),"")</f>
        <v/>
      </c>
      <c r="T308" s="86"/>
      <c r="U308" s="31"/>
      <c r="AD308" s="97"/>
    </row>
    <row r="309" spans="1:30" ht="35.1" hidden="1" customHeight="1" x14ac:dyDescent="0.25">
      <c r="A309" s="83"/>
      <c r="B309" s="7"/>
      <c r="C309" s="8"/>
      <c r="D309" s="8"/>
      <c r="E309" s="60"/>
      <c r="F309" s="84" t="str">
        <f>IFERROR(VLOOKUP(CONCATENATE($B309,"_",F$3),materiali!$C:$K,5,0),"")</f>
        <v/>
      </c>
      <c r="G309" s="85" t="str">
        <f>IFERROR(VLOOKUP(CONCATENATE($B309,"_",G$3),materiali!$C:$K,6,0),"")</f>
        <v/>
      </c>
      <c r="H309" s="86"/>
      <c r="I309" s="84" t="str">
        <f>IFERROR(VLOOKUP(CONCATENATE($B309,"_",I$3),materiali!$C:$K,5,0),"")</f>
        <v/>
      </c>
      <c r="J309" s="85" t="str">
        <f>IFERROR(VLOOKUP(CONCATENATE($B309,"_",J$3),materiali!$C:$K,6,0),"")</f>
        <v/>
      </c>
      <c r="K309" s="86"/>
      <c r="L309" s="84" t="str">
        <f>IFERROR(VLOOKUP(CONCATENATE($B309,"_",L$3),materiali!$C:$K,5,0),"")</f>
        <v/>
      </c>
      <c r="M309" s="85" t="str">
        <f>IFERROR(VLOOKUP(CONCATENATE($B309,"_",M$3),materiali!$C:$K,6,0),"")</f>
        <v/>
      </c>
      <c r="N309" s="86"/>
      <c r="O309" s="84" t="str">
        <f>IFERROR(VLOOKUP(CONCATENATE($B309,"_",O$3),materiali!$C:$K,5,0),"")</f>
        <v/>
      </c>
      <c r="P309" s="85" t="str">
        <f>IFERROR(VLOOKUP(CONCATENATE($B309,"_",P$3),materiali!$C:$K,6,0),"")</f>
        <v/>
      </c>
      <c r="Q309" s="86"/>
      <c r="R309" s="84" t="str">
        <f>IFERROR(VLOOKUP(CONCATENATE($B309,"_",R$3),materiali!$C:$K,5,0),"")</f>
        <v/>
      </c>
      <c r="S309" s="85" t="str">
        <f>IFERROR(VLOOKUP(CONCATENATE($B309,"_",S$3),materiali!$C:$K,6,0),"")</f>
        <v/>
      </c>
      <c r="T309" s="86"/>
      <c r="U309" s="31"/>
      <c r="AD309" s="97"/>
    </row>
    <row r="310" spans="1:30" ht="35.1" hidden="1" customHeight="1" x14ac:dyDescent="0.25">
      <c r="A310" s="83"/>
      <c r="B310" s="7"/>
      <c r="C310" s="8"/>
      <c r="D310" s="8"/>
      <c r="E310" s="60"/>
      <c r="F310" s="84" t="str">
        <f>IFERROR(VLOOKUP(CONCATENATE($B310,"_",F$3),materiali!$C:$K,5,0),"")</f>
        <v/>
      </c>
      <c r="G310" s="85" t="str">
        <f>IFERROR(VLOOKUP(CONCATENATE($B310,"_",G$3),materiali!$C:$K,6,0),"")</f>
        <v/>
      </c>
      <c r="H310" s="86"/>
      <c r="I310" s="84" t="str">
        <f>IFERROR(VLOOKUP(CONCATENATE($B310,"_",I$3),materiali!$C:$K,5,0),"")</f>
        <v/>
      </c>
      <c r="J310" s="85" t="str">
        <f>IFERROR(VLOOKUP(CONCATENATE($B310,"_",J$3),materiali!$C:$K,6,0),"")</f>
        <v/>
      </c>
      <c r="K310" s="86"/>
      <c r="L310" s="84" t="str">
        <f>IFERROR(VLOOKUP(CONCATENATE($B310,"_",L$3),materiali!$C:$K,5,0),"")</f>
        <v/>
      </c>
      <c r="M310" s="85" t="str">
        <f>IFERROR(VLOOKUP(CONCATENATE($B310,"_",M$3),materiali!$C:$K,6,0),"")</f>
        <v/>
      </c>
      <c r="N310" s="86"/>
      <c r="O310" s="84" t="str">
        <f>IFERROR(VLOOKUP(CONCATENATE($B310,"_",O$3),materiali!$C:$K,5,0),"")</f>
        <v/>
      </c>
      <c r="P310" s="85" t="str">
        <f>IFERROR(VLOOKUP(CONCATENATE($B310,"_",P$3),materiali!$C:$K,6,0),"")</f>
        <v/>
      </c>
      <c r="Q310" s="86"/>
      <c r="R310" s="84" t="str">
        <f>IFERROR(VLOOKUP(CONCATENATE($B310,"_",R$3),materiali!$C:$K,5,0),"")</f>
        <v/>
      </c>
      <c r="S310" s="85" t="str">
        <f>IFERROR(VLOOKUP(CONCATENATE($B310,"_",S$3),materiali!$C:$K,6,0),"")</f>
        <v/>
      </c>
      <c r="T310" s="86"/>
      <c r="U310" s="31"/>
      <c r="AD310" s="97"/>
    </row>
    <row r="311" spans="1:30" ht="35.1" hidden="1" customHeight="1" x14ac:dyDescent="0.25">
      <c r="A311" s="83"/>
      <c r="B311" s="7"/>
      <c r="C311" s="8"/>
      <c r="D311" s="8"/>
      <c r="E311" s="60"/>
      <c r="F311" s="84" t="str">
        <f>IFERROR(VLOOKUP(CONCATENATE($B311,"_",F$3),materiali!$C:$K,5,0),"")</f>
        <v/>
      </c>
      <c r="G311" s="85" t="str">
        <f>IFERROR(VLOOKUP(CONCATENATE($B311,"_",G$3),materiali!$C:$K,6,0),"")</f>
        <v/>
      </c>
      <c r="H311" s="86"/>
      <c r="I311" s="84" t="str">
        <f>IFERROR(VLOOKUP(CONCATENATE($B311,"_",I$3),materiali!$C:$K,5,0),"")</f>
        <v/>
      </c>
      <c r="J311" s="85" t="str">
        <f>IFERROR(VLOOKUP(CONCATENATE($B311,"_",J$3),materiali!$C:$K,6,0),"")</f>
        <v/>
      </c>
      <c r="K311" s="86"/>
      <c r="L311" s="84" t="str">
        <f>IFERROR(VLOOKUP(CONCATENATE($B311,"_",L$3),materiali!$C:$K,5,0),"")</f>
        <v/>
      </c>
      <c r="M311" s="85" t="str">
        <f>IFERROR(VLOOKUP(CONCATENATE($B311,"_",M$3),materiali!$C:$K,6,0),"")</f>
        <v/>
      </c>
      <c r="N311" s="86"/>
      <c r="O311" s="84" t="str">
        <f>IFERROR(VLOOKUP(CONCATENATE($B311,"_",O$3),materiali!$C:$K,5,0),"")</f>
        <v/>
      </c>
      <c r="P311" s="85" t="str">
        <f>IFERROR(VLOOKUP(CONCATENATE($B311,"_",P$3),materiali!$C:$K,6,0),"")</f>
        <v/>
      </c>
      <c r="Q311" s="86"/>
      <c r="R311" s="84" t="str">
        <f>IFERROR(VLOOKUP(CONCATENATE($B311,"_",R$3),materiali!$C:$K,5,0),"")</f>
        <v/>
      </c>
      <c r="S311" s="85" t="str">
        <f>IFERROR(VLOOKUP(CONCATENATE($B311,"_",S$3),materiali!$C:$K,6,0),"")</f>
        <v/>
      </c>
      <c r="T311" s="86"/>
      <c r="U311" s="31"/>
      <c r="AD311" s="97"/>
    </row>
    <row r="312" spans="1:30" ht="35.1" hidden="1" customHeight="1" x14ac:dyDescent="0.25">
      <c r="A312" s="83"/>
      <c r="B312" s="7"/>
      <c r="C312" s="8"/>
      <c r="D312" s="8"/>
      <c r="E312" s="60"/>
      <c r="F312" s="84" t="str">
        <f>IFERROR(VLOOKUP(CONCATENATE($B312,"_",F$3),materiali!$C:$K,5,0),"")</f>
        <v/>
      </c>
      <c r="G312" s="85" t="str">
        <f>IFERROR(VLOOKUP(CONCATENATE($B312,"_",G$3),materiali!$C:$K,6,0),"")</f>
        <v/>
      </c>
      <c r="H312" s="86"/>
      <c r="I312" s="84" t="str">
        <f>IFERROR(VLOOKUP(CONCATENATE($B312,"_",I$3),materiali!$C:$K,5,0),"")</f>
        <v/>
      </c>
      <c r="J312" s="85" t="str">
        <f>IFERROR(VLOOKUP(CONCATENATE($B312,"_",J$3),materiali!$C:$K,6,0),"")</f>
        <v/>
      </c>
      <c r="K312" s="86"/>
      <c r="L312" s="84" t="str">
        <f>IFERROR(VLOOKUP(CONCATENATE($B312,"_",L$3),materiali!$C:$K,5,0),"")</f>
        <v/>
      </c>
      <c r="M312" s="85" t="str">
        <f>IFERROR(VLOOKUP(CONCATENATE($B312,"_",M$3),materiali!$C:$K,6,0),"")</f>
        <v/>
      </c>
      <c r="N312" s="86"/>
      <c r="O312" s="84" t="str">
        <f>IFERROR(VLOOKUP(CONCATENATE($B312,"_",O$3),materiali!$C:$K,5,0),"")</f>
        <v/>
      </c>
      <c r="P312" s="85" t="str">
        <f>IFERROR(VLOOKUP(CONCATENATE($B312,"_",P$3),materiali!$C:$K,6,0),"")</f>
        <v/>
      </c>
      <c r="Q312" s="86"/>
      <c r="R312" s="84" t="str">
        <f>IFERROR(VLOOKUP(CONCATENATE($B312,"_",R$3),materiali!$C:$K,5,0),"")</f>
        <v/>
      </c>
      <c r="S312" s="85" t="str">
        <f>IFERROR(VLOOKUP(CONCATENATE($B312,"_",S$3),materiali!$C:$K,6,0),"")</f>
        <v/>
      </c>
      <c r="T312" s="86"/>
      <c r="U312" s="31"/>
      <c r="AD312" s="97"/>
    </row>
    <row r="313" spans="1:30" ht="35.1" hidden="1" customHeight="1" x14ac:dyDescent="0.25">
      <c r="A313" s="83"/>
      <c r="B313" s="7"/>
      <c r="C313" s="8"/>
      <c r="D313" s="8"/>
      <c r="E313" s="60"/>
      <c r="F313" s="84" t="str">
        <f>IFERROR(VLOOKUP(CONCATENATE($B313,"_",F$3),materiali!$C:$K,5,0),"")</f>
        <v/>
      </c>
      <c r="G313" s="85" t="str">
        <f>IFERROR(VLOOKUP(CONCATENATE($B313,"_",G$3),materiali!$C:$K,6,0),"")</f>
        <v/>
      </c>
      <c r="H313" s="86"/>
      <c r="I313" s="84" t="str">
        <f>IFERROR(VLOOKUP(CONCATENATE($B313,"_",I$3),materiali!$C:$K,5,0),"")</f>
        <v/>
      </c>
      <c r="J313" s="85" t="str">
        <f>IFERROR(VLOOKUP(CONCATENATE($B313,"_",J$3),materiali!$C:$K,6,0),"")</f>
        <v/>
      </c>
      <c r="K313" s="86"/>
      <c r="L313" s="84" t="str">
        <f>IFERROR(VLOOKUP(CONCATENATE($B313,"_",L$3),materiali!$C:$K,5,0),"")</f>
        <v/>
      </c>
      <c r="M313" s="85" t="str">
        <f>IFERROR(VLOOKUP(CONCATENATE($B313,"_",M$3),materiali!$C:$K,6,0),"")</f>
        <v/>
      </c>
      <c r="N313" s="86"/>
      <c r="O313" s="84" t="str">
        <f>IFERROR(VLOOKUP(CONCATENATE($B313,"_",O$3),materiali!$C:$K,5,0),"")</f>
        <v/>
      </c>
      <c r="P313" s="85" t="str">
        <f>IFERROR(VLOOKUP(CONCATENATE($B313,"_",P$3),materiali!$C:$K,6,0),"")</f>
        <v/>
      </c>
      <c r="Q313" s="86"/>
      <c r="R313" s="84" t="str">
        <f>IFERROR(VLOOKUP(CONCATENATE($B313,"_",R$3),materiali!$C:$K,5,0),"")</f>
        <v/>
      </c>
      <c r="S313" s="85" t="str">
        <f>IFERROR(VLOOKUP(CONCATENATE($B313,"_",S$3),materiali!$C:$K,6,0),"")</f>
        <v/>
      </c>
      <c r="T313" s="86"/>
      <c r="U313" s="31"/>
      <c r="AD313" s="97"/>
    </row>
    <row r="314" spans="1:30" ht="35.1" hidden="1" customHeight="1" x14ac:dyDescent="0.25">
      <c r="A314" s="83"/>
      <c r="B314" s="7"/>
      <c r="C314" s="8"/>
      <c r="D314" s="8"/>
      <c r="E314" s="60"/>
      <c r="F314" s="84" t="str">
        <f>IFERROR(VLOOKUP(CONCATENATE($B314,"_",F$3),materiali!$C:$K,5,0),"")</f>
        <v/>
      </c>
      <c r="G314" s="85" t="str">
        <f>IFERROR(VLOOKUP(CONCATENATE($B314,"_",G$3),materiali!$C:$K,6,0),"")</f>
        <v/>
      </c>
      <c r="H314" s="86"/>
      <c r="I314" s="84" t="str">
        <f>IFERROR(VLOOKUP(CONCATENATE($B314,"_",I$3),materiali!$C:$K,5,0),"")</f>
        <v/>
      </c>
      <c r="J314" s="85" t="str">
        <f>IFERROR(VLOOKUP(CONCATENATE($B314,"_",J$3),materiali!$C:$K,6,0),"")</f>
        <v/>
      </c>
      <c r="K314" s="86"/>
      <c r="L314" s="84" t="str">
        <f>IFERROR(VLOOKUP(CONCATENATE($B314,"_",L$3),materiali!$C:$K,5,0),"")</f>
        <v/>
      </c>
      <c r="M314" s="85" t="str">
        <f>IFERROR(VLOOKUP(CONCATENATE($B314,"_",M$3),materiali!$C:$K,6,0),"")</f>
        <v/>
      </c>
      <c r="N314" s="86"/>
      <c r="O314" s="84" t="str">
        <f>IFERROR(VLOOKUP(CONCATENATE($B314,"_",O$3),materiali!$C:$K,5,0),"")</f>
        <v/>
      </c>
      <c r="P314" s="85" t="str">
        <f>IFERROR(VLOOKUP(CONCATENATE($B314,"_",P$3),materiali!$C:$K,6,0),"")</f>
        <v/>
      </c>
      <c r="Q314" s="86"/>
      <c r="R314" s="84" t="str">
        <f>IFERROR(VLOOKUP(CONCATENATE($B314,"_",R$3),materiali!$C:$K,5,0),"")</f>
        <v/>
      </c>
      <c r="S314" s="85" t="str">
        <f>IFERROR(VLOOKUP(CONCATENATE($B314,"_",S$3),materiali!$C:$K,6,0),"")</f>
        <v/>
      </c>
      <c r="T314" s="86"/>
      <c r="U314" s="31"/>
      <c r="AD314" s="97"/>
    </row>
    <row r="315" spans="1:30" ht="35.1" hidden="1" customHeight="1" x14ac:dyDescent="0.25">
      <c r="A315" s="83"/>
      <c r="B315" s="7"/>
      <c r="C315" s="8"/>
      <c r="D315" s="8"/>
      <c r="E315" s="60"/>
      <c r="F315" s="84" t="str">
        <f>IFERROR(VLOOKUP(CONCATENATE($B315,"_",F$3),materiali!$C:$K,5,0),"")</f>
        <v/>
      </c>
      <c r="G315" s="85" t="str">
        <f>IFERROR(VLOOKUP(CONCATENATE($B315,"_",G$3),materiali!$C:$K,6,0),"")</f>
        <v/>
      </c>
      <c r="H315" s="86"/>
      <c r="I315" s="84" t="str">
        <f>IFERROR(VLOOKUP(CONCATENATE($B315,"_",I$3),materiali!$C:$K,5,0),"")</f>
        <v/>
      </c>
      <c r="J315" s="85" t="str">
        <f>IFERROR(VLOOKUP(CONCATENATE($B315,"_",J$3),materiali!$C:$K,6,0),"")</f>
        <v/>
      </c>
      <c r="K315" s="86"/>
      <c r="L315" s="84" t="str">
        <f>IFERROR(VLOOKUP(CONCATENATE($B315,"_",L$3),materiali!$C:$K,5,0),"")</f>
        <v/>
      </c>
      <c r="M315" s="85" t="str">
        <f>IFERROR(VLOOKUP(CONCATENATE($B315,"_",M$3),materiali!$C:$K,6,0),"")</f>
        <v/>
      </c>
      <c r="N315" s="86"/>
      <c r="O315" s="84" t="str">
        <f>IFERROR(VLOOKUP(CONCATENATE($B315,"_",O$3),materiali!$C:$K,5,0),"")</f>
        <v/>
      </c>
      <c r="P315" s="85" t="str">
        <f>IFERROR(VLOOKUP(CONCATENATE($B315,"_",P$3),materiali!$C:$K,6,0),"")</f>
        <v/>
      </c>
      <c r="Q315" s="86"/>
      <c r="R315" s="84" t="str">
        <f>IFERROR(VLOOKUP(CONCATENATE($B315,"_",R$3),materiali!$C:$K,5,0),"")</f>
        <v/>
      </c>
      <c r="S315" s="85" t="str">
        <f>IFERROR(VLOOKUP(CONCATENATE($B315,"_",S$3),materiali!$C:$K,6,0),"")</f>
        <v/>
      </c>
      <c r="T315" s="86"/>
      <c r="U315" s="31"/>
      <c r="AD315" s="97"/>
    </row>
    <row r="316" spans="1:30" ht="35.1" hidden="1" customHeight="1" x14ac:dyDescent="0.25">
      <c r="A316" s="83"/>
      <c r="B316" s="7"/>
      <c r="C316" s="8"/>
      <c r="D316" s="8"/>
      <c r="E316" s="60"/>
      <c r="F316" s="84" t="str">
        <f>IFERROR(VLOOKUP(CONCATENATE($B316,"_",F$3),materiali!$C:$K,5,0),"")</f>
        <v/>
      </c>
      <c r="G316" s="85" t="str">
        <f>IFERROR(VLOOKUP(CONCATENATE($B316,"_",G$3),materiali!$C:$K,6,0),"")</f>
        <v/>
      </c>
      <c r="H316" s="86"/>
      <c r="I316" s="84" t="str">
        <f>IFERROR(VLOOKUP(CONCATENATE($B316,"_",I$3),materiali!$C:$K,5,0),"")</f>
        <v/>
      </c>
      <c r="J316" s="85" t="str">
        <f>IFERROR(VLOOKUP(CONCATENATE($B316,"_",J$3),materiali!$C:$K,6,0),"")</f>
        <v/>
      </c>
      <c r="K316" s="86"/>
      <c r="L316" s="84" t="str">
        <f>IFERROR(VLOOKUP(CONCATENATE($B316,"_",L$3),materiali!$C:$K,5,0),"")</f>
        <v/>
      </c>
      <c r="M316" s="85" t="str">
        <f>IFERROR(VLOOKUP(CONCATENATE($B316,"_",M$3),materiali!$C:$K,6,0),"")</f>
        <v/>
      </c>
      <c r="N316" s="86"/>
      <c r="O316" s="84" t="str">
        <f>IFERROR(VLOOKUP(CONCATENATE($B316,"_",O$3),materiali!$C:$K,5,0),"")</f>
        <v/>
      </c>
      <c r="P316" s="85" t="str">
        <f>IFERROR(VLOOKUP(CONCATENATE($B316,"_",P$3),materiali!$C:$K,6,0),"")</f>
        <v/>
      </c>
      <c r="Q316" s="86"/>
      <c r="R316" s="84" t="str">
        <f>IFERROR(VLOOKUP(CONCATENATE($B316,"_",R$3),materiali!$C:$K,5,0),"")</f>
        <v/>
      </c>
      <c r="S316" s="85" t="str">
        <f>IFERROR(VLOOKUP(CONCATENATE($B316,"_",S$3),materiali!$C:$K,6,0),"")</f>
        <v/>
      </c>
      <c r="T316" s="86"/>
      <c r="U316" s="31"/>
      <c r="AD316" s="97"/>
    </row>
    <row r="317" spans="1:30" ht="35.1" hidden="1" customHeight="1" x14ac:dyDescent="0.25">
      <c r="A317" s="83"/>
      <c r="B317" s="7"/>
      <c r="C317" s="8"/>
      <c r="D317" s="8"/>
      <c r="E317" s="60"/>
      <c r="F317" s="84" t="str">
        <f>IFERROR(VLOOKUP(CONCATENATE($B317,"_",F$3),materiali!$C:$K,5,0),"")</f>
        <v/>
      </c>
      <c r="G317" s="85" t="str">
        <f>IFERROR(VLOOKUP(CONCATENATE($B317,"_",G$3),materiali!$C:$K,6,0),"")</f>
        <v/>
      </c>
      <c r="H317" s="86"/>
      <c r="I317" s="84" t="str">
        <f>IFERROR(VLOOKUP(CONCATENATE($B317,"_",I$3),materiali!$C:$K,5,0),"")</f>
        <v/>
      </c>
      <c r="J317" s="85" t="str">
        <f>IFERROR(VLOOKUP(CONCATENATE($B317,"_",J$3),materiali!$C:$K,6,0),"")</f>
        <v/>
      </c>
      <c r="K317" s="86"/>
      <c r="L317" s="84" t="str">
        <f>IFERROR(VLOOKUP(CONCATENATE($B317,"_",L$3),materiali!$C:$K,5,0),"")</f>
        <v/>
      </c>
      <c r="M317" s="85" t="str">
        <f>IFERROR(VLOOKUP(CONCATENATE($B317,"_",M$3),materiali!$C:$K,6,0),"")</f>
        <v/>
      </c>
      <c r="N317" s="86"/>
      <c r="O317" s="84" t="str">
        <f>IFERROR(VLOOKUP(CONCATENATE($B317,"_",O$3),materiali!$C:$K,5,0),"")</f>
        <v/>
      </c>
      <c r="P317" s="85" t="str">
        <f>IFERROR(VLOOKUP(CONCATENATE($B317,"_",P$3),materiali!$C:$K,6,0),"")</f>
        <v/>
      </c>
      <c r="Q317" s="86"/>
      <c r="R317" s="84" t="str">
        <f>IFERROR(VLOOKUP(CONCATENATE($B317,"_",R$3),materiali!$C:$K,5,0),"")</f>
        <v/>
      </c>
      <c r="S317" s="85" t="str">
        <f>IFERROR(VLOOKUP(CONCATENATE($B317,"_",S$3),materiali!$C:$K,6,0),"")</f>
        <v/>
      </c>
      <c r="T317" s="86"/>
      <c r="U317" s="31"/>
      <c r="AD317" s="97"/>
    </row>
    <row r="318" spans="1:30" ht="35.1" hidden="1" customHeight="1" x14ac:dyDescent="0.25">
      <c r="A318" s="83"/>
      <c r="B318" s="7"/>
      <c r="C318" s="8"/>
      <c r="D318" s="8"/>
      <c r="E318" s="60"/>
      <c r="F318" s="84" t="str">
        <f>IFERROR(VLOOKUP(CONCATENATE($B318,"_",F$3),materiali!$C:$K,5,0),"")</f>
        <v/>
      </c>
      <c r="G318" s="85" t="str">
        <f>IFERROR(VLOOKUP(CONCATENATE($B318,"_",G$3),materiali!$C:$K,6,0),"")</f>
        <v/>
      </c>
      <c r="H318" s="86"/>
      <c r="I318" s="84" t="str">
        <f>IFERROR(VLOOKUP(CONCATENATE($B318,"_",I$3),materiali!$C:$K,5,0),"")</f>
        <v/>
      </c>
      <c r="J318" s="85" t="str">
        <f>IFERROR(VLOOKUP(CONCATENATE($B318,"_",J$3),materiali!$C:$K,6,0),"")</f>
        <v/>
      </c>
      <c r="K318" s="86"/>
      <c r="L318" s="84" t="str">
        <f>IFERROR(VLOOKUP(CONCATENATE($B318,"_",L$3),materiali!$C:$K,5,0),"")</f>
        <v/>
      </c>
      <c r="M318" s="85" t="str">
        <f>IFERROR(VLOOKUP(CONCATENATE($B318,"_",M$3),materiali!$C:$K,6,0),"")</f>
        <v/>
      </c>
      <c r="N318" s="86"/>
      <c r="O318" s="84" t="str">
        <f>IFERROR(VLOOKUP(CONCATENATE($B318,"_",O$3),materiali!$C:$K,5,0),"")</f>
        <v/>
      </c>
      <c r="P318" s="85" t="str">
        <f>IFERROR(VLOOKUP(CONCATENATE($B318,"_",P$3),materiali!$C:$K,6,0),"")</f>
        <v/>
      </c>
      <c r="Q318" s="86"/>
      <c r="R318" s="84" t="str">
        <f>IFERROR(VLOOKUP(CONCATENATE($B318,"_",R$3),materiali!$C:$K,5,0),"")</f>
        <v/>
      </c>
      <c r="S318" s="85" t="str">
        <f>IFERROR(VLOOKUP(CONCATENATE($B318,"_",S$3),materiali!$C:$K,6,0),"")</f>
        <v/>
      </c>
      <c r="T318" s="86"/>
      <c r="U318" s="31"/>
      <c r="AD318" s="97"/>
    </row>
    <row r="319" spans="1:30" ht="35.1" hidden="1" customHeight="1" x14ac:dyDescent="0.25">
      <c r="A319" s="83"/>
      <c r="B319" s="7"/>
      <c r="C319" s="8"/>
      <c r="D319" s="8"/>
      <c r="E319" s="60"/>
      <c r="F319" s="84" t="str">
        <f>IFERROR(VLOOKUP(CONCATENATE($B319,"_",F$3),materiali!$C:$K,5,0),"")</f>
        <v/>
      </c>
      <c r="G319" s="85" t="str">
        <f>IFERROR(VLOOKUP(CONCATENATE($B319,"_",G$3),materiali!$C:$K,6,0),"")</f>
        <v/>
      </c>
      <c r="H319" s="86"/>
      <c r="I319" s="84" t="str">
        <f>IFERROR(VLOOKUP(CONCATENATE($B319,"_",I$3),materiali!$C:$K,5,0),"")</f>
        <v/>
      </c>
      <c r="J319" s="85" t="str">
        <f>IFERROR(VLOOKUP(CONCATENATE($B319,"_",J$3),materiali!$C:$K,6,0),"")</f>
        <v/>
      </c>
      <c r="K319" s="86"/>
      <c r="L319" s="84" t="str">
        <f>IFERROR(VLOOKUP(CONCATENATE($B319,"_",L$3),materiali!$C:$K,5,0),"")</f>
        <v/>
      </c>
      <c r="M319" s="85" t="str">
        <f>IFERROR(VLOOKUP(CONCATENATE($B319,"_",M$3),materiali!$C:$K,6,0),"")</f>
        <v/>
      </c>
      <c r="N319" s="86"/>
      <c r="O319" s="84" t="str">
        <f>IFERROR(VLOOKUP(CONCATENATE($B319,"_",O$3),materiali!$C:$K,5,0),"")</f>
        <v/>
      </c>
      <c r="P319" s="85" t="str">
        <f>IFERROR(VLOOKUP(CONCATENATE($B319,"_",P$3),materiali!$C:$K,6,0),"")</f>
        <v/>
      </c>
      <c r="Q319" s="86"/>
      <c r="R319" s="84" t="str">
        <f>IFERROR(VLOOKUP(CONCATENATE($B319,"_",R$3),materiali!$C:$K,5,0),"")</f>
        <v/>
      </c>
      <c r="S319" s="85" t="str">
        <f>IFERROR(VLOOKUP(CONCATENATE($B319,"_",S$3),materiali!$C:$K,6,0),"")</f>
        <v/>
      </c>
      <c r="T319" s="86"/>
      <c r="U319" s="31"/>
      <c r="AD319" s="97"/>
    </row>
    <row r="320" spans="1:30" ht="35.1" hidden="1" customHeight="1" x14ac:dyDescent="0.25">
      <c r="A320" s="83"/>
      <c r="B320" s="7"/>
      <c r="C320" s="8"/>
      <c r="D320" s="8"/>
      <c r="E320" s="60"/>
      <c r="F320" s="84" t="str">
        <f>IFERROR(VLOOKUP(CONCATENATE($B320,"_",F$3),materiali!$C:$K,5,0),"")</f>
        <v/>
      </c>
      <c r="G320" s="85" t="str">
        <f>IFERROR(VLOOKUP(CONCATENATE($B320,"_",G$3),materiali!$C:$K,6,0),"")</f>
        <v/>
      </c>
      <c r="H320" s="86"/>
      <c r="I320" s="84" t="str">
        <f>IFERROR(VLOOKUP(CONCATENATE($B320,"_",I$3),materiali!$C:$K,5,0),"")</f>
        <v/>
      </c>
      <c r="J320" s="85" t="str">
        <f>IFERROR(VLOOKUP(CONCATENATE($B320,"_",J$3),materiali!$C:$K,6,0),"")</f>
        <v/>
      </c>
      <c r="K320" s="86"/>
      <c r="L320" s="84" t="str">
        <f>IFERROR(VLOOKUP(CONCATENATE($B320,"_",L$3),materiali!$C:$K,5,0),"")</f>
        <v/>
      </c>
      <c r="M320" s="85" t="str">
        <f>IFERROR(VLOOKUP(CONCATENATE($B320,"_",M$3),materiali!$C:$K,6,0),"")</f>
        <v/>
      </c>
      <c r="N320" s="86"/>
      <c r="O320" s="84" t="str">
        <f>IFERROR(VLOOKUP(CONCATENATE($B320,"_",O$3),materiali!$C:$K,5,0),"")</f>
        <v/>
      </c>
      <c r="P320" s="85" t="str">
        <f>IFERROR(VLOOKUP(CONCATENATE($B320,"_",P$3),materiali!$C:$K,6,0),"")</f>
        <v/>
      </c>
      <c r="Q320" s="86"/>
      <c r="R320" s="84" t="str">
        <f>IFERROR(VLOOKUP(CONCATENATE($B320,"_",R$3),materiali!$C:$K,5,0),"")</f>
        <v/>
      </c>
      <c r="S320" s="85" t="str">
        <f>IFERROR(VLOOKUP(CONCATENATE($B320,"_",S$3),materiali!$C:$K,6,0),"")</f>
        <v/>
      </c>
      <c r="T320" s="86"/>
      <c r="U320" s="31"/>
      <c r="AD320" s="97"/>
    </row>
    <row r="321" spans="1:30" ht="35.1" hidden="1" customHeight="1" x14ac:dyDescent="0.25">
      <c r="A321" s="83"/>
      <c r="B321" s="7"/>
      <c r="C321" s="8"/>
      <c r="D321" s="8"/>
      <c r="E321" s="60"/>
      <c r="F321" s="84" t="str">
        <f>IFERROR(VLOOKUP(CONCATENATE($B321,"_",F$3),materiali!$C:$K,5,0),"")</f>
        <v/>
      </c>
      <c r="G321" s="85" t="str">
        <f>IFERROR(VLOOKUP(CONCATENATE($B321,"_",G$3),materiali!$C:$K,6,0),"")</f>
        <v/>
      </c>
      <c r="H321" s="86"/>
      <c r="I321" s="84" t="str">
        <f>IFERROR(VLOOKUP(CONCATENATE($B321,"_",I$3),materiali!$C:$K,5,0),"")</f>
        <v/>
      </c>
      <c r="J321" s="85" t="str">
        <f>IFERROR(VLOOKUP(CONCATENATE($B321,"_",J$3),materiali!$C:$K,6,0),"")</f>
        <v/>
      </c>
      <c r="K321" s="86"/>
      <c r="L321" s="84" t="str">
        <f>IFERROR(VLOOKUP(CONCATENATE($B321,"_",L$3),materiali!$C:$K,5,0),"")</f>
        <v/>
      </c>
      <c r="M321" s="85" t="str">
        <f>IFERROR(VLOOKUP(CONCATENATE($B321,"_",M$3),materiali!$C:$K,6,0),"")</f>
        <v/>
      </c>
      <c r="N321" s="86"/>
      <c r="O321" s="84" t="str">
        <f>IFERROR(VLOOKUP(CONCATENATE($B321,"_",O$3),materiali!$C:$K,5,0),"")</f>
        <v/>
      </c>
      <c r="P321" s="85" t="str">
        <f>IFERROR(VLOOKUP(CONCATENATE($B321,"_",P$3),materiali!$C:$K,6,0),"")</f>
        <v/>
      </c>
      <c r="Q321" s="86"/>
      <c r="R321" s="84" t="str">
        <f>IFERROR(VLOOKUP(CONCATENATE($B321,"_",R$3),materiali!$C:$K,5,0),"")</f>
        <v/>
      </c>
      <c r="S321" s="85" t="str">
        <f>IFERROR(VLOOKUP(CONCATENATE($B321,"_",S$3),materiali!$C:$K,6,0),"")</f>
        <v/>
      </c>
      <c r="T321" s="86"/>
      <c r="U321" s="31"/>
      <c r="AD321" s="97"/>
    </row>
    <row r="322" spans="1:30" ht="35.1" hidden="1" customHeight="1" x14ac:dyDescent="0.25">
      <c r="A322" s="83"/>
      <c r="B322" s="7"/>
      <c r="C322" s="8"/>
      <c r="D322" s="8"/>
      <c r="E322" s="60"/>
      <c r="F322" s="84" t="str">
        <f>IFERROR(VLOOKUP(CONCATENATE($B322,"_",F$3),materiali!$C:$K,5,0),"")</f>
        <v/>
      </c>
      <c r="G322" s="85" t="str">
        <f>IFERROR(VLOOKUP(CONCATENATE($B322,"_",G$3),materiali!$C:$K,6,0),"")</f>
        <v/>
      </c>
      <c r="H322" s="86"/>
      <c r="I322" s="84" t="str">
        <f>IFERROR(VLOOKUP(CONCATENATE($B322,"_",I$3),materiali!$C:$K,5,0),"")</f>
        <v/>
      </c>
      <c r="J322" s="85" t="str">
        <f>IFERROR(VLOOKUP(CONCATENATE($B322,"_",J$3),materiali!$C:$K,6,0),"")</f>
        <v/>
      </c>
      <c r="K322" s="86"/>
      <c r="L322" s="84" t="str">
        <f>IFERROR(VLOOKUP(CONCATENATE($B322,"_",L$3),materiali!$C:$K,5,0),"")</f>
        <v/>
      </c>
      <c r="M322" s="85" t="str">
        <f>IFERROR(VLOOKUP(CONCATENATE($B322,"_",M$3),materiali!$C:$K,6,0),"")</f>
        <v/>
      </c>
      <c r="N322" s="86"/>
      <c r="O322" s="84" t="str">
        <f>IFERROR(VLOOKUP(CONCATENATE($B322,"_",O$3),materiali!$C:$K,5,0),"")</f>
        <v/>
      </c>
      <c r="P322" s="85" t="str">
        <f>IFERROR(VLOOKUP(CONCATENATE($B322,"_",P$3),materiali!$C:$K,6,0),"")</f>
        <v/>
      </c>
      <c r="Q322" s="86"/>
      <c r="R322" s="84" t="str">
        <f>IFERROR(VLOOKUP(CONCATENATE($B322,"_",R$3),materiali!$C:$K,5,0),"")</f>
        <v/>
      </c>
      <c r="S322" s="85" t="str">
        <f>IFERROR(VLOOKUP(CONCATENATE($B322,"_",S$3),materiali!$C:$K,6,0),"")</f>
        <v/>
      </c>
      <c r="T322" s="86"/>
      <c r="U322" s="31"/>
      <c r="AD322" s="97"/>
    </row>
    <row r="323" spans="1:30" ht="35.1" hidden="1" customHeight="1" x14ac:dyDescent="0.25">
      <c r="A323" s="83"/>
      <c r="B323" s="7"/>
      <c r="C323" s="8"/>
      <c r="D323" s="8"/>
      <c r="E323" s="60"/>
      <c r="F323" s="84" t="str">
        <f>IFERROR(VLOOKUP(CONCATENATE($B323,"_",F$3),materiali!$C:$K,5,0),"")</f>
        <v/>
      </c>
      <c r="G323" s="85" t="str">
        <f>IFERROR(VLOOKUP(CONCATENATE($B323,"_",G$3),materiali!$C:$K,6,0),"")</f>
        <v/>
      </c>
      <c r="H323" s="86"/>
      <c r="I323" s="84" t="str">
        <f>IFERROR(VLOOKUP(CONCATENATE($B323,"_",I$3),materiali!$C:$K,5,0),"")</f>
        <v/>
      </c>
      <c r="J323" s="85" t="str">
        <f>IFERROR(VLOOKUP(CONCATENATE($B323,"_",J$3),materiali!$C:$K,6,0),"")</f>
        <v/>
      </c>
      <c r="K323" s="86"/>
      <c r="L323" s="84" t="str">
        <f>IFERROR(VLOOKUP(CONCATENATE($B323,"_",L$3),materiali!$C:$K,5,0),"")</f>
        <v/>
      </c>
      <c r="M323" s="85" t="str">
        <f>IFERROR(VLOOKUP(CONCATENATE($B323,"_",M$3),materiali!$C:$K,6,0),"")</f>
        <v/>
      </c>
      <c r="N323" s="86"/>
      <c r="O323" s="84" t="str">
        <f>IFERROR(VLOOKUP(CONCATENATE($B323,"_",O$3),materiali!$C:$K,5,0),"")</f>
        <v/>
      </c>
      <c r="P323" s="85" t="str">
        <f>IFERROR(VLOOKUP(CONCATENATE($B323,"_",P$3),materiali!$C:$K,6,0),"")</f>
        <v/>
      </c>
      <c r="Q323" s="86"/>
      <c r="R323" s="84" t="str">
        <f>IFERROR(VLOOKUP(CONCATENATE($B323,"_",R$3),materiali!$C:$K,5,0),"")</f>
        <v/>
      </c>
      <c r="S323" s="85" t="str">
        <f>IFERROR(VLOOKUP(CONCATENATE($B323,"_",S$3),materiali!$C:$K,6,0),"")</f>
        <v/>
      </c>
      <c r="T323" s="86"/>
      <c r="U323" s="31"/>
      <c r="AD323" s="97"/>
    </row>
    <row r="324" spans="1:30" ht="35.1" hidden="1" customHeight="1" x14ac:dyDescent="0.25">
      <c r="A324" s="83"/>
      <c r="B324" s="7"/>
      <c r="C324" s="8"/>
      <c r="D324" s="8"/>
      <c r="E324" s="60"/>
      <c r="F324" s="84" t="str">
        <f>IFERROR(VLOOKUP(CONCATENATE($B324,"_",F$3),materiali!$C:$K,5,0),"")</f>
        <v/>
      </c>
      <c r="G324" s="85" t="str">
        <f>IFERROR(VLOOKUP(CONCATENATE($B324,"_",G$3),materiali!$C:$K,6,0),"")</f>
        <v/>
      </c>
      <c r="H324" s="86"/>
      <c r="I324" s="84" t="str">
        <f>IFERROR(VLOOKUP(CONCATENATE($B324,"_",I$3),materiali!$C:$K,5,0),"")</f>
        <v/>
      </c>
      <c r="J324" s="85" t="str">
        <f>IFERROR(VLOOKUP(CONCATENATE($B324,"_",J$3),materiali!$C:$K,6,0),"")</f>
        <v/>
      </c>
      <c r="K324" s="86"/>
      <c r="L324" s="84" t="str">
        <f>IFERROR(VLOOKUP(CONCATENATE($B324,"_",L$3),materiali!$C:$K,5,0),"")</f>
        <v/>
      </c>
      <c r="M324" s="85" t="str">
        <f>IFERROR(VLOOKUP(CONCATENATE($B324,"_",M$3),materiali!$C:$K,6,0),"")</f>
        <v/>
      </c>
      <c r="N324" s="86"/>
      <c r="O324" s="84" t="str">
        <f>IFERROR(VLOOKUP(CONCATENATE($B324,"_",O$3),materiali!$C:$K,5,0),"")</f>
        <v/>
      </c>
      <c r="P324" s="85" t="str">
        <f>IFERROR(VLOOKUP(CONCATENATE($B324,"_",P$3),materiali!$C:$K,6,0),"")</f>
        <v/>
      </c>
      <c r="Q324" s="86"/>
      <c r="R324" s="84" t="str">
        <f>IFERROR(VLOOKUP(CONCATENATE($B324,"_",R$3),materiali!$C:$K,5,0),"")</f>
        <v/>
      </c>
      <c r="S324" s="85" t="str">
        <f>IFERROR(VLOOKUP(CONCATENATE($B324,"_",S$3),materiali!$C:$K,6,0),"")</f>
        <v/>
      </c>
      <c r="T324" s="86"/>
      <c r="U324" s="31"/>
      <c r="AD324" s="97"/>
    </row>
    <row r="325" spans="1:30" ht="35.1" hidden="1" customHeight="1" x14ac:dyDescent="0.25">
      <c r="A325" s="83"/>
      <c r="B325" s="7"/>
      <c r="C325" s="8"/>
      <c r="D325" s="8"/>
      <c r="E325" s="60"/>
      <c r="F325" s="84" t="str">
        <f>IFERROR(VLOOKUP(CONCATENATE($B325,"_",F$3),materiali!$C:$K,5,0),"")</f>
        <v/>
      </c>
      <c r="G325" s="85" t="str">
        <f>IFERROR(VLOOKUP(CONCATENATE($B325,"_",G$3),materiali!$C:$K,6,0),"")</f>
        <v/>
      </c>
      <c r="H325" s="86"/>
      <c r="I325" s="84" t="str">
        <f>IFERROR(VLOOKUP(CONCATENATE($B325,"_",I$3),materiali!$C:$K,5,0),"")</f>
        <v/>
      </c>
      <c r="J325" s="85" t="str">
        <f>IFERROR(VLOOKUP(CONCATENATE($B325,"_",J$3),materiali!$C:$K,6,0),"")</f>
        <v/>
      </c>
      <c r="K325" s="86"/>
      <c r="L325" s="84" t="str">
        <f>IFERROR(VLOOKUP(CONCATENATE($B325,"_",L$3),materiali!$C:$K,5,0),"")</f>
        <v/>
      </c>
      <c r="M325" s="85" t="str">
        <f>IFERROR(VLOOKUP(CONCATENATE($B325,"_",M$3),materiali!$C:$K,6,0),"")</f>
        <v/>
      </c>
      <c r="N325" s="86"/>
      <c r="O325" s="84" t="str">
        <f>IFERROR(VLOOKUP(CONCATENATE($B325,"_",O$3),materiali!$C:$K,5,0),"")</f>
        <v/>
      </c>
      <c r="P325" s="85" t="str">
        <f>IFERROR(VLOOKUP(CONCATENATE($B325,"_",P$3),materiali!$C:$K,6,0),"")</f>
        <v/>
      </c>
      <c r="Q325" s="86"/>
      <c r="R325" s="84" t="str">
        <f>IFERROR(VLOOKUP(CONCATENATE($B325,"_",R$3),materiali!$C:$K,5,0),"")</f>
        <v/>
      </c>
      <c r="S325" s="85" t="str">
        <f>IFERROR(VLOOKUP(CONCATENATE($B325,"_",S$3),materiali!$C:$K,6,0),"")</f>
        <v/>
      </c>
      <c r="T325" s="86"/>
      <c r="U325" s="31"/>
      <c r="AD325" s="97"/>
    </row>
    <row r="326" spans="1:30" ht="35.1" hidden="1" customHeight="1" x14ac:dyDescent="0.25">
      <c r="A326" s="83"/>
      <c r="B326" s="7"/>
      <c r="C326" s="8"/>
      <c r="D326" s="8"/>
      <c r="E326" s="60"/>
      <c r="F326" s="84" t="str">
        <f>IFERROR(VLOOKUP(CONCATENATE($B326,"_",F$3),materiali!$C:$K,5,0),"")</f>
        <v/>
      </c>
      <c r="G326" s="85" t="str">
        <f>IFERROR(VLOOKUP(CONCATENATE($B326,"_",G$3),materiali!$C:$K,6,0),"")</f>
        <v/>
      </c>
      <c r="H326" s="86"/>
      <c r="I326" s="84" t="str">
        <f>IFERROR(VLOOKUP(CONCATENATE($B326,"_",I$3),materiali!$C:$K,5,0),"")</f>
        <v/>
      </c>
      <c r="J326" s="85" t="str">
        <f>IFERROR(VLOOKUP(CONCATENATE($B326,"_",J$3),materiali!$C:$K,6,0),"")</f>
        <v/>
      </c>
      <c r="K326" s="86"/>
      <c r="L326" s="84" t="str">
        <f>IFERROR(VLOOKUP(CONCATENATE($B326,"_",L$3),materiali!$C:$K,5,0),"")</f>
        <v/>
      </c>
      <c r="M326" s="85" t="str">
        <f>IFERROR(VLOOKUP(CONCATENATE($B326,"_",M$3),materiali!$C:$K,6,0),"")</f>
        <v/>
      </c>
      <c r="N326" s="86"/>
      <c r="O326" s="84" t="str">
        <f>IFERROR(VLOOKUP(CONCATENATE($B326,"_",O$3),materiali!$C:$K,5,0),"")</f>
        <v/>
      </c>
      <c r="P326" s="85" t="str">
        <f>IFERROR(VLOOKUP(CONCATENATE($B326,"_",P$3),materiali!$C:$K,6,0),"")</f>
        <v/>
      </c>
      <c r="Q326" s="86"/>
      <c r="R326" s="84" t="str">
        <f>IFERROR(VLOOKUP(CONCATENATE($B326,"_",R$3),materiali!$C:$K,5,0),"")</f>
        <v/>
      </c>
      <c r="S326" s="85" t="str">
        <f>IFERROR(VLOOKUP(CONCATENATE($B326,"_",S$3),materiali!$C:$K,6,0),"")</f>
        <v/>
      </c>
      <c r="T326" s="86"/>
      <c r="U326" s="31"/>
      <c r="AD326" s="97"/>
    </row>
    <row r="327" spans="1:30" ht="35.1" hidden="1" customHeight="1" x14ac:dyDescent="0.25">
      <c r="A327" s="83"/>
      <c r="B327" s="7"/>
      <c r="C327" s="8"/>
      <c r="D327" s="8"/>
      <c r="E327" s="60"/>
      <c r="F327" s="84" t="str">
        <f>IFERROR(VLOOKUP(CONCATENATE($B327,"_",F$3),materiali!$C:$K,5,0),"")</f>
        <v/>
      </c>
      <c r="G327" s="85" t="str">
        <f>IFERROR(VLOOKUP(CONCATENATE($B327,"_",G$3),materiali!$C:$K,6,0),"")</f>
        <v/>
      </c>
      <c r="H327" s="86"/>
      <c r="I327" s="84" t="str">
        <f>IFERROR(VLOOKUP(CONCATENATE($B327,"_",I$3),materiali!$C:$K,5,0),"")</f>
        <v/>
      </c>
      <c r="J327" s="85" t="str">
        <f>IFERROR(VLOOKUP(CONCATENATE($B327,"_",J$3),materiali!$C:$K,6,0),"")</f>
        <v/>
      </c>
      <c r="K327" s="86"/>
      <c r="L327" s="84" t="str">
        <f>IFERROR(VLOOKUP(CONCATENATE($B327,"_",L$3),materiali!$C:$K,5,0),"")</f>
        <v/>
      </c>
      <c r="M327" s="85" t="str">
        <f>IFERROR(VLOOKUP(CONCATENATE($B327,"_",M$3),materiali!$C:$K,6,0),"")</f>
        <v/>
      </c>
      <c r="N327" s="86"/>
      <c r="O327" s="84" t="str">
        <f>IFERROR(VLOOKUP(CONCATENATE($B327,"_",O$3),materiali!$C:$K,5,0),"")</f>
        <v/>
      </c>
      <c r="P327" s="85" t="str">
        <f>IFERROR(VLOOKUP(CONCATENATE($B327,"_",P$3),materiali!$C:$K,6,0),"")</f>
        <v/>
      </c>
      <c r="Q327" s="86"/>
      <c r="R327" s="84" t="str">
        <f>IFERROR(VLOOKUP(CONCATENATE($B327,"_",R$3),materiali!$C:$K,5,0),"")</f>
        <v/>
      </c>
      <c r="S327" s="85" t="str">
        <f>IFERROR(VLOOKUP(CONCATENATE($B327,"_",S$3),materiali!$C:$K,6,0),"")</f>
        <v/>
      </c>
      <c r="T327" s="86"/>
      <c r="U327" s="31"/>
      <c r="AD327" s="97"/>
    </row>
    <row r="328" spans="1:30" ht="35.1" hidden="1" customHeight="1" x14ac:dyDescent="0.25">
      <c r="A328" s="83"/>
      <c r="B328" s="7"/>
      <c r="C328" s="8"/>
      <c r="D328" s="8"/>
      <c r="E328" s="60"/>
      <c r="F328" s="84" t="str">
        <f>IFERROR(VLOOKUP(CONCATENATE($B328,"_",F$3),materiali!$C:$K,5,0),"")</f>
        <v/>
      </c>
      <c r="G328" s="85" t="str">
        <f>IFERROR(VLOOKUP(CONCATENATE($B328,"_",G$3),materiali!$C:$K,6,0),"")</f>
        <v/>
      </c>
      <c r="H328" s="86"/>
      <c r="I328" s="84" t="str">
        <f>IFERROR(VLOOKUP(CONCATENATE($B328,"_",I$3),materiali!$C:$K,5,0),"")</f>
        <v/>
      </c>
      <c r="J328" s="85" t="str">
        <f>IFERROR(VLOOKUP(CONCATENATE($B328,"_",J$3),materiali!$C:$K,6,0),"")</f>
        <v/>
      </c>
      <c r="K328" s="86"/>
      <c r="L328" s="84" t="str">
        <f>IFERROR(VLOOKUP(CONCATENATE($B328,"_",L$3),materiali!$C:$K,5,0),"")</f>
        <v/>
      </c>
      <c r="M328" s="85" t="str">
        <f>IFERROR(VLOOKUP(CONCATENATE($B328,"_",M$3),materiali!$C:$K,6,0),"")</f>
        <v/>
      </c>
      <c r="N328" s="86"/>
      <c r="O328" s="84" t="str">
        <f>IFERROR(VLOOKUP(CONCATENATE($B328,"_",O$3),materiali!$C:$K,5,0),"")</f>
        <v/>
      </c>
      <c r="P328" s="85" t="str">
        <f>IFERROR(VLOOKUP(CONCATENATE($B328,"_",P$3),materiali!$C:$K,6,0),"")</f>
        <v/>
      </c>
      <c r="Q328" s="86"/>
      <c r="R328" s="84" t="str">
        <f>IFERROR(VLOOKUP(CONCATENATE($B328,"_",R$3),materiali!$C:$K,5,0),"")</f>
        <v/>
      </c>
      <c r="S328" s="85" t="str">
        <f>IFERROR(VLOOKUP(CONCATENATE($B328,"_",S$3),materiali!$C:$K,6,0),"")</f>
        <v/>
      </c>
      <c r="T328" s="86"/>
      <c r="U328" s="31"/>
      <c r="AD328" s="97"/>
    </row>
    <row r="329" spans="1:30" ht="35.1" hidden="1" customHeight="1" x14ac:dyDescent="0.25">
      <c r="A329" s="83"/>
      <c r="B329" s="7"/>
      <c r="C329" s="8"/>
      <c r="D329" s="8"/>
      <c r="E329" s="60"/>
      <c r="F329" s="84" t="str">
        <f>IFERROR(VLOOKUP(CONCATENATE($B329,"_",F$3),materiali!$C:$K,5,0),"")</f>
        <v/>
      </c>
      <c r="G329" s="85" t="str">
        <f>IFERROR(VLOOKUP(CONCATENATE($B329,"_",G$3),materiali!$C:$K,6,0),"")</f>
        <v/>
      </c>
      <c r="H329" s="86"/>
      <c r="I329" s="84" t="str">
        <f>IFERROR(VLOOKUP(CONCATENATE($B329,"_",I$3),materiali!$C:$K,5,0),"")</f>
        <v/>
      </c>
      <c r="J329" s="85" t="str">
        <f>IFERROR(VLOOKUP(CONCATENATE($B329,"_",J$3),materiali!$C:$K,6,0),"")</f>
        <v/>
      </c>
      <c r="K329" s="86"/>
      <c r="L329" s="84" t="str">
        <f>IFERROR(VLOOKUP(CONCATENATE($B329,"_",L$3),materiali!$C:$K,5,0),"")</f>
        <v/>
      </c>
      <c r="M329" s="85" t="str">
        <f>IFERROR(VLOOKUP(CONCATENATE($B329,"_",M$3),materiali!$C:$K,6,0),"")</f>
        <v/>
      </c>
      <c r="N329" s="86"/>
      <c r="O329" s="84" t="str">
        <f>IFERROR(VLOOKUP(CONCATENATE($B329,"_",O$3),materiali!$C:$K,5,0),"")</f>
        <v/>
      </c>
      <c r="P329" s="85" t="str">
        <f>IFERROR(VLOOKUP(CONCATENATE($B329,"_",P$3),materiali!$C:$K,6,0),"")</f>
        <v/>
      </c>
      <c r="Q329" s="86"/>
      <c r="R329" s="84" t="str">
        <f>IFERROR(VLOOKUP(CONCATENATE($B329,"_",R$3),materiali!$C:$K,5,0),"")</f>
        <v/>
      </c>
      <c r="S329" s="85" t="str">
        <f>IFERROR(VLOOKUP(CONCATENATE($B329,"_",S$3),materiali!$C:$K,6,0),"")</f>
        <v/>
      </c>
      <c r="T329" s="86"/>
      <c r="U329" s="31"/>
      <c r="AD329" s="97"/>
    </row>
    <row r="330" spans="1:30" ht="35.1" hidden="1" customHeight="1" x14ac:dyDescent="0.25">
      <c r="A330" s="83"/>
      <c r="B330" s="7"/>
      <c r="C330" s="8"/>
      <c r="D330" s="8"/>
      <c r="E330" s="60"/>
      <c r="F330" s="84" t="str">
        <f>IFERROR(VLOOKUP(CONCATENATE($B330,"_",F$3),materiali!$C:$K,5,0),"")</f>
        <v/>
      </c>
      <c r="G330" s="85" t="str">
        <f>IFERROR(VLOOKUP(CONCATENATE($B330,"_",G$3),materiali!$C:$K,6,0),"")</f>
        <v/>
      </c>
      <c r="H330" s="86"/>
      <c r="I330" s="84" t="str">
        <f>IFERROR(VLOOKUP(CONCATENATE($B330,"_",I$3),materiali!$C:$K,5,0),"")</f>
        <v/>
      </c>
      <c r="J330" s="85" t="str">
        <f>IFERROR(VLOOKUP(CONCATENATE($B330,"_",J$3),materiali!$C:$K,6,0),"")</f>
        <v/>
      </c>
      <c r="K330" s="86"/>
      <c r="L330" s="84" t="str">
        <f>IFERROR(VLOOKUP(CONCATENATE($B330,"_",L$3),materiali!$C:$K,5,0),"")</f>
        <v/>
      </c>
      <c r="M330" s="85" t="str">
        <f>IFERROR(VLOOKUP(CONCATENATE($B330,"_",M$3),materiali!$C:$K,6,0),"")</f>
        <v/>
      </c>
      <c r="N330" s="86"/>
      <c r="O330" s="84" t="str">
        <f>IFERROR(VLOOKUP(CONCATENATE($B330,"_",O$3),materiali!$C:$K,5,0),"")</f>
        <v/>
      </c>
      <c r="P330" s="85" t="str">
        <f>IFERROR(VLOOKUP(CONCATENATE($B330,"_",P$3),materiali!$C:$K,6,0),"")</f>
        <v/>
      </c>
      <c r="Q330" s="86"/>
      <c r="R330" s="84" t="str">
        <f>IFERROR(VLOOKUP(CONCATENATE($B330,"_",R$3),materiali!$C:$K,5,0),"")</f>
        <v/>
      </c>
      <c r="S330" s="85" t="str">
        <f>IFERROR(VLOOKUP(CONCATENATE($B330,"_",S$3),materiali!$C:$K,6,0),"")</f>
        <v/>
      </c>
      <c r="T330" s="86"/>
      <c r="U330" s="31"/>
      <c r="AD330" s="97"/>
    </row>
    <row r="331" spans="1:30" ht="35.1" hidden="1" customHeight="1" x14ac:dyDescent="0.25">
      <c r="A331" s="83"/>
      <c r="B331" s="7"/>
      <c r="C331" s="8"/>
      <c r="D331" s="8"/>
      <c r="E331" s="60"/>
      <c r="F331" s="84" t="str">
        <f>IFERROR(VLOOKUP(CONCATENATE($B331,"_",F$3),materiali!$C:$K,5,0),"")</f>
        <v/>
      </c>
      <c r="G331" s="85" t="str">
        <f>IFERROR(VLOOKUP(CONCATENATE($B331,"_",G$3),materiali!$C:$K,6,0),"")</f>
        <v/>
      </c>
      <c r="H331" s="86"/>
      <c r="I331" s="84" t="str">
        <f>IFERROR(VLOOKUP(CONCATENATE($B331,"_",I$3),materiali!$C:$K,5,0),"")</f>
        <v/>
      </c>
      <c r="J331" s="85" t="str">
        <f>IFERROR(VLOOKUP(CONCATENATE($B331,"_",J$3),materiali!$C:$K,6,0),"")</f>
        <v/>
      </c>
      <c r="K331" s="86"/>
      <c r="L331" s="84" t="str">
        <f>IFERROR(VLOOKUP(CONCATENATE($B331,"_",L$3),materiali!$C:$K,5,0),"")</f>
        <v/>
      </c>
      <c r="M331" s="85" t="str">
        <f>IFERROR(VLOOKUP(CONCATENATE($B331,"_",M$3),materiali!$C:$K,6,0),"")</f>
        <v/>
      </c>
      <c r="N331" s="86"/>
      <c r="O331" s="84" t="str">
        <f>IFERROR(VLOOKUP(CONCATENATE($B331,"_",O$3),materiali!$C:$K,5,0),"")</f>
        <v/>
      </c>
      <c r="P331" s="85" t="str">
        <f>IFERROR(VLOOKUP(CONCATENATE($B331,"_",P$3),materiali!$C:$K,6,0),"")</f>
        <v/>
      </c>
      <c r="Q331" s="86"/>
      <c r="R331" s="84" t="str">
        <f>IFERROR(VLOOKUP(CONCATENATE($B331,"_",R$3),materiali!$C:$K,5,0),"")</f>
        <v/>
      </c>
      <c r="S331" s="85" t="str">
        <f>IFERROR(VLOOKUP(CONCATENATE($B331,"_",S$3),materiali!$C:$K,6,0),"")</f>
        <v/>
      </c>
      <c r="T331" s="86"/>
      <c r="U331" s="31"/>
      <c r="AD331" s="97"/>
    </row>
    <row r="332" spans="1:30" ht="35.1" hidden="1" customHeight="1" x14ac:dyDescent="0.25">
      <c r="A332" s="83"/>
      <c r="B332" s="7"/>
      <c r="C332" s="8"/>
      <c r="D332" s="8"/>
      <c r="E332" s="60"/>
      <c r="F332" s="84" t="str">
        <f>IFERROR(VLOOKUP(CONCATENATE($B332,"_",F$3),materiali!$C:$K,5,0),"")</f>
        <v/>
      </c>
      <c r="G332" s="85" t="str">
        <f>IFERROR(VLOOKUP(CONCATENATE($B332,"_",G$3),materiali!$C:$K,6,0),"")</f>
        <v/>
      </c>
      <c r="H332" s="86"/>
      <c r="I332" s="84" t="str">
        <f>IFERROR(VLOOKUP(CONCATENATE($B332,"_",I$3),materiali!$C:$K,5,0),"")</f>
        <v/>
      </c>
      <c r="J332" s="85" t="str">
        <f>IFERROR(VLOOKUP(CONCATENATE($B332,"_",J$3),materiali!$C:$K,6,0),"")</f>
        <v/>
      </c>
      <c r="K332" s="86"/>
      <c r="L332" s="84" t="str">
        <f>IFERROR(VLOOKUP(CONCATENATE($B332,"_",L$3),materiali!$C:$K,5,0),"")</f>
        <v/>
      </c>
      <c r="M332" s="85" t="str">
        <f>IFERROR(VLOOKUP(CONCATENATE($B332,"_",M$3),materiali!$C:$K,6,0),"")</f>
        <v/>
      </c>
      <c r="N332" s="86"/>
      <c r="O332" s="84" t="str">
        <f>IFERROR(VLOOKUP(CONCATENATE($B332,"_",O$3),materiali!$C:$K,5,0),"")</f>
        <v/>
      </c>
      <c r="P332" s="85" t="str">
        <f>IFERROR(VLOOKUP(CONCATENATE($B332,"_",P$3),materiali!$C:$K,6,0),"")</f>
        <v/>
      </c>
      <c r="Q332" s="86"/>
      <c r="R332" s="84" t="str">
        <f>IFERROR(VLOOKUP(CONCATENATE($B332,"_",R$3),materiali!$C:$K,5,0),"")</f>
        <v/>
      </c>
      <c r="S332" s="85" t="str">
        <f>IFERROR(VLOOKUP(CONCATENATE($B332,"_",S$3),materiali!$C:$K,6,0),"")</f>
        <v/>
      </c>
      <c r="T332" s="86"/>
      <c r="U332" s="31"/>
      <c r="AD332" s="97"/>
    </row>
    <row r="333" spans="1:30" ht="35.1" hidden="1" customHeight="1" x14ac:dyDescent="0.25">
      <c r="A333" s="83"/>
      <c r="B333" s="7"/>
      <c r="C333" s="8"/>
      <c r="D333" s="8"/>
      <c r="E333" s="60"/>
      <c r="F333" s="84" t="str">
        <f>IFERROR(VLOOKUP(CONCATENATE($B333,"_",F$3),materiali!$C:$K,5,0),"")</f>
        <v/>
      </c>
      <c r="G333" s="85" t="str">
        <f>IFERROR(VLOOKUP(CONCATENATE($B333,"_",G$3),materiali!$C:$K,6,0),"")</f>
        <v/>
      </c>
      <c r="H333" s="86"/>
      <c r="I333" s="84" t="str">
        <f>IFERROR(VLOOKUP(CONCATENATE($B333,"_",I$3),materiali!$C:$K,5,0),"")</f>
        <v/>
      </c>
      <c r="J333" s="85" t="str">
        <f>IFERROR(VLOOKUP(CONCATENATE($B333,"_",J$3),materiali!$C:$K,6,0),"")</f>
        <v/>
      </c>
      <c r="K333" s="86"/>
      <c r="L333" s="84" t="str">
        <f>IFERROR(VLOOKUP(CONCATENATE($B333,"_",L$3),materiali!$C:$K,5,0),"")</f>
        <v/>
      </c>
      <c r="M333" s="85" t="str">
        <f>IFERROR(VLOOKUP(CONCATENATE($B333,"_",M$3),materiali!$C:$K,6,0),"")</f>
        <v/>
      </c>
      <c r="N333" s="86"/>
      <c r="O333" s="84" t="str">
        <f>IFERROR(VLOOKUP(CONCATENATE($B333,"_",O$3),materiali!$C:$K,5,0),"")</f>
        <v/>
      </c>
      <c r="P333" s="85" t="str">
        <f>IFERROR(VLOOKUP(CONCATENATE($B333,"_",P$3),materiali!$C:$K,6,0),"")</f>
        <v/>
      </c>
      <c r="Q333" s="86"/>
      <c r="R333" s="84" t="str">
        <f>IFERROR(VLOOKUP(CONCATENATE($B333,"_",R$3),materiali!$C:$K,5,0),"")</f>
        <v/>
      </c>
      <c r="S333" s="85" t="str">
        <f>IFERROR(VLOOKUP(CONCATENATE($B333,"_",S$3),materiali!$C:$K,6,0),"")</f>
        <v/>
      </c>
      <c r="T333" s="86"/>
      <c r="U333" s="31"/>
      <c r="AD333" s="97"/>
    </row>
    <row r="334" spans="1:30" ht="35.1" hidden="1" customHeight="1" x14ac:dyDescent="0.25">
      <c r="A334" s="83"/>
      <c r="B334" s="7"/>
      <c r="C334" s="8"/>
      <c r="D334" s="8"/>
      <c r="E334" s="60"/>
      <c r="F334" s="84" t="str">
        <f>IFERROR(VLOOKUP(CONCATENATE($B334,"_",F$3),materiali!$C:$K,5,0),"")</f>
        <v/>
      </c>
      <c r="G334" s="85" t="str">
        <f>IFERROR(VLOOKUP(CONCATENATE($B334,"_",G$3),materiali!$C:$K,6,0),"")</f>
        <v/>
      </c>
      <c r="H334" s="86"/>
      <c r="I334" s="84" t="str">
        <f>IFERROR(VLOOKUP(CONCATENATE($B334,"_",I$3),materiali!$C:$K,5,0),"")</f>
        <v/>
      </c>
      <c r="J334" s="85" t="str">
        <f>IFERROR(VLOOKUP(CONCATENATE($B334,"_",J$3),materiali!$C:$K,6,0),"")</f>
        <v/>
      </c>
      <c r="K334" s="86"/>
      <c r="L334" s="84" t="str">
        <f>IFERROR(VLOOKUP(CONCATENATE($B334,"_",L$3),materiali!$C:$K,5,0),"")</f>
        <v/>
      </c>
      <c r="M334" s="85" t="str">
        <f>IFERROR(VLOOKUP(CONCATENATE($B334,"_",M$3),materiali!$C:$K,6,0),"")</f>
        <v/>
      </c>
      <c r="N334" s="86"/>
      <c r="O334" s="84" t="str">
        <f>IFERROR(VLOOKUP(CONCATENATE($B334,"_",O$3),materiali!$C:$K,5,0),"")</f>
        <v/>
      </c>
      <c r="P334" s="85" t="str">
        <f>IFERROR(VLOOKUP(CONCATENATE($B334,"_",P$3),materiali!$C:$K,6,0),"")</f>
        <v/>
      </c>
      <c r="Q334" s="86"/>
      <c r="R334" s="84" t="str">
        <f>IFERROR(VLOOKUP(CONCATENATE($B334,"_",R$3),materiali!$C:$K,5,0),"")</f>
        <v/>
      </c>
      <c r="S334" s="85" t="str">
        <f>IFERROR(VLOOKUP(CONCATENATE($B334,"_",S$3),materiali!$C:$K,6,0),"")</f>
        <v/>
      </c>
      <c r="T334" s="86"/>
      <c r="U334" s="31"/>
      <c r="AD334" s="97"/>
    </row>
    <row r="335" spans="1:30" ht="35.1" hidden="1" customHeight="1" x14ac:dyDescent="0.25">
      <c r="A335" s="83"/>
      <c r="B335" s="7"/>
      <c r="C335" s="8"/>
      <c r="D335" s="8"/>
      <c r="E335" s="60"/>
      <c r="F335" s="84" t="str">
        <f>IFERROR(VLOOKUP(CONCATENATE($B335,"_",F$3),materiali!$C:$K,5,0),"")</f>
        <v/>
      </c>
      <c r="G335" s="85" t="str">
        <f>IFERROR(VLOOKUP(CONCATENATE($B335,"_",G$3),materiali!$C:$K,6,0),"")</f>
        <v/>
      </c>
      <c r="H335" s="86"/>
      <c r="I335" s="84" t="str">
        <f>IFERROR(VLOOKUP(CONCATENATE($B335,"_",I$3),materiali!$C:$K,5,0),"")</f>
        <v/>
      </c>
      <c r="J335" s="85" t="str">
        <f>IFERROR(VLOOKUP(CONCATENATE($B335,"_",J$3),materiali!$C:$K,6,0),"")</f>
        <v/>
      </c>
      <c r="K335" s="86"/>
      <c r="L335" s="84" t="str">
        <f>IFERROR(VLOOKUP(CONCATENATE($B335,"_",L$3),materiali!$C:$K,5,0),"")</f>
        <v/>
      </c>
      <c r="M335" s="85" t="str">
        <f>IFERROR(VLOOKUP(CONCATENATE($B335,"_",M$3),materiali!$C:$K,6,0),"")</f>
        <v/>
      </c>
      <c r="N335" s="86"/>
      <c r="O335" s="84" t="str">
        <f>IFERROR(VLOOKUP(CONCATENATE($B335,"_",O$3),materiali!$C:$K,5,0),"")</f>
        <v/>
      </c>
      <c r="P335" s="85" t="str">
        <f>IFERROR(VLOOKUP(CONCATENATE($B335,"_",P$3),materiali!$C:$K,6,0),"")</f>
        <v/>
      </c>
      <c r="Q335" s="86"/>
      <c r="R335" s="84" t="str">
        <f>IFERROR(VLOOKUP(CONCATENATE($B335,"_",R$3),materiali!$C:$K,5,0),"")</f>
        <v/>
      </c>
      <c r="S335" s="85" t="str">
        <f>IFERROR(VLOOKUP(CONCATENATE($B335,"_",S$3),materiali!$C:$K,6,0),"")</f>
        <v/>
      </c>
      <c r="T335" s="86"/>
      <c r="U335" s="31"/>
      <c r="AD335" s="97"/>
    </row>
    <row r="336" spans="1:30" ht="35.1" hidden="1" customHeight="1" x14ac:dyDescent="0.25">
      <c r="A336" s="83"/>
      <c r="B336" s="7"/>
      <c r="C336" s="8"/>
      <c r="D336" s="8"/>
      <c r="E336" s="60"/>
      <c r="F336" s="84" t="str">
        <f>IFERROR(VLOOKUP(CONCATENATE($B336,"_",F$3),materiali!$C:$K,5,0),"")</f>
        <v/>
      </c>
      <c r="G336" s="85" t="str">
        <f>IFERROR(VLOOKUP(CONCATENATE($B336,"_",G$3),materiali!$C:$K,6,0),"")</f>
        <v/>
      </c>
      <c r="H336" s="86"/>
      <c r="I336" s="84" t="str">
        <f>IFERROR(VLOOKUP(CONCATENATE($B336,"_",I$3),materiali!$C:$K,5,0),"")</f>
        <v/>
      </c>
      <c r="J336" s="85" t="str">
        <f>IFERROR(VLOOKUP(CONCATENATE($B336,"_",J$3),materiali!$C:$K,6,0),"")</f>
        <v/>
      </c>
      <c r="K336" s="86"/>
      <c r="L336" s="84" t="str">
        <f>IFERROR(VLOOKUP(CONCATENATE($B336,"_",L$3),materiali!$C:$K,5,0),"")</f>
        <v/>
      </c>
      <c r="M336" s="85" t="str">
        <f>IFERROR(VLOOKUP(CONCATENATE($B336,"_",M$3),materiali!$C:$K,6,0),"")</f>
        <v/>
      </c>
      <c r="N336" s="86"/>
      <c r="O336" s="84" t="str">
        <f>IFERROR(VLOOKUP(CONCATENATE($B336,"_",O$3),materiali!$C:$K,5,0),"")</f>
        <v/>
      </c>
      <c r="P336" s="85" t="str">
        <f>IFERROR(VLOOKUP(CONCATENATE($B336,"_",P$3),materiali!$C:$K,6,0),"")</f>
        <v/>
      </c>
      <c r="Q336" s="86"/>
      <c r="R336" s="84" t="str">
        <f>IFERROR(VLOOKUP(CONCATENATE($B336,"_",R$3),materiali!$C:$K,5,0),"")</f>
        <v/>
      </c>
      <c r="S336" s="85" t="str">
        <f>IFERROR(VLOOKUP(CONCATENATE($B336,"_",S$3),materiali!$C:$K,6,0),"")</f>
        <v/>
      </c>
      <c r="T336" s="86"/>
      <c r="U336" s="31"/>
      <c r="AD336" s="97"/>
    </row>
    <row r="337" spans="1:30" ht="35.1" hidden="1" customHeight="1" x14ac:dyDescent="0.25">
      <c r="A337" s="83"/>
      <c r="B337" s="7"/>
      <c r="C337" s="8"/>
      <c r="D337" s="8"/>
      <c r="E337" s="60"/>
      <c r="F337" s="84" t="str">
        <f>IFERROR(VLOOKUP(CONCATENATE($B337,"_",F$3),materiali!$C:$K,5,0),"")</f>
        <v/>
      </c>
      <c r="G337" s="85" t="str">
        <f>IFERROR(VLOOKUP(CONCATENATE($B337,"_",G$3),materiali!$C:$K,6,0),"")</f>
        <v/>
      </c>
      <c r="H337" s="86"/>
      <c r="I337" s="84" t="str">
        <f>IFERROR(VLOOKUP(CONCATENATE($B337,"_",I$3),materiali!$C:$K,5,0),"")</f>
        <v/>
      </c>
      <c r="J337" s="85" t="str">
        <f>IFERROR(VLOOKUP(CONCATENATE($B337,"_",J$3),materiali!$C:$K,6,0),"")</f>
        <v/>
      </c>
      <c r="K337" s="86"/>
      <c r="L337" s="84" t="str">
        <f>IFERROR(VLOOKUP(CONCATENATE($B337,"_",L$3),materiali!$C:$K,5,0),"")</f>
        <v/>
      </c>
      <c r="M337" s="85" t="str">
        <f>IFERROR(VLOOKUP(CONCATENATE($B337,"_",M$3),materiali!$C:$K,6,0),"")</f>
        <v/>
      </c>
      <c r="N337" s="86"/>
      <c r="O337" s="84" t="str">
        <f>IFERROR(VLOOKUP(CONCATENATE($B337,"_",O$3),materiali!$C:$K,5,0),"")</f>
        <v/>
      </c>
      <c r="P337" s="85" t="str">
        <f>IFERROR(VLOOKUP(CONCATENATE($B337,"_",P$3),materiali!$C:$K,6,0),"")</f>
        <v/>
      </c>
      <c r="Q337" s="86"/>
      <c r="R337" s="84" t="str">
        <f>IFERROR(VLOOKUP(CONCATENATE($B337,"_",R$3),materiali!$C:$K,5,0),"")</f>
        <v/>
      </c>
      <c r="S337" s="85" t="str">
        <f>IFERROR(VLOOKUP(CONCATENATE($B337,"_",S$3),materiali!$C:$K,6,0),"")</f>
        <v/>
      </c>
      <c r="T337" s="86"/>
      <c r="U337" s="31"/>
      <c r="AD337" s="97"/>
    </row>
    <row r="338" spans="1:30" ht="35.1" hidden="1" customHeight="1" x14ac:dyDescent="0.25">
      <c r="A338" s="83"/>
      <c r="B338" s="7"/>
      <c r="C338" s="8"/>
      <c r="D338" s="8"/>
      <c r="E338" s="60"/>
      <c r="F338" s="84" t="str">
        <f>IFERROR(VLOOKUP(CONCATENATE($B338,"_",F$3),materiali!$C:$K,5,0),"")</f>
        <v/>
      </c>
      <c r="G338" s="85" t="str">
        <f>IFERROR(VLOOKUP(CONCATENATE($B338,"_",G$3),materiali!$C:$K,6,0),"")</f>
        <v/>
      </c>
      <c r="H338" s="86"/>
      <c r="I338" s="84" t="str">
        <f>IFERROR(VLOOKUP(CONCATENATE($B338,"_",I$3),materiali!$C:$K,5,0),"")</f>
        <v/>
      </c>
      <c r="J338" s="85" t="str">
        <f>IFERROR(VLOOKUP(CONCATENATE($B338,"_",J$3),materiali!$C:$K,6,0),"")</f>
        <v/>
      </c>
      <c r="K338" s="86"/>
      <c r="L338" s="84" t="str">
        <f>IFERROR(VLOOKUP(CONCATENATE($B338,"_",L$3),materiali!$C:$K,5,0),"")</f>
        <v/>
      </c>
      <c r="M338" s="85" t="str">
        <f>IFERROR(VLOOKUP(CONCATENATE($B338,"_",M$3),materiali!$C:$K,6,0),"")</f>
        <v/>
      </c>
      <c r="N338" s="86"/>
      <c r="O338" s="84" t="str">
        <f>IFERROR(VLOOKUP(CONCATENATE($B338,"_",O$3),materiali!$C:$K,5,0),"")</f>
        <v/>
      </c>
      <c r="P338" s="85" t="str">
        <f>IFERROR(VLOOKUP(CONCATENATE($B338,"_",P$3),materiali!$C:$K,6,0),"")</f>
        <v/>
      </c>
      <c r="Q338" s="86"/>
      <c r="R338" s="84" t="str">
        <f>IFERROR(VLOOKUP(CONCATENATE($B338,"_",R$3),materiali!$C:$K,5,0),"")</f>
        <v/>
      </c>
      <c r="S338" s="85" t="str">
        <f>IFERROR(VLOOKUP(CONCATENATE($B338,"_",S$3),materiali!$C:$K,6,0),"")</f>
        <v/>
      </c>
      <c r="T338" s="86"/>
      <c r="U338" s="31"/>
      <c r="AD338" s="97"/>
    </row>
    <row r="339" spans="1:30" ht="35.1" hidden="1" customHeight="1" x14ac:dyDescent="0.25">
      <c r="A339" s="83"/>
      <c r="B339" s="7"/>
      <c r="C339" s="8"/>
      <c r="D339" s="8"/>
      <c r="E339" s="60"/>
      <c r="F339" s="84" t="str">
        <f>IFERROR(VLOOKUP(CONCATENATE($B339,"_",F$3),materiali!$C:$K,5,0),"")</f>
        <v/>
      </c>
      <c r="G339" s="85" t="str">
        <f>IFERROR(VLOOKUP(CONCATENATE($B339,"_",G$3),materiali!$C:$K,6,0),"")</f>
        <v/>
      </c>
      <c r="H339" s="86"/>
      <c r="I339" s="84" t="str">
        <f>IFERROR(VLOOKUP(CONCATENATE($B339,"_",I$3),materiali!$C:$K,5,0),"")</f>
        <v/>
      </c>
      <c r="J339" s="85" t="str">
        <f>IFERROR(VLOOKUP(CONCATENATE($B339,"_",J$3),materiali!$C:$K,6,0),"")</f>
        <v/>
      </c>
      <c r="K339" s="86"/>
      <c r="L339" s="84" t="str">
        <f>IFERROR(VLOOKUP(CONCATENATE($B339,"_",L$3),materiali!$C:$K,5,0),"")</f>
        <v/>
      </c>
      <c r="M339" s="85" t="str">
        <f>IFERROR(VLOOKUP(CONCATENATE($B339,"_",M$3),materiali!$C:$K,6,0),"")</f>
        <v/>
      </c>
      <c r="N339" s="86"/>
      <c r="O339" s="84" t="str">
        <f>IFERROR(VLOOKUP(CONCATENATE($B339,"_",O$3),materiali!$C:$K,5,0),"")</f>
        <v/>
      </c>
      <c r="P339" s="85" t="str">
        <f>IFERROR(VLOOKUP(CONCATENATE($B339,"_",P$3),materiali!$C:$K,6,0),"")</f>
        <v/>
      </c>
      <c r="Q339" s="86"/>
      <c r="R339" s="84" t="str">
        <f>IFERROR(VLOOKUP(CONCATENATE($B339,"_",R$3),materiali!$C:$K,5,0),"")</f>
        <v/>
      </c>
      <c r="S339" s="85" t="str">
        <f>IFERROR(VLOOKUP(CONCATENATE($B339,"_",S$3),materiali!$C:$K,6,0),"")</f>
        <v/>
      </c>
      <c r="T339" s="86"/>
      <c r="U339" s="31"/>
      <c r="AD339" s="97"/>
    </row>
    <row r="340" spans="1:30" ht="35.1" hidden="1" customHeight="1" x14ac:dyDescent="0.25">
      <c r="A340" s="83"/>
      <c r="B340" s="7"/>
      <c r="C340" s="8"/>
      <c r="D340" s="8"/>
      <c r="E340" s="60"/>
      <c r="F340" s="84" t="str">
        <f>IFERROR(VLOOKUP(CONCATENATE($B340,"_",F$3),materiali!$C:$K,5,0),"")</f>
        <v/>
      </c>
      <c r="G340" s="85" t="str">
        <f>IFERROR(VLOOKUP(CONCATENATE($B340,"_",G$3),materiali!$C:$K,6,0),"")</f>
        <v/>
      </c>
      <c r="H340" s="86"/>
      <c r="I340" s="84" t="str">
        <f>IFERROR(VLOOKUP(CONCATENATE($B340,"_",I$3),materiali!$C:$K,5,0),"")</f>
        <v/>
      </c>
      <c r="J340" s="85" t="str">
        <f>IFERROR(VLOOKUP(CONCATENATE($B340,"_",J$3),materiali!$C:$K,6,0),"")</f>
        <v/>
      </c>
      <c r="K340" s="86"/>
      <c r="L340" s="84" t="str">
        <f>IFERROR(VLOOKUP(CONCATENATE($B340,"_",L$3),materiali!$C:$K,5,0),"")</f>
        <v/>
      </c>
      <c r="M340" s="85" t="str">
        <f>IFERROR(VLOOKUP(CONCATENATE($B340,"_",M$3),materiali!$C:$K,6,0),"")</f>
        <v/>
      </c>
      <c r="N340" s="86"/>
      <c r="O340" s="84" t="str">
        <f>IFERROR(VLOOKUP(CONCATENATE($B340,"_",O$3),materiali!$C:$K,5,0),"")</f>
        <v/>
      </c>
      <c r="P340" s="85" t="str">
        <f>IFERROR(VLOOKUP(CONCATENATE($B340,"_",P$3),materiali!$C:$K,6,0),"")</f>
        <v/>
      </c>
      <c r="Q340" s="86"/>
      <c r="R340" s="84" t="str">
        <f>IFERROR(VLOOKUP(CONCATENATE($B340,"_",R$3),materiali!$C:$K,5,0),"")</f>
        <v/>
      </c>
      <c r="S340" s="85" t="str">
        <f>IFERROR(VLOOKUP(CONCATENATE($B340,"_",S$3),materiali!$C:$K,6,0),"")</f>
        <v/>
      </c>
      <c r="T340" s="86"/>
      <c r="U340" s="31"/>
      <c r="AD340" s="97"/>
    </row>
    <row r="341" spans="1:30" ht="35.1" hidden="1" customHeight="1" x14ac:dyDescent="0.25">
      <c r="A341" s="83"/>
      <c r="B341" s="7"/>
      <c r="C341" s="8"/>
      <c r="D341" s="8"/>
      <c r="E341" s="60"/>
      <c r="F341" s="84" t="str">
        <f>IFERROR(VLOOKUP(CONCATENATE($B341,"_",F$3),materiali!$C:$K,5,0),"")</f>
        <v/>
      </c>
      <c r="G341" s="85" t="str">
        <f>IFERROR(VLOOKUP(CONCATENATE($B341,"_",G$3),materiali!$C:$K,6,0),"")</f>
        <v/>
      </c>
      <c r="H341" s="86"/>
      <c r="I341" s="84" t="str">
        <f>IFERROR(VLOOKUP(CONCATENATE($B341,"_",I$3),materiali!$C:$K,5,0),"")</f>
        <v/>
      </c>
      <c r="J341" s="85" t="str">
        <f>IFERROR(VLOOKUP(CONCATENATE($B341,"_",J$3),materiali!$C:$K,6,0),"")</f>
        <v/>
      </c>
      <c r="K341" s="86"/>
      <c r="L341" s="84" t="str">
        <f>IFERROR(VLOOKUP(CONCATENATE($B341,"_",L$3),materiali!$C:$K,5,0),"")</f>
        <v/>
      </c>
      <c r="M341" s="85" t="str">
        <f>IFERROR(VLOOKUP(CONCATENATE($B341,"_",M$3),materiali!$C:$K,6,0),"")</f>
        <v/>
      </c>
      <c r="N341" s="86"/>
      <c r="O341" s="84" t="str">
        <f>IFERROR(VLOOKUP(CONCATENATE($B341,"_",O$3),materiali!$C:$K,5,0),"")</f>
        <v/>
      </c>
      <c r="P341" s="85" t="str">
        <f>IFERROR(VLOOKUP(CONCATENATE($B341,"_",P$3),materiali!$C:$K,6,0),"")</f>
        <v/>
      </c>
      <c r="Q341" s="86"/>
      <c r="R341" s="84" t="str">
        <f>IFERROR(VLOOKUP(CONCATENATE($B341,"_",R$3),materiali!$C:$K,5,0),"")</f>
        <v/>
      </c>
      <c r="S341" s="85" t="str">
        <f>IFERROR(VLOOKUP(CONCATENATE($B341,"_",S$3),materiali!$C:$K,6,0),"")</f>
        <v/>
      </c>
      <c r="T341" s="86"/>
      <c r="U341" s="31"/>
      <c r="AD341" s="97"/>
    </row>
    <row r="342" spans="1:30" ht="35.1" hidden="1" customHeight="1" x14ac:dyDescent="0.25">
      <c r="A342" s="83"/>
      <c r="B342" s="7"/>
      <c r="C342" s="8"/>
      <c r="D342" s="8"/>
      <c r="E342" s="60"/>
      <c r="F342" s="84" t="str">
        <f>IFERROR(VLOOKUP(CONCATENATE($B342,"_",F$3),materiali!$C:$K,5,0),"")</f>
        <v/>
      </c>
      <c r="G342" s="85" t="str">
        <f>IFERROR(VLOOKUP(CONCATENATE($B342,"_",G$3),materiali!$C:$K,6,0),"")</f>
        <v/>
      </c>
      <c r="H342" s="86"/>
      <c r="I342" s="84" t="str">
        <f>IFERROR(VLOOKUP(CONCATENATE($B342,"_",I$3),materiali!$C:$K,5,0),"")</f>
        <v/>
      </c>
      <c r="J342" s="85" t="str">
        <f>IFERROR(VLOOKUP(CONCATENATE($B342,"_",J$3),materiali!$C:$K,6,0),"")</f>
        <v/>
      </c>
      <c r="K342" s="86"/>
      <c r="L342" s="84" t="str">
        <f>IFERROR(VLOOKUP(CONCATENATE($B342,"_",L$3),materiali!$C:$K,5,0),"")</f>
        <v/>
      </c>
      <c r="M342" s="85" t="str">
        <f>IFERROR(VLOOKUP(CONCATENATE($B342,"_",M$3),materiali!$C:$K,6,0),"")</f>
        <v/>
      </c>
      <c r="N342" s="86"/>
      <c r="O342" s="84" t="str">
        <f>IFERROR(VLOOKUP(CONCATENATE($B342,"_",O$3),materiali!$C:$K,5,0),"")</f>
        <v/>
      </c>
      <c r="P342" s="85" t="str">
        <f>IFERROR(VLOOKUP(CONCATENATE($B342,"_",P$3),materiali!$C:$K,6,0),"")</f>
        <v/>
      </c>
      <c r="Q342" s="86"/>
      <c r="R342" s="84" t="str">
        <f>IFERROR(VLOOKUP(CONCATENATE($B342,"_",R$3),materiali!$C:$K,5,0),"")</f>
        <v/>
      </c>
      <c r="S342" s="85" t="str">
        <f>IFERROR(VLOOKUP(CONCATENATE($B342,"_",S$3),materiali!$C:$K,6,0),"")</f>
        <v/>
      </c>
      <c r="T342" s="86"/>
      <c r="U342" s="31"/>
      <c r="AD342" s="97"/>
    </row>
    <row r="343" spans="1:30" ht="35.1" hidden="1" customHeight="1" x14ac:dyDescent="0.25">
      <c r="A343" s="83"/>
      <c r="B343" s="7"/>
      <c r="C343" s="8"/>
      <c r="D343" s="8"/>
      <c r="E343" s="60"/>
      <c r="F343" s="84" t="str">
        <f>IFERROR(VLOOKUP(CONCATENATE($B343,"_",F$3),materiali!$C:$K,5,0),"")</f>
        <v/>
      </c>
      <c r="G343" s="85" t="str">
        <f>IFERROR(VLOOKUP(CONCATENATE($B343,"_",G$3),materiali!$C:$K,6,0),"")</f>
        <v/>
      </c>
      <c r="H343" s="86"/>
      <c r="I343" s="84" t="str">
        <f>IFERROR(VLOOKUP(CONCATENATE($B343,"_",I$3),materiali!$C:$K,5,0),"")</f>
        <v/>
      </c>
      <c r="J343" s="85" t="str">
        <f>IFERROR(VLOOKUP(CONCATENATE($B343,"_",J$3),materiali!$C:$K,6,0),"")</f>
        <v/>
      </c>
      <c r="K343" s="86"/>
      <c r="L343" s="84" t="str">
        <f>IFERROR(VLOOKUP(CONCATENATE($B343,"_",L$3),materiali!$C:$K,5,0),"")</f>
        <v/>
      </c>
      <c r="M343" s="85" t="str">
        <f>IFERROR(VLOOKUP(CONCATENATE($B343,"_",M$3),materiali!$C:$K,6,0),"")</f>
        <v/>
      </c>
      <c r="N343" s="86"/>
      <c r="O343" s="84" t="str">
        <f>IFERROR(VLOOKUP(CONCATENATE($B343,"_",O$3),materiali!$C:$K,5,0),"")</f>
        <v/>
      </c>
      <c r="P343" s="85" t="str">
        <f>IFERROR(VLOOKUP(CONCATENATE($B343,"_",P$3),materiali!$C:$K,6,0),"")</f>
        <v/>
      </c>
      <c r="Q343" s="86"/>
      <c r="R343" s="84" t="str">
        <f>IFERROR(VLOOKUP(CONCATENATE($B343,"_",R$3),materiali!$C:$K,5,0),"")</f>
        <v/>
      </c>
      <c r="S343" s="85" t="str">
        <f>IFERROR(VLOOKUP(CONCATENATE($B343,"_",S$3),materiali!$C:$K,6,0),"")</f>
        <v/>
      </c>
      <c r="T343" s="86"/>
      <c r="U343" s="31"/>
      <c r="AD343" s="97"/>
    </row>
    <row r="344" spans="1:30" ht="35.1" hidden="1" customHeight="1" x14ac:dyDescent="0.25">
      <c r="A344" s="83"/>
      <c r="B344" s="7"/>
      <c r="C344" s="8"/>
      <c r="D344" s="8"/>
      <c r="E344" s="60"/>
      <c r="F344" s="84" t="str">
        <f>IFERROR(VLOOKUP(CONCATENATE($B344,"_",F$3),materiali!$C:$K,5,0),"")</f>
        <v/>
      </c>
      <c r="G344" s="85" t="str">
        <f>IFERROR(VLOOKUP(CONCATENATE($B344,"_",G$3),materiali!$C:$K,6,0),"")</f>
        <v/>
      </c>
      <c r="H344" s="86"/>
      <c r="I344" s="84" t="str">
        <f>IFERROR(VLOOKUP(CONCATENATE($B344,"_",I$3),materiali!$C:$K,5,0),"")</f>
        <v/>
      </c>
      <c r="J344" s="85" t="str">
        <f>IFERROR(VLOOKUP(CONCATENATE($B344,"_",J$3),materiali!$C:$K,6,0),"")</f>
        <v/>
      </c>
      <c r="K344" s="86"/>
      <c r="L344" s="84" t="str">
        <f>IFERROR(VLOOKUP(CONCATENATE($B344,"_",L$3),materiali!$C:$K,5,0),"")</f>
        <v/>
      </c>
      <c r="M344" s="85" t="str">
        <f>IFERROR(VLOOKUP(CONCATENATE($B344,"_",M$3),materiali!$C:$K,6,0),"")</f>
        <v/>
      </c>
      <c r="N344" s="86"/>
      <c r="O344" s="84" t="str">
        <f>IFERROR(VLOOKUP(CONCATENATE($B344,"_",O$3),materiali!$C:$K,5,0),"")</f>
        <v/>
      </c>
      <c r="P344" s="85" t="str">
        <f>IFERROR(VLOOKUP(CONCATENATE($B344,"_",P$3),materiali!$C:$K,6,0),"")</f>
        <v/>
      </c>
      <c r="Q344" s="86"/>
      <c r="R344" s="84" t="str">
        <f>IFERROR(VLOOKUP(CONCATENATE($B344,"_",R$3),materiali!$C:$K,5,0),"")</f>
        <v/>
      </c>
      <c r="S344" s="85" t="str">
        <f>IFERROR(VLOOKUP(CONCATENATE($B344,"_",S$3),materiali!$C:$K,6,0),"")</f>
        <v/>
      </c>
      <c r="T344" s="86"/>
      <c r="U344" s="31"/>
      <c r="AD344" s="97"/>
    </row>
    <row r="345" spans="1:30" ht="35.1" hidden="1" customHeight="1" x14ac:dyDescent="0.25">
      <c r="A345" s="83"/>
      <c r="B345" s="7"/>
      <c r="C345" s="8"/>
      <c r="D345" s="8"/>
      <c r="E345" s="60"/>
      <c r="F345" s="84" t="str">
        <f>IFERROR(VLOOKUP(CONCATENATE($B345,"_",F$3),materiali!$C:$K,5,0),"")</f>
        <v/>
      </c>
      <c r="G345" s="85" t="str">
        <f>IFERROR(VLOOKUP(CONCATENATE($B345,"_",G$3),materiali!$C:$K,6,0),"")</f>
        <v/>
      </c>
      <c r="H345" s="86"/>
      <c r="I345" s="84" t="str">
        <f>IFERROR(VLOOKUP(CONCATENATE($B345,"_",I$3),materiali!$C:$K,5,0),"")</f>
        <v/>
      </c>
      <c r="J345" s="85" t="str">
        <f>IFERROR(VLOOKUP(CONCATENATE($B345,"_",J$3),materiali!$C:$K,6,0),"")</f>
        <v/>
      </c>
      <c r="K345" s="86"/>
      <c r="L345" s="84" t="str">
        <f>IFERROR(VLOOKUP(CONCATENATE($B345,"_",L$3),materiali!$C:$K,5,0),"")</f>
        <v/>
      </c>
      <c r="M345" s="85" t="str">
        <f>IFERROR(VLOOKUP(CONCATENATE($B345,"_",M$3),materiali!$C:$K,6,0),"")</f>
        <v/>
      </c>
      <c r="N345" s="86"/>
      <c r="O345" s="84" t="str">
        <f>IFERROR(VLOOKUP(CONCATENATE($B345,"_",O$3),materiali!$C:$K,5,0),"")</f>
        <v/>
      </c>
      <c r="P345" s="85" t="str">
        <f>IFERROR(VLOOKUP(CONCATENATE($B345,"_",P$3),materiali!$C:$K,6,0),"")</f>
        <v/>
      </c>
      <c r="Q345" s="86"/>
      <c r="R345" s="84" t="str">
        <f>IFERROR(VLOOKUP(CONCATENATE($B345,"_",R$3),materiali!$C:$K,5,0),"")</f>
        <v/>
      </c>
      <c r="S345" s="85" t="str">
        <f>IFERROR(VLOOKUP(CONCATENATE($B345,"_",S$3),materiali!$C:$K,6,0),"")</f>
        <v/>
      </c>
      <c r="T345" s="86"/>
      <c r="U345" s="31"/>
      <c r="AD345" s="97"/>
    </row>
    <row r="346" spans="1:30" ht="35.1" hidden="1" customHeight="1" x14ac:dyDescent="0.25">
      <c r="A346" s="83"/>
      <c r="B346" s="7"/>
      <c r="C346" s="8"/>
      <c r="D346" s="8"/>
      <c r="E346" s="60"/>
      <c r="F346" s="84" t="str">
        <f>IFERROR(VLOOKUP(CONCATENATE($B346,"_",F$3),materiali!$C:$K,5,0),"")</f>
        <v/>
      </c>
      <c r="G346" s="85" t="str">
        <f>IFERROR(VLOOKUP(CONCATENATE($B346,"_",G$3),materiali!$C:$K,6,0),"")</f>
        <v/>
      </c>
      <c r="H346" s="86"/>
      <c r="I346" s="84" t="str">
        <f>IFERROR(VLOOKUP(CONCATENATE($B346,"_",I$3),materiali!$C:$K,5,0),"")</f>
        <v/>
      </c>
      <c r="J346" s="85" t="str">
        <f>IFERROR(VLOOKUP(CONCATENATE($B346,"_",J$3),materiali!$C:$K,6,0),"")</f>
        <v/>
      </c>
      <c r="K346" s="86"/>
      <c r="L346" s="84" t="str">
        <f>IFERROR(VLOOKUP(CONCATENATE($B346,"_",L$3),materiali!$C:$K,5,0),"")</f>
        <v/>
      </c>
      <c r="M346" s="85" t="str">
        <f>IFERROR(VLOOKUP(CONCATENATE($B346,"_",M$3),materiali!$C:$K,6,0),"")</f>
        <v/>
      </c>
      <c r="N346" s="86"/>
      <c r="O346" s="84" t="str">
        <f>IFERROR(VLOOKUP(CONCATENATE($B346,"_",O$3),materiali!$C:$K,5,0),"")</f>
        <v/>
      </c>
      <c r="P346" s="85" t="str">
        <f>IFERROR(VLOOKUP(CONCATENATE($B346,"_",P$3),materiali!$C:$K,6,0),"")</f>
        <v/>
      </c>
      <c r="Q346" s="86"/>
      <c r="R346" s="84" t="str">
        <f>IFERROR(VLOOKUP(CONCATENATE($B346,"_",R$3),materiali!$C:$K,5,0),"")</f>
        <v/>
      </c>
      <c r="S346" s="85" t="str">
        <f>IFERROR(VLOOKUP(CONCATENATE($B346,"_",S$3),materiali!$C:$K,6,0),"")</f>
        <v/>
      </c>
      <c r="T346" s="86"/>
      <c r="U346" s="31"/>
      <c r="AD346" s="97"/>
    </row>
    <row r="347" spans="1:30" ht="35.1" hidden="1" customHeight="1" x14ac:dyDescent="0.25">
      <c r="A347" s="83"/>
      <c r="B347" s="7"/>
      <c r="C347" s="8"/>
      <c r="D347" s="8"/>
      <c r="E347" s="60"/>
      <c r="F347" s="84" t="str">
        <f>IFERROR(VLOOKUP(CONCATENATE($B347,"_",F$3),materiali!$C:$K,5,0),"")</f>
        <v/>
      </c>
      <c r="G347" s="85" t="str">
        <f>IFERROR(VLOOKUP(CONCATENATE($B347,"_",G$3),materiali!$C:$K,6,0),"")</f>
        <v/>
      </c>
      <c r="H347" s="86"/>
      <c r="I347" s="84" t="str">
        <f>IFERROR(VLOOKUP(CONCATENATE($B347,"_",I$3),materiali!$C:$K,5,0),"")</f>
        <v/>
      </c>
      <c r="J347" s="85" t="str">
        <f>IFERROR(VLOOKUP(CONCATENATE($B347,"_",J$3),materiali!$C:$K,6,0),"")</f>
        <v/>
      </c>
      <c r="K347" s="86"/>
      <c r="L347" s="84" t="str">
        <f>IFERROR(VLOOKUP(CONCATENATE($B347,"_",L$3),materiali!$C:$K,5,0),"")</f>
        <v/>
      </c>
      <c r="M347" s="85" t="str">
        <f>IFERROR(VLOOKUP(CONCATENATE($B347,"_",M$3),materiali!$C:$K,6,0),"")</f>
        <v/>
      </c>
      <c r="N347" s="86"/>
      <c r="O347" s="84" t="str">
        <f>IFERROR(VLOOKUP(CONCATENATE($B347,"_",O$3),materiali!$C:$K,5,0),"")</f>
        <v/>
      </c>
      <c r="P347" s="85" t="str">
        <f>IFERROR(VLOOKUP(CONCATENATE($B347,"_",P$3),materiali!$C:$K,6,0),"")</f>
        <v/>
      </c>
      <c r="Q347" s="86"/>
      <c r="R347" s="84" t="str">
        <f>IFERROR(VLOOKUP(CONCATENATE($B347,"_",R$3),materiali!$C:$K,5,0),"")</f>
        <v/>
      </c>
      <c r="S347" s="85" t="str">
        <f>IFERROR(VLOOKUP(CONCATENATE($B347,"_",S$3),materiali!$C:$K,6,0),"")</f>
        <v/>
      </c>
      <c r="T347" s="86"/>
      <c r="U347" s="31"/>
      <c r="AD347" s="97"/>
    </row>
    <row r="348" spans="1:30" ht="35.1" hidden="1" customHeight="1" x14ac:dyDescent="0.25">
      <c r="A348" s="83"/>
      <c r="B348" s="7"/>
      <c r="C348" s="8"/>
      <c r="D348" s="8"/>
      <c r="E348" s="60"/>
      <c r="F348" s="84" t="str">
        <f>IFERROR(VLOOKUP(CONCATENATE($B348,"_",F$3),materiali!$C:$K,5,0),"")</f>
        <v/>
      </c>
      <c r="G348" s="85" t="str">
        <f>IFERROR(VLOOKUP(CONCATENATE($B348,"_",G$3),materiali!$C:$K,6,0),"")</f>
        <v/>
      </c>
      <c r="H348" s="86"/>
      <c r="I348" s="84" t="str">
        <f>IFERROR(VLOOKUP(CONCATENATE($B348,"_",I$3),materiali!$C:$K,5,0),"")</f>
        <v/>
      </c>
      <c r="J348" s="85" t="str">
        <f>IFERROR(VLOOKUP(CONCATENATE($B348,"_",J$3),materiali!$C:$K,6,0),"")</f>
        <v/>
      </c>
      <c r="K348" s="86"/>
      <c r="L348" s="84" t="str">
        <f>IFERROR(VLOOKUP(CONCATENATE($B348,"_",L$3),materiali!$C:$K,5,0),"")</f>
        <v/>
      </c>
      <c r="M348" s="85" t="str">
        <f>IFERROR(VLOOKUP(CONCATENATE($B348,"_",M$3),materiali!$C:$K,6,0),"")</f>
        <v/>
      </c>
      <c r="N348" s="86"/>
      <c r="O348" s="84" t="str">
        <f>IFERROR(VLOOKUP(CONCATENATE($B348,"_",O$3),materiali!$C:$K,5,0),"")</f>
        <v/>
      </c>
      <c r="P348" s="85" t="str">
        <f>IFERROR(VLOOKUP(CONCATENATE($B348,"_",P$3),materiali!$C:$K,6,0),"")</f>
        <v/>
      </c>
      <c r="Q348" s="86"/>
      <c r="R348" s="84" t="str">
        <f>IFERROR(VLOOKUP(CONCATENATE($B348,"_",R$3),materiali!$C:$K,5,0),"")</f>
        <v/>
      </c>
      <c r="S348" s="85" t="str">
        <f>IFERROR(VLOOKUP(CONCATENATE($B348,"_",S$3),materiali!$C:$K,6,0),"")</f>
        <v/>
      </c>
      <c r="T348" s="86"/>
      <c r="U348" s="31"/>
      <c r="AD348" s="97"/>
    </row>
    <row r="349" spans="1:30" ht="35.1" hidden="1" customHeight="1" x14ac:dyDescent="0.25">
      <c r="A349" s="83"/>
      <c r="B349" s="7"/>
      <c r="C349" s="8"/>
      <c r="D349" s="8"/>
      <c r="E349" s="60"/>
      <c r="F349" s="84" t="str">
        <f>IFERROR(VLOOKUP(CONCATENATE($B349,"_",F$3),materiali!$C:$K,5,0),"")</f>
        <v/>
      </c>
      <c r="G349" s="85" t="str">
        <f>IFERROR(VLOOKUP(CONCATENATE($B349,"_",G$3),materiali!$C:$K,6,0),"")</f>
        <v/>
      </c>
      <c r="H349" s="86"/>
      <c r="I349" s="84" t="str">
        <f>IFERROR(VLOOKUP(CONCATENATE($B349,"_",I$3),materiali!$C:$K,5,0),"")</f>
        <v/>
      </c>
      <c r="J349" s="85" t="str">
        <f>IFERROR(VLOOKUP(CONCATENATE($B349,"_",J$3),materiali!$C:$K,6,0),"")</f>
        <v/>
      </c>
      <c r="K349" s="86"/>
      <c r="L349" s="84" t="str">
        <f>IFERROR(VLOOKUP(CONCATENATE($B349,"_",L$3),materiali!$C:$K,5,0),"")</f>
        <v/>
      </c>
      <c r="M349" s="85" t="str">
        <f>IFERROR(VLOOKUP(CONCATENATE($B349,"_",M$3),materiali!$C:$K,6,0),"")</f>
        <v/>
      </c>
      <c r="N349" s="86"/>
      <c r="O349" s="84" t="str">
        <f>IFERROR(VLOOKUP(CONCATENATE($B349,"_",O$3),materiali!$C:$K,5,0),"")</f>
        <v/>
      </c>
      <c r="P349" s="85" t="str">
        <f>IFERROR(VLOOKUP(CONCATENATE($B349,"_",P$3),materiali!$C:$K,6,0),"")</f>
        <v/>
      </c>
      <c r="Q349" s="86"/>
      <c r="R349" s="84" t="str">
        <f>IFERROR(VLOOKUP(CONCATENATE($B349,"_",R$3),materiali!$C:$K,5,0),"")</f>
        <v/>
      </c>
      <c r="S349" s="85" t="str">
        <f>IFERROR(VLOOKUP(CONCATENATE($B349,"_",S$3),materiali!$C:$K,6,0),"")</f>
        <v/>
      </c>
      <c r="T349" s="86"/>
      <c r="U349" s="31"/>
      <c r="AD349" s="97"/>
    </row>
    <row r="350" spans="1:30" ht="35.1" hidden="1" customHeight="1" x14ac:dyDescent="0.25">
      <c r="A350" s="83"/>
      <c r="B350" s="7"/>
      <c r="C350" s="8"/>
      <c r="D350" s="8"/>
      <c r="E350" s="60"/>
      <c r="F350" s="84" t="str">
        <f>IFERROR(VLOOKUP(CONCATENATE($B350,"_",F$3),materiali!$C:$K,5,0),"")</f>
        <v/>
      </c>
      <c r="G350" s="85" t="str">
        <f>IFERROR(VLOOKUP(CONCATENATE($B350,"_",G$3),materiali!$C:$K,6,0),"")</f>
        <v/>
      </c>
      <c r="H350" s="86"/>
      <c r="I350" s="84" t="str">
        <f>IFERROR(VLOOKUP(CONCATENATE($B350,"_",I$3),materiali!$C:$K,5,0),"")</f>
        <v/>
      </c>
      <c r="J350" s="85" t="str">
        <f>IFERROR(VLOOKUP(CONCATENATE($B350,"_",J$3),materiali!$C:$K,6,0),"")</f>
        <v/>
      </c>
      <c r="K350" s="86"/>
      <c r="L350" s="84" t="str">
        <f>IFERROR(VLOOKUP(CONCATENATE($B350,"_",L$3),materiali!$C:$K,5,0),"")</f>
        <v/>
      </c>
      <c r="M350" s="85" t="str">
        <f>IFERROR(VLOOKUP(CONCATENATE($B350,"_",M$3),materiali!$C:$K,6,0),"")</f>
        <v/>
      </c>
      <c r="N350" s="86"/>
      <c r="O350" s="84" t="str">
        <f>IFERROR(VLOOKUP(CONCATENATE($B350,"_",O$3),materiali!$C:$K,5,0),"")</f>
        <v/>
      </c>
      <c r="P350" s="85" t="str">
        <f>IFERROR(VLOOKUP(CONCATENATE($B350,"_",P$3),materiali!$C:$K,6,0),"")</f>
        <v/>
      </c>
      <c r="Q350" s="86"/>
      <c r="R350" s="84" t="str">
        <f>IFERROR(VLOOKUP(CONCATENATE($B350,"_",R$3),materiali!$C:$K,5,0),"")</f>
        <v/>
      </c>
      <c r="S350" s="85" t="str">
        <f>IFERROR(VLOOKUP(CONCATENATE($B350,"_",S$3),materiali!$C:$K,6,0),"")</f>
        <v/>
      </c>
      <c r="T350" s="86"/>
      <c r="U350" s="31"/>
      <c r="AD350" s="97"/>
    </row>
    <row r="351" spans="1:30" ht="35.1" hidden="1" customHeight="1" x14ac:dyDescent="0.25">
      <c r="A351" s="83"/>
      <c r="B351" s="7"/>
      <c r="C351" s="8"/>
      <c r="D351" s="8"/>
      <c r="E351" s="60"/>
      <c r="F351" s="84" t="str">
        <f>IFERROR(VLOOKUP(CONCATENATE($B351,"_",F$3),materiali!$C:$K,5,0),"")</f>
        <v/>
      </c>
      <c r="G351" s="85" t="str">
        <f>IFERROR(VLOOKUP(CONCATENATE($B351,"_",G$3),materiali!$C:$K,6,0),"")</f>
        <v/>
      </c>
      <c r="H351" s="86"/>
      <c r="I351" s="84" t="str">
        <f>IFERROR(VLOOKUP(CONCATENATE($B351,"_",I$3),materiali!$C:$K,5,0),"")</f>
        <v/>
      </c>
      <c r="J351" s="85" t="str">
        <f>IFERROR(VLOOKUP(CONCATENATE($B351,"_",J$3),materiali!$C:$K,6,0),"")</f>
        <v/>
      </c>
      <c r="K351" s="86"/>
      <c r="L351" s="84" t="str">
        <f>IFERROR(VLOOKUP(CONCATENATE($B351,"_",L$3),materiali!$C:$K,5,0),"")</f>
        <v/>
      </c>
      <c r="M351" s="85" t="str">
        <f>IFERROR(VLOOKUP(CONCATENATE($B351,"_",M$3),materiali!$C:$K,6,0),"")</f>
        <v/>
      </c>
      <c r="N351" s="86"/>
      <c r="O351" s="84" t="str">
        <f>IFERROR(VLOOKUP(CONCATENATE($B351,"_",O$3),materiali!$C:$K,5,0),"")</f>
        <v/>
      </c>
      <c r="P351" s="85" t="str">
        <f>IFERROR(VLOOKUP(CONCATENATE($B351,"_",P$3),materiali!$C:$K,6,0),"")</f>
        <v/>
      </c>
      <c r="Q351" s="86"/>
      <c r="R351" s="84" t="str">
        <f>IFERROR(VLOOKUP(CONCATENATE($B351,"_",R$3),materiali!$C:$K,5,0),"")</f>
        <v/>
      </c>
      <c r="S351" s="85" t="str">
        <f>IFERROR(VLOOKUP(CONCATENATE($B351,"_",S$3),materiali!$C:$K,6,0),"")</f>
        <v/>
      </c>
      <c r="T351" s="86"/>
      <c r="U351" s="31"/>
      <c r="AD351" s="97"/>
    </row>
    <row r="352" spans="1:30" ht="35.1" hidden="1" customHeight="1" x14ac:dyDescent="0.25">
      <c r="A352" s="83"/>
      <c r="B352" s="7"/>
      <c r="C352" s="8"/>
      <c r="D352" s="8"/>
      <c r="E352" s="60"/>
      <c r="F352" s="84" t="str">
        <f>IFERROR(VLOOKUP(CONCATENATE($B352,"_",F$3),materiali!$C:$K,5,0),"")</f>
        <v/>
      </c>
      <c r="G352" s="85" t="str">
        <f>IFERROR(VLOOKUP(CONCATENATE($B352,"_",G$3),materiali!$C:$K,6,0),"")</f>
        <v/>
      </c>
      <c r="H352" s="86"/>
      <c r="I352" s="84" t="str">
        <f>IFERROR(VLOOKUP(CONCATENATE($B352,"_",I$3),materiali!$C:$K,5,0),"")</f>
        <v/>
      </c>
      <c r="J352" s="85" t="str">
        <f>IFERROR(VLOOKUP(CONCATENATE($B352,"_",J$3),materiali!$C:$K,6,0),"")</f>
        <v/>
      </c>
      <c r="K352" s="86"/>
      <c r="L352" s="84" t="str">
        <f>IFERROR(VLOOKUP(CONCATENATE($B352,"_",L$3),materiali!$C:$K,5,0),"")</f>
        <v/>
      </c>
      <c r="M352" s="85" t="str">
        <f>IFERROR(VLOOKUP(CONCATENATE($B352,"_",M$3),materiali!$C:$K,6,0),"")</f>
        <v/>
      </c>
      <c r="N352" s="86"/>
      <c r="O352" s="84" t="str">
        <f>IFERROR(VLOOKUP(CONCATENATE($B352,"_",O$3),materiali!$C:$K,5,0),"")</f>
        <v/>
      </c>
      <c r="P352" s="85" t="str">
        <f>IFERROR(VLOOKUP(CONCATENATE($B352,"_",P$3),materiali!$C:$K,6,0),"")</f>
        <v/>
      </c>
      <c r="Q352" s="86"/>
      <c r="R352" s="84" t="str">
        <f>IFERROR(VLOOKUP(CONCATENATE($B352,"_",R$3),materiali!$C:$K,5,0),"")</f>
        <v/>
      </c>
      <c r="S352" s="85" t="str">
        <f>IFERROR(VLOOKUP(CONCATENATE($B352,"_",S$3),materiali!$C:$K,6,0),"")</f>
        <v/>
      </c>
      <c r="T352" s="86"/>
      <c r="U352" s="31"/>
      <c r="AD352" s="97"/>
    </row>
    <row r="353" spans="1:30" ht="35.1" hidden="1" customHeight="1" x14ac:dyDescent="0.25">
      <c r="A353" s="83"/>
      <c r="B353" s="7"/>
      <c r="C353" s="8"/>
      <c r="D353" s="8"/>
      <c r="E353" s="60"/>
      <c r="F353" s="84" t="str">
        <f>IFERROR(VLOOKUP(CONCATENATE($B353,"_",F$3),materiali!$C:$K,5,0),"")</f>
        <v/>
      </c>
      <c r="G353" s="85" t="str">
        <f>IFERROR(VLOOKUP(CONCATENATE($B353,"_",G$3),materiali!$C:$K,6,0),"")</f>
        <v/>
      </c>
      <c r="H353" s="86"/>
      <c r="I353" s="84" t="str">
        <f>IFERROR(VLOOKUP(CONCATENATE($B353,"_",I$3),materiali!$C:$K,5,0),"")</f>
        <v/>
      </c>
      <c r="J353" s="85" t="str">
        <f>IFERROR(VLOOKUP(CONCATENATE($B353,"_",J$3),materiali!$C:$K,6,0),"")</f>
        <v/>
      </c>
      <c r="K353" s="86"/>
      <c r="L353" s="84" t="str">
        <f>IFERROR(VLOOKUP(CONCATENATE($B353,"_",L$3),materiali!$C:$K,5,0),"")</f>
        <v/>
      </c>
      <c r="M353" s="85" t="str">
        <f>IFERROR(VLOOKUP(CONCATENATE($B353,"_",M$3),materiali!$C:$K,6,0),"")</f>
        <v/>
      </c>
      <c r="N353" s="86"/>
      <c r="O353" s="84" t="str">
        <f>IFERROR(VLOOKUP(CONCATENATE($B353,"_",O$3),materiali!$C:$K,5,0),"")</f>
        <v/>
      </c>
      <c r="P353" s="85" t="str">
        <f>IFERROR(VLOOKUP(CONCATENATE($B353,"_",P$3),materiali!$C:$K,6,0),"")</f>
        <v/>
      </c>
      <c r="Q353" s="86"/>
      <c r="R353" s="84" t="str">
        <f>IFERROR(VLOOKUP(CONCATENATE($B353,"_",R$3),materiali!$C:$K,5,0),"")</f>
        <v/>
      </c>
      <c r="S353" s="85" t="str">
        <f>IFERROR(VLOOKUP(CONCATENATE($B353,"_",S$3),materiali!$C:$K,6,0),"")</f>
        <v/>
      </c>
      <c r="T353" s="86"/>
      <c r="U353" s="31"/>
      <c r="AD353" s="97"/>
    </row>
    <row r="354" spans="1:30" ht="35.1" hidden="1" customHeight="1" x14ac:dyDescent="0.25">
      <c r="A354" s="83"/>
      <c r="B354" s="7"/>
      <c r="C354" s="8"/>
      <c r="D354" s="8"/>
      <c r="E354" s="60"/>
      <c r="F354" s="84" t="str">
        <f>IFERROR(VLOOKUP(CONCATENATE($B354,"_",F$3),materiali!$C:$K,5,0),"")</f>
        <v/>
      </c>
      <c r="G354" s="85" t="str">
        <f>IFERROR(VLOOKUP(CONCATENATE($B354,"_",G$3),materiali!$C:$K,6,0),"")</f>
        <v/>
      </c>
      <c r="H354" s="86"/>
      <c r="I354" s="84" t="str">
        <f>IFERROR(VLOOKUP(CONCATENATE($B354,"_",I$3),materiali!$C:$K,5,0),"")</f>
        <v/>
      </c>
      <c r="J354" s="85" t="str">
        <f>IFERROR(VLOOKUP(CONCATENATE($B354,"_",J$3),materiali!$C:$K,6,0),"")</f>
        <v/>
      </c>
      <c r="K354" s="86"/>
      <c r="L354" s="84" t="str">
        <f>IFERROR(VLOOKUP(CONCATENATE($B354,"_",L$3),materiali!$C:$K,5,0),"")</f>
        <v/>
      </c>
      <c r="M354" s="85" t="str">
        <f>IFERROR(VLOOKUP(CONCATENATE($B354,"_",M$3),materiali!$C:$K,6,0),"")</f>
        <v/>
      </c>
      <c r="N354" s="86"/>
      <c r="O354" s="84" t="str">
        <f>IFERROR(VLOOKUP(CONCATENATE($B354,"_",O$3),materiali!$C:$K,5,0),"")</f>
        <v/>
      </c>
      <c r="P354" s="85" t="str">
        <f>IFERROR(VLOOKUP(CONCATENATE($B354,"_",P$3),materiali!$C:$K,6,0),"")</f>
        <v/>
      </c>
      <c r="Q354" s="86"/>
      <c r="R354" s="84" t="str">
        <f>IFERROR(VLOOKUP(CONCATENATE($B354,"_",R$3),materiali!$C:$K,5,0),"")</f>
        <v/>
      </c>
      <c r="S354" s="85" t="str">
        <f>IFERROR(VLOOKUP(CONCATENATE($B354,"_",S$3),materiali!$C:$K,6,0),"")</f>
        <v/>
      </c>
      <c r="T354" s="86"/>
      <c r="U354" s="31"/>
      <c r="AD354" s="97"/>
    </row>
    <row r="355" spans="1:30" ht="35.1" hidden="1" customHeight="1" x14ac:dyDescent="0.25">
      <c r="A355" s="83"/>
      <c r="B355" s="7"/>
      <c r="C355" s="8"/>
      <c r="D355" s="8"/>
      <c r="E355" s="60"/>
      <c r="F355" s="84" t="str">
        <f>IFERROR(VLOOKUP(CONCATENATE($B355,"_",F$3),materiali!$C:$K,5,0),"")</f>
        <v/>
      </c>
      <c r="G355" s="85" t="str">
        <f>IFERROR(VLOOKUP(CONCATENATE($B355,"_",G$3),materiali!$C:$K,6,0),"")</f>
        <v/>
      </c>
      <c r="H355" s="86"/>
      <c r="I355" s="84" t="str">
        <f>IFERROR(VLOOKUP(CONCATENATE($B355,"_",I$3),materiali!$C:$K,5,0),"")</f>
        <v/>
      </c>
      <c r="J355" s="85" t="str">
        <f>IFERROR(VLOOKUP(CONCATENATE($B355,"_",J$3),materiali!$C:$K,6,0),"")</f>
        <v/>
      </c>
      <c r="K355" s="86"/>
      <c r="L355" s="84" t="str">
        <f>IFERROR(VLOOKUP(CONCATENATE($B355,"_",L$3),materiali!$C:$K,5,0),"")</f>
        <v/>
      </c>
      <c r="M355" s="85" t="str">
        <f>IFERROR(VLOOKUP(CONCATENATE($B355,"_",M$3),materiali!$C:$K,6,0),"")</f>
        <v/>
      </c>
      <c r="N355" s="86"/>
      <c r="O355" s="84" t="str">
        <f>IFERROR(VLOOKUP(CONCATENATE($B355,"_",O$3),materiali!$C:$K,5,0),"")</f>
        <v/>
      </c>
      <c r="P355" s="85" t="str">
        <f>IFERROR(VLOOKUP(CONCATENATE($B355,"_",P$3),materiali!$C:$K,6,0),"")</f>
        <v/>
      </c>
      <c r="Q355" s="86"/>
      <c r="R355" s="84" t="str">
        <f>IFERROR(VLOOKUP(CONCATENATE($B355,"_",R$3),materiali!$C:$K,5,0),"")</f>
        <v/>
      </c>
      <c r="S355" s="85" t="str">
        <f>IFERROR(VLOOKUP(CONCATENATE($B355,"_",S$3),materiali!$C:$K,6,0),"")</f>
        <v/>
      </c>
      <c r="T355" s="86"/>
      <c r="U355" s="31"/>
      <c r="AD355" s="97"/>
    </row>
    <row r="356" spans="1:30" ht="35.1" hidden="1" customHeight="1" x14ac:dyDescent="0.25">
      <c r="A356" s="83"/>
      <c r="B356" s="7"/>
      <c r="C356" s="8"/>
      <c r="D356" s="8"/>
      <c r="E356" s="60"/>
      <c r="F356" s="84" t="str">
        <f>IFERROR(VLOOKUP(CONCATENATE($B356,"_",F$3),materiali!$C:$K,5,0),"")</f>
        <v/>
      </c>
      <c r="G356" s="85" t="str">
        <f>IFERROR(VLOOKUP(CONCATENATE($B356,"_",G$3),materiali!$C:$K,6,0),"")</f>
        <v/>
      </c>
      <c r="H356" s="86"/>
      <c r="I356" s="84" t="str">
        <f>IFERROR(VLOOKUP(CONCATENATE($B356,"_",I$3),materiali!$C:$K,5,0),"")</f>
        <v/>
      </c>
      <c r="J356" s="85" t="str">
        <f>IFERROR(VLOOKUP(CONCATENATE($B356,"_",J$3),materiali!$C:$K,6,0),"")</f>
        <v/>
      </c>
      <c r="K356" s="86"/>
      <c r="L356" s="84" t="str">
        <f>IFERROR(VLOOKUP(CONCATENATE($B356,"_",L$3),materiali!$C:$K,5,0),"")</f>
        <v/>
      </c>
      <c r="M356" s="85" t="str">
        <f>IFERROR(VLOOKUP(CONCATENATE($B356,"_",M$3),materiali!$C:$K,6,0),"")</f>
        <v/>
      </c>
      <c r="N356" s="86"/>
      <c r="O356" s="84" t="str">
        <f>IFERROR(VLOOKUP(CONCATENATE($B356,"_",O$3),materiali!$C:$K,5,0),"")</f>
        <v/>
      </c>
      <c r="P356" s="85" t="str">
        <f>IFERROR(VLOOKUP(CONCATENATE($B356,"_",P$3),materiali!$C:$K,6,0),"")</f>
        <v/>
      </c>
      <c r="Q356" s="86"/>
      <c r="R356" s="84" t="str">
        <f>IFERROR(VLOOKUP(CONCATENATE($B356,"_",R$3),materiali!$C:$K,5,0),"")</f>
        <v/>
      </c>
      <c r="S356" s="85" t="str">
        <f>IFERROR(VLOOKUP(CONCATENATE($B356,"_",S$3),materiali!$C:$K,6,0),"")</f>
        <v/>
      </c>
      <c r="T356" s="86"/>
      <c r="U356" s="31"/>
      <c r="AD356" s="97"/>
    </row>
    <row r="357" spans="1:30" ht="35.1" hidden="1" customHeight="1" x14ac:dyDescent="0.25">
      <c r="A357" s="83"/>
      <c r="B357" s="7"/>
      <c r="C357" s="8"/>
      <c r="D357" s="8"/>
      <c r="E357" s="60"/>
      <c r="F357" s="84" t="str">
        <f>IFERROR(VLOOKUP(CONCATENATE($B357,"_",F$3),materiali!$C:$K,5,0),"")</f>
        <v/>
      </c>
      <c r="G357" s="85" t="str">
        <f>IFERROR(VLOOKUP(CONCATENATE($B357,"_",G$3),materiali!$C:$K,6,0),"")</f>
        <v/>
      </c>
      <c r="H357" s="86"/>
      <c r="I357" s="84" t="str">
        <f>IFERROR(VLOOKUP(CONCATENATE($B357,"_",I$3),materiali!$C:$K,5,0),"")</f>
        <v/>
      </c>
      <c r="J357" s="85" t="str">
        <f>IFERROR(VLOOKUP(CONCATENATE($B357,"_",J$3),materiali!$C:$K,6,0),"")</f>
        <v/>
      </c>
      <c r="K357" s="86"/>
      <c r="L357" s="84" t="str">
        <f>IFERROR(VLOOKUP(CONCATENATE($B357,"_",L$3),materiali!$C:$K,5,0),"")</f>
        <v/>
      </c>
      <c r="M357" s="85" t="str">
        <f>IFERROR(VLOOKUP(CONCATENATE($B357,"_",M$3),materiali!$C:$K,6,0),"")</f>
        <v/>
      </c>
      <c r="N357" s="86"/>
      <c r="O357" s="84" t="str">
        <f>IFERROR(VLOOKUP(CONCATENATE($B357,"_",O$3),materiali!$C:$K,5,0),"")</f>
        <v/>
      </c>
      <c r="P357" s="85" t="str">
        <f>IFERROR(VLOOKUP(CONCATENATE($B357,"_",P$3),materiali!$C:$K,6,0),"")</f>
        <v/>
      </c>
      <c r="Q357" s="86"/>
      <c r="R357" s="84" t="str">
        <f>IFERROR(VLOOKUP(CONCATENATE($B357,"_",R$3),materiali!$C:$K,5,0),"")</f>
        <v/>
      </c>
      <c r="S357" s="85" t="str">
        <f>IFERROR(VLOOKUP(CONCATENATE($B357,"_",S$3),materiali!$C:$K,6,0),"")</f>
        <v/>
      </c>
      <c r="T357" s="86"/>
      <c r="U357" s="31"/>
      <c r="AD357" s="97"/>
    </row>
    <row r="358" spans="1:30" ht="35.1" hidden="1" customHeight="1" x14ac:dyDescent="0.25">
      <c r="A358" s="83"/>
      <c r="B358" s="7"/>
      <c r="C358" s="8"/>
      <c r="D358" s="8"/>
      <c r="E358" s="60"/>
      <c r="F358" s="84" t="str">
        <f>IFERROR(VLOOKUP(CONCATENATE($B358,"_",F$3),materiali!$C:$K,5,0),"")</f>
        <v/>
      </c>
      <c r="G358" s="85" t="str">
        <f>IFERROR(VLOOKUP(CONCATENATE($B358,"_",G$3),materiali!$C:$K,6,0),"")</f>
        <v/>
      </c>
      <c r="H358" s="86"/>
      <c r="I358" s="84" t="str">
        <f>IFERROR(VLOOKUP(CONCATENATE($B358,"_",I$3),materiali!$C:$K,5,0),"")</f>
        <v/>
      </c>
      <c r="J358" s="85" t="str">
        <f>IFERROR(VLOOKUP(CONCATENATE($B358,"_",J$3),materiali!$C:$K,6,0),"")</f>
        <v/>
      </c>
      <c r="K358" s="86"/>
      <c r="L358" s="84" t="str">
        <f>IFERROR(VLOOKUP(CONCATENATE($B358,"_",L$3),materiali!$C:$K,5,0),"")</f>
        <v/>
      </c>
      <c r="M358" s="85" t="str">
        <f>IFERROR(VLOOKUP(CONCATENATE($B358,"_",M$3),materiali!$C:$K,6,0),"")</f>
        <v/>
      </c>
      <c r="N358" s="86"/>
      <c r="O358" s="84" t="str">
        <f>IFERROR(VLOOKUP(CONCATENATE($B358,"_",O$3),materiali!$C:$K,5,0),"")</f>
        <v/>
      </c>
      <c r="P358" s="85" t="str">
        <f>IFERROR(VLOOKUP(CONCATENATE($B358,"_",P$3),materiali!$C:$K,6,0),"")</f>
        <v/>
      </c>
      <c r="Q358" s="86"/>
      <c r="R358" s="84" t="str">
        <f>IFERROR(VLOOKUP(CONCATENATE($B358,"_",R$3),materiali!$C:$K,5,0),"")</f>
        <v/>
      </c>
      <c r="S358" s="85" t="str">
        <f>IFERROR(VLOOKUP(CONCATENATE($B358,"_",S$3),materiali!$C:$K,6,0),"")</f>
        <v/>
      </c>
      <c r="T358" s="86"/>
      <c r="U358" s="31"/>
      <c r="AD358" s="97"/>
    </row>
    <row r="359" spans="1:30" ht="35.1" hidden="1" customHeight="1" x14ac:dyDescent="0.25">
      <c r="A359" s="83"/>
      <c r="B359" s="7"/>
      <c r="C359" s="8"/>
      <c r="D359" s="8"/>
      <c r="E359" s="60"/>
      <c r="F359" s="84" t="str">
        <f>IFERROR(VLOOKUP(CONCATENATE($B359,"_",F$3),materiali!$C:$K,5,0),"")</f>
        <v/>
      </c>
      <c r="G359" s="85" t="str">
        <f>IFERROR(VLOOKUP(CONCATENATE($B359,"_",G$3),materiali!$C:$K,6,0),"")</f>
        <v/>
      </c>
      <c r="H359" s="86"/>
      <c r="I359" s="84" t="str">
        <f>IFERROR(VLOOKUP(CONCATENATE($B359,"_",I$3),materiali!$C:$K,5,0),"")</f>
        <v/>
      </c>
      <c r="J359" s="85" t="str">
        <f>IFERROR(VLOOKUP(CONCATENATE($B359,"_",J$3),materiali!$C:$K,6,0),"")</f>
        <v/>
      </c>
      <c r="K359" s="86"/>
      <c r="L359" s="84" t="str">
        <f>IFERROR(VLOOKUP(CONCATENATE($B359,"_",L$3),materiali!$C:$K,5,0),"")</f>
        <v/>
      </c>
      <c r="M359" s="85" t="str">
        <f>IFERROR(VLOOKUP(CONCATENATE($B359,"_",M$3),materiali!$C:$K,6,0),"")</f>
        <v/>
      </c>
      <c r="N359" s="86"/>
      <c r="O359" s="84" t="str">
        <f>IFERROR(VLOOKUP(CONCATENATE($B359,"_",O$3),materiali!$C:$K,5,0),"")</f>
        <v/>
      </c>
      <c r="P359" s="85" t="str">
        <f>IFERROR(VLOOKUP(CONCATENATE($B359,"_",P$3),materiali!$C:$K,6,0),"")</f>
        <v/>
      </c>
      <c r="Q359" s="86"/>
      <c r="R359" s="84" t="str">
        <f>IFERROR(VLOOKUP(CONCATENATE($B359,"_",R$3),materiali!$C:$K,5,0),"")</f>
        <v/>
      </c>
      <c r="S359" s="85" t="str">
        <f>IFERROR(VLOOKUP(CONCATENATE($B359,"_",S$3),materiali!$C:$K,6,0),"")</f>
        <v/>
      </c>
      <c r="T359" s="86"/>
      <c r="U359" s="31"/>
      <c r="AD359" s="97"/>
    </row>
    <row r="360" spans="1:30" ht="35.1" hidden="1" customHeight="1" x14ac:dyDescent="0.25">
      <c r="A360" s="83"/>
      <c r="B360" s="7"/>
      <c r="C360" s="8"/>
      <c r="D360" s="8"/>
      <c r="E360" s="60"/>
      <c r="F360" s="84" t="str">
        <f>IFERROR(VLOOKUP(CONCATENATE($B360,"_",F$3),materiali!$C:$K,5,0),"")</f>
        <v/>
      </c>
      <c r="G360" s="85" t="str">
        <f>IFERROR(VLOOKUP(CONCATENATE($B360,"_",G$3),materiali!$C:$K,6,0),"")</f>
        <v/>
      </c>
      <c r="H360" s="86"/>
      <c r="I360" s="84" t="str">
        <f>IFERROR(VLOOKUP(CONCATENATE($B360,"_",I$3),materiali!$C:$K,5,0),"")</f>
        <v/>
      </c>
      <c r="J360" s="85" t="str">
        <f>IFERROR(VLOOKUP(CONCATENATE($B360,"_",J$3),materiali!$C:$K,6,0),"")</f>
        <v/>
      </c>
      <c r="K360" s="86"/>
      <c r="L360" s="84" t="str">
        <f>IFERROR(VLOOKUP(CONCATENATE($B360,"_",L$3),materiali!$C:$K,5,0),"")</f>
        <v/>
      </c>
      <c r="M360" s="85" t="str">
        <f>IFERROR(VLOOKUP(CONCATENATE($B360,"_",M$3),materiali!$C:$K,6,0),"")</f>
        <v/>
      </c>
      <c r="N360" s="86"/>
      <c r="O360" s="84" t="str">
        <f>IFERROR(VLOOKUP(CONCATENATE($B360,"_",O$3),materiali!$C:$K,5,0),"")</f>
        <v/>
      </c>
      <c r="P360" s="85" t="str">
        <f>IFERROR(VLOOKUP(CONCATENATE($B360,"_",P$3),materiali!$C:$K,6,0),"")</f>
        <v/>
      </c>
      <c r="Q360" s="86"/>
      <c r="R360" s="84" t="str">
        <f>IFERROR(VLOOKUP(CONCATENATE($B360,"_",R$3),materiali!$C:$K,5,0),"")</f>
        <v/>
      </c>
      <c r="S360" s="85" t="str">
        <f>IFERROR(VLOOKUP(CONCATENATE($B360,"_",S$3),materiali!$C:$K,6,0),"")</f>
        <v/>
      </c>
      <c r="T360" s="86"/>
      <c r="U360" s="31"/>
      <c r="AD360" s="97"/>
    </row>
    <row r="361" spans="1:30" ht="35.1" hidden="1" customHeight="1" x14ac:dyDescent="0.25">
      <c r="A361" s="83"/>
      <c r="B361" s="7"/>
      <c r="C361" s="8"/>
      <c r="D361" s="8"/>
      <c r="E361" s="60"/>
      <c r="F361" s="84" t="str">
        <f>IFERROR(VLOOKUP(CONCATENATE($B361,"_",F$3),materiali!$C:$K,5,0),"")</f>
        <v/>
      </c>
      <c r="G361" s="85" t="str">
        <f>IFERROR(VLOOKUP(CONCATENATE($B361,"_",G$3),materiali!$C:$K,6,0),"")</f>
        <v/>
      </c>
      <c r="H361" s="86"/>
      <c r="I361" s="84" t="str">
        <f>IFERROR(VLOOKUP(CONCATENATE($B361,"_",I$3),materiali!$C:$K,5,0),"")</f>
        <v/>
      </c>
      <c r="J361" s="85" t="str">
        <f>IFERROR(VLOOKUP(CONCATENATE($B361,"_",J$3),materiali!$C:$K,6,0),"")</f>
        <v/>
      </c>
      <c r="K361" s="86"/>
      <c r="L361" s="84" t="str">
        <f>IFERROR(VLOOKUP(CONCATENATE($B361,"_",L$3),materiali!$C:$K,5,0),"")</f>
        <v/>
      </c>
      <c r="M361" s="85" t="str">
        <f>IFERROR(VLOOKUP(CONCATENATE($B361,"_",M$3),materiali!$C:$K,6,0),"")</f>
        <v/>
      </c>
      <c r="N361" s="86"/>
      <c r="O361" s="84" t="str">
        <f>IFERROR(VLOOKUP(CONCATENATE($B361,"_",O$3),materiali!$C:$K,5,0),"")</f>
        <v/>
      </c>
      <c r="P361" s="85" t="str">
        <f>IFERROR(VLOOKUP(CONCATENATE($B361,"_",P$3),materiali!$C:$K,6,0),"")</f>
        <v/>
      </c>
      <c r="Q361" s="86"/>
      <c r="R361" s="84" t="str">
        <f>IFERROR(VLOOKUP(CONCATENATE($B361,"_",R$3),materiali!$C:$K,5,0),"")</f>
        <v/>
      </c>
      <c r="S361" s="85" t="str">
        <f>IFERROR(VLOOKUP(CONCATENATE($B361,"_",S$3),materiali!$C:$K,6,0),"")</f>
        <v/>
      </c>
      <c r="T361" s="86"/>
      <c r="U361" s="31"/>
      <c r="AD361" s="97"/>
    </row>
    <row r="362" spans="1:30" ht="35.1" hidden="1" customHeight="1" x14ac:dyDescent="0.25">
      <c r="A362" s="83"/>
      <c r="B362" s="7"/>
      <c r="C362" s="8"/>
      <c r="D362" s="8"/>
      <c r="E362" s="60"/>
      <c r="F362" s="84" t="str">
        <f>IFERROR(VLOOKUP(CONCATENATE($B362,"_",F$3),materiali!$C:$K,5,0),"")</f>
        <v/>
      </c>
      <c r="G362" s="85" t="str">
        <f>IFERROR(VLOOKUP(CONCATENATE($B362,"_",G$3),materiali!$C:$K,6,0),"")</f>
        <v/>
      </c>
      <c r="H362" s="86"/>
      <c r="I362" s="84" t="str">
        <f>IFERROR(VLOOKUP(CONCATENATE($B362,"_",I$3),materiali!$C:$K,5,0),"")</f>
        <v/>
      </c>
      <c r="J362" s="85" t="str">
        <f>IFERROR(VLOOKUP(CONCATENATE($B362,"_",J$3),materiali!$C:$K,6,0),"")</f>
        <v/>
      </c>
      <c r="K362" s="86"/>
      <c r="L362" s="84" t="str">
        <f>IFERROR(VLOOKUP(CONCATENATE($B362,"_",L$3),materiali!$C:$K,5,0),"")</f>
        <v/>
      </c>
      <c r="M362" s="85" t="str">
        <f>IFERROR(VLOOKUP(CONCATENATE($B362,"_",M$3),materiali!$C:$K,6,0),"")</f>
        <v/>
      </c>
      <c r="N362" s="86"/>
      <c r="O362" s="84" t="str">
        <f>IFERROR(VLOOKUP(CONCATENATE($B362,"_",O$3),materiali!$C:$K,5,0),"")</f>
        <v/>
      </c>
      <c r="P362" s="85" t="str">
        <f>IFERROR(VLOOKUP(CONCATENATE($B362,"_",P$3),materiali!$C:$K,6,0),"")</f>
        <v/>
      </c>
      <c r="Q362" s="86"/>
      <c r="R362" s="84" t="str">
        <f>IFERROR(VLOOKUP(CONCATENATE($B362,"_",R$3),materiali!$C:$K,5,0),"")</f>
        <v/>
      </c>
      <c r="S362" s="85" t="str">
        <f>IFERROR(VLOOKUP(CONCATENATE($B362,"_",S$3),materiali!$C:$K,6,0),"")</f>
        <v/>
      </c>
      <c r="T362" s="86"/>
      <c r="U362" s="31"/>
      <c r="AD362" s="97"/>
    </row>
    <row r="363" spans="1:30" ht="35.1" hidden="1" customHeight="1" x14ac:dyDescent="0.25">
      <c r="A363" s="83"/>
      <c r="B363" s="7"/>
      <c r="C363" s="8"/>
      <c r="D363" s="8"/>
      <c r="E363" s="60"/>
      <c r="F363" s="84" t="str">
        <f>IFERROR(VLOOKUP(CONCATENATE($B363,"_",F$3),materiali!$C:$K,5,0),"")</f>
        <v/>
      </c>
      <c r="G363" s="85" t="str">
        <f>IFERROR(VLOOKUP(CONCATENATE($B363,"_",G$3),materiali!$C:$K,6,0),"")</f>
        <v/>
      </c>
      <c r="H363" s="86"/>
      <c r="I363" s="84" t="str">
        <f>IFERROR(VLOOKUP(CONCATENATE($B363,"_",I$3),materiali!$C:$K,5,0),"")</f>
        <v/>
      </c>
      <c r="J363" s="85" t="str">
        <f>IFERROR(VLOOKUP(CONCATENATE($B363,"_",J$3),materiali!$C:$K,6,0),"")</f>
        <v/>
      </c>
      <c r="K363" s="86"/>
      <c r="L363" s="84" t="str">
        <f>IFERROR(VLOOKUP(CONCATENATE($B363,"_",L$3),materiali!$C:$K,5,0),"")</f>
        <v/>
      </c>
      <c r="M363" s="85" t="str">
        <f>IFERROR(VLOOKUP(CONCATENATE($B363,"_",M$3),materiali!$C:$K,6,0),"")</f>
        <v/>
      </c>
      <c r="N363" s="86"/>
      <c r="O363" s="84" t="str">
        <f>IFERROR(VLOOKUP(CONCATENATE($B363,"_",O$3),materiali!$C:$K,5,0),"")</f>
        <v/>
      </c>
      <c r="P363" s="85" t="str">
        <f>IFERROR(VLOOKUP(CONCATENATE($B363,"_",P$3),materiali!$C:$K,6,0),"")</f>
        <v/>
      </c>
      <c r="Q363" s="86"/>
      <c r="R363" s="84" t="str">
        <f>IFERROR(VLOOKUP(CONCATENATE($B363,"_",R$3),materiali!$C:$K,5,0),"")</f>
        <v/>
      </c>
      <c r="S363" s="85" t="str">
        <f>IFERROR(VLOOKUP(CONCATENATE($B363,"_",S$3),materiali!$C:$K,6,0),"")</f>
        <v/>
      </c>
      <c r="T363" s="86"/>
      <c r="U363" s="31"/>
      <c r="AD363" s="97"/>
    </row>
    <row r="364" spans="1:30" ht="35.1" hidden="1" customHeight="1" x14ac:dyDescent="0.25">
      <c r="A364" s="83"/>
      <c r="B364" s="7"/>
      <c r="C364" s="8"/>
      <c r="D364" s="8"/>
      <c r="E364" s="60"/>
      <c r="F364" s="84" t="str">
        <f>IFERROR(VLOOKUP(CONCATENATE($B364,"_",F$3),materiali!$C:$K,5,0),"")</f>
        <v/>
      </c>
      <c r="G364" s="85" t="str">
        <f>IFERROR(VLOOKUP(CONCATENATE($B364,"_",G$3),materiali!$C:$K,6,0),"")</f>
        <v/>
      </c>
      <c r="H364" s="86"/>
      <c r="I364" s="84" t="str">
        <f>IFERROR(VLOOKUP(CONCATENATE($B364,"_",I$3),materiali!$C:$K,5,0),"")</f>
        <v/>
      </c>
      <c r="J364" s="85" t="str">
        <f>IFERROR(VLOOKUP(CONCATENATE($B364,"_",J$3),materiali!$C:$K,6,0),"")</f>
        <v/>
      </c>
      <c r="K364" s="86"/>
      <c r="L364" s="84" t="str">
        <f>IFERROR(VLOOKUP(CONCATENATE($B364,"_",L$3),materiali!$C:$K,5,0),"")</f>
        <v/>
      </c>
      <c r="M364" s="85" t="str">
        <f>IFERROR(VLOOKUP(CONCATENATE($B364,"_",M$3),materiali!$C:$K,6,0),"")</f>
        <v/>
      </c>
      <c r="N364" s="86"/>
      <c r="O364" s="84" t="str">
        <f>IFERROR(VLOOKUP(CONCATENATE($B364,"_",O$3),materiali!$C:$K,5,0),"")</f>
        <v/>
      </c>
      <c r="P364" s="85" t="str">
        <f>IFERROR(VLOOKUP(CONCATENATE($B364,"_",P$3),materiali!$C:$K,6,0),"")</f>
        <v/>
      </c>
      <c r="Q364" s="86"/>
      <c r="R364" s="84" t="str">
        <f>IFERROR(VLOOKUP(CONCATENATE($B364,"_",R$3),materiali!$C:$K,5,0),"")</f>
        <v/>
      </c>
      <c r="S364" s="85" t="str">
        <f>IFERROR(VLOOKUP(CONCATENATE($B364,"_",S$3),materiali!$C:$K,6,0),"")</f>
        <v/>
      </c>
      <c r="T364" s="86"/>
      <c r="U364" s="31"/>
      <c r="AD364" s="97"/>
    </row>
    <row r="365" spans="1:30" ht="35.1" hidden="1" customHeight="1" x14ac:dyDescent="0.25">
      <c r="A365" s="83"/>
      <c r="B365" s="7"/>
      <c r="C365" s="8"/>
      <c r="D365" s="8"/>
      <c r="E365" s="60"/>
      <c r="F365" s="84" t="str">
        <f>IFERROR(VLOOKUP(CONCATENATE($B365,"_",F$3),materiali!$C:$K,5,0),"")</f>
        <v/>
      </c>
      <c r="G365" s="85" t="str">
        <f>IFERROR(VLOOKUP(CONCATENATE($B365,"_",G$3),materiali!$C:$K,6,0),"")</f>
        <v/>
      </c>
      <c r="H365" s="86"/>
      <c r="I365" s="84" t="str">
        <f>IFERROR(VLOOKUP(CONCATENATE($B365,"_",I$3),materiali!$C:$K,5,0),"")</f>
        <v/>
      </c>
      <c r="J365" s="85" t="str">
        <f>IFERROR(VLOOKUP(CONCATENATE($B365,"_",J$3),materiali!$C:$K,6,0),"")</f>
        <v/>
      </c>
      <c r="K365" s="86"/>
      <c r="L365" s="84" t="str">
        <f>IFERROR(VLOOKUP(CONCATENATE($B365,"_",L$3),materiali!$C:$K,5,0),"")</f>
        <v/>
      </c>
      <c r="M365" s="85" t="str">
        <f>IFERROR(VLOOKUP(CONCATENATE($B365,"_",M$3),materiali!$C:$K,6,0),"")</f>
        <v/>
      </c>
      <c r="N365" s="86"/>
      <c r="O365" s="84" t="str">
        <f>IFERROR(VLOOKUP(CONCATENATE($B365,"_",O$3),materiali!$C:$K,5,0),"")</f>
        <v/>
      </c>
      <c r="P365" s="85" t="str">
        <f>IFERROR(VLOOKUP(CONCATENATE($B365,"_",P$3),materiali!$C:$K,6,0),"")</f>
        <v/>
      </c>
      <c r="Q365" s="86"/>
      <c r="R365" s="84" t="str">
        <f>IFERROR(VLOOKUP(CONCATENATE($B365,"_",R$3),materiali!$C:$K,5,0),"")</f>
        <v/>
      </c>
      <c r="S365" s="85" t="str">
        <f>IFERROR(VLOOKUP(CONCATENATE($B365,"_",S$3),materiali!$C:$K,6,0),"")</f>
        <v/>
      </c>
      <c r="T365" s="86"/>
      <c r="U365" s="31"/>
      <c r="AD365" s="97"/>
    </row>
    <row r="366" spans="1:30" ht="35.1" hidden="1" customHeight="1" x14ac:dyDescent="0.25">
      <c r="A366" s="83"/>
      <c r="B366" s="7"/>
      <c r="C366" s="8"/>
      <c r="D366" s="8"/>
      <c r="E366" s="60"/>
      <c r="F366" s="84" t="str">
        <f>IFERROR(VLOOKUP(CONCATENATE($B366,"_",F$3),materiali!$C:$K,5,0),"")</f>
        <v/>
      </c>
      <c r="G366" s="85" t="str">
        <f>IFERROR(VLOOKUP(CONCATENATE($B366,"_",G$3),materiali!$C:$K,6,0),"")</f>
        <v/>
      </c>
      <c r="H366" s="86"/>
      <c r="I366" s="84" t="str">
        <f>IFERROR(VLOOKUP(CONCATENATE($B366,"_",I$3),materiali!$C:$K,5,0),"")</f>
        <v/>
      </c>
      <c r="J366" s="85" t="str">
        <f>IFERROR(VLOOKUP(CONCATENATE($B366,"_",J$3),materiali!$C:$K,6,0),"")</f>
        <v/>
      </c>
      <c r="K366" s="86"/>
      <c r="L366" s="84" t="str">
        <f>IFERROR(VLOOKUP(CONCATENATE($B366,"_",L$3),materiali!$C:$K,5,0),"")</f>
        <v/>
      </c>
      <c r="M366" s="85" t="str">
        <f>IFERROR(VLOOKUP(CONCATENATE($B366,"_",M$3),materiali!$C:$K,6,0),"")</f>
        <v/>
      </c>
      <c r="N366" s="86"/>
      <c r="O366" s="84" t="str">
        <f>IFERROR(VLOOKUP(CONCATENATE($B366,"_",O$3),materiali!$C:$K,5,0),"")</f>
        <v/>
      </c>
      <c r="P366" s="85" t="str">
        <f>IFERROR(VLOOKUP(CONCATENATE($B366,"_",P$3),materiali!$C:$K,6,0),"")</f>
        <v/>
      </c>
      <c r="Q366" s="86"/>
      <c r="R366" s="84" t="str">
        <f>IFERROR(VLOOKUP(CONCATENATE($B366,"_",R$3),materiali!$C:$K,5,0),"")</f>
        <v/>
      </c>
      <c r="S366" s="85" t="str">
        <f>IFERROR(VLOOKUP(CONCATENATE($B366,"_",S$3),materiali!$C:$K,6,0),"")</f>
        <v/>
      </c>
      <c r="T366" s="86"/>
      <c r="U366" s="31"/>
      <c r="AD366" s="97"/>
    </row>
    <row r="367" spans="1:30" ht="35.1" hidden="1" customHeight="1" x14ac:dyDescent="0.25">
      <c r="A367" s="83"/>
      <c r="B367" s="7"/>
      <c r="C367" s="8"/>
      <c r="D367" s="8"/>
      <c r="E367" s="60"/>
      <c r="F367" s="84" t="str">
        <f>IFERROR(VLOOKUP(CONCATENATE($B367,"_",F$3),materiali!$C:$K,5,0),"")</f>
        <v/>
      </c>
      <c r="G367" s="85" t="str">
        <f>IFERROR(VLOOKUP(CONCATENATE($B367,"_",G$3),materiali!$C:$K,6,0),"")</f>
        <v/>
      </c>
      <c r="H367" s="86"/>
      <c r="I367" s="84" t="str">
        <f>IFERROR(VLOOKUP(CONCATENATE($B367,"_",I$3),materiali!$C:$K,5,0),"")</f>
        <v/>
      </c>
      <c r="J367" s="85" t="str">
        <f>IFERROR(VLOOKUP(CONCATENATE($B367,"_",J$3),materiali!$C:$K,6,0),"")</f>
        <v/>
      </c>
      <c r="K367" s="86"/>
      <c r="L367" s="84" t="str">
        <f>IFERROR(VLOOKUP(CONCATENATE($B367,"_",L$3),materiali!$C:$K,5,0),"")</f>
        <v/>
      </c>
      <c r="M367" s="85" t="str">
        <f>IFERROR(VLOOKUP(CONCATENATE($B367,"_",M$3),materiali!$C:$K,6,0),"")</f>
        <v/>
      </c>
      <c r="N367" s="86"/>
      <c r="O367" s="84" t="str">
        <f>IFERROR(VLOOKUP(CONCATENATE($B367,"_",O$3),materiali!$C:$K,5,0),"")</f>
        <v/>
      </c>
      <c r="P367" s="85" t="str">
        <f>IFERROR(VLOOKUP(CONCATENATE($B367,"_",P$3),materiali!$C:$K,6,0),"")</f>
        <v/>
      </c>
      <c r="Q367" s="86"/>
      <c r="R367" s="84" t="str">
        <f>IFERROR(VLOOKUP(CONCATENATE($B367,"_",R$3),materiali!$C:$K,5,0),"")</f>
        <v/>
      </c>
      <c r="S367" s="85" t="str">
        <f>IFERROR(VLOOKUP(CONCATENATE($B367,"_",S$3),materiali!$C:$K,6,0),"")</f>
        <v/>
      </c>
      <c r="T367" s="86"/>
      <c r="U367" s="31"/>
      <c r="AD367" s="97"/>
    </row>
    <row r="368" spans="1:30" ht="35.1" hidden="1" customHeight="1" x14ac:dyDescent="0.25">
      <c r="A368" s="83"/>
      <c r="B368" s="7"/>
      <c r="C368" s="8"/>
      <c r="D368" s="8"/>
      <c r="E368" s="60"/>
      <c r="F368" s="84" t="str">
        <f>IFERROR(VLOOKUP(CONCATENATE($B368,"_",F$3),materiali!$C:$K,5,0),"")</f>
        <v/>
      </c>
      <c r="G368" s="85" t="str">
        <f>IFERROR(VLOOKUP(CONCATENATE($B368,"_",G$3),materiali!$C:$K,6,0),"")</f>
        <v/>
      </c>
      <c r="H368" s="86"/>
      <c r="I368" s="84" t="str">
        <f>IFERROR(VLOOKUP(CONCATENATE($B368,"_",I$3),materiali!$C:$K,5,0),"")</f>
        <v/>
      </c>
      <c r="J368" s="85" t="str">
        <f>IFERROR(VLOOKUP(CONCATENATE($B368,"_",J$3),materiali!$C:$K,6,0),"")</f>
        <v/>
      </c>
      <c r="K368" s="86"/>
      <c r="L368" s="84" t="str">
        <f>IFERROR(VLOOKUP(CONCATENATE($B368,"_",L$3),materiali!$C:$K,5,0),"")</f>
        <v/>
      </c>
      <c r="M368" s="85" t="str">
        <f>IFERROR(VLOOKUP(CONCATENATE($B368,"_",M$3),materiali!$C:$K,6,0),"")</f>
        <v/>
      </c>
      <c r="N368" s="86"/>
      <c r="O368" s="84" t="str">
        <f>IFERROR(VLOOKUP(CONCATENATE($B368,"_",O$3),materiali!$C:$K,5,0),"")</f>
        <v/>
      </c>
      <c r="P368" s="85" t="str">
        <f>IFERROR(VLOOKUP(CONCATENATE($B368,"_",P$3),materiali!$C:$K,6,0),"")</f>
        <v/>
      </c>
      <c r="Q368" s="86"/>
      <c r="R368" s="84" t="str">
        <f>IFERROR(VLOOKUP(CONCATENATE($B368,"_",R$3),materiali!$C:$K,5,0),"")</f>
        <v/>
      </c>
      <c r="S368" s="85" t="str">
        <f>IFERROR(VLOOKUP(CONCATENATE($B368,"_",S$3),materiali!$C:$K,6,0),"")</f>
        <v/>
      </c>
      <c r="T368" s="86"/>
      <c r="U368" s="31"/>
      <c r="AD368" s="97"/>
    </row>
    <row r="369" spans="1:30" ht="35.1" hidden="1" customHeight="1" x14ac:dyDescent="0.25">
      <c r="A369" s="83"/>
      <c r="B369" s="7"/>
      <c r="C369" s="8"/>
      <c r="D369" s="8"/>
      <c r="E369" s="60"/>
      <c r="F369" s="84" t="str">
        <f>IFERROR(VLOOKUP(CONCATENATE($B369,"_",F$3),materiali!$C:$K,5,0),"")</f>
        <v/>
      </c>
      <c r="G369" s="85" t="str">
        <f>IFERROR(VLOOKUP(CONCATENATE($B369,"_",G$3),materiali!$C:$K,6,0),"")</f>
        <v/>
      </c>
      <c r="H369" s="86"/>
      <c r="I369" s="84" t="str">
        <f>IFERROR(VLOOKUP(CONCATENATE($B369,"_",I$3),materiali!$C:$K,5,0),"")</f>
        <v/>
      </c>
      <c r="J369" s="85" t="str">
        <f>IFERROR(VLOOKUP(CONCATENATE($B369,"_",J$3),materiali!$C:$K,6,0),"")</f>
        <v/>
      </c>
      <c r="K369" s="86"/>
      <c r="L369" s="84" t="str">
        <f>IFERROR(VLOOKUP(CONCATENATE($B369,"_",L$3),materiali!$C:$K,5,0),"")</f>
        <v/>
      </c>
      <c r="M369" s="85" t="str">
        <f>IFERROR(VLOOKUP(CONCATENATE($B369,"_",M$3),materiali!$C:$K,6,0),"")</f>
        <v/>
      </c>
      <c r="N369" s="86"/>
      <c r="O369" s="84" t="str">
        <f>IFERROR(VLOOKUP(CONCATENATE($B369,"_",O$3),materiali!$C:$K,5,0),"")</f>
        <v/>
      </c>
      <c r="P369" s="85" t="str">
        <f>IFERROR(VLOOKUP(CONCATENATE($B369,"_",P$3),materiali!$C:$K,6,0),"")</f>
        <v/>
      </c>
      <c r="Q369" s="86"/>
      <c r="R369" s="84" t="str">
        <f>IFERROR(VLOOKUP(CONCATENATE($B369,"_",R$3),materiali!$C:$K,5,0),"")</f>
        <v/>
      </c>
      <c r="S369" s="85" t="str">
        <f>IFERROR(VLOOKUP(CONCATENATE($B369,"_",S$3),materiali!$C:$K,6,0),"")</f>
        <v/>
      </c>
      <c r="T369" s="86"/>
      <c r="U369" s="31"/>
      <c r="AD369" s="97"/>
    </row>
    <row r="370" spans="1:30" ht="35.1" hidden="1" customHeight="1" x14ac:dyDescent="0.25">
      <c r="A370" s="83"/>
      <c r="B370" s="7"/>
      <c r="C370" s="8"/>
      <c r="D370" s="8"/>
      <c r="E370" s="60"/>
      <c r="F370" s="84" t="str">
        <f>IFERROR(VLOOKUP(CONCATENATE($B370,"_",F$3),materiali!$C:$K,5,0),"")</f>
        <v/>
      </c>
      <c r="G370" s="85" t="str">
        <f>IFERROR(VLOOKUP(CONCATENATE($B370,"_",G$3),materiali!$C:$K,6,0),"")</f>
        <v/>
      </c>
      <c r="H370" s="86"/>
      <c r="I370" s="84" t="str">
        <f>IFERROR(VLOOKUP(CONCATENATE($B370,"_",I$3),materiali!$C:$K,5,0),"")</f>
        <v/>
      </c>
      <c r="J370" s="85" t="str">
        <f>IFERROR(VLOOKUP(CONCATENATE($B370,"_",J$3),materiali!$C:$K,6,0),"")</f>
        <v/>
      </c>
      <c r="K370" s="86"/>
      <c r="L370" s="84" t="str">
        <f>IFERROR(VLOOKUP(CONCATENATE($B370,"_",L$3),materiali!$C:$K,5,0),"")</f>
        <v/>
      </c>
      <c r="M370" s="85" t="str">
        <f>IFERROR(VLOOKUP(CONCATENATE($B370,"_",M$3),materiali!$C:$K,6,0),"")</f>
        <v/>
      </c>
      <c r="N370" s="86"/>
      <c r="O370" s="84" t="str">
        <f>IFERROR(VLOOKUP(CONCATENATE($B370,"_",O$3),materiali!$C:$K,5,0),"")</f>
        <v/>
      </c>
      <c r="P370" s="85" t="str">
        <f>IFERROR(VLOOKUP(CONCATENATE($B370,"_",P$3),materiali!$C:$K,6,0),"")</f>
        <v/>
      </c>
      <c r="Q370" s="86"/>
      <c r="R370" s="84" t="str">
        <f>IFERROR(VLOOKUP(CONCATENATE($B370,"_",R$3),materiali!$C:$K,5,0),"")</f>
        <v/>
      </c>
      <c r="S370" s="85" t="str">
        <f>IFERROR(VLOOKUP(CONCATENATE($B370,"_",S$3),materiali!$C:$K,6,0),"")</f>
        <v/>
      </c>
      <c r="T370" s="86"/>
      <c r="U370" s="31"/>
      <c r="AD370" s="97"/>
    </row>
    <row r="371" spans="1:30" ht="35.1" hidden="1" customHeight="1" x14ac:dyDescent="0.25">
      <c r="A371" s="83"/>
      <c r="B371" s="7"/>
      <c r="C371" s="8"/>
      <c r="D371" s="8"/>
      <c r="E371" s="60"/>
      <c r="F371" s="84" t="str">
        <f>IFERROR(VLOOKUP(CONCATENATE($B371,"_",F$3),materiali!$C:$K,5,0),"")</f>
        <v/>
      </c>
      <c r="G371" s="85" t="str">
        <f>IFERROR(VLOOKUP(CONCATENATE($B371,"_",G$3),materiali!$C:$K,6,0),"")</f>
        <v/>
      </c>
      <c r="H371" s="86"/>
      <c r="I371" s="84" t="str">
        <f>IFERROR(VLOOKUP(CONCATENATE($B371,"_",I$3),materiali!$C:$K,5,0),"")</f>
        <v/>
      </c>
      <c r="J371" s="85" t="str">
        <f>IFERROR(VLOOKUP(CONCATENATE($B371,"_",J$3),materiali!$C:$K,6,0),"")</f>
        <v/>
      </c>
      <c r="K371" s="86"/>
      <c r="L371" s="84" t="str">
        <f>IFERROR(VLOOKUP(CONCATENATE($B371,"_",L$3),materiali!$C:$K,5,0),"")</f>
        <v/>
      </c>
      <c r="M371" s="85" t="str">
        <f>IFERROR(VLOOKUP(CONCATENATE($B371,"_",M$3),materiali!$C:$K,6,0),"")</f>
        <v/>
      </c>
      <c r="N371" s="86"/>
      <c r="O371" s="84" t="str">
        <f>IFERROR(VLOOKUP(CONCATENATE($B371,"_",O$3),materiali!$C:$K,5,0),"")</f>
        <v/>
      </c>
      <c r="P371" s="85" t="str">
        <f>IFERROR(VLOOKUP(CONCATENATE($B371,"_",P$3),materiali!$C:$K,6,0),"")</f>
        <v/>
      </c>
      <c r="Q371" s="86"/>
      <c r="R371" s="84" t="str">
        <f>IFERROR(VLOOKUP(CONCATENATE($B371,"_",R$3),materiali!$C:$K,5,0),"")</f>
        <v/>
      </c>
      <c r="S371" s="85" t="str">
        <f>IFERROR(VLOOKUP(CONCATENATE($B371,"_",S$3),materiali!$C:$K,6,0),"")</f>
        <v/>
      </c>
      <c r="T371" s="86"/>
      <c r="U371" s="31"/>
      <c r="AD371" s="97"/>
    </row>
    <row r="372" spans="1:30" ht="35.1" hidden="1" customHeight="1" x14ac:dyDescent="0.25">
      <c r="A372" s="83"/>
      <c r="B372" s="7"/>
      <c r="C372" s="8"/>
      <c r="D372" s="8"/>
      <c r="E372" s="60"/>
      <c r="F372" s="84" t="str">
        <f>IFERROR(VLOOKUP(CONCATENATE($B372,"_",F$3),materiali!$C:$K,5,0),"")</f>
        <v/>
      </c>
      <c r="G372" s="85" t="str">
        <f>IFERROR(VLOOKUP(CONCATENATE($B372,"_",G$3),materiali!$C:$K,6,0),"")</f>
        <v/>
      </c>
      <c r="H372" s="86"/>
      <c r="I372" s="84" t="str">
        <f>IFERROR(VLOOKUP(CONCATENATE($B372,"_",I$3),materiali!$C:$K,5,0),"")</f>
        <v/>
      </c>
      <c r="J372" s="85" t="str">
        <f>IFERROR(VLOOKUP(CONCATENATE($B372,"_",J$3),materiali!$C:$K,6,0),"")</f>
        <v/>
      </c>
      <c r="K372" s="86"/>
      <c r="L372" s="84" t="str">
        <f>IFERROR(VLOOKUP(CONCATENATE($B372,"_",L$3),materiali!$C:$K,5,0),"")</f>
        <v/>
      </c>
      <c r="M372" s="85" t="str">
        <f>IFERROR(VLOOKUP(CONCATENATE($B372,"_",M$3),materiali!$C:$K,6,0),"")</f>
        <v/>
      </c>
      <c r="N372" s="86"/>
      <c r="O372" s="84" t="str">
        <f>IFERROR(VLOOKUP(CONCATENATE($B372,"_",O$3),materiali!$C:$K,5,0),"")</f>
        <v/>
      </c>
      <c r="P372" s="85" t="str">
        <f>IFERROR(VLOOKUP(CONCATENATE($B372,"_",P$3),materiali!$C:$K,6,0),"")</f>
        <v/>
      </c>
      <c r="Q372" s="86"/>
      <c r="R372" s="84" t="str">
        <f>IFERROR(VLOOKUP(CONCATENATE($B372,"_",R$3),materiali!$C:$K,5,0),"")</f>
        <v/>
      </c>
      <c r="S372" s="85" t="str">
        <f>IFERROR(VLOOKUP(CONCATENATE($B372,"_",S$3),materiali!$C:$K,6,0),"")</f>
        <v/>
      </c>
      <c r="T372" s="86"/>
      <c r="U372" s="31"/>
      <c r="AD372" s="97"/>
    </row>
    <row r="373" spans="1:30" ht="35.1" hidden="1" customHeight="1" x14ac:dyDescent="0.25">
      <c r="A373" s="83"/>
      <c r="B373" s="7"/>
      <c r="C373" s="8"/>
      <c r="D373" s="8"/>
      <c r="E373" s="60"/>
      <c r="F373" s="84" t="str">
        <f>IFERROR(VLOOKUP(CONCATENATE($B373,"_",F$3),materiali!$C:$K,5,0),"")</f>
        <v/>
      </c>
      <c r="G373" s="85" t="str">
        <f>IFERROR(VLOOKUP(CONCATENATE($B373,"_",G$3),materiali!$C:$K,6,0),"")</f>
        <v/>
      </c>
      <c r="H373" s="86"/>
      <c r="I373" s="84" t="str">
        <f>IFERROR(VLOOKUP(CONCATENATE($B373,"_",I$3),materiali!$C:$K,5,0),"")</f>
        <v/>
      </c>
      <c r="J373" s="85" t="str">
        <f>IFERROR(VLOOKUP(CONCATENATE($B373,"_",J$3),materiali!$C:$K,6,0),"")</f>
        <v/>
      </c>
      <c r="K373" s="86"/>
      <c r="L373" s="84" t="str">
        <f>IFERROR(VLOOKUP(CONCATENATE($B373,"_",L$3),materiali!$C:$K,5,0),"")</f>
        <v/>
      </c>
      <c r="M373" s="85" t="str">
        <f>IFERROR(VLOOKUP(CONCATENATE($B373,"_",M$3),materiali!$C:$K,6,0),"")</f>
        <v/>
      </c>
      <c r="N373" s="86"/>
      <c r="O373" s="84" t="str">
        <f>IFERROR(VLOOKUP(CONCATENATE($B373,"_",O$3),materiali!$C:$K,5,0),"")</f>
        <v/>
      </c>
      <c r="P373" s="85" t="str">
        <f>IFERROR(VLOOKUP(CONCATENATE($B373,"_",P$3),materiali!$C:$K,6,0),"")</f>
        <v/>
      </c>
      <c r="Q373" s="86"/>
      <c r="R373" s="84" t="str">
        <f>IFERROR(VLOOKUP(CONCATENATE($B373,"_",R$3),materiali!$C:$K,5,0),"")</f>
        <v/>
      </c>
      <c r="S373" s="85" t="str">
        <f>IFERROR(VLOOKUP(CONCATENATE($B373,"_",S$3),materiali!$C:$K,6,0),"")</f>
        <v/>
      </c>
      <c r="T373" s="86"/>
      <c r="U373" s="31"/>
      <c r="AD373" s="97"/>
    </row>
    <row r="374" spans="1:30" ht="35.1" hidden="1" customHeight="1" x14ac:dyDescent="0.25">
      <c r="A374" s="83"/>
      <c r="B374" s="7"/>
      <c r="C374" s="8"/>
      <c r="D374" s="8"/>
      <c r="E374" s="60"/>
      <c r="F374" s="84" t="str">
        <f>IFERROR(VLOOKUP(CONCATENATE($B374,"_",F$3),materiali!$C:$K,5,0),"")</f>
        <v/>
      </c>
      <c r="G374" s="85" t="str">
        <f>IFERROR(VLOOKUP(CONCATENATE($B374,"_",G$3),materiali!$C:$K,6,0),"")</f>
        <v/>
      </c>
      <c r="H374" s="86"/>
      <c r="I374" s="84" t="str">
        <f>IFERROR(VLOOKUP(CONCATENATE($B374,"_",I$3),materiali!$C:$K,5,0),"")</f>
        <v/>
      </c>
      <c r="J374" s="85" t="str">
        <f>IFERROR(VLOOKUP(CONCATENATE($B374,"_",J$3),materiali!$C:$K,6,0),"")</f>
        <v/>
      </c>
      <c r="K374" s="86"/>
      <c r="L374" s="84" t="str">
        <f>IFERROR(VLOOKUP(CONCATENATE($B374,"_",L$3),materiali!$C:$K,5,0),"")</f>
        <v/>
      </c>
      <c r="M374" s="85" t="str">
        <f>IFERROR(VLOOKUP(CONCATENATE($B374,"_",M$3),materiali!$C:$K,6,0),"")</f>
        <v/>
      </c>
      <c r="N374" s="86"/>
      <c r="O374" s="84" t="str">
        <f>IFERROR(VLOOKUP(CONCATENATE($B374,"_",O$3),materiali!$C:$K,5,0),"")</f>
        <v/>
      </c>
      <c r="P374" s="85" t="str">
        <f>IFERROR(VLOOKUP(CONCATENATE($B374,"_",P$3),materiali!$C:$K,6,0),"")</f>
        <v/>
      </c>
      <c r="Q374" s="86"/>
      <c r="R374" s="84" t="str">
        <f>IFERROR(VLOOKUP(CONCATENATE($B374,"_",R$3),materiali!$C:$K,5,0),"")</f>
        <v/>
      </c>
      <c r="S374" s="85" t="str">
        <f>IFERROR(VLOOKUP(CONCATENATE($B374,"_",S$3),materiali!$C:$K,6,0),"")</f>
        <v/>
      </c>
      <c r="T374" s="86"/>
      <c r="U374" s="31"/>
      <c r="AD374" s="97"/>
    </row>
    <row r="375" spans="1:30" ht="35.1" hidden="1" customHeight="1" x14ac:dyDescent="0.25">
      <c r="A375" s="83"/>
      <c r="B375" s="7"/>
      <c r="C375" s="8"/>
      <c r="D375" s="8"/>
      <c r="E375" s="60"/>
      <c r="F375" s="84" t="str">
        <f>IFERROR(VLOOKUP(CONCATENATE($B375,"_",F$3),materiali!$C:$K,5,0),"")</f>
        <v/>
      </c>
      <c r="G375" s="85" t="str">
        <f>IFERROR(VLOOKUP(CONCATENATE($B375,"_",G$3),materiali!$C:$K,6,0),"")</f>
        <v/>
      </c>
      <c r="H375" s="86"/>
      <c r="I375" s="84" t="str">
        <f>IFERROR(VLOOKUP(CONCATENATE($B375,"_",I$3),materiali!$C:$K,5,0),"")</f>
        <v/>
      </c>
      <c r="J375" s="85" t="str">
        <f>IFERROR(VLOOKUP(CONCATENATE($B375,"_",J$3),materiali!$C:$K,6,0),"")</f>
        <v/>
      </c>
      <c r="K375" s="86"/>
      <c r="L375" s="84" t="str">
        <f>IFERROR(VLOOKUP(CONCATENATE($B375,"_",L$3),materiali!$C:$K,5,0),"")</f>
        <v/>
      </c>
      <c r="M375" s="85" t="str">
        <f>IFERROR(VLOOKUP(CONCATENATE($B375,"_",M$3),materiali!$C:$K,6,0),"")</f>
        <v/>
      </c>
      <c r="N375" s="86"/>
      <c r="O375" s="84" t="str">
        <f>IFERROR(VLOOKUP(CONCATENATE($B375,"_",O$3),materiali!$C:$K,5,0),"")</f>
        <v/>
      </c>
      <c r="P375" s="85" t="str">
        <f>IFERROR(VLOOKUP(CONCATENATE($B375,"_",P$3),materiali!$C:$K,6,0),"")</f>
        <v/>
      </c>
      <c r="Q375" s="86"/>
      <c r="R375" s="84" t="str">
        <f>IFERROR(VLOOKUP(CONCATENATE($B375,"_",R$3),materiali!$C:$K,5,0),"")</f>
        <v/>
      </c>
      <c r="S375" s="85" t="str">
        <f>IFERROR(VLOOKUP(CONCATENATE($B375,"_",S$3),materiali!$C:$K,6,0),"")</f>
        <v/>
      </c>
      <c r="T375" s="86"/>
      <c r="U375" s="31"/>
      <c r="AD375" s="97"/>
    </row>
    <row r="376" spans="1:30" ht="35.1" hidden="1" customHeight="1" x14ac:dyDescent="0.25">
      <c r="A376" s="83"/>
      <c r="B376" s="7"/>
      <c r="C376" s="8"/>
      <c r="D376" s="8"/>
      <c r="E376" s="60"/>
      <c r="F376" s="84" t="str">
        <f>IFERROR(VLOOKUP(CONCATENATE($B376,"_",F$3),materiali!$C:$K,5,0),"")</f>
        <v/>
      </c>
      <c r="G376" s="85" t="str">
        <f>IFERROR(VLOOKUP(CONCATENATE($B376,"_",G$3),materiali!$C:$K,6,0),"")</f>
        <v/>
      </c>
      <c r="H376" s="86"/>
      <c r="I376" s="84" t="str">
        <f>IFERROR(VLOOKUP(CONCATENATE($B376,"_",I$3),materiali!$C:$K,5,0),"")</f>
        <v/>
      </c>
      <c r="J376" s="85" t="str">
        <f>IFERROR(VLOOKUP(CONCATENATE($B376,"_",J$3),materiali!$C:$K,6,0),"")</f>
        <v/>
      </c>
      <c r="K376" s="86"/>
      <c r="L376" s="84" t="str">
        <f>IFERROR(VLOOKUP(CONCATENATE($B376,"_",L$3),materiali!$C:$K,5,0),"")</f>
        <v/>
      </c>
      <c r="M376" s="85" t="str">
        <f>IFERROR(VLOOKUP(CONCATENATE($B376,"_",M$3),materiali!$C:$K,6,0),"")</f>
        <v/>
      </c>
      <c r="N376" s="86"/>
      <c r="O376" s="84" t="str">
        <f>IFERROR(VLOOKUP(CONCATENATE($B376,"_",O$3),materiali!$C:$K,5,0),"")</f>
        <v/>
      </c>
      <c r="P376" s="85" t="str">
        <f>IFERROR(VLOOKUP(CONCATENATE($B376,"_",P$3),materiali!$C:$K,6,0),"")</f>
        <v/>
      </c>
      <c r="Q376" s="86"/>
      <c r="R376" s="84" t="str">
        <f>IFERROR(VLOOKUP(CONCATENATE($B376,"_",R$3),materiali!$C:$K,5,0),"")</f>
        <v/>
      </c>
      <c r="S376" s="85" t="str">
        <f>IFERROR(VLOOKUP(CONCATENATE($B376,"_",S$3),materiali!$C:$K,6,0),"")</f>
        <v/>
      </c>
      <c r="T376" s="86"/>
      <c r="U376" s="31"/>
      <c r="AD376" s="97"/>
    </row>
    <row r="377" spans="1:30" ht="35.1" hidden="1" customHeight="1" x14ac:dyDescent="0.25">
      <c r="A377" s="83"/>
      <c r="B377" s="7"/>
      <c r="C377" s="8"/>
      <c r="D377" s="8"/>
      <c r="E377" s="60"/>
      <c r="F377" s="84" t="str">
        <f>IFERROR(VLOOKUP(CONCATENATE($B377,"_",F$3),materiali!$C:$K,5,0),"")</f>
        <v/>
      </c>
      <c r="G377" s="85" t="str">
        <f>IFERROR(VLOOKUP(CONCATENATE($B377,"_",G$3),materiali!$C:$K,6,0),"")</f>
        <v/>
      </c>
      <c r="H377" s="86"/>
      <c r="I377" s="84" t="str">
        <f>IFERROR(VLOOKUP(CONCATENATE($B377,"_",I$3),materiali!$C:$K,5,0),"")</f>
        <v/>
      </c>
      <c r="J377" s="85" t="str">
        <f>IFERROR(VLOOKUP(CONCATENATE($B377,"_",J$3),materiali!$C:$K,6,0),"")</f>
        <v/>
      </c>
      <c r="K377" s="86"/>
      <c r="L377" s="84" t="str">
        <f>IFERROR(VLOOKUP(CONCATENATE($B377,"_",L$3),materiali!$C:$K,5,0),"")</f>
        <v/>
      </c>
      <c r="M377" s="85" t="str">
        <f>IFERROR(VLOOKUP(CONCATENATE($B377,"_",M$3),materiali!$C:$K,6,0),"")</f>
        <v/>
      </c>
      <c r="N377" s="86"/>
      <c r="O377" s="84" t="str">
        <f>IFERROR(VLOOKUP(CONCATENATE($B377,"_",O$3),materiali!$C:$K,5,0),"")</f>
        <v/>
      </c>
      <c r="P377" s="85" t="str">
        <f>IFERROR(VLOOKUP(CONCATENATE($B377,"_",P$3),materiali!$C:$K,6,0),"")</f>
        <v/>
      </c>
      <c r="Q377" s="86"/>
      <c r="R377" s="84" t="str">
        <f>IFERROR(VLOOKUP(CONCATENATE($B377,"_",R$3),materiali!$C:$K,5,0),"")</f>
        <v/>
      </c>
      <c r="S377" s="85" t="str">
        <f>IFERROR(VLOOKUP(CONCATENATE($B377,"_",S$3),materiali!$C:$K,6,0),"")</f>
        <v/>
      </c>
      <c r="T377" s="86"/>
      <c r="U377" s="31"/>
      <c r="AD377" s="97"/>
    </row>
    <row r="378" spans="1:30" ht="35.1" hidden="1" customHeight="1" x14ac:dyDescent="0.25">
      <c r="A378" s="83"/>
      <c r="B378" s="7"/>
      <c r="C378" s="8"/>
      <c r="D378" s="8"/>
      <c r="E378" s="60"/>
      <c r="F378" s="84" t="str">
        <f>IFERROR(VLOOKUP(CONCATENATE($B378,"_",F$3),materiali!$C:$K,5,0),"")</f>
        <v/>
      </c>
      <c r="G378" s="85" t="str">
        <f>IFERROR(VLOOKUP(CONCATENATE($B378,"_",G$3),materiali!$C:$K,6,0),"")</f>
        <v/>
      </c>
      <c r="H378" s="86"/>
      <c r="I378" s="84" t="str">
        <f>IFERROR(VLOOKUP(CONCATENATE($B378,"_",I$3),materiali!$C:$K,5,0),"")</f>
        <v/>
      </c>
      <c r="J378" s="85" t="str">
        <f>IFERROR(VLOOKUP(CONCATENATE($B378,"_",J$3),materiali!$C:$K,6,0),"")</f>
        <v/>
      </c>
      <c r="K378" s="86"/>
      <c r="L378" s="84" t="str">
        <f>IFERROR(VLOOKUP(CONCATENATE($B378,"_",L$3),materiali!$C:$K,5,0),"")</f>
        <v/>
      </c>
      <c r="M378" s="85" t="str">
        <f>IFERROR(VLOOKUP(CONCATENATE($B378,"_",M$3),materiali!$C:$K,6,0),"")</f>
        <v/>
      </c>
      <c r="N378" s="86"/>
      <c r="O378" s="84" t="str">
        <f>IFERROR(VLOOKUP(CONCATENATE($B378,"_",O$3),materiali!$C:$K,5,0),"")</f>
        <v/>
      </c>
      <c r="P378" s="85" t="str">
        <f>IFERROR(VLOOKUP(CONCATENATE($B378,"_",P$3),materiali!$C:$K,6,0),"")</f>
        <v/>
      </c>
      <c r="Q378" s="86"/>
      <c r="R378" s="84" t="str">
        <f>IFERROR(VLOOKUP(CONCATENATE($B378,"_",R$3),materiali!$C:$K,5,0),"")</f>
        <v/>
      </c>
      <c r="S378" s="85" t="str">
        <f>IFERROR(VLOOKUP(CONCATENATE($B378,"_",S$3),materiali!$C:$K,6,0),"")</f>
        <v/>
      </c>
      <c r="T378" s="86"/>
      <c r="U378" s="31"/>
      <c r="AD378" s="97"/>
    </row>
    <row r="379" spans="1:30" ht="35.1" hidden="1" customHeight="1" x14ac:dyDescent="0.25">
      <c r="A379" s="83"/>
      <c r="B379" s="7"/>
      <c r="C379" s="8"/>
      <c r="D379" s="8"/>
      <c r="E379" s="60"/>
      <c r="F379" s="84" t="str">
        <f>IFERROR(VLOOKUP(CONCATENATE($B379,"_",F$3),materiali!$C:$K,5,0),"")</f>
        <v/>
      </c>
      <c r="G379" s="85" t="str">
        <f>IFERROR(VLOOKUP(CONCATENATE($B379,"_",G$3),materiali!$C:$K,6,0),"")</f>
        <v/>
      </c>
      <c r="H379" s="86"/>
      <c r="I379" s="84" t="str">
        <f>IFERROR(VLOOKUP(CONCATENATE($B379,"_",I$3),materiali!$C:$K,5,0),"")</f>
        <v/>
      </c>
      <c r="J379" s="85" t="str">
        <f>IFERROR(VLOOKUP(CONCATENATE($B379,"_",J$3),materiali!$C:$K,6,0),"")</f>
        <v/>
      </c>
      <c r="K379" s="86"/>
      <c r="L379" s="84" t="str">
        <f>IFERROR(VLOOKUP(CONCATENATE($B379,"_",L$3),materiali!$C:$K,5,0),"")</f>
        <v/>
      </c>
      <c r="M379" s="85" t="str">
        <f>IFERROR(VLOOKUP(CONCATENATE($B379,"_",M$3),materiali!$C:$K,6,0),"")</f>
        <v/>
      </c>
      <c r="N379" s="86"/>
      <c r="O379" s="84" t="str">
        <f>IFERROR(VLOOKUP(CONCATENATE($B379,"_",O$3),materiali!$C:$K,5,0),"")</f>
        <v/>
      </c>
      <c r="P379" s="85" t="str">
        <f>IFERROR(VLOOKUP(CONCATENATE($B379,"_",P$3),materiali!$C:$K,6,0),"")</f>
        <v/>
      </c>
      <c r="Q379" s="86"/>
      <c r="R379" s="84" t="str">
        <f>IFERROR(VLOOKUP(CONCATENATE($B379,"_",R$3),materiali!$C:$K,5,0),"")</f>
        <v/>
      </c>
      <c r="S379" s="85" t="str">
        <f>IFERROR(VLOOKUP(CONCATENATE($B379,"_",S$3),materiali!$C:$K,6,0),"")</f>
        <v/>
      </c>
      <c r="T379" s="86"/>
      <c r="U379" s="31"/>
      <c r="AD379" s="97"/>
    </row>
    <row r="380" spans="1:30" ht="35.1" hidden="1" customHeight="1" x14ac:dyDescent="0.25">
      <c r="A380" s="83"/>
      <c r="B380" s="7"/>
      <c r="C380" s="8"/>
      <c r="D380" s="8"/>
      <c r="E380" s="60"/>
      <c r="F380" s="84" t="str">
        <f>IFERROR(VLOOKUP(CONCATENATE($B380,"_",F$3),materiali!$C:$K,5,0),"")</f>
        <v/>
      </c>
      <c r="G380" s="85" t="str">
        <f>IFERROR(VLOOKUP(CONCATENATE($B380,"_",G$3),materiali!$C:$K,6,0),"")</f>
        <v/>
      </c>
      <c r="H380" s="86"/>
      <c r="I380" s="84" t="str">
        <f>IFERROR(VLOOKUP(CONCATENATE($B380,"_",I$3),materiali!$C:$K,5,0),"")</f>
        <v/>
      </c>
      <c r="J380" s="85" t="str">
        <f>IFERROR(VLOOKUP(CONCATENATE($B380,"_",J$3),materiali!$C:$K,6,0),"")</f>
        <v/>
      </c>
      <c r="K380" s="86"/>
      <c r="L380" s="84" t="str">
        <f>IFERROR(VLOOKUP(CONCATENATE($B380,"_",L$3),materiali!$C:$K,5,0),"")</f>
        <v/>
      </c>
      <c r="M380" s="85" t="str">
        <f>IFERROR(VLOOKUP(CONCATENATE($B380,"_",M$3),materiali!$C:$K,6,0),"")</f>
        <v/>
      </c>
      <c r="N380" s="86"/>
      <c r="O380" s="84" t="str">
        <f>IFERROR(VLOOKUP(CONCATENATE($B380,"_",O$3),materiali!$C:$K,5,0),"")</f>
        <v/>
      </c>
      <c r="P380" s="85" t="str">
        <f>IFERROR(VLOOKUP(CONCATENATE($B380,"_",P$3),materiali!$C:$K,6,0),"")</f>
        <v/>
      </c>
      <c r="Q380" s="86"/>
      <c r="R380" s="84" t="str">
        <f>IFERROR(VLOOKUP(CONCATENATE($B380,"_",R$3),materiali!$C:$K,5,0),"")</f>
        <v/>
      </c>
      <c r="S380" s="85" t="str">
        <f>IFERROR(VLOOKUP(CONCATENATE($B380,"_",S$3),materiali!$C:$K,6,0),"")</f>
        <v/>
      </c>
      <c r="T380" s="86"/>
      <c r="U380" s="31"/>
      <c r="AD380" s="97"/>
    </row>
    <row r="381" spans="1:30" ht="35.1" hidden="1" customHeight="1" x14ac:dyDescent="0.25">
      <c r="A381" s="83"/>
      <c r="B381" s="7"/>
      <c r="C381" s="8"/>
      <c r="D381" s="8"/>
      <c r="E381" s="60"/>
      <c r="F381" s="84" t="str">
        <f>IFERROR(VLOOKUP(CONCATENATE($B381,"_",F$3),materiali!$C:$K,5,0),"")</f>
        <v/>
      </c>
      <c r="G381" s="85" t="str">
        <f>IFERROR(VLOOKUP(CONCATENATE($B381,"_",G$3),materiali!$C:$K,6,0),"")</f>
        <v/>
      </c>
      <c r="H381" s="86"/>
      <c r="I381" s="84" t="str">
        <f>IFERROR(VLOOKUP(CONCATENATE($B381,"_",I$3),materiali!$C:$K,5,0),"")</f>
        <v/>
      </c>
      <c r="J381" s="85" t="str">
        <f>IFERROR(VLOOKUP(CONCATENATE($B381,"_",J$3),materiali!$C:$K,6,0),"")</f>
        <v/>
      </c>
      <c r="K381" s="86"/>
      <c r="L381" s="84" t="str">
        <f>IFERROR(VLOOKUP(CONCATENATE($B381,"_",L$3),materiali!$C:$K,5,0),"")</f>
        <v/>
      </c>
      <c r="M381" s="85" t="str">
        <f>IFERROR(VLOOKUP(CONCATENATE($B381,"_",M$3),materiali!$C:$K,6,0),"")</f>
        <v/>
      </c>
      <c r="N381" s="86"/>
      <c r="O381" s="84" t="str">
        <f>IFERROR(VLOOKUP(CONCATENATE($B381,"_",O$3),materiali!$C:$K,5,0),"")</f>
        <v/>
      </c>
      <c r="P381" s="85" t="str">
        <f>IFERROR(VLOOKUP(CONCATENATE($B381,"_",P$3),materiali!$C:$K,6,0),"")</f>
        <v/>
      </c>
      <c r="Q381" s="86"/>
      <c r="R381" s="84" t="str">
        <f>IFERROR(VLOOKUP(CONCATENATE($B381,"_",R$3),materiali!$C:$K,5,0),"")</f>
        <v/>
      </c>
      <c r="S381" s="85" t="str">
        <f>IFERROR(VLOOKUP(CONCATENATE($B381,"_",S$3),materiali!$C:$K,6,0),"")</f>
        <v/>
      </c>
      <c r="T381" s="86"/>
      <c r="U381" s="31"/>
      <c r="AD381" s="97"/>
    </row>
    <row r="382" spans="1:30" ht="35.1" hidden="1" customHeight="1" x14ac:dyDescent="0.25">
      <c r="A382" s="83"/>
      <c r="B382" s="7"/>
      <c r="C382" s="8"/>
      <c r="D382" s="8"/>
      <c r="E382" s="60"/>
      <c r="F382" s="84" t="str">
        <f>IFERROR(VLOOKUP(CONCATENATE($B382,"_",F$3),materiali!$C:$K,5,0),"")</f>
        <v/>
      </c>
      <c r="G382" s="85" t="str">
        <f>IFERROR(VLOOKUP(CONCATENATE($B382,"_",G$3),materiali!$C:$K,6,0),"")</f>
        <v/>
      </c>
      <c r="H382" s="86"/>
      <c r="I382" s="84" t="str">
        <f>IFERROR(VLOOKUP(CONCATENATE($B382,"_",I$3),materiali!$C:$K,5,0),"")</f>
        <v/>
      </c>
      <c r="J382" s="85" t="str">
        <f>IFERROR(VLOOKUP(CONCATENATE($B382,"_",J$3),materiali!$C:$K,6,0),"")</f>
        <v/>
      </c>
      <c r="K382" s="86"/>
      <c r="L382" s="84" t="str">
        <f>IFERROR(VLOOKUP(CONCATENATE($B382,"_",L$3),materiali!$C:$K,5,0),"")</f>
        <v/>
      </c>
      <c r="M382" s="85" t="str">
        <f>IFERROR(VLOOKUP(CONCATENATE($B382,"_",M$3),materiali!$C:$K,6,0),"")</f>
        <v/>
      </c>
      <c r="N382" s="86"/>
      <c r="O382" s="84" t="str">
        <f>IFERROR(VLOOKUP(CONCATENATE($B382,"_",O$3),materiali!$C:$K,5,0),"")</f>
        <v/>
      </c>
      <c r="P382" s="85" t="str">
        <f>IFERROR(VLOOKUP(CONCATENATE($B382,"_",P$3),materiali!$C:$K,6,0),"")</f>
        <v/>
      </c>
      <c r="Q382" s="86"/>
      <c r="R382" s="84" t="str">
        <f>IFERROR(VLOOKUP(CONCATENATE($B382,"_",R$3),materiali!$C:$K,5,0),"")</f>
        <v/>
      </c>
      <c r="S382" s="85" t="str">
        <f>IFERROR(VLOOKUP(CONCATENATE($B382,"_",S$3),materiali!$C:$K,6,0),"")</f>
        <v/>
      </c>
      <c r="T382" s="86"/>
      <c r="U382" s="31"/>
      <c r="AD382" s="97"/>
    </row>
    <row r="383" spans="1:30" ht="35.1" hidden="1" customHeight="1" x14ac:dyDescent="0.25">
      <c r="A383" s="83"/>
      <c r="B383" s="7"/>
      <c r="C383" s="8"/>
      <c r="D383" s="8"/>
      <c r="E383" s="60"/>
      <c r="F383" s="84" t="str">
        <f>IFERROR(VLOOKUP(CONCATENATE($B383,"_",F$3),materiali!$C:$K,5,0),"")</f>
        <v/>
      </c>
      <c r="G383" s="85" t="str">
        <f>IFERROR(VLOOKUP(CONCATENATE($B383,"_",G$3),materiali!$C:$K,6,0),"")</f>
        <v/>
      </c>
      <c r="H383" s="86"/>
      <c r="I383" s="84" t="str">
        <f>IFERROR(VLOOKUP(CONCATENATE($B383,"_",I$3),materiali!$C:$K,5,0),"")</f>
        <v/>
      </c>
      <c r="J383" s="85" t="str">
        <f>IFERROR(VLOOKUP(CONCATENATE($B383,"_",J$3),materiali!$C:$K,6,0),"")</f>
        <v/>
      </c>
      <c r="K383" s="86"/>
      <c r="L383" s="84" t="str">
        <f>IFERROR(VLOOKUP(CONCATENATE($B383,"_",L$3),materiali!$C:$K,5,0),"")</f>
        <v/>
      </c>
      <c r="M383" s="85" t="str">
        <f>IFERROR(VLOOKUP(CONCATENATE($B383,"_",M$3),materiali!$C:$K,6,0),"")</f>
        <v/>
      </c>
      <c r="N383" s="86"/>
      <c r="O383" s="84" t="str">
        <f>IFERROR(VLOOKUP(CONCATENATE($B383,"_",O$3),materiali!$C:$K,5,0),"")</f>
        <v/>
      </c>
      <c r="P383" s="85" t="str">
        <f>IFERROR(VLOOKUP(CONCATENATE($B383,"_",P$3),materiali!$C:$K,6,0),"")</f>
        <v/>
      </c>
      <c r="Q383" s="86"/>
      <c r="R383" s="84" t="str">
        <f>IFERROR(VLOOKUP(CONCATENATE($B383,"_",R$3),materiali!$C:$K,5,0),"")</f>
        <v/>
      </c>
      <c r="S383" s="85" t="str">
        <f>IFERROR(VLOOKUP(CONCATENATE($B383,"_",S$3),materiali!$C:$K,6,0),"")</f>
        <v/>
      </c>
      <c r="T383" s="86"/>
      <c r="U383" s="31"/>
      <c r="AD383" s="97"/>
    </row>
    <row r="384" spans="1:30" ht="35.1" hidden="1" customHeight="1" x14ac:dyDescent="0.25">
      <c r="A384" s="83"/>
      <c r="B384" s="7"/>
      <c r="C384" s="8"/>
      <c r="D384" s="8"/>
      <c r="E384" s="60"/>
      <c r="F384" s="84" t="str">
        <f>IFERROR(VLOOKUP(CONCATENATE($B384,"_",F$3),materiali!$C:$K,5,0),"")</f>
        <v/>
      </c>
      <c r="G384" s="85" t="str">
        <f>IFERROR(VLOOKUP(CONCATENATE($B384,"_",G$3),materiali!$C:$K,6,0),"")</f>
        <v/>
      </c>
      <c r="H384" s="86"/>
      <c r="I384" s="84" t="str">
        <f>IFERROR(VLOOKUP(CONCATENATE($B384,"_",I$3),materiali!$C:$K,5,0),"")</f>
        <v/>
      </c>
      <c r="J384" s="85" t="str">
        <f>IFERROR(VLOOKUP(CONCATENATE($B384,"_",J$3),materiali!$C:$K,6,0),"")</f>
        <v/>
      </c>
      <c r="K384" s="86"/>
      <c r="L384" s="84" t="str">
        <f>IFERROR(VLOOKUP(CONCATENATE($B384,"_",L$3),materiali!$C:$K,5,0),"")</f>
        <v/>
      </c>
      <c r="M384" s="85" t="str">
        <f>IFERROR(VLOOKUP(CONCATENATE($B384,"_",M$3),materiali!$C:$K,6,0),"")</f>
        <v/>
      </c>
      <c r="N384" s="86"/>
      <c r="O384" s="84" t="str">
        <f>IFERROR(VLOOKUP(CONCATENATE($B384,"_",O$3),materiali!$C:$K,5,0),"")</f>
        <v/>
      </c>
      <c r="P384" s="85" t="str">
        <f>IFERROR(VLOOKUP(CONCATENATE($B384,"_",P$3),materiali!$C:$K,6,0),"")</f>
        <v/>
      </c>
      <c r="Q384" s="86"/>
      <c r="R384" s="84" t="str">
        <f>IFERROR(VLOOKUP(CONCATENATE($B384,"_",R$3),materiali!$C:$K,5,0),"")</f>
        <v/>
      </c>
      <c r="S384" s="85" t="str">
        <f>IFERROR(VLOOKUP(CONCATENATE($B384,"_",S$3),materiali!$C:$K,6,0),"")</f>
        <v/>
      </c>
      <c r="T384" s="86"/>
      <c r="U384" s="31"/>
      <c r="AD384" s="97"/>
    </row>
    <row r="385" spans="1:30" ht="35.1" hidden="1" customHeight="1" x14ac:dyDescent="0.25">
      <c r="A385" s="83"/>
      <c r="B385" s="7"/>
      <c r="C385" s="8"/>
      <c r="D385" s="8"/>
      <c r="E385" s="60"/>
      <c r="F385" s="84" t="str">
        <f>IFERROR(VLOOKUP(CONCATENATE($B385,"_",F$3),materiali!$C:$K,5,0),"")</f>
        <v/>
      </c>
      <c r="G385" s="85" t="str">
        <f>IFERROR(VLOOKUP(CONCATENATE($B385,"_",G$3),materiali!$C:$K,6,0),"")</f>
        <v/>
      </c>
      <c r="H385" s="86"/>
      <c r="I385" s="84" t="str">
        <f>IFERROR(VLOOKUP(CONCATENATE($B385,"_",I$3),materiali!$C:$K,5,0),"")</f>
        <v/>
      </c>
      <c r="J385" s="85" t="str">
        <f>IFERROR(VLOOKUP(CONCATENATE($B385,"_",J$3),materiali!$C:$K,6,0),"")</f>
        <v/>
      </c>
      <c r="K385" s="86"/>
      <c r="L385" s="84" t="str">
        <f>IFERROR(VLOOKUP(CONCATENATE($B385,"_",L$3),materiali!$C:$K,5,0),"")</f>
        <v/>
      </c>
      <c r="M385" s="85" t="str">
        <f>IFERROR(VLOOKUP(CONCATENATE($B385,"_",M$3),materiali!$C:$K,6,0),"")</f>
        <v/>
      </c>
      <c r="N385" s="86"/>
      <c r="O385" s="84" t="str">
        <f>IFERROR(VLOOKUP(CONCATENATE($B385,"_",O$3),materiali!$C:$K,5,0),"")</f>
        <v/>
      </c>
      <c r="P385" s="85" t="str">
        <f>IFERROR(VLOOKUP(CONCATENATE($B385,"_",P$3),materiali!$C:$K,6,0),"")</f>
        <v/>
      </c>
      <c r="Q385" s="86"/>
      <c r="R385" s="84" t="str">
        <f>IFERROR(VLOOKUP(CONCATENATE($B385,"_",R$3),materiali!$C:$K,5,0),"")</f>
        <v/>
      </c>
      <c r="S385" s="85" t="str">
        <f>IFERROR(VLOOKUP(CONCATENATE($B385,"_",S$3),materiali!$C:$K,6,0),"")</f>
        <v/>
      </c>
      <c r="T385" s="86"/>
      <c r="U385" s="31"/>
      <c r="AD385" s="97"/>
    </row>
    <row r="386" spans="1:30" ht="35.1" hidden="1" customHeight="1" x14ac:dyDescent="0.25">
      <c r="A386" s="83"/>
      <c r="B386" s="7"/>
      <c r="C386" s="8"/>
      <c r="D386" s="8"/>
      <c r="E386" s="60"/>
      <c r="F386" s="84" t="str">
        <f>IFERROR(VLOOKUP(CONCATENATE($B386,"_",F$3),materiali!$C:$K,5,0),"")</f>
        <v/>
      </c>
      <c r="G386" s="85" t="str">
        <f>IFERROR(VLOOKUP(CONCATENATE($B386,"_",G$3),materiali!$C:$K,6,0),"")</f>
        <v/>
      </c>
      <c r="H386" s="86"/>
      <c r="I386" s="84" t="str">
        <f>IFERROR(VLOOKUP(CONCATENATE($B386,"_",I$3),materiali!$C:$K,5,0),"")</f>
        <v/>
      </c>
      <c r="J386" s="85" t="str">
        <f>IFERROR(VLOOKUP(CONCATENATE($B386,"_",J$3),materiali!$C:$K,6,0),"")</f>
        <v/>
      </c>
      <c r="K386" s="86"/>
      <c r="L386" s="84" t="str">
        <f>IFERROR(VLOOKUP(CONCATENATE($B386,"_",L$3),materiali!$C:$K,5,0),"")</f>
        <v/>
      </c>
      <c r="M386" s="85" t="str">
        <f>IFERROR(VLOOKUP(CONCATENATE($B386,"_",M$3),materiali!$C:$K,6,0),"")</f>
        <v/>
      </c>
      <c r="N386" s="86"/>
      <c r="O386" s="84" t="str">
        <f>IFERROR(VLOOKUP(CONCATENATE($B386,"_",O$3),materiali!$C:$K,5,0),"")</f>
        <v/>
      </c>
      <c r="P386" s="85" t="str">
        <f>IFERROR(VLOOKUP(CONCATENATE($B386,"_",P$3),materiali!$C:$K,6,0),"")</f>
        <v/>
      </c>
      <c r="Q386" s="86"/>
      <c r="R386" s="84" t="str">
        <f>IFERROR(VLOOKUP(CONCATENATE($B386,"_",R$3),materiali!$C:$K,5,0),"")</f>
        <v/>
      </c>
      <c r="S386" s="85" t="str">
        <f>IFERROR(VLOOKUP(CONCATENATE($B386,"_",S$3),materiali!$C:$K,6,0),"")</f>
        <v/>
      </c>
      <c r="T386" s="86"/>
      <c r="U386" s="31"/>
      <c r="AD386" s="97"/>
    </row>
    <row r="387" spans="1:30" ht="35.1" hidden="1" customHeight="1" x14ac:dyDescent="0.25">
      <c r="A387" s="83"/>
      <c r="B387" s="7"/>
      <c r="C387" s="8"/>
      <c r="D387" s="8"/>
      <c r="E387" s="60"/>
      <c r="F387" s="84" t="str">
        <f>IFERROR(VLOOKUP(CONCATENATE($B387,"_",F$3),materiali!$C:$K,5,0),"")</f>
        <v/>
      </c>
      <c r="G387" s="85" t="str">
        <f>IFERROR(VLOOKUP(CONCATENATE($B387,"_",G$3),materiali!$C:$K,6,0),"")</f>
        <v/>
      </c>
      <c r="H387" s="86"/>
      <c r="I387" s="84" t="str">
        <f>IFERROR(VLOOKUP(CONCATENATE($B387,"_",I$3),materiali!$C:$K,5,0),"")</f>
        <v/>
      </c>
      <c r="J387" s="85" t="str">
        <f>IFERROR(VLOOKUP(CONCATENATE($B387,"_",J$3),materiali!$C:$K,6,0),"")</f>
        <v/>
      </c>
      <c r="K387" s="86"/>
      <c r="L387" s="84" t="str">
        <f>IFERROR(VLOOKUP(CONCATENATE($B387,"_",L$3),materiali!$C:$K,5,0),"")</f>
        <v/>
      </c>
      <c r="M387" s="85" t="str">
        <f>IFERROR(VLOOKUP(CONCATENATE($B387,"_",M$3),materiali!$C:$K,6,0),"")</f>
        <v/>
      </c>
      <c r="N387" s="86"/>
      <c r="O387" s="84" t="str">
        <f>IFERROR(VLOOKUP(CONCATENATE($B387,"_",O$3),materiali!$C:$K,5,0),"")</f>
        <v/>
      </c>
      <c r="P387" s="85" t="str">
        <f>IFERROR(VLOOKUP(CONCATENATE($B387,"_",P$3),materiali!$C:$K,6,0),"")</f>
        <v/>
      </c>
      <c r="Q387" s="86"/>
      <c r="R387" s="84" t="str">
        <f>IFERROR(VLOOKUP(CONCATENATE($B387,"_",R$3),materiali!$C:$K,5,0),"")</f>
        <v/>
      </c>
      <c r="S387" s="85" t="str">
        <f>IFERROR(VLOOKUP(CONCATENATE($B387,"_",S$3),materiali!$C:$K,6,0),"")</f>
        <v/>
      </c>
      <c r="T387" s="86"/>
      <c r="U387" s="31"/>
      <c r="AD387" s="97"/>
    </row>
    <row r="388" spans="1:30" ht="35.1" hidden="1" customHeight="1" x14ac:dyDescent="0.25">
      <c r="A388" s="83"/>
      <c r="B388" s="7"/>
      <c r="C388" s="8"/>
      <c r="D388" s="8"/>
      <c r="E388" s="60"/>
      <c r="F388" s="84" t="str">
        <f>IFERROR(VLOOKUP(CONCATENATE($B388,"_",F$3),materiali!$C:$K,5,0),"")</f>
        <v/>
      </c>
      <c r="G388" s="85" t="str">
        <f>IFERROR(VLOOKUP(CONCATENATE($B388,"_",G$3),materiali!$C:$K,6,0),"")</f>
        <v/>
      </c>
      <c r="H388" s="86"/>
      <c r="I388" s="84" t="str">
        <f>IFERROR(VLOOKUP(CONCATENATE($B388,"_",I$3),materiali!$C:$K,5,0),"")</f>
        <v/>
      </c>
      <c r="J388" s="85" t="str">
        <f>IFERROR(VLOOKUP(CONCATENATE($B388,"_",J$3),materiali!$C:$K,6,0),"")</f>
        <v/>
      </c>
      <c r="K388" s="86"/>
      <c r="L388" s="84" t="str">
        <f>IFERROR(VLOOKUP(CONCATENATE($B388,"_",L$3),materiali!$C:$K,5,0),"")</f>
        <v/>
      </c>
      <c r="M388" s="85" t="str">
        <f>IFERROR(VLOOKUP(CONCATENATE($B388,"_",M$3),materiali!$C:$K,6,0),"")</f>
        <v/>
      </c>
      <c r="N388" s="86"/>
      <c r="O388" s="84" t="str">
        <f>IFERROR(VLOOKUP(CONCATENATE($B388,"_",O$3),materiali!$C:$K,5,0),"")</f>
        <v/>
      </c>
      <c r="P388" s="85" t="str">
        <f>IFERROR(VLOOKUP(CONCATENATE($B388,"_",P$3),materiali!$C:$K,6,0),"")</f>
        <v/>
      </c>
      <c r="Q388" s="86"/>
      <c r="R388" s="84" t="str">
        <f>IFERROR(VLOOKUP(CONCATENATE($B388,"_",R$3),materiali!$C:$K,5,0),"")</f>
        <v/>
      </c>
      <c r="S388" s="85" t="str">
        <f>IFERROR(VLOOKUP(CONCATENATE($B388,"_",S$3),materiali!$C:$K,6,0),"")</f>
        <v/>
      </c>
      <c r="T388" s="86"/>
      <c r="U388" s="31"/>
      <c r="AD388" s="97"/>
    </row>
    <row r="389" spans="1:30" ht="35.1" hidden="1" customHeight="1" x14ac:dyDescent="0.25">
      <c r="A389" s="83"/>
      <c r="B389" s="7"/>
      <c r="C389" s="8"/>
      <c r="D389" s="8"/>
      <c r="E389" s="60"/>
      <c r="F389" s="84" t="str">
        <f>IFERROR(VLOOKUP(CONCATENATE($B389,"_",F$3),materiali!$C:$K,5,0),"")</f>
        <v/>
      </c>
      <c r="G389" s="85" t="str">
        <f>IFERROR(VLOOKUP(CONCATENATE($B389,"_",G$3),materiali!$C:$K,6,0),"")</f>
        <v/>
      </c>
      <c r="H389" s="86"/>
      <c r="I389" s="84" t="str">
        <f>IFERROR(VLOOKUP(CONCATENATE($B389,"_",I$3),materiali!$C:$K,5,0),"")</f>
        <v/>
      </c>
      <c r="J389" s="85" t="str">
        <f>IFERROR(VLOOKUP(CONCATENATE($B389,"_",J$3),materiali!$C:$K,6,0),"")</f>
        <v/>
      </c>
      <c r="K389" s="86"/>
      <c r="L389" s="84" t="str">
        <f>IFERROR(VLOOKUP(CONCATENATE($B389,"_",L$3),materiali!$C:$K,5,0),"")</f>
        <v/>
      </c>
      <c r="M389" s="85" t="str">
        <f>IFERROR(VLOOKUP(CONCATENATE($B389,"_",M$3),materiali!$C:$K,6,0),"")</f>
        <v/>
      </c>
      <c r="N389" s="86"/>
      <c r="O389" s="84" t="str">
        <f>IFERROR(VLOOKUP(CONCATENATE($B389,"_",O$3),materiali!$C:$K,5,0),"")</f>
        <v/>
      </c>
      <c r="P389" s="85" t="str">
        <f>IFERROR(VLOOKUP(CONCATENATE($B389,"_",P$3),materiali!$C:$K,6,0),"")</f>
        <v/>
      </c>
      <c r="Q389" s="86"/>
      <c r="R389" s="84" t="str">
        <f>IFERROR(VLOOKUP(CONCATENATE($B389,"_",R$3),materiali!$C:$K,5,0),"")</f>
        <v/>
      </c>
      <c r="S389" s="85" t="str">
        <f>IFERROR(VLOOKUP(CONCATENATE($B389,"_",S$3),materiali!$C:$K,6,0),"")</f>
        <v/>
      </c>
      <c r="T389" s="86"/>
      <c r="U389" s="31"/>
      <c r="AD389" s="97"/>
    </row>
    <row r="390" spans="1:30" ht="35.1" hidden="1" customHeight="1" x14ac:dyDescent="0.25">
      <c r="A390" s="83"/>
      <c r="B390" s="7"/>
      <c r="C390" s="8"/>
      <c r="D390" s="8"/>
      <c r="E390" s="60"/>
      <c r="F390" s="84" t="str">
        <f>IFERROR(VLOOKUP(CONCATENATE($B390,"_",F$3),materiali!$C:$K,5,0),"")</f>
        <v/>
      </c>
      <c r="G390" s="85" t="str">
        <f>IFERROR(VLOOKUP(CONCATENATE($B390,"_",G$3),materiali!$C:$K,6,0),"")</f>
        <v/>
      </c>
      <c r="H390" s="86"/>
      <c r="I390" s="84" t="str">
        <f>IFERROR(VLOOKUP(CONCATENATE($B390,"_",I$3),materiali!$C:$K,5,0),"")</f>
        <v/>
      </c>
      <c r="J390" s="85" t="str">
        <f>IFERROR(VLOOKUP(CONCATENATE($B390,"_",J$3),materiali!$C:$K,6,0),"")</f>
        <v/>
      </c>
      <c r="K390" s="86"/>
      <c r="L390" s="84" t="str">
        <f>IFERROR(VLOOKUP(CONCATENATE($B390,"_",L$3),materiali!$C:$K,5,0),"")</f>
        <v/>
      </c>
      <c r="M390" s="85" t="str">
        <f>IFERROR(VLOOKUP(CONCATENATE($B390,"_",M$3),materiali!$C:$K,6,0),"")</f>
        <v/>
      </c>
      <c r="N390" s="86"/>
      <c r="O390" s="84" t="str">
        <f>IFERROR(VLOOKUP(CONCATENATE($B390,"_",O$3),materiali!$C:$K,5,0),"")</f>
        <v/>
      </c>
      <c r="P390" s="85" t="str">
        <f>IFERROR(VLOOKUP(CONCATENATE($B390,"_",P$3),materiali!$C:$K,6,0),"")</f>
        <v/>
      </c>
      <c r="Q390" s="86"/>
      <c r="R390" s="84" t="str">
        <f>IFERROR(VLOOKUP(CONCATENATE($B390,"_",R$3),materiali!$C:$K,5,0),"")</f>
        <v/>
      </c>
      <c r="S390" s="85" t="str">
        <f>IFERROR(VLOOKUP(CONCATENATE($B390,"_",S$3),materiali!$C:$K,6,0),"")</f>
        <v/>
      </c>
      <c r="T390" s="86"/>
      <c r="U390" s="31"/>
      <c r="AD390" s="97"/>
    </row>
    <row r="391" spans="1:30" ht="35.1" hidden="1" customHeight="1" x14ac:dyDescent="0.25">
      <c r="A391" s="83"/>
      <c r="B391" s="7"/>
      <c r="C391" s="8"/>
      <c r="D391" s="8"/>
      <c r="E391" s="60"/>
      <c r="F391" s="84" t="str">
        <f>IFERROR(VLOOKUP(CONCATENATE($B391,"_",F$3),materiali!$C:$K,5,0),"")</f>
        <v/>
      </c>
      <c r="G391" s="85" t="str">
        <f>IFERROR(VLOOKUP(CONCATENATE($B391,"_",G$3),materiali!$C:$K,6,0),"")</f>
        <v/>
      </c>
      <c r="H391" s="86"/>
      <c r="I391" s="84" t="str">
        <f>IFERROR(VLOOKUP(CONCATENATE($B391,"_",I$3),materiali!$C:$K,5,0),"")</f>
        <v/>
      </c>
      <c r="J391" s="85" t="str">
        <f>IFERROR(VLOOKUP(CONCATENATE($B391,"_",J$3),materiali!$C:$K,6,0),"")</f>
        <v/>
      </c>
      <c r="K391" s="86"/>
      <c r="L391" s="84" t="str">
        <f>IFERROR(VLOOKUP(CONCATENATE($B391,"_",L$3),materiali!$C:$K,5,0),"")</f>
        <v/>
      </c>
      <c r="M391" s="85" t="str">
        <f>IFERROR(VLOOKUP(CONCATENATE($B391,"_",M$3),materiali!$C:$K,6,0),"")</f>
        <v/>
      </c>
      <c r="N391" s="86"/>
      <c r="O391" s="84" t="str">
        <f>IFERROR(VLOOKUP(CONCATENATE($B391,"_",O$3),materiali!$C:$K,5,0),"")</f>
        <v/>
      </c>
      <c r="P391" s="85" t="str">
        <f>IFERROR(VLOOKUP(CONCATENATE($B391,"_",P$3),materiali!$C:$K,6,0),"")</f>
        <v/>
      </c>
      <c r="Q391" s="86"/>
      <c r="R391" s="84" t="str">
        <f>IFERROR(VLOOKUP(CONCATENATE($B391,"_",R$3),materiali!$C:$K,5,0),"")</f>
        <v/>
      </c>
      <c r="S391" s="85" t="str">
        <f>IFERROR(VLOOKUP(CONCATENATE($B391,"_",S$3),materiali!$C:$K,6,0),"")</f>
        <v/>
      </c>
      <c r="T391" s="86"/>
      <c r="U391" s="31"/>
      <c r="AD391" s="97"/>
    </row>
    <row r="392" spans="1:30" ht="35.1" hidden="1" customHeight="1" x14ac:dyDescent="0.25">
      <c r="A392" s="83"/>
      <c r="B392" s="7"/>
      <c r="C392" s="8"/>
      <c r="D392" s="8"/>
      <c r="E392" s="60"/>
      <c r="F392" s="84" t="str">
        <f>IFERROR(VLOOKUP(CONCATENATE($B392,"_",F$3),materiali!$C:$K,5,0),"")</f>
        <v/>
      </c>
      <c r="G392" s="85" t="str">
        <f>IFERROR(VLOOKUP(CONCATENATE($B392,"_",G$3),materiali!$C:$K,6,0),"")</f>
        <v/>
      </c>
      <c r="H392" s="86"/>
      <c r="I392" s="84" t="str">
        <f>IFERROR(VLOOKUP(CONCATENATE($B392,"_",I$3),materiali!$C:$K,5,0),"")</f>
        <v/>
      </c>
      <c r="J392" s="85" t="str">
        <f>IFERROR(VLOOKUP(CONCATENATE($B392,"_",J$3),materiali!$C:$K,6,0),"")</f>
        <v/>
      </c>
      <c r="K392" s="86"/>
      <c r="L392" s="84" t="str">
        <f>IFERROR(VLOOKUP(CONCATENATE($B392,"_",L$3),materiali!$C:$K,5,0),"")</f>
        <v/>
      </c>
      <c r="M392" s="85" t="str">
        <f>IFERROR(VLOOKUP(CONCATENATE($B392,"_",M$3),materiali!$C:$K,6,0),"")</f>
        <v/>
      </c>
      <c r="N392" s="86"/>
      <c r="O392" s="84" t="str">
        <f>IFERROR(VLOOKUP(CONCATENATE($B392,"_",O$3),materiali!$C:$K,5,0),"")</f>
        <v/>
      </c>
      <c r="P392" s="85" t="str">
        <f>IFERROR(VLOOKUP(CONCATENATE($B392,"_",P$3),materiali!$C:$K,6,0),"")</f>
        <v/>
      </c>
      <c r="Q392" s="86"/>
      <c r="R392" s="84" t="str">
        <f>IFERROR(VLOOKUP(CONCATENATE($B392,"_",R$3),materiali!$C:$K,5,0),"")</f>
        <v/>
      </c>
      <c r="S392" s="85" t="str">
        <f>IFERROR(VLOOKUP(CONCATENATE($B392,"_",S$3),materiali!$C:$K,6,0),"")</f>
        <v/>
      </c>
      <c r="T392" s="86"/>
      <c r="U392" s="31"/>
      <c r="AD392" s="97"/>
    </row>
    <row r="393" spans="1:30" ht="35.1" hidden="1" customHeight="1" x14ac:dyDescent="0.25">
      <c r="A393" s="83"/>
      <c r="B393" s="7"/>
      <c r="C393" s="8"/>
      <c r="D393" s="8"/>
      <c r="E393" s="60"/>
      <c r="F393" s="84" t="str">
        <f>IFERROR(VLOOKUP(CONCATENATE($B393,"_",F$3),materiali!$C:$K,5,0),"")</f>
        <v/>
      </c>
      <c r="G393" s="85" t="str">
        <f>IFERROR(VLOOKUP(CONCATENATE($B393,"_",G$3),materiali!$C:$K,6,0),"")</f>
        <v/>
      </c>
      <c r="H393" s="86"/>
      <c r="I393" s="84" t="str">
        <f>IFERROR(VLOOKUP(CONCATENATE($B393,"_",I$3),materiali!$C:$K,5,0),"")</f>
        <v/>
      </c>
      <c r="J393" s="85" t="str">
        <f>IFERROR(VLOOKUP(CONCATENATE($B393,"_",J$3),materiali!$C:$K,6,0),"")</f>
        <v/>
      </c>
      <c r="K393" s="86"/>
      <c r="L393" s="84" t="str">
        <f>IFERROR(VLOOKUP(CONCATENATE($B393,"_",L$3),materiali!$C:$K,5,0),"")</f>
        <v/>
      </c>
      <c r="M393" s="85" t="str">
        <f>IFERROR(VLOOKUP(CONCATENATE($B393,"_",M$3),materiali!$C:$K,6,0),"")</f>
        <v/>
      </c>
      <c r="N393" s="86"/>
      <c r="O393" s="84" t="str">
        <f>IFERROR(VLOOKUP(CONCATENATE($B393,"_",O$3),materiali!$C:$K,5,0),"")</f>
        <v/>
      </c>
      <c r="P393" s="85" t="str">
        <f>IFERROR(VLOOKUP(CONCATENATE($B393,"_",P$3),materiali!$C:$K,6,0),"")</f>
        <v/>
      </c>
      <c r="Q393" s="86"/>
      <c r="R393" s="84" t="str">
        <f>IFERROR(VLOOKUP(CONCATENATE($B393,"_",R$3),materiali!$C:$K,5,0),"")</f>
        <v/>
      </c>
      <c r="S393" s="85" t="str">
        <f>IFERROR(VLOOKUP(CONCATENATE($B393,"_",S$3),materiali!$C:$K,6,0),"")</f>
        <v/>
      </c>
      <c r="T393" s="86"/>
      <c r="U393" s="31"/>
      <c r="AD393" s="97"/>
    </row>
    <row r="394" spans="1:30" ht="35.1" hidden="1" customHeight="1" x14ac:dyDescent="0.25">
      <c r="A394" s="83"/>
      <c r="B394" s="7"/>
      <c r="C394" s="8"/>
      <c r="D394" s="8"/>
      <c r="E394" s="60"/>
      <c r="F394" s="84" t="str">
        <f>IFERROR(VLOOKUP(CONCATENATE($B394,"_",F$3),materiali!$C:$K,5,0),"")</f>
        <v/>
      </c>
      <c r="G394" s="85" t="str">
        <f>IFERROR(VLOOKUP(CONCATENATE($B394,"_",G$3),materiali!$C:$K,6,0),"")</f>
        <v/>
      </c>
      <c r="H394" s="86"/>
      <c r="I394" s="84" t="str">
        <f>IFERROR(VLOOKUP(CONCATENATE($B394,"_",I$3),materiali!$C:$K,5,0),"")</f>
        <v/>
      </c>
      <c r="J394" s="85" t="str">
        <f>IFERROR(VLOOKUP(CONCATENATE($B394,"_",J$3),materiali!$C:$K,6,0),"")</f>
        <v/>
      </c>
      <c r="K394" s="86"/>
      <c r="L394" s="84" t="str">
        <f>IFERROR(VLOOKUP(CONCATENATE($B394,"_",L$3),materiali!$C:$K,5,0),"")</f>
        <v/>
      </c>
      <c r="M394" s="85" t="str">
        <f>IFERROR(VLOOKUP(CONCATENATE($B394,"_",M$3),materiali!$C:$K,6,0),"")</f>
        <v/>
      </c>
      <c r="N394" s="86"/>
      <c r="O394" s="84" t="str">
        <f>IFERROR(VLOOKUP(CONCATENATE($B394,"_",O$3),materiali!$C:$K,5,0),"")</f>
        <v/>
      </c>
      <c r="P394" s="85" t="str">
        <f>IFERROR(VLOOKUP(CONCATENATE($B394,"_",P$3),materiali!$C:$K,6,0),"")</f>
        <v/>
      </c>
      <c r="Q394" s="86"/>
      <c r="R394" s="84" t="str">
        <f>IFERROR(VLOOKUP(CONCATENATE($B394,"_",R$3),materiali!$C:$K,5,0),"")</f>
        <v/>
      </c>
      <c r="S394" s="85" t="str">
        <f>IFERROR(VLOOKUP(CONCATENATE($B394,"_",S$3),materiali!$C:$K,6,0),"")</f>
        <v/>
      </c>
      <c r="T394" s="86"/>
      <c r="U394" s="31"/>
      <c r="AD394" s="97"/>
    </row>
    <row r="395" spans="1:30" ht="35.1" hidden="1" customHeight="1" x14ac:dyDescent="0.25">
      <c r="A395" s="83"/>
      <c r="B395" s="7"/>
      <c r="C395" s="8"/>
      <c r="D395" s="8"/>
      <c r="E395" s="60"/>
      <c r="F395" s="84" t="str">
        <f>IFERROR(VLOOKUP(CONCATENATE($B395,"_",F$3),materiali!$C:$K,5,0),"")</f>
        <v/>
      </c>
      <c r="G395" s="85" t="str">
        <f>IFERROR(VLOOKUP(CONCATENATE($B395,"_",G$3),materiali!$C:$K,6,0),"")</f>
        <v/>
      </c>
      <c r="H395" s="86"/>
      <c r="I395" s="84" t="str">
        <f>IFERROR(VLOOKUP(CONCATENATE($B395,"_",I$3),materiali!$C:$K,5,0),"")</f>
        <v/>
      </c>
      <c r="J395" s="85" t="str">
        <f>IFERROR(VLOOKUP(CONCATENATE($B395,"_",J$3),materiali!$C:$K,6,0),"")</f>
        <v/>
      </c>
      <c r="K395" s="86"/>
      <c r="L395" s="84" t="str">
        <f>IFERROR(VLOOKUP(CONCATENATE($B395,"_",L$3),materiali!$C:$K,5,0),"")</f>
        <v/>
      </c>
      <c r="M395" s="85" t="str">
        <f>IFERROR(VLOOKUP(CONCATENATE($B395,"_",M$3),materiali!$C:$K,6,0),"")</f>
        <v/>
      </c>
      <c r="N395" s="86"/>
      <c r="O395" s="84" t="str">
        <f>IFERROR(VLOOKUP(CONCATENATE($B395,"_",O$3),materiali!$C:$K,5,0),"")</f>
        <v/>
      </c>
      <c r="P395" s="85" t="str">
        <f>IFERROR(VLOOKUP(CONCATENATE($B395,"_",P$3),materiali!$C:$K,6,0),"")</f>
        <v/>
      </c>
      <c r="Q395" s="86"/>
      <c r="R395" s="84" t="str">
        <f>IFERROR(VLOOKUP(CONCATENATE($B395,"_",R$3),materiali!$C:$K,5,0),"")</f>
        <v/>
      </c>
      <c r="S395" s="85" t="str">
        <f>IFERROR(VLOOKUP(CONCATENATE($B395,"_",S$3),materiali!$C:$K,6,0),"")</f>
        <v/>
      </c>
      <c r="T395" s="86"/>
      <c r="U395" s="31"/>
      <c r="AD395" s="97"/>
    </row>
    <row r="396" spans="1:30" ht="35.1" hidden="1" customHeight="1" x14ac:dyDescent="0.25">
      <c r="A396" s="83"/>
      <c r="B396" s="7"/>
      <c r="C396" s="8"/>
      <c r="D396" s="8"/>
      <c r="E396" s="60"/>
      <c r="F396" s="84" t="str">
        <f>IFERROR(VLOOKUP(CONCATENATE($B396,"_",F$3),materiali!$C:$K,5,0),"")</f>
        <v/>
      </c>
      <c r="G396" s="85" t="str">
        <f>IFERROR(VLOOKUP(CONCATENATE($B396,"_",G$3),materiali!$C:$K,6,0),"")</f>
        <v/>
      </c>
      <c r="H396" s="86"/>
      <c r="I396" s="84" t="str">
        <f>IFERROR(VLOOKUP(CONCATENATE($B396,"_",I$3),materiali!$C:$K,5,0),"")</f>
        <v/>
      </c>
      <c r="J396" s="85" t="str">
        <f>IFERROR(VLOOKUP(CONCATENATE($B396,"_",J$3),materiali!$C:$K,6,0),"")</f>
        <v/>
      </c>
      <c r="K396" s="86"/>
      <c r="L396" s="84" t="str">
        <f>IFERROR(VLOOKUP(CONCATENATE($B396,"_",L$3),materiali!$C:$K,5,0),"")</f>
        <v/>
      </c>
      <c r="M396" s="85" t="str">
        <f>IFERROR(VLOOKUP(CONCATENATE($B396,"_",M$3),materiali!$C:$K,6,0),"")</f>
        <v/>
      </c>
      <c r="N396" s="86"/>
      <c r="O396" s="84" t="str">
        <f>IFERROR(VLOOKUP(CONCATENATE($B396,"_",O$3),materiali!$C:$K,5,0),"")</f>
        <v/>
      </c>
      <c r="P396" s="85" t="str">
        <f>IFERROR(VLOOKUP(CONCATENATE($B396,"_",P$3),materiali!$C:$K,6,0),"")</f>
        <v/>
      </c>
      <c r="Q396" s="86"/>
      <c r="R396" s="84" t="str">
        <f>IFERROR(VLOOKUP(CONCATENATE($B396,"_",R$3),materiali!$C:$K,5,0),"")</f>
        <v/>
      </c>
      <c r="S396" s="85" t="str">
        <f>IFERROR(VLOOKUP(CONCATENATE($B396,"_",S$3),materiali!$C:$K,6,0),"")</f>
        <v/>
      </c>
      <c r="T396" s="86"/>
      <c r="U396" s="31"/>
      <c r="AD396" s="97"/>
    </row>
    <row r="397" spans="1:30" ht="35.1" hidden="1" customHeight="1" x14ac:dyDescent="0.25">
      <c r="A397" s="83"/>
      <c r="B397" s="7"/>
      <c r="C397" s="8"/>
      <c r="D397" s="8"/>
      <c r="E397" s="60"/>
      <c r="F397" s="84" t="str">
        <f>IFERROR(VLOOKUP(CONCATENATE($B397,"_",F$3),materiali!$C:$K,5,0),"")</f>
        <v/>
      </c>
      <c r="G397" s="85" t="str">
        <f>IFERROR(VLOOKUP(CONCATENATE($B397,"_",G$3),materiali!$C:$K,6,0),"")</f>
        <v/>
      </c>
      <c r="H397" s="86"/>
      <c r="I397" s="84" t="str">
        <f>IFERROR(VLOOKUP(CONCATENATE($B397,"_",I$3),materiali!$C:$K,5,0),"")</f>
        <v/>
      </c>
      <c r="J397" s="85" t="str">
        <f>IFERROR(VLOOKUP(CONCATENATE($B397,"_",J$3),materiali!$C:$K,6,0),"")</f>
        <v/>
      </c>
      <c r="K397" s="86"/>
      <c r="L397" s="84" t="str">
        <f>IFERROR(VLOOKUP(CONCATENATE($B397,"_",L$3),materiali!$C:$K,5,0),"")</f>
        <v/>
      </c>
      <c r="M397" s="85" t="str">
        <f>IFERROR(VLOOKUP(CONCATENATE($B397,"_",M$3),materiali!$C:$K,6,0),"")</f>
        <v/>
      </c>
      <c r="N397" s="86"/>
      <c r="O397" s="84" t="str">
        <f>IFERROR(VLOOKUP(CONCATENATE($B397,"_",O$3),materiali!$C:$K,5,0),"")</f>
        <v/>
      </c>
      <c r="P397" s="85" t="str">
        <f>IFERROR(VLOOKUP(CONCATENATE($B397,"_",P$3),materiali!$C:$K,6,0),"")</f>
        <v/>
      </c>
      <c r="Q397" s="86"/>
      <c r="R397" s="84" t="str">
        <f>IFERROR(VLOOKUP(CONCATENATE($B397,"_",R$3),materiali!$C:$K,5,0),"")</f>
        <v/>
      </c>
      <c r="S397" s="85" t="str">
        <f>IFERROR(VLOOKUP(CONCATENATE($B397,"_",S$3),materiali!$C:$K,6,0),"")</f>
        <v/>
      </c>
      <c r="T397" s="86"/>
      <c r="U397" s="31"/>
      <c r="AD397" s="97"/>
    </row>
    <row r="398" spans="1:30" ht="35.1" hidden="1" customHeight="1" x14ac:dyDescent="0.25">
      <c r="A398" s="83"/>
      <c r="B398" s="7"/>
      <c r="C398" s="8"/>
      <c r="D398" s="8"/>
      <c r="E398" s="60"/>
      <c r="F398" s="84" t="str">
        <f>IFERROR(VLOOKUP(CONCATENATE($B398,"_",F$3),materiali!$C:$K,5,0),"")</f>
        <v/>
      </c>
      <c r="G398" s="85" t="str">
        <f>IFERROR(VLOOKUP(CONCATENATE($B398,"_",G$3),materiali!$C:$K,6,0),"")</f>
        <v/>
      </c>
      <c r="H398" s="86"/>
      <c r="I398" s="84" t="str">
        <f>IFERROR(VLOOKUP(CONCATENATE($B398,"_",I$3),materiali!$C:$K,5,0),"")</f>
        <v/>
      </c>
      <c r="J398" s="85" t="str">
        <f>IFERROR(VLOOKUP(CONCATENATE($B398,"_",J$3),materiali!$C:$K,6,0),"")</f>
        <v/>
      </c>
      <c r="K398" s="86"/>
      <c r="L398" s="84" t="str">
        <f>IFERROR(VLOOKUP(CONCATENATE($B398,"_",L$3),materiali!$C:$K,5,0),"")</f>
        <v/>
      </c>
      <c r="M398" s="85" t="str">
        <f>IFERROR(VLOOKUP(CONCATENATE($B398,"_",M$3),materiali!$C:$K,6,0),"")</f>
        <v/>
      </c>
      <c r="N398" s="86"/>
      <c r="O398" s="84" t="str">
        <f>IFERROR(VLOOKUP(CONCATENATE($B398,"_",O$3),materiali!$C:$K,5,0),"")</f>
        <v/>
      </c>
      <c r="P398" s="85" t="str">
        <f>IFERROR(VLOOKUP(CONCATENATE($B398,"_",P$3),materiali!$C:$K,6,0),"")</f>
        <v/>
      </c>
      <c r="Q398" s="86"/>
      <c r="R398" s="84" t="str">
        <f>IFERROR(VLOOKUP(CONCATENATE($B398,"_",R$3),materiali!$C:$K,5,0),"")</f>
        <v/>
      </c>
      <c r="S398" s="85" t="str">
        <f>IFERROR(VLOOKUP(CONCATENATE($B398,"_",S$3),materiali!$C:$K,6,0),"")</f>
        <v/>
      </c>
      <c r="T398" s="86"/>
      <c r="U398" s="31"/>
      <c r="AD398" s="97"/>
    </row>
    <row r="399" spans="1:30" ht="35.1" hidden="1" customHeight="1" x14ac:dyDescent="0.25">
      <c r="A399" s="83"/>
      <c r="B399" s="7"/>
      <c r="C399" s="8"/>
      <c r="D399" s="8"/>
      <c r="E399" s="60"/>
      <c r="F399" s="84" t="str">
        <f>IFERROR(VLOOKUP(CONCATENATE($B399,"_",F$3),materiali!$C:$K,5,0),"")</f>
        <v/>
      </c>
      <c r="G399" s="85" t="str">
        <f>IFERROR(VLOOKUP(CONCATENATE($B399,"_",G$3),materiali!$C:$K,6,0),"")</f>
        <v/>
      </c>
      <c r="H399" s="86"/>
      <c r="I399" s="84" t="str">
        <f>IFERROR(VLOOKUP(CONCATENATE($B399,"_",I$3),materiali!$C:$K,5,0),"")</f>
        <v/>
      </c>
      <c r="J399" s="85" t="str">
        <f>IFERROR(VLOOKUP(CONCATENATE($B399,"_",J$3),materiali!$C:$K,6,0),"")</f>
        <v/>
      </c>
      <c r="K399" s="86"/>
      <c r="L399" s="84" t="str">
        <f>IFERROR(VLOOKUP(CONCATENATE($B399,"_",L$3),materiali!$C:$K,5,0),"")</f>
        <v/>
      </c>
      <c r="M399" s="85" t="str">
        <f>IFERROR(VLOOKUP(CONCATENATE($B399,"_",M$3),materiali!$C:$K,6,0),"")</f>
        <v/>
      </c>
      <c r="N399" s="86"/>
      <c r="O399" s="84" t="str">
        <f>IFERROR(VLOOKUP(CONCATENATE($B399,"_",O$3),materiali!$C:$K,5,0),"")</f>
        <v/>
      </c>
      <c r="P399" s="85" t="str">
        <f>IFERROR(VLOOKUP(CONCATENATE($B399,"_",P$3),materiali!$C:$K,6,0),"")</f>
        <v/>
      </c>
      <c r="Q399" s="86"/>
      <c r="R399" s="84" t="str">
        <f>IFERROR(VLOOKUP(CONCATENATE($B399,"_",R$3),materiali!$C:$K,5,0),"")</f>
        <v/>
      </c>
      <c r="S399" s="85" t="str">
        <f>IFERROR(VLOOKUP(CONCATENATE($B399,"_",S$3),materiali!$C:$K,6,0),"")</f>
        <v/>
      </c>
      <c r="T399" s="86"/>
      <c r="U399" s="31"/>
      <c r="AD399" s="97"/>
    </row>
    <row r="400" spans="1:30" ht="35.1" hidden="1" customHeight="1" x14ac:dyDescent="0.25">
      <c r="A400" s="83"/>
      <c r="B400" s="7"/>
      <c r="C400" s="8"/>
      <c r="D400" s="8"/>
      <c r="E400" s="60"/>
      <c r="F400" s="84" t="str">
        <f>IFERROR(VLOOKUP(CONCATENATE($B400,"_",F$3),materiali!$C:$K,5,0),"")</f>
        <v/>
      </c>
      <c r="G400" s="85" t="str">
        <f>IFERROR(VLOOKUP(CONCATENATE($B400,"_",G$3),materiali!$C:$K,6,0),"")</f>
        <v/>
      </c>
      <c r="H400" s="86"/>
      <c r="I400" s="84" t="str">
        <f>IFERROR(VLOOKUP(CONCATENATE($B400,"_",I$3),materiali!$C:$K,5,0),"")</f>
        <v/>
      </c>
      <c r="J400" s="85" t="str">
        <f>IFERROR(VLOOKUP(CONCATENATE($B400,"_",J$3),materiali!$C:$K,6,0),"")</f>
        <v/>
      </c>
      <c r="K400" s="86"/>
      <c r="L400" s="84" t="str">
        <f>IFERROR(VLOOKUP(CONCATENATE($B400,"_",L$3),materiali!$C:$K,5,0),"")</f>
        <v/>
      </c>
      <c r="M400" s="85" t="str">
        <f>IFERROR(VLOOKUP(CONCATENATE($B400,"_",M$3),materiali!$C:$K,6,0),"")</f>
        <v/>
      </c>
      <c r="N400" s="86"/>
      <c r="O400" s="84" t="str">
        <f>IFERROR(VLOOKUP(CONCATENATE($B400,"_",O$3),materiali!$C:$K,5,0),"")</f>
        <v/>
      </c>
      <c r="P400" s="85" t="str">
        <f>IFERROR(VLOOKUP(CONCATENATE($B400,"_",P$3),materiali!$C:$K,6,0),"")</f>
        <v/>
      </c>
      <c r="Q400" s="86"/>
      <c r="R400" s="84" t="str">
        <f>IFERROR(VLOOKUP(CONCATENATE($B400,"_",R$3),materiali!$C:$K,5,0),"")</f>
        <v/>
      </c>
      <c r="S400" s="85" t="str">
        <f>IFERROR(VLOOKUP(CONCATENATE($B400,"_",S$3),materiali!$C:$K,6,0),"")</f>
        <v/>
      </c>
      <c r="T400" s="86"/>
      <c r="U400" s="31"/>
      <c r="AD400" s="97"/>
    </row>
    <row r="401" spans="1:30" ht="35.1" hidden="1" customHeight="1" x14ac:dyDescent="0.25">
      <c r="A401" s="83"/>
      <c r="B401" s="7"/>
      <c r="C401" s="8"/>
      <c r="D401" s="8"/>
      <c r="E401" s="60"/>
      <c r="F401" s="84" t="str">
        <f>IFERROR(VLOOKUP(CONCATENATE($B401,"_",F$3),materiali!$C:$K,5,0),"")</f>
        <v/>
      </c>
      <c r="G401" s="85" t="str">
        <f>IFERROR(VLOOKUP(CONCATENATE($B401,"_",G$3),materiali!$C:$K,6,0),"")</f>
        <v/>
      </c>
      <c r="H401" s="86"/>
      <c r="I401" s="84" t="str">
        <f>IFERROR(VLOOKUP(CONCATENATE($B401,"_",I$3),materiali!$C:$K,5,0),"")</f>
        <v/>
      </c>
      <c r="J401" s="85" t="str">
        <f>IFERROR(VLOOKUP(CONCATENATE($B401,"_",J$3),materiali!$C:$K,6,0),"")</f>
        <v/>
      </c>
      <c r="K401" s="86"/>
      <c r="L401" s="84" t="str">
        <f>IFERROR(VLOOKUP(CONCATENATE($B401,"_",L$3),materiali!$C:$K,5,0),"")</f>
        <v/>
      </c>
      <c r="M401" s="85" t="str">
        <f>IFERROR(VLOOKUP(CONCATENATE($B401,"_",M$3),materiali!$C:$K,6,0),"")</f>
        <v/>
      </c>
      <c r="N401" s="86"/>
      <c r="O401" s="84" t="str">
        <f>IFERROR(VLOOKUP(CONCATENATE($B401,"_",O$3),materiali!$C:$K,5,0),"")</f>
        <v/>
      </c>
      <c r="P401" s="85" t="str">
        <f>IFERROR(VLOOKUP(CONCATENATE($B401,"_",P$3),materiali!$C:$K,6,0),"")</f>
        <v/>
      </c>
      <c r="Q401" s="86"/>
      <c r="R401" s="84" t="str">
        <f>IFERROR(VLOOKUP(CONCATENATE($B401,"_",R$3),materiali!$C:$K,5,0),"")</f>
        <v/>
      </c>
      <c r="S401" s="85" t="str">
        <f>IFERROR(VLOOKUP(CONCATENATE($B401,"_",S$3),materiali!$C:$K,6,0),"")</f>
        <v/>
      </c>
      <c r="T401" s="86"/>
      <c r="U401" s="31"/>
      <c r="AD401" s="97"/>
    </row>
    <row r="402" spans="1:30" ht="35.1" hidden="1" customHeight="1" x14ac:dyDescent="0.25">
      <c r="A402" s="83"/>
      <c r="B402" s="7"/>
      <c r="C402" s="8"/>
      <c r="D402" s="8"/>
      <c r="E402" s="60"/>
      <c r="F402" s="84" t="str">
        <f>IFERROR(VLOOKUP(CONCATENATE($B402,"_",F$3),materiali!$C:$K,5,0),"")</f>
        <v/>
      </c>
      <c r="G402" s="85" t="str">
        <f>IFERROR(VLOOKUP(CONCATENATE($B402,"_",G$3),materiali!$C:$K,6,0),"")</f>
        <v/>
      </c>
      <c r="H402" s="86"/>
      <c r="I402" s="84" t="str">
        <f>IFERROR(VLOOKUP(CONCATENATE($B402,"_",I$3),materiali!$C:$K,5,0),"")</f>
        <v/>
      </c>
      <c r="J402" s="85" t="str">
        <f>IFERROR(VLOOKUP(CONCATENATE($B402,"_",J$3),materiali!$C:$K,6,0),"")</f>
        <v/>
      </c>
      <c r="K402" s="86"/>
      <c r="L402" s="84" t="str">
        <f>IFERROR(VLOOKUP(CONCATENATE($B402,"_",L$3),materiali!$C:$K,5,0),"")</f>
        <v/>
      </c>
      <c r="M402" s="85" t="str">
        <f>IFERROR(VLOOKUP(CONCATENATE($B402,"_",M$3),materiali!$C:$K,6,0),"")</f>
        <v/>
      </c>
      <c r="N402" s="86"/>
      <c r="O402" s="84" t="str">
        <f>IFERROR(VLOOKUP(CONCATENATE($B402,"_",O$3),materiali!$C:$K,5,0),"")</f>
        <v/>
      </c>
      <c r="P402" s="85" t="str">
        <f>IFERROR(VLOOKUP(CONCATENATE($B402,"_",P$3),materiali!$C:$K,6,0),"")</f>
        <v/>
      </c>
      <c r="Q402" s="86"/>
      <c r="R402" s="84" t="str">
        <f>IFERROR(VLOOKUP(CONCATENATE($B402,"_",R$3),materiali!$C:$K,5,0),"")</f>
        <v/>
      </c>
      <c r="S402" s="85" t="str">
        <f>IFERROR(VLOOKUP(CONCATENATE($B402,"_",S$3),materiali!$C:$K,6,0),"")</f>
        <v/>
      </c>
      <c r="T402" s="86"/>
      <c r="U402" s="31"/>
      <c r="AD402" s="97"/>
    </row>
    <row r="403" spans="1:30" ht="35.1" hidden="1" customHeight="1" x14ac:dyDescent="0.25">
      <c r="A403" s="83"/>
      <c r="B403" s="7"/>
      <c r="C403" s="8"/>
      <c r="D403" s="8"/>
      <c r="E403" s="60"/>
      <c r="F403" s="84" t="str">
        <f>IFERROR(VLOOKUP(CONCATENATE($B403,"_",F$3),materiali!$C:$K,5,0),"")</f>
        <v/>
      </c>
      <c r="G403" s="85" t="str">
        <f>IFERROR(VLOOKUP(CONCATENATE($B403,"_",G$3),materiali!$C:$K,6,0),"")</f>
        <v/>
      </c>
      <c r="H403" s="86"/>
      <c r="I403" s="84" t="str">
        <f>IFERROR(VLOOKUP(CONCATENATE($B403,"_",I$3),materiali!$C:$K,5,0),"")</f>
        <v/>
      </c>
      <c r="J403" s="85" t="str">
        <f>IFERROR(VLOOKUP(CONCATENATE($B403,"_",J$3),materiali!$C:$K,6,0),"")</f>
        <v/>
      </c>
      <c r="K403" s="86"/>
      <c r="L403" s="84" t="str">
        <f>IFERROR(VLOOKUP(CONCATENATE($B403,"_",L$3),materiali!$C:$K,5,0),"")</f>
        <v/>
      </c>
      <c r="M403" s="85" t="str">
        <f>IFERROR(VLOOKUP(CONCATENATE($B403,"_",M$3),materiali!$C:$K,6,0),"")</f>
        <v/>
      </c>
      <c r="N403" s="86"/>
      <c r="O403" s="84" t="str">
        <f>IFERROR(VLOOKUP(CONCATENATE($B403,"_",O$3),materiali!$C:$K,5,0),"")</f>
        <v/>
      </c>
      <c r="P403" s="85" t="str">
        <f>IFERROR(VLOOKUP(CONCATENATE($B403,"_",P$3),materiali!$C:$K,6,0),"")</f>
        <v/>
      </c>
      <c r="Q403" s="86"/>
      <c r="R403" s="84" t="str">
        <f>IFERROR(VLOOKUP(CONCATENATE($B403,"_",R$3),materiali!$C:$K,5,0),"")</f>
        <v/>
      </c>
      <c r="S403" s="85" t="str">
        <f>IFERROR(VLOOKUP(CONCATENATE($B403,"_",S$3),materiali!$C:$K,6,0),"")</f>
        <v/>
      </c>
      <c r="T403" s="86"/>
      <c r="U403" s="31"/>
      <c r="AD403" s="97"/>
    </row>
    <row r="404" spans="1:30" ht="35.1" hidden="1" customHeight="1" x14ac:dyDescent="0.25">
      <c r="A404" s="83"/>
      <c r="B404" s="7"/>
      <c r="C404" s="8"/>
      <c r="D404" s="8"/>
      <c r="E404" s="60"/>
      <c r="F404" s="84" t="str">
        <f>IFERROR(VLOOKUP(CONCATENATE($B404,"_",F$3),materiali!$C:$K,5,0),"")</f>
        <v/>
      </c>
      <c r="G404" s="85" t="str">
        <f>IFERROR(VLOOKUP(CONCATENATE($B404,"_",G$3),materiali!$C:$K,6,0),"")</f>
        <v/>
      </c>
      <c r="H404" s="86"/>
      <c r="I404" s="84" t="str">
        <f>IFERROR(VLOOKUP(CONCATENATE($B404,"_",I$3),materiali!$C:$K,5,0),"")</f>
        <v/>
      </c>
      <c r="J404" s="85" t="str">
        <f>IFERROR(VLOOKUP(CONCATENATE($B404,"_",J$3),materiali!$C:$K,6,0),"")</f>
        <v/>
      </c>
      <c r="K404" s="86"/>
      <c r="L404" s="84" t="str">
        <f>IFERROR(VLOOKUP(CONCATENATE($B404,"_",L$3),materiali!$C:$K,5,0),"")</f>
        <v/>
      </c>
      <c r="M404" s="85" t="str">
        <f>IFERROR(VLOOKUP(CONCATENATE($B404,"_",M$3),materiali!$C:$K,6,0),"")</f>
        <v/>
      </c>
      <c r="N404" s="86"/>
      <c r="O404" s="84" t="str">
        <f>IFERROR(VLOOKUP(CONCATENATE($B404,"_",O$3),materiali!$C:$K,5,0),"")</f>
        <v/>
      </c>
      <c r="P404" s="85" t="str">
        <f>IFERROR(VLOOKUP(CONCATENATE($B404,"_",P$3),materiali!$C:$K,6,0),"")</f>
        <v/>
      </c>
      <c r="Q404" s="86"/>
      <c r="R404" s="84" t="str">
        <f>IFERROR(VLOOKUP(CONCATENATE($B404,"_",R$3),materiali!$C:$K,5,0),"")</f>
        <v/>
      </c>
      <c r="S404" s="85" t="str">
        <f>IFERROR(VLOOKUP(CONCATENATE($B404,"_",S$3),materiali!$C:$K,6,0),"")</f>
        <v/>
      </c>
      <c r="T404" s="86"/>
      <c r="U404" s="31"/>
      <c r="AD404" s="97"/>
    </row>
    <row r="405" spans="1:30" ht="35.1" hidden="1" customHeight="1" x14ac:dyDescent="0.25">
      <c r="A405" s="83"/>
      <c r="B405" s="7"/>
      <c r="C405" s="8"/>
      <c r="D405" s="8"/>
      <c r="E405" s="60"/>
      <c r="F405" s="84" t="str">
        <f>IFERROR(VLOOKUP(CONCATENATE($B405,"_",F$3),materiali!$C:$K,5,0),"")</f>
        <v/>
      </c>
      <c r="G405" s="85" t="str">
        <f>IFERROR(VLOOKUP(CONCATENATE($B405,"_",G$3),materiali!$C:$K,6,0),"")</f>
        <v/>
      </c>
      <c r="H405" s="86"/>
      <c r="I405" s="84" t="str">
        <f>IFERROR(VLOOKUP(CONCATENATE($B405,"_",I$3),materiali!$C:$K,5,0),"")</f>
        <v/>
      </c>
      <c r="J405" s="85" t="str">
        <f>IFERROR(VLOOKUP(CONCATENATE($B405,"_",J$3),materiali!$C:$K,6,0),"")</f>
        <v/>
      </c>
      <c r="K405" s="86"/>
      <c r="L405" s="84" t="str">
        <f>IFERROR(VLOOKUP(CONCATENATE($B405,"_",L$3),materiali!$C:$K,5,0),"")</f>
        <v/>
      </c>
      <c r="M405" s="85" t="str">
        <f>IFERROR(VLOOKUP(CONCATENATE($B405,"_",M$3),materiali!$C:$K,6,0),"")</f>
        <v/>
      </c>
      <c r="N405" s="86"/>
      <c r="O405" s="84" t="str">
        <f>IFERROR(VLOOKUP(CONCATENATE($B405,"_",O$3),materiali!$C:$K,5,0),"")</f>
        <v/>
      </c>
      <c r="P405" s="85" t="str">
        <f>IFERROR(VLOOKUP(CONCATENATE($B405,"_",P$3),materiali!$C:$K,6,0),"")</f>
        <v/>
      </c>
      <c r="Q405" s="86"/>
      <c r="R405" s="84" t="str">
        <f>IFERROR(VLOOKUP(CONCATENATE($B405,"_",R$3),materiali!$C:$K,5,0),"")</f>
        <v/>
      </c>
      <c r="S405" s="85" t="str">
        <f>IFERROR(VLOOKUP(CONCATENATE($B405,"_",S$3),materiali!$C:$K,6,0),"")</f>
        <v/>
      </c>
      <c r="T405" s="86"/>
      <c r="U405" s="31"/>
      <c r="AD405" s="97"/>
    </row>
    <row r="406" spans="1:30" ht="35.1" hidden="1" customHeight="1" x14ac:dyDescent="0.25">
      <c r="A406" s="83"/>
      <c r="B406" s="7"/>
      <c r="C406" s="8"/>
      <c r="D406" s="8"/>
      <c r="E406" s="60"/>
      <c r="F406" s="84" t="str">
        <f>IFERROR(VLOOKUP(CONCATENATE($B406,"_",F$3),materiali!$C:$K,5,0),"")</f>
        <v/>
      </c>
      <c r="G406" s="85" t="str">
        <f>IFERROR(VLOOKUP(CONCATENATE($B406,"_",G$3),materiali!$C:$K,6,0),"")</f>
        <v/>
      </c>
      <c r="H406" s="86"/>
      <c r="I406" s="84" t="str">
        <f>IFERROR(VLOOKUP(CONCATENATE($B406,"_",I$3),materiali!$C:$K,5,0),"")</f>
        <v/>
      </c>
      <c r="J406" s="85" t="str">
        <f>IFERROR(VLOOKUP(CONCATENATE($B406,"_",J$3),materiali!$C:$K,6,0),"")</f>
        <v/>
      </c>
      <c r="K406" s="86"/>
      <c r="L406" s="84" t="str">
        <f>IFERROR(VLOOKUP(CONCATENATE($B406,"_",L$3),materiali!$C:$K,5,0),"")</f>
        <v/>
      </c>
      <c r="M406" s="85" t="str">
        <f>IFERROR(VLOOKUP(CONCATENATE($B406,"_",M$3),materiali!$C:$K,6,0),"")</f>
        <v/>
      </c>
      <c r="N406" s="86"/>
      <c r="O406" s="84" t="str">
        <f>IFERROR(VLOOKUP(CONCATENATE($B406,"_",O$3),materiali!$C:$K,5,0),"")</f>
        <v/>
      </c>
      <c r="P406" s="85" t="str">
        <f>IFERROR(VLOOKUP(CONCATENATE($B406,"_",P$3),materiali!$C:$K,6,0),"")</f>
        <v/>
      </c>
      <c r="Q406" s="86"/>
      <c r="R406" s="84" t="str">
        <f>IFERROR(VLOOKUP(CONCATENATE($B406,"_",R$3),materiali!$C:$K,5,0),"")</f>
        <v/>
      </c>
      <c r="S406" s="85" t="str">
        <f>IFERROR(VLOOKUP(CONCATENATE($B406,"_",S$3),materiali!$C:$K,6,0),"")</f>
        <v/>
      </c>
      <c r="T406" s="86"/>
      <c r="U406" s="31"/>
      <c r="AD406" s="97"/>
    </row>
    <row r="407" spans="1:30" ht="35.1" hidden="1" customHeight="1" x14ac:dyDescent="0.25">
      <c r="A407" s="83"/>
      <c r="B407" s="7"/>
      <c r="C407" s="8"/>
      <c r="D407" s="8"/>
      <c r="E407" s="60"/>
      <c r="F407" s="84" t="str">
        <f>IFERROR(VLOOKUP(CONCATENATE($B407,"_",F$3),materiali!$C:$K,5,0),"")</f>
        <v/>
      </c>
      <c r="G407" s="85" t="str">
        <f>IFERROR(VLOOKUP(CONCATENATE($B407,"_",G$3),materiali!$C:$K,6,0),"")</f>
        <v/>
      </c>
      <c r="H407" s="86"/>
      <c r="I407" s="84" t="str">
        <f>IFERROR(VLOOKUP(CONCATENATE($B407,"_",I$3),materiali!$C:$K,5,0),"")</f>
        <v/>
      </c>
      <c r="J407" s="85" t="str">
        <f>IFERROR(VLOOKUP(CONCATENATE($B407,"_",J$3),materiali!$C:$K,6,0),"")</f>
        <v/>
      </c>
      <c r="K407" s="86"/>
      <c r="L407" s="84" t="str">
        <f>IFERROR(VLOOKUP(CONCATENATE($B407,"_",L$3),materiali!$C:$K,5,0),"")</f>
        <v/>
      </c>
      <c r="M407" s="85" t="str">
        <f>IFERROR(VLOOKUP(CONCATENATE($B407,"_",M$3),materiali!$C:$K,6,0),"")</f>
        <v/>
      </c>
      <c r="N407" s="86"/>
      <c r="O407" s="84" t="str">
        <f>IFERROR(VLOOKUP(CONCATENATE($B407,"_",O$3),materiali!$C:$K,5,0),"")</f>
        <v/>
      </c>
      <c r="P407" s="85" t="str">
        <f>IFERROR(VLOOKUP(CONCATENATE($B407,"_",P$3),materiali!$C:$K,6,0),"")</f>
        <v/>
      </c>
      <c r="Q407" s="86"/>
      <c r="R407" s="84" t="str">
        <f>IFERROR(VLOOKUP(CONCATENATE($B407,"_",R$3),materiali!$C:$K,5,0),"")</f>
        <v/>
      </c>
      <c r="S407" s="85" t="str">
        <f>IFERROR(VLOOKUP(CONCATENATE($B407,"_",S$3),materiali!$C:$K,6,0),"")</f>
        <v/>
      </c>
      <c r="T407" s="86"/>
      <c r="U407" s="31"/>
      <c r="AD407" s="97"/>
    </row>
    <row r="408" spans="1:30" ht="35.1" hidden="1" customHeight="1" x14ac:dyDescent="0.25">
      <c r="A408" s="83"/>
      <c r="B408" s="7"/>
      <c r="C408" s="8"/>
      <c r="D408" s="8"/>
      <c r="E408" s="60"/>
      <c r="F408" s="84" t="str">
        <f>IFERROR(VLOOKUP(CONCATENATE($B408,"_",F$3),materiali!$C:$K,5,0),"")</f>
        <v/>
      </c>
      <c r="G408" s="85" t="str">
        <f>IFERROR(VLOOKUP(CONCATENATE($B408,"_",G$3),materiali!$C:$K,6,0),"")</f>
        <v/>
      </c>
      <c r="H408" s="86"/>
      <c r="I408" s="84" t="str">
        <f>IFERROR(VLOOKUP(CONCATENATE($B408,"_",I$3),materiali!$C:$K,5,0),"")</f>
        <v/>
      </c>
      <c r="J408" s="85" t="str">
        <f>IFERROR(VLOOKUP(CONCATENATE($B408,"_",J$3),materiali!$C:$K,6,0),"")</f>
        <v/>
      </c>
      <c r="K408" s="86"/>
      <c r="L408" s="84" t="str">
        <f>IFERROR(VLOOKUP(CONCATENATE($B408,"_",L$3),materiali!$C:$K,5,0),"")</f>
        <v/>
      </c>
      <c r="M408" s="85" t="str">
        <f>IFERROR(VLOOKUP(CONCATENATE($B408,"_",M$3),materiali!$C:$K,6,0),"")</f>
        <v/>
      </c>
      <c r="N408" s="86"/>
      <c r="O408" s="84" t="str">
        <f>IFERROR(VLOOKUP(CONCATENATE($B408,"_",O$3),materiali!$C:$K,5,0),"")</f>
        <v/>
      </c>
      <c r="P408" s="85" t="str">
        <f>IFERROR(VLOOKUP(CONCATENATE($B408,"_",P$3),materiali!$C:$K,6,0),"")</f>
        <v/>
      </c>
      <c r="Q408" s="86"/>
      <c r="R408" s="84" t="str">
        <f>IFERROR(VLOOKUP(CONCATENATE($B408,"_",R$3),materiali!$C:$K,5,0),"")</f>
        <v/>
      </c>
      <c r="S408" s="85" t="str">
        <f>IFERROR(VLOOKUP(CONCATENATE($B408,"_",S$3),materiali!$C:$K,6,0),"")</f>
        <v/>
      </c>
      <c r="T408" s="86"/>
      <c r="U408" s="31"/>
      <c r="AD408" s="97"/>
    </row>
    <row r="409" spans="1:30" ht="35.1" hidden="1" customHeight="1" x14ac:dyDescent="0.25">
      <c r="A409" s="83"/>
      <c r="B409" s="7"/>
      <c r="C409" s="8"/>
      <c r="D409" s="8"/>
      <c r="E409" s="60"/>
      <c r="F409" s="84" t="str">
        <f>IFERROR(VLOOKUP(CONCATENATE($B409,"_",F$3),materiali!$C:$K,5,0),"")</f>
        <v/>
      </c>
      <c r="G409" s="85" t="str">
        <f>IFERROR(VLOOKUP(CONCATENATE($B409,"_",G$3),materiali!$C:$K,6,0),"")</f>
        <v/>
      </c>
      <c r="H409" s="86"/>
      <c r="I409" s="84" t="str">
        <f>IFERROR(VLOOKUP(CONCATENATE($B409,"_",I$3),materiali!$C:$K,5,0),"")</f>
        <v/>
      </c>
      <c r="J409" s="85" t="str">
        <f>IFERROR(VLOOKUP(CONCATENATE($B409,"_",J$3),materiali!$C:$K,6,0),"")</f>
        <v/>
      </c>
      <c r="K409" s="86"/>
      <c r="L409" s="84" t="str">
        <f>IFERROR(VLOOKUP(CONCATENATE($B409,"_",L$3),materiali!$C:$K,5,0),"")</f>
        <v/>
      </c>
      <c r="M409" s="85" t="str">
        <f>IFERROR(VLOOKUP(CONCATENATE($B409,"_",M$3),materiali!$C:$K,6,0),"")</f>
        <v/>
      </c>
      <c r="N409" s="86"/>
      <c r="O409" s="84" t="str">
        <f>IFERROR(VLOOKUP(CONCATENATE($B409,"_",O$3),materiali!$C:$K,5,0),"")</f>
        <v/>
      </c>
      <c r="P409" s="85" t="str">
        <f>IFERROR(VLOOKUP(CONCATENATE($B409,"_",P$3),materiali!$C:$K,6,0),"")</f>
        <v/>
      </c>
      <c r="Q409" s="86"/>
      <c r="R409" s="84" t="str">
        <f>IFERROR(VLOOKUP(CONCATENATE($B409,"_",R$3),materiali!$C:$K,5,0),"")</f>
        <v/>
      </c>
      <c r="S409" s="85" t="str">
        <f>IFERROR(VLOOKUP(CONCATENATE($B409,"_",S$3),materiali!$C:$K,6,0),"")</f>
        <v/>
      </c>
      <c r="T409" s="86"/>
      <c r="U409" s="31"/>
      <c r="AD409" s="97"/>
    </row>
    <row r="410" spans="1:30" ht="35.1" hidden="1" customHeight="1" x14ac:dyDescent="0.25">
      <c r="A410" s="83"/>
      <c r="B410" s="7"/>
      <c r="C410" s="8"/>
      <c r="D410" s="8"/>
      <c r="E410" s="60"/>
      <c r="F410" s="84" t="str">
        <f>IFERROR(VLOOKUP(CONCATENATE($B410,"_",F$3),materiali!$C:$K,5,0),"")</f>
        <v/>
      </c>
      <c r="G410" s="85" t="str">
        <f>IFERROR(VLOOKUP(CONCATENATE($B410,"_",G$3),materiali!$C:$K,6,0),"")</f>
        <v/>
      </c>
      <c r="H410" s="86"/>
      <c r="I410" s="84" t="str">
        <f>IFERROR(VLOOKUP(CONCATENATE($B410,"_",I$3),materiali!$C:$K,5,0),"")</f>
        <v/>
      </c>
      <c r="J410" s="85" t="str">
        <f>IFERROR(VLOOKUP(CONCATENATE($B410,"_",J$3),materiali!$C:$K,6,0),"")</f>
        <v/>
      </c>
      <c r="K410" s="86"/>
      <c r="L410" s="84" t="str">
        <f>IFERROR(VLOOKUP(CONCATENATE($B410,"_",L$3),materiali!$C:$K,5,0),"")</f>
        <v/>
      </c>
      <c r="M410" s="85" t="str">
        <f>IFERROR(VLOOKUP(CONCATENATE($B410,"_",M$3),materiali!$C:$K,6,0),"")</f>
        <v/>
      </c>
      <c r="N410" s="86"/>
      <c r="O410" s="84" t="str">
        <f>IFERROR(VLOOKUP(CONCATENATE($B410,"_",O$3),materiali!$C:$K,5,0),"")</f>
        <v/>
      </c>
      <c r="P410" s="85" t="str">
        <f>IFERROR(VLOOKUP(CONCATENATE($B410,"_",P$3),materiali!$C:$K,6,0),"")</f>
        <v/>
      </c>
      <c r="Q410" s="86"/>
      <c r="R410" s="84" t="str">
        <f>IFERROR(VLOOKUP(CONCATENATE($B410,"_",R$3),materiali!$C:$K,5,0),"")</f>
        <v/>
      </c>
      <c r="S410" s="85" t="str">
        <f>IFERROR(VLOOKUP(CONCATENATE($B410,"_",S$3),materiali!$C:$K,6,0),"")</f>
        <v/>
      </c>
      <c r="T410" s="86"/>
      <c r="U410" s="31"/>
      <c r="AD410" s="97"/>
    </row>
    <row r="411" spans="1:30" ht="35.1" hidden="1" customHeight="1" x14ac:dyDescent="0.25">
      <c r="A411" s="83"/>
      <c r="B411" s="7"/>
      <c r="C411" s="8"/>
      <c r="D411" s="8"/>
      <c r="E411" s="60"/>
      <c r="F411" s="84" t="str">
        <f>IFERROR(VLOOKUP(CONCATENATE($B411,"_",F$3),materiali!$C:$K,5,0),"")</f>
        <v/>
      </c>
      <c r="G411" s="85" t="str">
        <f>IFERROR(VLOOKUP(CONCATENATE($B411,"_",G$3),materiali!$C:$K,6,0),"")</f>
        <v/>
      </c>
      <c r="H411" s="86"/>
      <c r="I411" s="84" t="str">
        <f>IFERROR(VLOOKUP(CONCATENATE($B411,"_",I$3),materiali!$C:$K,5,0),"")</f>
        <v/>
      </c>
      <c r="J411" s="85" t="str">
        <f>IFERROR(VLOOKUP(CONCATENATE($B411,"_",J$3),materiali!$C:$K,6,0),"")</f>
        <v/>
      </c>
      <c r="K411" s="86"/>
      <c r="L411" s="84" t="str">
        <f>IFERROR(VLOOKUP(CONCATENATE($B411,"_",L$3),materiali!$C:$K,5,0),"")</f>
        <v/>
      </c>
      <c r="M411" s="85" t="str">
        <f>IFERROR(VLOOKUP(CONCATENATE($B411,"_",M$3),materiali!$C:$K,6,0),"")</f>
        <v/>
      </c>
      <c r="N411" s="86"/>
      <c r="O411" s="84" t="str">
        <f>IFERROR(VLOOKUP(CONCATENATE($B411,"_",O$3),materiali!$C:$K,5,0),"")</f>
        <v/>
      </c>
      <c r="P411" s="85" t="str">
        <f>IFERROR(VLOOKUP(CONCATENATE($B411,"_",P$3),materiali!$C:$K,6,0),"")</f>
        <v/>
      </c>
      <c r="Q411" s="86"/>
      <c r="R411" s="84" t="str">
        <f>IFERROR(VLOOKUP(CONCATENATE($B411,"_",R$3),materiali!$C:$K,5,0),"")</f>
        <v/>
      </c>
      <c r="S411" s="85" t="str">
        <f>IFERROR(VLOOKUP(CONCATENATE($B411,"_",S$3),materiali!$C:$K,6,0),"")</f>
        <v/>
      </c>
      <c r="T411" s="86"/>
      <c r="U411" s="31"/>
      <c r="AD411" s="97"/>
    </row>
    <row r="412" spans="1:30" ht="35.1" hidden="1" customHeight="1" x14ac:dyDescent="0.25">
      <c r="A412" s="83"/>
      <c r="B412" s="7"/>
      <c r="C412" s="8"/>
      <c r="D412" s="8"/>
      <c r="E412" s="60"/>
      <c r="F412" s="84" t="str">
        <f>IFERROR(VLOOKUP(CONCATENATE($B412,"_",F$3),materiali!$C:$K,5,0),"")</f>
        <v/>
      </c>
      <c r="G412" s="85" t="str">
        <f>IFERROR(VLOOKUP(CONCATENATE($B412,"_",G$3),materiali!$C:$K,6,0),"")</f>
        <v/>
      </c>
      <c r="H412" s="86"/>
      <c r="I412" s="84" t="str">
        <f>IFERROR(VLOOKUP(CONCATENATE($B412,"_",I$3),materiali!$C:$K,5,0),"")</f>
        <v/>
      </c>
      <c r="J412" s="85" t="str">
        <f>IFERROR(VLOOKUP(CONCATENATE($B412,"_",J$3),materiali!$C:$K,6,0),"")</f>
        <v/>
      </c>
      <c r="K412" s="86"/>
      <c r="L412" s="84" t="str">
        <f>IFERROR(VLOOKUP(CONCATENATE($B412,"_",L$3),materiali!$C:$K,5,0),"")</f>
        <v/>
      </c>
      <c r="M412" s="85" t="str">
        <f>IFERROR(VLOOKUP(CONCATENATE($B412,"_",M$3),materiali!$C:$K,6,0),"")</f>
        <v/>
      </c>
      <c r="N412" s="86"/>
      <c r="O412" s="84" t="str">
        <f>IFERROR(VLOOKUP(CONCATENATE($B412,"_",O$3),materiali!$C:$K,5,0),"")</f>
        <v/>
      </c>
      <c r="P412" s="85" t="str">
        <f>IFERROR(VLOOKUP(CONCATENATE($B412,"_",P$3),materiali!$C:$K,6,0),"")</f>
        <v/>
      </c>
      <c r="Q412" s="86"/>
      <c r="R412" s="84" t="str">
        <f>IFERROR(VLOOKUP(CONCATENATE($B412,"_",R$3),materiali!$C:$K,5,0),"")</f>
        <v/>
      </c>
      <c r="S412" s="85" t="str">
        <f>IFERROR(VLOOKUP(CONCATENATE($B412,"_",S$3),materiali!$C:$K,6,0),"")</f>
        <v/>
      </c>
      <c r="T412" s="86"/>
      <c r="U412" s="31"/>
      <c r="AD412" s="97"/>
    </row>
    <row r="413" spans="1:30" ht="35.1" hidden="1" customHeight="1" x14ac:dyDescent="0.25">
      <c r="A413" s="83"/>
      <c r="B413" s="7"/>
      <c r="C413" s="8"/>
      <c r="D413" s="8"/>
      <c r="E413" s="60"/>
      <c r="F413" s="84" t="str">
        <f>IFERROR(VLOOKUP(CONCATENATE($B413,"_",F$3),materiali!$C:$K,5,0),"")</f>
        <v/>
      </c>
      <c r="G413" s="85" t="str">
        <f>IFERROR(VLOOKUP(CONCATENATE($B413,"_",G$3),materiali!$C:$K,6,0),"")</f>
        <v/>
      </c>
      <c r="H413" s="86"/>
      <c r="I413" s="84" t="str">
        <f>IFERROR(VLOOKUP(CONCATENATE($B413,"_",I$3),materiali!$C:$K,5,0),"")</f>
        <v/>
      </c>
      <c r="J413" s="85" t="str">
        <f>IFERROR(VLOOKUP(CONCATENATE($B413,"_",J$3),materiali!$C:$K,6,0),"")</f>
        <v/>
      </c>
      <c r="K413" s="86"/>
      <c r="L413" s="84" t="str">
        <f>IFERROR(VLOOKUP(CONCATENATE($B413,"_",L$3),materiali!$C:$K,5,0),"")</f>
        <v/>
      </c>
      <c r="M413" s="85" t="str">
        <f>IFERROR(VLOOKUP(CONCATENATE($B413,"_",M$3),materiali!$C:$K,6,0),"")</f>
        <v/>
      </c>
      <c r="N413" s="86"/>
      <c r="O413" s="84" t="str">
        <f>IFERROR(VLOOKUP(CONCATENATE($B413,"_",O$3),materiali!$C:$K,5,0),"")</f>
        <v/>
      </c>
      <c r="P413" s="85" t="str">
        <f>IFERROR(VLOOKUP(CONCATENATE($B413,"_",P$3),materiali!$C:$K,6,0),"")</f>
        <v/>
      </c>
      <c r="Q413" s="86"/>
      <c r="R413" s="84" t="str">
        <f>IFERROR(VLOOKUP(CONCATENATE($B413,"_",R$3),materiali!$C:$K,5,0),"")</f>
        <v/>
      </c>
      <c r="S413" s="85" t="str">
        <f>IFERROR(VLOOKUP(CONCATENATE($B413,"_",S$3),materiali!$C:$K,6,0),"")</f>
        <v/>
      </c>
      <c r="T413" s="86"/>
      <c r="U413" s="31"/>
      <c r="AD413" s="97"/>
    </row>
    <row r="414" spans="1:30" ht="35.1" hidden="1" customHeight="1" x14ac:dyDescent="0.25">
      <c r="A414" s="83"/>
      <c r="B414" s="7"/>
      <c r="C414" s="8"/>
      <c r="D414" s="8"/>
      <c r="E414" s="60"/>
      <c r="F414" s="84" t="str">
        <f>IFERROR(VLOOKUP(CONCATENATE($B414,"_",F$3),materiali!$C:$K,5,0),"")</f>
        <v/>
      </c>
      <c r="G414" s="85" t="str">
        <f>IFERROR(VLOOKUP(CONCATENATE($B414,"_",G$3),materiali!$C:$K,6,0),"")</f>
        <v/>
      </c>
      <c r="H414" s="86"/>
      <c r="I414" s="84" t="str">
        <f>IFERROR(VLOOKUP(CONCATENATE($B414,"_",I$3),materiali!$C:$K,5,0),"")</f>
        <v/>
      </c>
      <c r="J414" s="85" t="str">
        <f>IFERROR(VLOOKUP(CONCATENATE($B414,"_",J$3),materiali!$C:$K,6,0),"")</f>
        <v/>
      </c>
      <c r="K414" s="86"/>
      <c r="L414" s="84" t="str">
        <f>IFERROR(VLOOKUP(CONCATENATE($B414,"_",L$3),materiali!$C:$K,5,0),"")</f>
        <v/>
      </c>
      <c r="M414" s="85" t="str">
        <f>IFERROR(VLOOKUP(CONCATENATE($B414,"_",M$3),materiali!$C:$K,6,0),"")</f>
        <v/>
      </c>
      <c r="N414" s="86"/>
      <c r="O414" s="84" t="str">
        <f>IFERROR(VLOOKUP(CONCATENATE($B414,"_",O$3),materiali!$C:$K,5,0),"")</f>
        <v/>
      </c>
      <c r="P414" s="85" t="str">
        <f>IFERROR(VLOOKUP(CONCATENATE($B414,"_",P$3),materiali!$C:$K,6,0),"")</f>
        <v/>
      </c>
      <c r="Q414" s="86"/>
      <c r="R414" s="84" t="str">
        <f>IFERROR(VLOOKUP(CONCATENATE($B414,"_",R$3),materiali!$C:$K,5,0),"")</f>
        <v/>
      </c>
      <c r="S414" s="85" t="str">
        <f>IFERROR(VLOOKUP(CONCATENATE($B414,"_",S$3),materiali!$C:$K,6,0),"")</f>
        <v/>
      </c>
      <c r="T414" s="86"/>
      <c r="U414" s="31"/>
      <c r="AD414" s="97"/>
    </row>
    <row r="415" spans="1:30" ht="35.1" hidden="1" customHeight="1" x14ac:dyDescent="0.25">
      <c r="A415" s="83"/>
      <c r="B415" s="7"/>
      <c r="C415" s="8"/>
      <c r="D415" s="8"/>
      <c r="E415" s="60"/>
      <c r="F415" s="84" t="str">
        <f>IFERROR(VLOOKUP(CONCATENATE($B415,"_",F$3),materiali!$C:$K,5,0),"")</f>
        <v/>
      </c>
      <c r="G415" s="85" t="str">
        <f>IFERROR(VLOOKUP(CONCATENATE($B415,"_",G$3),materiali!$C:$K,6,0),"")</f>
        <v/>
      </c>
      <c r="H415" s="86"/>
      <c r="I415" s="84" t="str">
        <f>IFERROR(VLOOKUP(CONCATENATE($B415,"_",I$3),materiali!$C:$K,5,0),"")</f>
        <v/>
      </c>
      <c r="J415" s="85" t="str">
        <f>IFERROR(VLOOKUP(CONCATENATE($B415,"_",J$3),materiali!$C:$K,6,0),"")</f>
        <v/>
      </c>
      <c r="K415" s="86"/>
      <c r="L415" s="84" t="str">
        <f>IFERROR(VLOOKUP(CONCATENATE($B415,"_",L$3),materiali!$C:$K,5,0),"")</f>
        <v/>
      </c>
      <c r="M415" s="85" t="str">
        <f>IFERROR(VLOOKUP(CONCATENATE($B415,"_",M$3),materiali!$C:$K,6,0),"")</f>
        <v/>
      </c>
      <c r="N415" s="86"/>
      <c r="O415" s="84" t="str">
        <f>IFERROR(VLOOKUP(CONCATENATE($B415,"_",O$3),materiali!$C:$K,5,0),"")</f>
        <v/>
      </c>
      <c r="P415" s="85" t="str">
        <f>IFERROR(VLOOKUP(CONCATENATE($B415,"_",P$3),materiali!$C:$K,6,0),"")</f>
        <v/>
      </c>
      <c r="Q415" s="86"/>
      <c r="R415" s="84" t="str">
        <f>IFERROR(VLOOKUP(CONCATENATE($B415,"_",R$3),materiali!$C:$K,5,0),"")</f>
        <v/>
      </c>
      <c r="S415" s="85" t="str">
        <f>IFERROR(VLOOKUP(CONCATENATE($B415,"_",S$3),materiali!$C:$K,6,0),"")</f>
        <v/>
      </c>
      <c r="T415" s="86"/>
      <c r="U415" s="31"/>
      <c r="AD415" s="97"/>
    </row>
    <row r="416" spans="1:30" ht="35.1" hidden="1" customHeight="1" x14ac:dyDescent="0.25">
      <c r="A416" s="83"/>
      <c r="B416" s="7"/>
      <c r="C416" s="8"/>
      <c r="D416" s="8"/>
      <c r="E416" s="60"/>
      <c r="F416" s="84" t="str">
        <f>IFERROR(VLOOKUP(CONCATENATE($B416,"_",F$3),materiali!$C:$K,5,0),"")</f>
        <v/>
      </c>
      <c r="G416" s="85" t="str">
        <f>IFERROR(VLOOKUP(CONCATENATE($B416,"_",G$3),materiali!$C:$K,6,0),"")</f>
        <v/>
      </c>
      <c r="H416" s="86"/>
      <c r="I416" s="84" t="str">
        <f>IFERROR(VLOOKUP(CONCATENATE($B416,"_",I$3),materiali!$C:$K,5,0),"")</f>
        <v/>
      </c>
      <c r="J416" s="85" t="str">
        <f>IFERROR(VLOOKUP(CONCATENATE($B416,"_",J$3),materiali!$C:$K,6,0),"")</f>
        <v/>
      </c>
      <c r="K416" s="86"/>
      <c r="L416" s="84" t="str">
        <f>IFERROR(VLOOKUP(CONCATENATE($B416,"_",L$3),materiali!$C:$K,5,0),"")</f>
        <v/>
      </c>
      <c r="M416" s="85" t="str">
        <f>IFERROR(VLOOKUP(CONCATENATE($B416,"_",M$3),materiali!$C:$K,6,0),"")</f>
        <v/>
      </c>
      <c r="N416" s="86"/>
      <c r="O416" s="84" t="str">
        <f>IFERROR(VLOOKUP(CONCATENATE($B416,"_",O$3),materiali!$C:$K,5,0),"")</f>
        <v/>
      </c>
      <c r="P416" s="85" t="str">
        <f>IFERROR(VLOOKUP(CONCATENATE($B416,"_",P$3),materiali!$C:$K,6,0),"")</f>
        <v/>
      </c>
      <c r="Q416" s="86"/>
      <c r="R416" s="84" t="str">
        <f>IFERROR(VLOOKUP(CONCATENATE($B416,"_",R$3),materiali!$C:$K,5,0),"")</f>
        <v/>
      </c>
      <c r="S416" s="85" t="str">
        <f>IFERROR(VLOOKUP(CONCATENATE($B416,"_",S$3),materiali!$C:$K,6,0),"")</f>
        <v/>
      </c>
      <c r="T416" s="86"/>
      <c r="U416" s="31"/>
      <c r="AD416" s="97"/>
    </row>
    <row r="417" spans="1:30" ht="35.1" hidden="1" customHeight="1" x14ac:dyDescent="0.25">
      <c r="A417" s="83"/>
      <c r="B417" s="7"/>
      <c r="C417" s="8"/>
      <c r="D417" s="8"/>
      <c r="E417" s="60"/>
      <c r="F417" s="84" t="str">
        <f>IFERROR(VLOOKUP(CONCATENATE($B417,"_",F$3),materiali!$C:$K,5,0),"")</f>
        <v/>
      </c>
      <c r="G417" s="85" t="str">
        <f>IFERROR(VLOOKUP(CONCATENATE($B417,"_",G$3),materiali!$C:$K,6,0),"")</f>
        <v/>
      </c>
      <c r="H417" s="86"/>
      <c r="I417" s="84" t="str">
        <f>IFERROR(VLOOKUP(CONCATENATE($B417,"_",I$3),materiali!$C:$K,5,0),"")</f>
        <v/>
      </c>
      <c r="J417" s="85" t="str">
        <f>IFERROR(VLOOKUP(CONCATENATE($B417,"_",J$3),materiali!$C:$K,6,0),"")</f>
        <v/>
      </c>
      <c r="K417" s="86"/>
      <c r="L417" s="84" t="str">
        <f>IFERROR(VLOOKUP(CONCATENATE($B417,"_",L$3),materiali!$C:$K,5,0),"")</f>
        <v/>
      </c>
      <c r="M417" s="85" t="str">
        <f>IFERROR(VLOOKUP(CONCATENATE($B417,"_",M$3),materiali!$C:$K,6,0),"")</f>
        <v/>
      </c>
      <c r="N417" s="86"/>
      <c r="O417" s="84" t="str">
        <f>IFERROR(VLOOKUP(CONCATENATE($B417,"_",O$3),materiali!$C:$K,5,0),"")</f>
        <v/>
      </c>
      <c r="P417" s="85" t="str">
        <f>IFERROR(VLOOKUP(CONCATENATE($B417,"_",P$3),materiali!$C:$K,6,0),"")</f>
        <v/>
      </c>
      <c r="Q417" s="86"/>
      <c r="R417" s="84" t="str">
        <f>IFERROR(VLOOKUP(CONCATENATE($B417,"_",R$3),materiali!$C:$K,5,0),"")</f>
        <v/>
      </c>
      <c r="S417" s="85" t="str">
        <f>IFERROR(VLOOKUP(CONCATENATE($B417,"_",S$3),materiali!$C:$K,6,0),"")</f>
        <v/>
      </c>
      <c r="T417" s="86"/>
      <c r="U417" s="31"/>
      <c r="AD417" s="97"/>
    </row>
    <row r="418" spans="1:30" ht="35.1" hidden="1" customHeight="1" x14ac:dyDescent="0.25">
      <c r="A418" s="83"/>
      <c r="B418" s="7"/>
      <c r="C418" s="8"/>
      <c r="D418" s="8"/>
      <c r="E418" s="60"/>
      <c r="F418" s="84" t="str">
        <f>IFERROR(VLOOKUP(CONCATENATE($B418,"_",F$3),materiali!$C:$K,5,0),"")</f>
        <v/>
      </c>
      <c r="G418" s="85" t="str">
        <f>IFERROR(VLOOKUP(CONCATENATE($B418,"_",G$3),materiali!$C:$K,6,0),"")</f>
        <v/>
      </c>
      <c r="H418" s="86"/>
      <c r="I418" s="84" t="str">
        <f>IFERROR(VLOOKUP(CONCATENATE($B418,"_",I$3),materiali!$C:$K,5,0),"")</f>
        <v/>
      </c>
      <c r="J418" s="85" t="str">
        <f>IFERROR(VLOOKUP(CONCATENATE($B418,"_",J$3),materiali!$C:$K,6,0),"")</f>
        <v/>
      </c>
      <c r="K418" s="86"/>
      <c r="L418" s="84" t="str">
        <f>IFERROR(VLOOKUP(CONCATENATE($B418,"_",L$3),materiali!$C:$K,5,0),"")</f>
        <v/>
      </c>
      <c r="M418" s="85" t="str">
        <f>IFERROR(VLOOKUP(CONCATENATE($B418,"_",M$3),materiali!$C:$K,6,0),"")</f>
        <v/>
      </c>
      <c r="N418" s="86"/>
      <c r="O418" s="84" t="str">
        <f>IFERROR(VLOOKUP(CONCATENATE($B418,"_",O$3),materiali!$C:$K,5,0),"")</f>
        <v/>
      </c>
      <c r="P418" s="85" t="str">
        <f>IFERROR(VLOOKUP(CONCATENATE($B418,"_",P$3),materiali!$C:$K,6,0),"")</f>
        <v/>
      </c>
      <c r="Q418" s="86"/>
      <c r="R418" s="84" t="str">
        <f>IFERROR(VLOOKUP(CONCATENATE($B418,"_",R$3),materiali!$C:$K,5,0),"")</f>
        <v/>
      </c>
      <c r="S418" s="85" t="str">
        <f>IFERROR(VLOOKUP(CONCATENATE($B418,"_",S$3),materiali!$C:$K,6,0),"")</f>
        <v/>
      </c>
      <c r="T418" s="86"/>
      <c r="U418" s="31"/>
      <c r="AD418" s="97"/>
    </row>
    <row r="419" spans="1:30" ht="35.1" hidden="1" customHeight="1" x14ac:dyDescent="0.25">
      <c r="A419" s="83"/>
      <c r="B419" s="7"/>
      <c r="C419" s="8"/>
      <c r="D419" s="8"/>
      <c r="E419" s="60"/>
      <c r="F419" s="84" t="str">
        <f>IFERROR(VLOOKUP(CONCATENATE($B419,"_",F$3),materiali!$C:$K,5,0),"")</f>
        <v/>
      </c>
      <c r="G419" s="85" t="str">
        <f>IFERROR(VLOOKUP(CONCATENATE($B419,"_",G$3),materiali!$C:$K,6,0),"")</f>
        <v/>
      </c>
      <c r="H419" s="86"/>
      <c r="I419" s="84" t="str">
        <f>IFERROR(VLOOKUP(CONCATENATE($B419,"_",I$3),materiali!$C:$K,5,0),"")</f>
        <v/>
      </c>
      <c r="J419" s="85" t="str">
        <f>IFERROR(VLOOKUP(CONCATENATE($B419,"_",J$3),materiali!$C:$K,6,0),"")</f>
        <v/>
      </c>
      <c r="K419" s="86"/>
      <c r="L419" s="84" t="str">
        <f>IFERROR(VLOOKUP(CONCATENATE($B419,"_",L$3),materiali!$C:$K,5,0),"")</f>
        <v/>
      </c>
      <c r="M419" s="85" t="str">
        <f>IFERROR(VLOOKUP(CONCATENATE($B419,"_",M$3),materiali!$C:$K,6,0),"")</f>
        <v/>
      </c>
      <c r="N419" s="86"/>
      <c r="O419" s="84" t="str">
        <f>IFERROR(VLOOKUP(CONCATENATE($B419,"_",O$3),materiali!$C:$K,5,0),"")</f>
        <v/>
      </c>
      <c r="P419" s="85" t="str">
        <f>IFERROR(VLOOKUP(CONCATENATE($B419,"_",P$3),materiali!$C:$K,6,0),"")</f>
        <v/>
      </c>
      <c r="Q419" s="86"/>
      <c r="R419" s="84" t="str">
        <f>IFERROR(VLOOKUP(CONCATENATE($B419,"_",R$3),materiali!$C:$K,5,0),"")</f>
        <v/>
      </c>
      <c r="S419" s="85" t="str">
        <f>IFERROR(VLOOKUP(CONCATENATE($B419,"_",S$3),materiali!$C:$K,6,0),"")</f>
        <v/>
      </c>
      <c r="T419" s="86"/>
      <c r="U419" s="31"/>
      <c r="AD419" s="97"/>
    </row>
    <row r="420" spans="1:30" ht="35.1" hidden="1" customHeight="1" x14ac:dyDescent="0.25">
      <c r="A420" s="83"/>
      <c r="B420" s="7"/>
      <c r="C420" s="8"/>
      <c r="D420" s="8"/>
      <c r="E420" s="60"/>
      <c r="F420" s="84" t="str">
        <f>IFERROR(VLOOKUP(CONCATENATE($B420,"_",F$3),materiali!$C:$K,5,0),"")</f>
        <v/>
      </c>
      <c r="G420" s="85" t="str">
        <f>IFERROR(VLOOKUP(CONCATENATE($B420,"_",G$3),materiali!$C:$K,6,0),"")</f>
        <v/>
      </c>
      <c r="H420" s="86"/>
      <c r="I420" s="84" t="str">
        <f>IFERROR(VLOOKUP(CONCATENATE($B420,"_",I$3),materiali!$C:$K,5,0),"")</f>
        <v/>
      </c>
      <c r="J420" s="85" t="str">
        <f>IFERROR(VLOOKUP(CONCATENATE($B420,"_",J$3),materiali!$C:$K,6,0),"")</f>
        <v/>
      </c>
      <c r="K420" s="86"/>
      <c r="L420" s="84" t="str">
        <f>IFERROR(VLOOKUP(CONCATENATE($B420,"_",L$3),materiali!$C:$K,5,0),"")</f>
        <v/>
      </c>
      <c r="M420" s="85" t="str">
        <f>IFERROR(VLOOKUP(CONCATENATE($B420,"_",M$3),materiali!$C:$K,6,0),"")</f>
        <v/>
      </c>
      <c r="N420" s="86"/>
      <c r="O420" s="84" t="str">
        <f>IFERROR(VLOOKUP(CONCATENATE($B420,"_",O$3),materiali!$C:$K,5,0),"")</f>
        <v/>
      </c>
      <c r="P420" s="85" t="str">
        <f>IFERROR(VLOOKUP(CONCATENATE($B420,"_",P$3),materiali!$C:$K,6,0),"")</f>
        <v/>
      </c>
      <c r="Q420" s="86"/>
      <c r="R420" s="84" t="str">
        <f>IFERROR(VLOOKUP(CONCATENATE($B420,"_",R$3),materiali!$C:$K,5,0),"")</f>
        <v/>
      </c>
      <c r="S420" s="85" t="str">
        <f>IFERROR(VLOOKUP(CONCATENATE($B420,"_",S$3),materiali!$C:$K,6,0),"")</f>
        <v/>
      </c>
      <c r="T420" s="86"/>
      <c r="U420" s="31"/>
      <c r="AD420" s="97"/>
    </row>
    <row r="421" spans="1:30" ht="35.1" hidden="1" customHeight="1" x14ac:dyDescent="0.25">
      <c r="A421" s="83"/>
      <c r="B421" s="7"/>
      <c r="C421" s="8"/>
      <c r="D421" s="8"/>
      <c r="E421" s="60"/>
      <c r="F421" s="84" t="str">
        <f>IFERROR(VLOOKUP(CONCATENATE($B421,"_",F$3),materiali!$C:$K,5,0),"")</f>
        <v/>
      </c>
      <c r="G421" s="85" t="str">
        <f>IFERROR(VLOOKUP(CONCATENATE($B421,"_",G$3),materiali!$C:$K,6,0),"")</f>
        <v/>
      </c>
      <c r="H421" s="86"/>
      <c r="I421" s="84" t="str">
        <f>IFERROR(VLOOKUP(CONCATENATE($B421,"_",I$3),materiali!$C:$K,5,0),"")</f>
        <v/>
      </c>
      <c r="J421" s="85" t="str">
        <f>IFERROR(VLOOKUP(CONCATENATE($B421,"_",J$3),materiali!$C:$K,6,0),"")</f>
        <v/>
      </c>
      <c r="K421" s="86"/>
      <c r="L421" s="84" t="str">
        <f>IFERROR(VLOOKUP(CONCATENATE($B421,"_",L$3),materiali!$C:$K,5,0),"")</f>
        <v/>
      </c>
      <c r="M421" s="85" t="str">
        <f>IFERROR(VLOOKUP(CONCATENATE($B421,"_",M$3),materiali!$C:$K,6,0),"")</f>
        <v/>
      </c>
      <c r="N421" s="86"/>
      <c r="O421" s="84" t="str">
        <f>IFERROR(VLOOKUP(CONCATENATE($B421,"_",O$3),materiali!$C:$K,5,0),"")</f>
        <v/>
      </c>
      <c r="P421" s="85" t="str">
        <f>IFERROR(VLOOKUP(CONCATENATE($B421,"_",P$3),materiali!$C:$K,6,0),"")</f>
        <v/>
      </c>
      <c r="Q421" s="86"/>
      <c r="R421" s="84" t="str">
        <f>IFERROR(VLOOKUP(CONCATENATE($B421,"_",R$3),materiali!$C:$K,5,0),"")</f>
        <v/>
      </c>
      <c r="S421" s="85" t="str">
        <f>IFERROR(VLOOKUP(CONCATENATE($B421,"_",S$3),materiali!$C:$K,6,0),"")</f>
        <v/>
      </c>
      <c r="T421" s="86"/>
      <c r="U421" s="31"/>
      <c r="AD421" s="97"/>
    </row>
    <row r="422" spans="1:30" ht="35.1" hidden="1" customHeight="1" x14ac:dyDescent="0.25">
      <c r="A422" s="83"/>
      <c r="B422" s="7"/>
      <c r="C422" s="8"/>
      <c r="D422" s="8"/>
      <c r="E422" s="60"/>
      <c r="F422" s="84" t="str">
        <f>IFERROR(VLOOKUP(CONCATENATE($B422,"_",F$3),materiali!$C:$K,5,0),"")</f>
        <v/>
      </c>
      <c r="G422" s="85" t="str">
        <f>IFERROR(VLOOKUP(CONCATENATE($B422,"_",G$3),materiali!$C:$K,6,0),"")</f>
        <v/>
      </c>
      <c r="H422" s="86"/>
      <c r="I422" s="84" t="str">
        <f>IFERROR(VLOOKUP(CONCATENATE($B422,"_",I$3),materiali!$C:$K,5,0),"")</f>
        <v/>
      </c>
      <c r="J422" s="85" t="str">
        <f>IFERROR(VLOOKUP(CONCATENATE($B422,"_",J$3),materiali!$C:$K,6,0),"")</f>
        <v/>
      </c>
      <c r="K422" s="86"/>
      <c r="L422" s="84" t="str">
        <f>IFERROR(VLOOKUP(CONCATENATE($B422,"_",L$3),materiali!$C:$K,5,0),"")</f>
        <v/>
      </c>
      <c r="M422" s="85" t="str">
        <f>IFERROR(VLOOKUP(CONCATENATE($B422,"_",M$3),materiali!$C:$K,6,0),"")</f>
        <v/>
      </c>
      <c r="N422" s="86"/>
      <c r="O422" s="84" t="str">
        <f>IFERROR(VLOOKUP(CONCATENATE($B422,"_",O$3),materiali!$C:$K,5,0),"")</f>
        <v/>
      </c>
      <c r="P422" s="85" t="str">
        <f>IFERROR(VLOOKUP(CONCATENATE($B422,"_",P$3),materiali!$C:$K,6,0),"")</f>
        <v/>
      </c>
      <c r="Q422" s="86"/>
      <c r="R422" s="84" t="str">
        <f>IFERROR(VLOOKUP(CONCATENATE($B422,"_",R$3),materiali!$C:$K,5,0),"")</f>
        <v/>
      </c>
      <c r="S422" s="85" t="str">
        <f>IFERROR(VLOOKUP(CONCATENATE($B422,"_",S$3),materiali!$C:$K,6,0),"")</f>
        <v/>
      </c>
      <c r="T422" s="86"/>
      <c r="U422" s="31"/>
      <c r="AD422" s="97"/>
    </row>
    <row r="423" spans="1:30" ht="35.1" hidden="1" customHeight="1" x14ac:dyDescent="0.25">
      <c r="A423" s="83"/>
      <c r="B423" s="7"/>
      <c r="C423" s="8"/>
      <c r="D423" s="8"/>
      <c r="E423" s="60"/>
      <c r="F423" s="84" t="str">
        <f>IFERROR(VLOOKUP(CONCATENATE($B423,"_",F$3),materiali!$C:$K,5,0),"")</f>
        <v/>
      </c>
      <c r="G423" s="85" t="str">
        <f>IFERROR(VLOOKUP(CONCATENATE($B423,"_",G$3),materiali!$C:$K,6,0),"")</f>
        <v/>
      </c>
      <c r="H423" s="86"/>
      <c r="I423" s="84" t="str">
        <f>IFERROR(VLOOKUP(CONCATENATE($B423,"_",I$3),materiali!$C:$K,5,0),"")</f>
        <v/>
      </c>
      <c r="J423" s="85" t="str">
        <f>IFERROR(VLOOKUP(CONCATENATE($B423,"_",J$3),materiali!$C:$K,6,0),"")</f>
        <v/>
      </c>
      <c r="K423" s="86"/>
      <c r="L423" s="84" t="str">
        <f>IFERROR(VLOOKUP(CONCATENATE($B423,"_",L$3),materiali!$C:$K,5,0),"")</f>
        <v/>
      </c>
      <c r="M423" s="85" t="str">
        <f>IFERROR(VLOOKUP(CONCATENATE($B423,"_",M$3),materiali!$C:$K,6,0),"")</f>
        <v/>
      </c>
      <c r="N423" s="86"/>
      <c r="O423" s="84" t="str">
        <f>IFERROR(VLOOKUP(CONCATENATE($B423,"_",O$3),materiali!$C:$K,5,0),"")</f>
        <v/>
      </c>
      <c r="P423" s="85" t="str">
        <f>IFERROR(VLOOKUP(CONCATENATE($B423,"_",P$3),materiali!$C:$K,6,0),"")</f>
        <v/>
      </c>
      <c r="Q423" s="86"/>
      <c r="R423" s="84" t="str">
        <f>IFERROR(VLOOKUP(CONCATENATE($B423,"_",R$3),materiali!$C:$K,5,0),"")</f>
        <v/>
      </c>
      <c r="S423" s="85" t="str">
        <f>IFERROR(VLOOKUP(CONCATENATE($B423,"_",S$3),materiali!$C:$K,6,0),"")</f>
        <v/>
      </c>
      <c r="T423" s="86"/>
      <c r="U423" s="31"/>
      <c r="AD423" s="97"/>
    </row>
    <row r="424" spans="1:30" ht="35.1" hidden="1" customHeight="1" x14ac:dyDescent="0.25">
      <c r="A424" s="83"/>
      <c r="B424" s="7"/>
      <c r="C424" s="8"/>
      <c r="D424" s="8"/>
      <c r="E424" s="60"/>
      <c r="F424" s="84" t="str">
        <f>IFERROR(VLOOKUP(CONCATENATE($B424,"_",F$3),materiali!$C:$K,5,0),"")</f>
        <v/>
      </c>
      <c r="G424" s="85" t="str">
        <f>IFERROR(VLOOKUP(CONCATENATE($B424,"_",G$3),materiali!$C:$K,6,0),"")</f>
        <v/>
      </c>
      <c r="H424" s="86"/>
      <c r="I424" s="84" t="str">
        <f>IFERROR(VLOOKUP(CONCATENATE($B424,"_",I$3),materiali!$C:$K,5,0),"")</f>
        <v/>
      </c>
      <c r="J424" s="85" t="str">
        <f>IFERROR(VLOOKUP(CONCATENATE($B424,"_",J$3),materiali!$C:$K,6,0),"")</f>
        <v/>
      </c>
      <c r="K424" s="86"/>
      <c r="L424" s="84" t="str">
        <f>IFERROR(VLOOKUP(CONCATENATE($B424,"_",L$3),materiali!$C:$K,5,0),"")</f>
        <v/>
      </c>
      <c r="M424" s="85" t="str">
        <f>IFERROR(VLOOKUP(CONCATENATE($B424,"_",M$3),materiali!$C:$K,6,0),"")</f>
        <v/>
      </c>
      <c r="N424" s="86"/>
      <c r="O424" s="84" t="str">
        <f>IFERROR(VLOOKUP(CONCATENATE($B424,"_",O$3),materiali!$C:$K,5,0),"")</f>
        <v/>
      </c>
      <c r="P424" s="85" t="str">
        <f>IFERROR(VLOOKUP(CONCATENATE($B424,"_",P$3),materiali!$C:$K,6,0),"")</f>
        <v/>
      </c>
      <c r="Q424" s="86"/>
      <c r="R424" s="84" t="str">
        <f>IFERROR(VLOOKUP(CONCATENATE($B424,"_",R$3),materiali!$C:$K,5,0),"")</f>
        <v/>
      </c>
      <c r="S424" s="85" t="str">
        <f>IFERROR(VLOOKUP(CONCATENATE($B424,"_",S$3),materiali!$C:$K,6,0),"")</f>
        <v/>
      </c>
      <c r="T424" s="86"/>
      <c r="U424" s="31"/>
      <c r="AD424" s="97"/>
    </row>
    <row r="425" spans="1:30" ht="35.1" hidden="1" customHeight="1" x14ac:dyDescent="0.25">
      <c r="A425" s="83"/>
      <c r="B425" s="7"/>
      <c r="C425" s="8"/>
      <c r="D425" s="8"/>
      <c r="E425" s="60"/>
      <c r="F425" s="84" t="str">
        <f>IFERROR(VLOOKUP(CONCATENATE($B425,"_",F$3),materiali!$C:$K,5,0),"")</f>
        <v/>
      </c>
      <c r="G425" s="85" t="str">
        <f>IFERROR(VLOOKUP(CONCATENATE($B425,"_",G$3),materiali!$C:$K,6,0),"")</f>
        <v/>
      </c>
      <c r="H425" s="86"/>
      <c r="I425" s="84" t="str">
        <f>IFERROR(VLOOKUP(CONCATENATE($B425,"_",I$3),materiali!$C:$K,5,0),"")</f>
        <v/>
      </c>
      <c r="J425" s="85" t="str">
        <f>IFERROR(VLOOKUP(CONCATENATE($B425,"_",J$3),materiali!$C:$K,6,0),"")</f>
        <v/>
      </c>
      <c r="K425" s="86"/>
      <c r="L425" s="84" t="str">
        <f>IFERROR(VLOOKUP(CONCATENATE($B425,"_",L$3),materiali!$C:$K,5,0),"")</f>
        <v/>
      </c>
      <c r="M425" s="85" t="str">
        <f>IFERROR(VLOOKUP(CONCATENATE($B425,"_",M$3),materiali!$C:$K,6,0),"")</f>
        <v/>
      </c>
      <c r="N425" s="86"/>
      <c r="O425" s="84" t="str">
        <f>IFERROR(VLOOKUP(CONCATENATE($B425,"_",O$3),materiali!$C:$K,5,0),"")</f>
        <v/>
      </c>
      <c r="P425" s="85" t="str">
        <f>IFERROR(VLOOKUP(CONCATENATE($B425,"_",P$3),materiali!$C:$K,6,0),"")</f>
        <v/>
      </c>
      <c r="Q425" s="86"/>
      <c r="R425" s="84" t="str">
        <f>IFERROR(VLOOKUP(CONCATENATE($B425,"_",R$3),materiali!$C:$K,5,0),"")</f>
        <v/>
      </c>
      <c r="S425" s="85" t="str">
        <f>IFERROR(VLOOKUP(CONCATENATE($B425,"_",S$3),materiali!$C:$K,6,0),"")</f>
        <v/>
      </c>
      <c r="T425" s="86"/>
      <c r="U425" s="31"/>
      <c r="AD425" s="97"/>
    </row>
    <row r="426" spans="1:30" ht="35.1" hidden="1" customHeight="1" x14ac:dyDescent="0.25">
      <c r="A426" s="83"/>
      <c r="B426" s="7"/>
      <c r="C426" s="8"/>
      <c r="D426" s="8"/>
      <c r="E426" s="60"/>
      <c r="F426" s="84" t="str">
        <f>IFERROR(VLOOKUP(CONCATENATE($B426,"_",F$3),materiali!$C:$K,5,0),"")</f>
        <v/>
      </c>
      <c r="G426" s="85" t="str">
        <f>IFERROR(VLOOKUP(CONCATENATE($B426,"_",G$3),materiali!$C:$K,6,0),"")</f>
        <v/>
      </c>
      <c r="H426" s="86"/>
      <c r="I426" s="84" t="str">
        <f>IFERROR(VLOOKUP(CONCATENATE($B426,"_",I$3),materiali!$C:$K,5,0),"")</f>
        <v/>
      </c>
      <c r="J426" s="85" t="str">
        <f>IFERROR(VLOOKUP(CONCATENATE($B426,"_",J$3),materiali!$C:$K,6,0),"")</f>
        <v/>
      </c>
      <c r="K426" s="86"/>
      <c r="L426" s="84" t="str">
        <f>IFERROR(VLOOKUP(CONCATENATE($B426,"_",L$3),materiali!$C:$K,5,0),"")</f>
        <v/>
      </c>
      <c r="M426" s="85" t="str">
        <f>IFERROR(VLOOKUP(CONCATENATE($B426,"_",M$3),materiali!$C:$K,6,0),"")</f>
        <v/>
      </c>
      <c r="N426" s="86"/>
      <c r="O426" s="84" t="str">
        <f>IFERROR(VLOOKUP(CONCATENATE($B426,"_",O$3),materiali!$C:$K,5,0),"")</f>
        <v/>
      </c>
      <c r="P426" s="85" t="str">
        <f>IFERROR(VLOOKUP(CONCATENATE($B426,"_",P$3),materiali!$C:$K,6,0),"")</f>
        <v/>
      </c>
      <c r="Q426" s="86"/>
      <c r="R426" s="84" t="str">
        <f>IFERROR(VLOOKUP(CONCATENATE($B426,"_",R$3),materiali!$C:$K,5,0),"")</f>
        <v/>
      </c>
      <c r="S426" s="85" t="str">
        <f>IFERROR(VLOOKUP(CONCATENATE($B426,"_",S$3),materiali!$C:$K,6,0),"")</f>
        <v/>
      </c>
      <c r="T426" s="86"/>
      <c r="U426" s="31"/>
      <c r="AD426" s="97"/>
    </row>
    <row r="427" spans="1:30" ht="35.1" hidden="1" customHeight="1" x14ac:dyDescent="0.25">
      <c r="A427" s="83"/>
      <c r="B427" s="7"/>
      <c r="C427" s="8"/>
      <c r="D427" s="8"/>
      <c r="E427" s="60"/>
      <c r="F427" s="84" t="str">
        <f>IFERROR(VLOOKUP(CONCATENATE($B427,"_",F$3),materiali!$C:$K,5,0),"")</f>
        <v/>
      </c>
      <c r="G427" s="85" t="str">
        <f>IFERROR(VLOOKUP(CONCATENATE($B427,"_",G$3),materiali!$C:$K,6,0),"")</f>
        <v/>
      </c>
      <c r="H427" s="86"/>
      <c r="I427" s="84" t="str">
        <f>IFERROR(VLOOKUP(CONCATENATE($B427,"_",I$3),materiali!$C:$K,5,0),"")</f>
        <v/>
      </c>
      <c r="J427" s="85" t="str">
        <f>IFERROR(VLOOKUP(CONCATENATE($B427,"_",J$3),materiali!$C:$K,6,0),"")</f>
        <v/>
      </c>
      <c r="K427" s="86"/>
      <c r="L427" s="84" t="str">
        <f>IFERROR(VLOOKUP(CONCATENATE($B427,"_",L$3),materiali!$C:$K,5,0),"")</f>
        <v/>
      </c>
      <c r="M427" s="85" t="str">
        <f>IFERROR(VLOOKUP(CONCATENATE($B427,"_",M$3),materiali!$C:$K,6,0),"")</f>
        <v/>
      </c>
      <c r="N427" s="86"/>
      <c r="O427" s="84" t="str">
        <f>IFERROR(VLOOKUP(CONCATENATE($B427,"_",O$3),materiali!$C:$K,5,0),"")</f>
        <v/>
      </c>
      <c r="P427" s="85" t="str">
        <f>IFERROR(VLOOKUP(CONCATENATE($B427,"_",P$3),materiali!$C:$K,6,0),"")</f>
        <v/>
      </c>
      <c r="Q427" s="86"/>
      <c r="R427" s="84" t="str">
        <f>IFERROR(VLOOKUP(CONCATENATE($B427,"_",R$3),materiali!$C:$K,5,0),"")</f>
        <v/>
      </c>
      <c r="S427" s="85" t="str">
        <f>IFERROR(VLOOKUP(CONCATENATE($B427,"_",S$3),materiali!$C:$K,6,0),"")</f>
        <v/>
      </c>
      <c r="T427" s="86"/>
      <c r="U427" s="31"/>
      <c r="AD427" s="97"/>
    </row>
    <row r="428" spans="1:30" ht="35.1" hidden="1" customHeight="1" x14ac:dyDescent="0.25">
      <c r="A428" s="83"/>
      <c r="B428" s="7"/>
      <c r="C428" s="8"/>
      <c r="D428" s="8"/>
      <c r="E428" s="60"/>
      <c r="F428" s="84" t="str">
        <f>IFERROR(VLOOKUP(CONCATENATE($B428,"_",F$3),materiali!$C:$K,5,0),"")</f>
        <v/>
      </c>
      <c r="G428" s="85" t="str">
        <f>IFERROR(VLOOKUP(CONCATENATE($B428,"_",G$3),materiali!$C:$K,6,0),"")</f>
        <v/>
      </c>
      <c r="H428" s="86"/>
      <c r="I428" s="84" t="str">
        <f>IFERROR(VLOOKUP(CONCATENATE($B428,"_",I$3),materiali!$C:$K,5,0),"")</f>
        <v/>
      </c>
      <c r="J428" s="85" t="str">
        <f>IFERROR(VLOOKUP(CONCATENATE($B428,"_",J$3),materiali!$C:$K,6,0),"")</f>
        <v/>
      </c>
      <c r="K428" s="86"/>
      <c r="L428" s="84" t="str">
        <f>IFERROR(VLOOKUP(CONCATENATE($B428,"_",L$3),materiali!$C:$K,5,0),"")</f>
        <v/>
      </c>
      <c r="M428" s="85" t="str">
        <f>IFERROR(VLOOKUP(CONCATENATE($B428,"_",M$3),materiali!$C:$K,6,0),"")</f>
        <v/>
      </c>
      <c r="N428" s="86"/>
      <c r="O428" s="84" t="str">
        <f>IFERROR(VLOOKUP(CONCATENATE($B428,"_",O$3),materiali!$C:$K,5,0),"")</f>
        <v/>
      </c>
      <c r="P428" s="85" t="str">
        <f>IFERROR(VLOOKUP(CONCATENATE($B428,"_",P$3),materiali!$C:$K,6,0),"")</f>
        <v/>
      </c>
      <c r="Q428" s="86"/>
      <c r="R428" s="84" t="str">
        <f>IFERROR(VLOOKUP(CONCATENATE($B428,"_",R$3),materiali!$C:$K,5,0),"")</f>
        <v/>
      </c>
      <c r="S428" s="85" t="str">
        <f>IFERROR(VLOOKUP(CONCATENATE($B428,"_",S$3),materiali!$C:$K,6,0),"")</f>
        <v/>
      </c>
      <c r="T428" s="86"/>
      <c r="U428" s="31"/>
      <c r="AD428" s="97"/>
    </row>
    <row r="429" spans="1:30" ht="35.1" hidden="1" customHeight="1" x14ac:dyDescent="0.25">
      <c r="A429" s="83"/>
      <c r="B429" s="7"/>
      <c r="C429" s="8"/>
      <c r="D429" s="8"/>
      <c r="E429" s="60"/>
      <c r="F429" s="84" t="str">
        <f>IFERROR(VLOOKUP(CONCATENATE($B429,"_",F$3),materiali!$C:$K,5,0),"")</f>
        <v/>
      </c>
      <c r="G429" s="85" t="str">
        <f>IFERROR(VLOOKUP(CONCATENATE($B429,"_",G$3),materiali!$C:$K,6,0),"")</f>
        <v/>
      </c>
      <c r="H429" s="86"/>
      <c r="I429" s="84" t="str">
        <f>IFERROR(VLOOKUP(CONCATENATE($B429,"_",I$3),materiali!$C:$K,5,0),"")</f>
        <v/>
      </c>
      <c r="J429" s="85" t="str">
        <f>IFERROR(VLOOKUP(CONCATENATE($B429,"_",J$3),materiali!$C:$K,6,0),"")</f>
        <v/>
      </c>
      <c r="K429" s="86"/>
      <c r="L429" s="84" t="str">
        <f>IFERROR(VLOOKUP(CONCATENATE($B429,"_",L$3),materiali!$C:$K,5,0),"")</f>
        <v/>
      </c>
      <c r="M429" s="85" t="str">
        <f>IFERROR(VLOOKUP(CONCATENATE($B429,"_",M$3),materiali!$C:$K,6,0),"")</f>
        <v/>
      </c>
      <c r="N429" s="86"/>
      <c r="O429" s="84" t="str">
        <f>IFERROR(VLOOKUP(CONCATENATE($B429,"_",O$3),materiali!$C:$K,5,0),"")</f>
        <v/>
      </c>
      <c r="P429" s="85" t="str">
        <f>IFERROR(VLOOKUP(CONCATENATE($B429,"_",P$3),materiali!$C:$K,6,0),"")</f>
        <v/>
      </c>
      <c r="Q429" s="86"/>
      <c r="R429" s="84" t="str">
        <f>IFERROR(VLOOKUP(CONCATENATE($B429,"_",R$3),materiali!$C:$K,5,0),"")</f>
        <v/>
      </c>
      <c r="S429" s="85" t="str">
        <f>IFERROR(VLOOKUP(CONCATENATE($B429,"_",S$3),materiali!$C:$K,6,0),"")</f>
        <v/>
      </c>
      <c r="T429" s="86"/>
      <c r="U429" s="31"/>
      <c r="AD429" s="97"/>
    </row>
    <row r="430" spans="1:30" ht="35.1" hidden="1" customHeight="1" x14ac:dyDescent="0.25">
      <c r="A430" s="83"/>
      <c r="B430" s="7"/>
      <c r="C430" s="8"/>
      <c r="D430" s="8"/>
      <c r="E430" s="60"/>
      <c r="F430" s="84" t="str">
        <f>IFERROR(VLOOKUP(CONCATENATE($B430,"_",F$3),materiali!$C:$K,5,0),"")</f>
        <v/>
      </c>
      <c r="G430" s="85" t="str">
        <f>IFERROR(VLOOKUP(CONCATENATE($B430,"_",G$3),materiali!$C:$K,6,0),"")</f>
        <v/>
      </c>
      <c r="H430" s="86"/>
      <c r="I430" s="84" t="str">
        <f>IFERROR(VLOOKUP(CONCATENATE($B430,"_",I$3),materiali!$C:$K,5,0),"")</f>
        <v/>
      </c>
      <c r="J430" s="85" t="str">
        <f>IFERROR(VLOOKUP(CONCATENATE($B430,"_",J$3),materiali!$C:$K,6,0),"")</f>
        <v/>
      </c>
      <c r="K430" s="86"/>
      <c r="L430" s="84" t="str">
        <f>IFERROR(VLOOKUP(CONCATENATE($B430,"_",L$3),materiali!$C:$K,5,0),"")</f>
        <v/>
      </c>
      <c r="M430" s="85" t="str">
        <f>IFERROR(VLOOKUP(CONCATENATE($B430,"_",M$3),materiali!$C:$K,6,0),"")</f>
        <v/>
      </c>
      <c r="N430" s="86"/>
      <c r="O430" s="84" t="str">
        <f>IFERROR(VLOOKUP(CONCATENATE($B430,"_",O$3),materiali!$C:$K,5,0),"")</f>
        <v/>
      </c>
      <c r="P430" s="85" t="str">
        <f>IFERROR(VLOOKUP(CONCATENATE($B430,"_",P$3),materiali!$C:$K,6,0),"")</f>
        <v/>
      </c>
      <c r="Q430" s="86"/>
      <c r="R430" s="84" t="str">
        <f>IFERROR(VLOOKUP(CONCATENATE($B430,"_",R$3),materiali!$C:$K,5,0),"")</f>
        <v/>
      </c>
      <c r="S430" s="85" t="str">
        <f>IFERROR(VLOOKUP(CONCATENATE($B430,"_",S$3),materiali!$C:$K,6,0),"")</f>
        <v/>
      </c>
      <c r="T430" s="86"/>
      <c r="U430" s="31"/>
      <c r="AD430" s="97"/>
    </row>
    <row r="431" spans="1:30" ht="35.1" hidden="1" customHeight="1" x14ac:dyDescent="0.25">
      <c r="A431" s="83"/>
      <c r="B431" s="7"/>
      <c r="C431" s="8"/>
      <c r="D431" s="8"/>
      <c r="E431" s="60"/>
      <c r="F431" s="84" t="str">
        <f>IFERROR(VLOOKUP(CONCATENATE($B431,"_",F$3),materiali!$C:$K,5,0),"")</f>
        <v/>
      </c>
      <c r="G431" s="85" t="str">
        <f>IFERROR(VLOOKUP(CONCATENATE($B431,"_",G$3),materiali!$C:$K,6,0),"")</f>
        <v/>
      </c>
      <c r="H431" s="86"/>
      <c r="I431" s="84" t="str">
        <f>IFERROR(VLOOKUP(CONCATENATE($B431,"_",I$3),materiali!$C:$K,5,0),"")</f>
        <v/>
      </c>
      <c r="J431" s="85" t="str">
        <f>IFERROR(VLOOKUP(CONCATENATE($B431,"_",J$3),materiali!$C:$K,6,0),"")</f>
        <v/>
      </c>
      <c r="K431" s="86"/>
      <c r="L431" s="84" t="str">
        <f>IFERROR(VLOOKUP(CONCATENATE($B431,"_",L$3),materiali!$C:$K,5,0),"")</f>
        <v/>
      </c>
      <c r="M431" s="85" t="str">
        <f>IFERROR(VLOOKUP(CONCATENATE($B431,"_",M$3),materiali!$C:$K,6,0),"")</f>
        <v/>
      </c>
      <c r="N431" s="86"/>
      <c r="O431" s="84" t="str">
        <f>IFERROR(VLOOKUP(CONCATENATE($B431,"_",O$3),materiali!$C:$K,5,0),"")</f>
        <v/>
      </c>
      <c r="P431" s="85" t="str">
        <f>IFERROR(VLOOKUP(CONCATENATE($B431,"_",P$3),materiali!$C:$K,6,0),"")</f>
        <v/>
      </c>
      <c r="Q431" s="86"/>
      <c r="R431" s="84" t="str">
        <f>IFERROR(VLOOKUP(CONCATENATE($B431,"_",R$3),materiali!$C:$K,5,0),"")</f>
        <v/>
      </c>
      <c r="S431" s="85" t="str">
        <f>IFERROR(VLOOKUP(CONCATENATE($B431,"_",S$3),materiali!$C:$K,6,0),"")</f>
        <v/>
      </c>
      <c r="T431" s="86"/>
      <c r="U431" s="31"/>
      <c r="AD431" s="97"/>
    </row>
    <row r="432" spans="1:30" ht="35.1" hidden="1" customHeight="1" x14ac:dyDescent="0.25">
      <c r="A432" s="83"/>
      <c r="B432" s="7"/>
      <c r="C432" s="8"/>
      <c r="D432" s="8"/>
      <c r="E432" s="60"/>
      <c r="F432" s="84" t="str">
        <f>IFERROR(VLOOKUP(CONCATENATE($B432,"_",F$3),materiali!$C:$K,5,0),"")</f>
        <v/>
      </c>
      <c r="G432" s="85" t="str">
        <f>IFERROR(VLOOKUP(CONCATENATE($B432,"_",G$3),materiali!$C:$K,6,0),"")</f>
        <v/>
      </c>
      <c r="H432" s="86"/>
      <c r="I432" s="84" t="str">
        <f>IFERROR(VLOOKUP(CONCATENATE($B432,"_",I$3),materiali!$C:$K,5,0),"")</f>
        <v/>
      </c>
      <c r="J432" s="85" t="str">
        <f>IFERROR(VLOOKUP(CONCATENATE($B432,"_",J$3),materiali!$C:$K,6,0),"")</f>
        <v/>
      </c>
      <c r="K432" s="86"/>
      <c r="L432" s="84" t="str">
        <f>IFERROR(VLOOKUP(CONCATENATE($B432,"_",L$3),materiali!$C:$K,5,0),"")</f>
        <v/>
      </c>
      <c r="M432" s="85" t="str">
        <f>IFERROR(VLOOKUP(CONCATENATE($B432,"_",M$3),materiali!$C:$K,6,0),"")</f>
        <v/>
      </c>
      <c r="N432" s="86"/>
      <c r="O432" s="84" t="str">
        <f>IFERROR(VLOOKUP(CONCATENATE($B432,"_",O$3),materiali!$C:$K,5,0),"")</f>
        <v/>
      </c>
      <c r="P432" s="85" t="str">
        <f>IFERROR(VLOOKUP(CONCATENATE($B432,"_",P$3),materiali!$C:$K,6,0),"")</f>
        <v/>
      </c>
      <c r="Q432" s="86"/>
      <c r="R432" s="84" t="str">
        <f>IFERROR(VLOOKUP(CONCATENATE($B432,"_",R$3),materiali!$C:$K,5,0),"")</f>
        <v/>
      </c>
      <c r="S432" s="85" t="str">
        <f>IFERROR(VLOOKUP(CONCATENATE($B432,"_",S$3),materiali!$C:$K,6,0),"")</f>
        <v/>
      </c>
      <c r="T432" s="86"/>
      <c r="U432" s="31"/>
      <c r="AD432" s="97"/>
    </row>
    <row r="433" spans="1:30" ht="35.1" hidden="1" customHeight="1" x14ac:dyDescent="0.25">
      <c r="A433" s="83"/>
      <c r="B433" s="7"/>
      <c r="C433" s="8"/>
      <c r="D433" s="8"/>
      <c r="E433" s="60"/>
      <c r="F433" s="84" t="str">
        <f>IFERROR(VLOOKUP(CONCATENATE($B433,"_",F$3),materiali!$C:$K,5,0),"")</f>
        <v/>
      </c>
      <c r="G433" s="85" t="str">
        <f>IFERROR(VLOOKUP(CONCATENATE($B433,"_",G$3),materiali!$C:$K,6,0),"")</f>
        <v/>
      </c>
      <c r="H433" s="86"/>
      <c r="I433" s="84" t="str">
        <f>IFERROR(VLOOKUP(CONCATENATE($B433,"_",I$3),materiali!$C:$K,5,0),"")</f>
        <v/>
      </c>
      <c r="J433" s="85" t="str">
        <f>IFERROR(VLOOKUP(CONCATENATE($B433,"_",J$3),materiali!$C:$K,6,0),"")</f>
        <v/>
      </c>
      <c r="K433" s="86"/>
      <c r="L433" s="84" t="str">
        <f>IFERROR(VLOOKUP(CONCATENATE($B433,"_",L$3),materiali!$C:$K,5,0),"")</f>
        <v/>
      </c>
      <c r="M433" s="85" t="str">
        <f>IFERROR(VLOOKUP(CONCATENATE($B433,"_",M$3),materiali!$C:$K,6,0),"")</f>
        <v/>
      </c>
      <c r="N433" s="86"/>
      <c r="O433" s="84" t="str">
        <f>IFERROR(VLOOKUP(CONCATENATE($B433,"_",O$3),materiali!$C:$K,5,0),"")</f>
        <v/>
      </c>
      <c r="P433" s="85" t="str">
        <f>IFERROR(VLOOKUP(CONCATENATE($B433,"_",P$3),materiali!$C:$K,6,0),"")</f>
        <v/>
      </c>
      <c r="Q433" s="86"/>
      <c r="R433" s="84" t="str">
        <f>IFERROR(VLOOKUP(CONCATENATE($B433,"_",R$3),materiali!$C:$K,5,0),"")</f>
        <v/>
      </c>
      <c r="S433" s="85" t="str">
        <f>IFERROR(VLOOKUP(CONCATENATE($B433,"_",S$3),materiali!$C:$K,6,0),"")</f>
        <v/>
      </c>
      <c r="T433" s="86"/>
      <c r="U433" s="31"/>
      <c r="AD433" s="97"/>
    </row>
    <row r="434" spans="1:30" ht="35.1" hidden="1" customHeight="1" x14ac:dyDescent="0.25">
      <c r="A434" s="83"/>
      <c r="B434" s="7"/>
      <c r="C434" s="8"/>
      <c r="D434" s="8"/>
      <c r="E434" s="60"/>
      <c r="F434" s="84" t="str">
        <f>IFERROR(VLOOKUP(CONCATENATE($B434,"_",F$3),materiali!$C:$K,5,0),"")</f>
        <v/>
      </c>
      <c r="G434" s="85" t="str">
        <f>IFERROR(VLOOKUP(CONCATENATE($B434,"_",G$3),materiali!$C:$K,6,0),"")</f>
        <v/>
      </c>
      <c r="H434" s="86"/>
      <c r="I434" s="84" t="str">
        <f>IFERROR(VLOOKUP(CONCATENATE($B434,"_",I$3),materiali!$C:$K,5,0),"")</f>
        <v/>
      </c>
      <c r="J434" s="85" t="str">
        <f>IFERROR(VLOOKUP(CONCATENATE($B434,"_",J$3),materiali!$C:$K,6,0),"")</f>
        <v/>
      </c>
      <c r="K434" s="86"/>
      <c r="L434" s="84" t="str">
        <f>IFERROR(VLOOKUP(CONCATENATE($B434,"_",L$3),materiali!$C:$K,5,0),"")</f>
        <v/>
      </c>
      <c r="M434" s="85" t="str">
        <f>IFERROR(VLOOKUP(CONCATENATE($B434,"_",M$3),materiali!$C:$K,6,0),"")</f>
        <v/>
      </c>
      <c r="N434" s="86"/>
      <c r="O434" s="84" t="str">
        <f>IFERROR(VLOOKUP(CONCATENATE($B434,"_",O$3),materiali!$C:$K,5,0),"")</f>
        <v/>
      </c>
      <c r="P434" s="85" t="str">
        <f>IFERROR(VLOOKUP(CONCATENATE($B434,"_",P$3),materiali!$C:$K,6,0),"")</f>
        <v/>
      </c>
      <c r="Q434" s="86"/>
      <c r="R434" s="84" t="str">
        <f>IFERROR(VLOOKUP(CONCATENATE($B434,"_",R$3),materiali!$C:$K,5,0),"")</f>
        <v/>
      </c>
      <c r="S434" s="85" t="str">
        <f>IFERROR(VLOOKUP(CONCATENATE($B434,"_",S$3),materiali!$C:$K,6,0),"")</f>
        <v/>
      </c>
      <c r="T434" s="86"/>
      <c r="U434" s="31"/>
      <c r="AD434" s="97"/>
    </row>
    <row r="435" spans="1:30" ht="35.1" hidden="1" customHeight="1" x14ac:dyDescent="0.25">
      <c r="A435" s="83"/>
      <c r="B435" s="7"/>
      <c r="C435" s="8"/>
      <c r="D435" s="8"/>
      <c r="E435" s="60"/>
      <c r="F435" s="84" t="str">
        <f>IFERROR(VLOOKUP(CONCATENATE($B435,"_",F$3),materiali!$C:$K,5,0),"")</f>
        <v/>
      </c>
      <c r="G435" s="85" t="str">
        <f>IFERROR(VLOOKUP(CONCATENATE($B435,"_",G$3),materiali!$C:$K,6,0),"")</f>
        <v/>
      </c>
      <c r="H435" s="86"/>
      <c r="I435" s="84" t="str">
        <f>IFERROR(VLOOKUP(CONCATENATE($B435,"_",I$3),materiali!$C:$K,5,0),"")</f>
        <v/>
      </c>
      <c r="J435" s="85" t="str">
        <f>IFERROR(VLOOKUP(CONCATENATE($B435,"_",J$3),materiali!$C:$K,6,0),"")</f>
        <v/>
      </c>
      <c r="K435" s="86"/>
      <c r="L435" s="84" t="str">
        <f>IFERROR(VLOOKUP(CONCATENATE($B435,"_",L$3),materiali!$C:$K,5,0),"")</f>
        <v/>
      </c>
      <c r="M435" s="85" t="str">
        <f>IFERROR(VLOOKUP(CONCATENATE($B435,"_",M$3),materiali!$C:$K,6,0),"")</f>
        <v/>
      </c>
      <c r="N435" s="86"/>
      <c r="O435" s="84" t="str">
        <f>IFERROR(VLOOKUP(CONCATENATE($B435,"_",O$3),materiali!$C:$K,5,0),"")</f>
        <v/>
      </c>
      <c r="P435" s="85" t="str">
        <f>IFERROR(VLOOKUP(CONCATENATE($B435,"_",P$3),materiali!$C:$K,6,0),"")</f>
        <v/>
      </c>
      <c r="Q435" s="86"/>
      <c r="R435" s="84" t="str">
        <f>IFERROR(VLOOKUP(CONCATENATE($B435,"_",R$3),materiali!$C:$K,5,0),"")</f>
        <v/>
      </c>
      <c r="S435" s="85" t="str">
        <f>IFERROR(VLOOKUP(CONCATENATE($B435,"_",S$3),materiali!$C:$K,6,0),"")</f>
        <v/>
      </c>
      <c r="T435" s="86"/>
      <c r="U435" s="31"/>
      <c r="AD435" s="97"/>
    </row>
    <row r="436" spans="1:30" ht="35.1" hidden="1" customHeight="1" x14ac:dyDescent="0.25">
      <c r="A436" s="83"/>
      <c r="B436" s="7"/>
      <c r="C436" s="8"/>
      <c r="D436" s="8"/>
      <c r="E436" s="60"/>
      <c r="F436" s="84" t="str">
        <f>IFERROR(VLOOKUP(CONCATENATE($B436,"_",F$3),materiali!$C:$K,5,0),"")</f>
        <v/>
      </c>
      <c r="G436" s="85" t="str">
        <f>IFERROR(VLOOKUP(CONCATENATE($B436,"_",G$3),materiali!$C:$K,6,0),"")</f>
        <v/>
      </c>
      <c r="H436" s="86"/>
      <c r="I436" s="84" t="str">
        <f>IFERROR(VLOOKUP(CONCATENATE($B436,"_",I$3),materiali!$C:$K,5,0),"")</f>
        <v/>
      </c>
      <c r="J436" s="85" t="str">
        <f>IFERROR(VLOOKUP(CONCATENATE($B436,"_",J$3),materiali!$C:$K,6,0),"")</f>
        <v/>
      </c>
      <c r="K436" s="86"/>
      <c r="L436" s="84" t="str">
        <f>IFERROR(VLOOKUP(CONCATENATE($B436,"_",L$3),materiali!$C:$K,5,0),"")</f>
        <v/>
      </c>
      <c r="M436" s="85" t="str">
        <f>IFERROR(VLOOKUP(CONCATENATE($B436,"_",M$3),materiali!$C:$K,6,0),"")</f>
        <v/>
      </c>
      <c r="N436" s="86"/>
      <c r="O436" s="84" t="str">
        <f>IFERROR(VLOOKUP(CONCATENATE($B436,"_",O$3),materiali!$C:$K,5,0),"")</f>
        <v/>
      </c>
      <c r="P436" s="85" t="str">
        <f>IFERROR(VLOOKUP(CONCATENATE($B436,"_",P$3),materiali!$C:$K,6,0),"")</f>
        <v/>
      </c>
      <c r="Q436" s="86"/>
      <c r="R436" s="84" t="str">
        <f>IFERROR(VLOOKUP(CONCATENATE($B436,"_",R$3),materiali!$C:$K,5,0),"")</f>
        <v/>
      </c>
      <c r="S436" s="85" t="str">
        <f>IFERROR(VLOOKUP(CONCATENATE($B436,"_",S$3),materiali!$C:$K,6,0),"")</f>
        <v/>
      </c>
      <c r="T436" s="86"/>
      <c r="U436" s="31"/>
      <c r="AD436" s="97"/>
    </row>
    <row r="437" spans="1:30" ht="35.1" hidden="1" customHeight="1" x14ac:dyDescent="0.25">
      <c r="A437" s="83"/>
      <c r="B437" s="7"/>
      <c r="C437" s="8"/>
      <c r="D437" s="8"/>
      <c r="E437" s="60"/>
      <c r="F437" s="84" t="str">
        <f>IFERROR(VLOOKUP(CONCATENATE($B437,"_",F$3),materiali!$C:$K,5,0),"")</f>
        <v/>
      </c>
      <c r="G437" s="85" t="str">
        <f>IFERROR(VLOOKUP(CONCATENATE($B437,"_",G$3),materiali!$C:$K,6,0),"")</f>
        <v/>
      </c>
      <c r="H437" s="86"/>
      <c r="I437" s="84" t="str">
        <f>IFERROR(VLOOKUP(CONCATENATE($B437,"_",I$3),materiali!$C:$K,5,0),"")</f>
        <v/>
      </c>
      <c r="J437" s="85" t="str">
        <f>IFERROR(VLOOKUP(CONCATENATE($B437,"_",J$3),materiali!$C:$K,6,0),"")</f>
        <v/>
      </c>
      <c r="K437" s="86"/>
      <c r="L437" s="84" t="str">
        <f>IFERROR(VLOOKUP(CONCATENATE($B437,"_",L$3),materiali!$C:$K,5,0),"")</f>
        <v/>
      </c>
      <c r="M437" s="85" t="str">
        <f>IFERROR(VLOOKUP(CONCATENATE($B437,"_",M$3),materiali!$C:$K,6,0),"")</f>
        <v/>
      </c>
      <c r="N437" s="86"/>
      <c r="O437" s="84" t="str">
        <f>IFERROR(VLOOKUP(CONCATENATE($B437,"_",O$3),materiali!$C:$K,5,0),"")</f>
        <v/>
      </c>
      <c r="P437" s="85" t="str">
        <f>IFERROR(VLOOKUP(CONCATENATE($B437,"_",P$3),materiali!$C:$K,6,0),"")</f>
        <v/>
      </c>
      <c r="Q437" s="86"/>
      <c r="R437" s="84" t="str">
        <f>IFERROR(VLOOKUP(CONCATENATE($B437,"_",R$3),materiali!$C:$K,5,0),"")</f>
        <v/>
      </c>
      <c r="S437" s="85" t="str">
        <f>IFERROR(VLOOKUP(CONCATENATE($B437,"_",S$3),materiali!$C:$K,6,0),"")</f>
        <v/>
      </c>
      <c r="T437" s="86"/>
      <c r="U437" s="31"/>
      <c r="AD437" s="97"/>
    </row>
    <row r="438" spans="1:30" ht="35.1" hidden="1" customHeight="1" x14ac:dyDescent="0.25">
      <c r="A438" s="83"/>
      <c r="B438" s="7"/>
      <c r="C438" s="8"/>
      <c r="D438" s="8"/>
      <c r="E438" s="60"/>
      <c r="F438" s="84" t="str">
        <f>IFERROR(VLOOKUP(CONCATENATE($B438,"_",F$3),materiali!$C:$K,5,0),"")</f>
        <v/>
      </c>
      <c r="G438" s="85" t="str">
        <f>IFERROR(VLOOKUP(CONCATENATE($B438,"_",G$3),materiali!$C:$K,6,0),"")</f>
        <v/>
      </c>
      <c r="H438" s="86"/>
      <c r="I438" s="84" t="str">
        <f>IFERROR(VLOOKUP(CONCATENATE($B438,"_",I$3),materiali!$C:$K,5,0),"")</f>
        <v/>
      </c>
      <c r="J438" s="85" t="str">
        <f>IFERROR(VLOOKUP(CONCATENATE($B438,"_",J$3),materiali!$C:$K,6,0),"")</f>
        <v/>
      </c>
      <c r="K438" s="86"/>
      <c r="L438" s="84" t="str">
        <f>IFERROR(VLOOKUP(CONCATENATE($B438,"_",L$3),materiali!$C:$K,5,0),"")</f>
        <v/>
      </c>
      <c r="M438" s="85" t="str">
        <f>IFERROR(VLOOKUP(CONCATENATE($B438,"_",M$3),materiali!$C:$K,6,0),"")</f>
        <v/>
      </c>
      <c r="N438" s="86"/>
      <c r="O438" s="84" t="str">
        <f>IFERROR(VLOOKUP(CONCATENATE($B438,"_",O$3),materiali!$C:$K,5,0),"")</f>
        <v/>
      </c>
      <c r="P438" s="85" t="str">
        <f>IFERROR(VLOOKUP(CONCATENATE($B438,"_",P$3),materiali!$C:$K,6,0),"")</f>
        <v/>
      </c>
      <c r="Q438" s="86"/>
      <c r="R438" s="84" t="str">
        <f>IFERROR(VLOOKUP(CONCATENATE($B438,"_",R$3),materiali!$C:$K,5,0),"")</f>
        <v/>
      </c>
      <c r="S438" s="85" t="str">
        <f>IFERROR(VLOOKUP(CONCATENATE($B438,"_",S$3),materiali!$C:$K,6,0),"")</f>
        <v/>
      </c>
      <c r="T438" s="86"/>
      <c r="U438" s="31"/>
      <c r="AD438" s="97"/>
    </row>
    <row r="439" spans="1:30" ht="35.1" hidden="1" customHeight="1" x14ac:dyDescent="0.25">
      <c r="A439" s="83"/>
      <c r="B439" s="7"/>
      <c r="C439" s="8"/>
      <c r="D439" s="8"/>
      <c r="E439" s="60"/>
      <c r="F439" s="84" t="str">
        <f>IFERROR(VLOOKUP(CONCATENATE($B439,"_",F$3),materiali!$C:$K,5,0),"")</f>
        <v/>
      </c>
      <c r="G439" s="85" t="str">
        <f>IFERROR(VLOOKUP(CONCATENATE($B439,"_",G$3),materiali!$C:$K,6,0),"")</f>
        <v/>
      </c>
      <c r="H439" s="86"/>
      <c r="I439" s="84" t="str">
        <f>IFERROR(VLOOKUP(CONCATENATE($B439,"_",I$3),materiali!$C:$K,5,0),"")</f>
        <v/>
      </c>
      <c r="J439" s="85" t="str">
        <f>IFERROR(VLOOKUP(CONCATENATE($B439,"_",J$3),materiali!$C:$K,6,0),"")</f>
        <v/>
      </c>
      <c r="K439" s="86"/>
      <c r="L439" s="84" t="str">
        <f>IFERROR(VLOOKUP(CONCATENATE($B439,"_",L$3),materiali!$C:$K,5,0),"")</f>
        <v/>
      </c>
      <c r="M439" s="85" t="str">
        <f>IFERROR(VLOOKUP(CONCATENATE($B439,"_",M$3),materiali!$C:$K,6,0),"")</f>
        <v/>
      </c>
      <c r="N439" s="86"/>
      <c r="O439" s="84" t="str">
        <f>IFERROR(VLOOKUP(CONCATENATE($B439,"_",O$3),materiali!$C:$K,5,0),"")</f>
        <v/>
      </c>
      <c r="P439" s="85" t="str">
        <f>IFERROR(VLOOKUP(CONCATENATE($B439,"_",P$3),materiali!$C:$K,6,0),"")</f>
        <v/>
      </c>
      <c r="Q439" s="86"/>
      <c r="R439" s="84" t="str">
        <f>IFERROR(VLOOKUP(CONCATENATE($B439,"_",R$3),materiali!$C:$K,5,0),"")</f>
        <v/>
      </c>
      <c r="S439" s="85" t="str">
        <f>IFERROR(VLOOKUP(CONCATENATE($B439,"_",S$3),materiali!$C:$K,6,0),"")</f>
        <v/>
      </c>
      <c r="T439" s="86"/>
      <c r="U439" s="31"/>
      <c r="AD439" s="97"/>
    </row>
    <row r="440" spans="1:30" ht="35.1" hidden="1" customHeight="1" x14ac:dyDescent="0.25">
      <c r="A440" s="83"/>
      <c r="B440" s="7"/>
      <c r="C440" s="8"/>
      <c r="D440" s="8"/>
      <c r="E440" s="60"/>
      <c r="F440" s="84" t="str">
        <f>IFERROR(VLOOKUP(CONCATENATE($B440,"_",F$3),materiali!$C:$K,5,0),"")</f>
        <v/>
      </c>
      <c r="G440" s="85" t="str">
        <f>IFERROR(VLOOKUP(CONCATENATE($B440,"_",G$3),materiali!$C:$K,6,0),"")</f>
        <v/>
      </c>
      <c r="H440" s="86"/>
      <c r="I440" s="84" t="str">
        <f>IFERROR(VLOOKUP(CONCATENATE($B440,"_",I$3),materiali!$C:$K,5,0),"")</f>
        <v/>
      </c>
      <c r="J440" s="85" t="str">
        <f>IFERROR(VLOOKUP(CONCATENATE($B440,"_",J$3),materiali!$C:$K,6,0),"")</f>
        <v/>
      </c>
      <c r="K440" s="86"/>
      <c r="L440" s="84" t="str">
        <f>IFERROR(VLOOKUP(CONCATENATE($B440,"_",L$3),materiali!$C:$K,5,0),"")</f>
        <v/>
      </c>
      <c r="M440" s="85" t="str">
        <f>IFERROR(VLOOKUP(CONCATENATE($B440,"_",M$3),materiali!$C:$K,6,0),"")</f>
        <v/>
      </c>
      <c r="N440" s="86"/>
      <c r="O440" s="84" t="str">
        <f>IFERROR(VLOOKUP(CONCATENATE($B440,"_",O$3),materiali!$C:$K,5,0),"")</f>
        <v/>
      </c>
      <c r="P440" s="85" t="str">
        <f>IFERROR(VLOOKUP(CONCATENATE($B440,"_",P$3),materiali!$C:$K,6,0),"")</f>
        <v/>
      </c>
      <c r="Q440" s="86"/>
      <c r="R440" s="84" t="str">
        <f>IFERROR(VLOOKUP(CONCATENATE($B440,"_",R$3),materiali!$C:$K,5,0),"")</f>
        <v/>
      </c>
      <c r="S440" s="85" t="str">
        <f>IFERROR(VLOOKUP(CONCATENATE($B440,"_",S$3),materiali!$C:$K,6,0),"")</f>
        <v/>
      </c>
      <c r="T440" s="86"/>
      <c r="U440" s="31"/>
      <c r="AD440" s="97"/>
    </row>
    <row r="441" spans="1:30" ht="35.1" hidden="1" customHeight="1" x14ac:dyDescent="0.25">
      <c r="A441" s="83"/>
      <c r="B441" s="7"/>
      <c r="C441" s="8"/>
      <c r="D441" s="8"/>
      <c r="E441" s="60"/>
      <c r="F441" s="84" t="str">
        <f>IFERROR(VLOOKUP(CONCATENATE($B441,"_",F$3),materiali!$C:$K,5,0),"")</f>
        <v/>
      </c>
      <c r="G441" s="85" t="str">
        <f>IFERROR(VLOOKUP(CONCATENATE($B441,"_",G$3),materiali!$C:$K,6,0),"")</f>
        <v/>
      </c>
      <c r="H441" s="86"/>
      <c r="I441" s="84" t="str">
        <f>IFERROR(VLOOKUP(CONCATENATE($B441,"_",I$3),materiali!$C:$K,5,0),"")</f>
        <v/>
      </c>
      <c r="J441" s="85" t="str">
        <f>IFERROR(VLOOKUP(CONCATENATE($B441,"_",J$3),materiali!$C:$K,6,0),"")</f>
        <v/>
      </c>
      <c r="K441" s="86"/>
      <c r="L441" s="84" t="str">
        <f>IFERROR(VLOOKUP(CONCATENATE($B441,"_",L$3),materiali!$C:$K,5,0),"")</f>
        <v/>
      </c>
      <c r="M441" s="85" t="str">
        <f>IFERROR(VLOOKUP(CONCATENATE($B441,"_",M$3),materiali!$C:$K,6,0),"")</f>
        <v/>
      </c>
      <c r="N441" s="86"/>
      <c r="O441" s="84" t="str">
        <f>IFERROR(VLOOKUP(CONCATENATE($B441,"_",O$3),materiali!$C:$K,5,0),"")</f>
        <v/>
      </c>
      <c r="P441" s="85" t="str">
        <f>IFERROR(VLOOKUP(CONCATENATE($B441,"_",P$3),materiali!$C:$K,6,0),"")</f>
        <v/>
      </c>
      <c r="Q441" s="86"/>
      <c r="R441" s="84" t="str">
        <f>IFERROR(VLOOKUP(CONCATENATE($B441,"_",R$3),materiali!$C:$K,5,0),"")</f>
        <v/>
      </c>
      <c r="S441" s="85" t="str">
        <f>IFERROR(VLOOKUP(CONCATENATE($B441,"_",S$3),materiali!$C:$K,6,0),"")</f>
        <v/>
      </c>
      <c r="T441" s="86"/>
      <c r="U441" s="31"/>
      <c r="AD441" s="97"/>
    </row>
    <row r="442" spans="1:30" ht="35.1" hidden="1" customHeight="1" x14ac:dyDescent="0.25">
      <c r="A442" s="83"/>
      <c r="B442" s="7"/>
      <c r="C442" s="8"/>
      <c r="D442" s="8"/>
      <c r="E442" s="60"/>
      <c r="F442" s="84" t="str">
        <f>IFERROR(VLOOKUP(CONCATENATE($B442,"_",F$3),materiali!$C:$K,5,0),"")</f>
        <v/>
      </c>
      <c r="G442" s="85" t="str">
        <f>IFERROR(VLOOKUP(CONCATENATE($B442,"_",G$3),materiali!$C:$K,6,0),"")</f>
        <v/>
      </c>
      <c r="H442" s="86"/>
      <c r="I442" s="84" t="str">
        <f>IFERROR(VLOOKUP(CONCATENATE($B442,"_",I$3),materiali!$C:$K,5,0),"")</f>
        <v/>
      </c>
      <c r="J442" s="85" t="str">
        <f>IFERROR(VLOOKUP(CONCATENATE($B442,"_",J$3),materiali!$C:$K,6,0),"")</f>
        <v/>
      </c>
      <c r="K442" s="86"/>
      <c r="L442" s="84" t="str">
        <f>IFERROR(VLOOKUP(CONCATENATE($B442,"_",L$3),materiali!$C:$K,5,0),"")</f>
        <v/>
      </c>
      <c r="M442" s="85" t="str">
        <f>IFERROR(VLOOKUP(CONCATENATE($B442,"_",M$3),materiali!$C:$K,6,0),"")</f>
        <v/>
      </c>
      <c r="N442" s="86"/>
      <c r="O442" s="84" t="str">
        <f>IFERROR(VLOOKUP(CONCATENATE($B442,"_",O$3),materiali!$C:$K,5,0),"")</f>
        <v/>
      </c>
      <c r="P442" s="85" t="str">
        <f>IFERROR(VLOOKUP(CONCATENATE($B442,"_",P$3),materiali!$C:$K,6,0),"")</f>
        <v/>
      </c>
      <c r="Q442" s="86"/>
      <c r="R442" s="84" t="str">
        <f>IFERROR(VLOOKUP(CONCATENATE($B442,"_",R$3),materiali!$C:$K,5,0),"")</f>
        <v/>
      </c>
      <c r="S442" s="85" t="str">
        <f>IFERROR(VLOOKUP(CONCATENATE($B442,"_",S$3),materiali!$C:$K,6,0),"")</f>
        <v/>
      </c>
      <c r="T442" s="86"/>
      <c r="U442" s="31"/>
      <c r="AD442" s="97"/>
    </row>
    <row r="443" spans="1:30" ht="35.1" hidden="1" customHeight="1" x14ac:dyDescent="0.25">
      <c r="A443" s="83"/>
      <c r="B443" s="7"/>
      <c r="C443" s="8"/>
      <c r="D443" s="8"/>
      <c r="E443" s="60"/>
      <c r="F443" s="84" t="str">
        <f>IFERROR(VLOOKUP(CONCATENATE($B443,"_",F$3),materiali!$C:$K,5,0),"")</f>
        <v/>
      </c>
      <c r="G443" s="85" t="str">
        <f>IFERROR(VLOOKUP(CONCATENATE($B443,"_",G$3),materiali!$C:$K,6,0),"")</f>
        <v/>
      </c>
      <c r="H443" s="86"/>
      <c r="I443" s="84" t="str">
        <f>IFERROR(VLOOKUP(CONCATENATE($B443,"_",I$3),materiali!$C:$K,5,0),"")</f>
        <v/>
      </c>
      <c r="J443" s="85" t="str">
        <f>IFERROR(VLOOKUP(CONCATENATE($B443,"_",J$3),materiali!$C:$K,6,0),"")</f>
        <v/>
      </c>
      <c r="K443" s="86"/>
      <c r="L443" s="84" t="str">
        <f>IFERROR(VLOOKUP(CONCATENATE($B443,"_",L$3),materiali!$C:$K,5,0),"")</f>
        <v/>
      </c>
      <c r="M443" s="85" t="str">
        <f>IFERROR(VLOOKUP(CONCATENATE($B443,"_",M$3),materiali!$C:$K,6,0),"")</f>
        <v/>
      </c>
      <c r="N443" s="86"/>
      <c r="O443" s="84" t="str">
        <f>IFERROR(VLOOKUP(CONCATENATE($B443,"_",O$3),materiali!$C:$K,5,0),"")</f>
        <v/>
      </c>
      <c r="P443" s="85" t="str">
        <f>IFERROR(VLOOKUP(CONCATENATE($B443,"_",P$3),materiali!$C:$K,6,0),"")</f>
        <v/>
      </c>
      <c r="Q443" s="86"/>
      <c r="R443" s="84" t="str">
        <f>IFERROR(VLOOKUP(CONCATENATE($B443,"_",R$3),materiali!$C:$K,5,0),"")</f>
        <v/>
      </c>
      <c r="S443" s="85" t="str">
        <f>IFERROR(VLOOKUP(CONCATENATE($B443,"_",S$3),materiali!$C:$K,6,0),"")</f>
        <v/>
      </c>
      <c r="T443" s="86"/>
      <c r="U443" s="31"/>
      <c r="AD443" s="97"/>
    </row>
    <row r="444" spans="1:30" ht="35.1" hidden="1" customHeight="1" x14ac:dyDescent="0.25">
      <c r="A444" s="83"/>
      <c r="B444" s="7"/>
      <c r="C444" s="8"/>
      <c r="D444" s="8"/>
      <c r="E444" s="60"/>
      <c r="F444" s="84" t="str">
        <f>IFERROR(VLOOKUP(CONCATENATE($B444,"_",F$3),materiali!$C:$K,5,0),"")</f>
        <v/>
      </c>
      <c r="G444" s="85" t="str">
        <f>IFERROR(VLOOKUP(CONCATENATE($B444,"_",G$3),materiali!$C:$K,6,0),"")</f>
        <v/>
      </c>
      <c r="H444" s="86"/>
      <c r="I444" s="84" t="str">
        <f>IFERROR(VLOOKUP(CONCATENATE($B444,"_",I$3),materiali!$C:$K,5,0),"")</f>
        <v/>
      </c>
      <c r="J444" s="85" t="str">
        <f>IFERROR(VLOOKUP(CONCATENATE($B444,"_",J$3),materiali!$C:$K,6,0),"")</f>
        <v/>
      </c>
      <c r="K444" s="86"/>
      <c r="L444" s="84" t="str">
        <f>IFERROR(VLOOKUP(CONCATENATE($B444,"_",L$3),materiali!$C:$K,5,0),"")</f>
        <v/>
      </c>
      <c r="M444" s="85" t="str">
        <f>IFERROR(VLOOKUP(CONCATENATE($B444,"_",M$3),materiali!$C:$K,6,0),"")</f>
        <v/>
      </c>
      <c r="N444" s="86"/>
      <c r="O444" s="84" t="str">
        <f>IFERROR(VLOOKUP(CONCATENATE($B444,"_",O$3),materiali!$C:$K,5,0),"")</f>
        <v/>
      </c>
      <c r="P444" s="85" t="str">
        <f>IFERROR(VLOOKUP(CONCATENATE($B444,"_",P$3),materiali!$C:$K,6,0),"")</f>
        <v/>
      </c>
      <c r="Q444" s="86"/>
      <c r="R444" s="84" t="str">
        <f>IFERROR(VLOOKUP(CONCATENATE($B444,"_",R$3),materiali!$C:$K,5,0),"")</f>
        <v/>
      </c>
      <c r="S444" s="85" t="str">
        <f>IFERROR(VLOOKUP(CONCATENATE($B444,"_",S$3),materiali!$C:$K,6,0),"")</f>
        <v/>
      </c>
      <c r="T444" s="86"/>
      <c r="U444" s="31"/>
      <c r="AD444" s="97"/>
    </row>
    <row r="445" spans="1:30" ht="35.1" hidden="1" customHeight="1" x14ac:dyDescent="0.25">
      <c r="A445" s="83"/>
      <c r="B445" s="7"/>
      <c r="C445" s="8"/>
      <c r="D445" s="8"/>
      <c r="E445" s="60"/>
      <c r="F445" s="84" t="str">
        <f>IFERROR(VLOOKUP(CONCATENATE($B445,"_",F$3),materiali!$C:$K,5,0),"")</f>
        <v/>
      </c>
      <c r="G445" s="85" t="str">
        <f>IFERROR(VLOOKUP(CONCATENATE($B445,"_",G$3),materiali!$C:$K,6,0),"")</f>
        <v/>
      </c>
      <c r="H445" s="86"/>
      <c r="I445" s="84" t="str">
        <f>IFERROR(VLOOKUP(CONCATENATE($B445,"_",I$3),materiali!$C:$K,5,0),"")</f>
        <v/>
      </c>
      <c r="J445" s="85" t="str">
        <f>IFERROR(VLOOKUP(CONCATENATE($B445,"_",J$3),materiali!$C:$K,6,0),"")</f>
        <v/>
      </c>
      <c r="K445" s="86"/>
      <c r="L445" s="84" t="str">
        <f>IFERROR(VLOOKUP(CONCATENATE($B445,"_",L$3),materiali!$C:$K,5,0),"")</f>
        <v/>
      </c>
      <c r="M445" s="85" t="str">
        <f>IFERROR(VLOOKUP(CONCATENATE($B445,"_",M$3),materiali!$C:$K,6,0),"")</f>
        <v/>
      </c>
      <c r="N445" s="86"/>
      <c r="O445" s="84" t="str">
        <f>IFERROR(VLOOKUP(CONCATENATE($B445,"_",O$3),materiali!$C:$K,5,0),"")</f>
        <v/>
      </c>
      <c r="P445" s="85" t="str">
        <f>IFERROR(VLOOKUP(CONCATENATE($B445,"_",P$3),materiali!$C:$K,6,0),"")</f>
        <v/>
      </c>
      <c r="Q445" s="86"/>
      <c r="R445" s="84" t="str">
        <f>IFERROR(VLOOKUP(CONCATENATE($B445,"_",R$3),materiali!$C:$K,5,0),"")</f>
        <v/>
      </c>
      <c r="S445" s="85" t="str">
        <f>IFERROR(VLOOKUP(CONCATENATE($B445,"_",S$3),materiali!$C:$K,6,0),"")</f>
        <v/>
      </c>
      <c r="T445" s="86"/>
      <c r="U445" s="31"/>
      <c r="AD445" s="97"/>
    </row>
    <row r="446" spans="1:30" ht="35.1" hidden="1" customHeight="1" x14ac:dyDescent="0.25">
      <c r="A446" s="83"/>
      <c r="B446" s="7"/>
      <c r="C446" s="8"/>
      <c r="D446" s="8"/>
      <c r="E446" s="60"/>
      <c r="F446" s="84" t="str">
        <f>IFERROR(VLOOKUP(CONCATENATE($B446,"_",F$3),materiali!$C:$K,5,0),"")</f>
        <v/>
      </c>
      <c r="G446" s="85" t="str">
        <f>IFERROR(VLOOKUP(CONCATENATE($B446,"_",G$3),materiali!$C:$K,6,0),"")</f>
        <v/>
      </c>
      <c r="H446" s="86"/>
      <c r="I446" s="84" t="str">
        <f>IFERROR(VLOOKUP(CONCATENATE($B446,"_",I$3),materiali!$C:$K,5,0),"")</f>
        <v/>
      </c>
      <c r="J446" s="85" t="str">
        <f>IFERROR(VLOOKUP(CONCATENATE($B446,"_",J$3),materiali!$C:$K,6,0),"")</f>
        <v/>
      </c>
      <c r="K446" s="86"/>
      <c r="L446" s="84" t="str">
        <f>IFERROR(VLOOKUP(CONCATENATE($B446,"_",L$3),materiali!$C:$K,5,0),"")</f>
        <v/>
      </c>
      <c r="M446" s="85" t="str">
        <f>IFERROR(VLOOKUP(CONCATENATE($B446,"_",M$3),materiali!$C:$K,6,0),"")</f>
        <v/>
      </c>
      <c r="N446" s="86"/>
      <c r="O446" s="84" t="str">
        <f>IFERROR(VLOOKUP(CONCATENATE($B446,"_",O$3),materiali!$C:$K,5,0),"")</f>
        <v/>
      </c>
      <c r="P446" s="85" t="str">
        <f>IFERROR(VLOOKUP(CONCATENATE($B446,"_",P$3),materiali!$C:$K,6,0),"")</f>
        <v/>
      </c>
      <c r="Q446" s="86"/>
      <c r="R446" s="84" t="str">
        <f>IFERROR(VLOOKUP(CONCATENATE($B446,"_",R$3),materiali!$C:$K,5,0),"")</f>
        <v/>
      </c>
      <c r="S446" s="85" t="str">
        <f>IFERROR(VLOOKUP(CONCATENATE($B446,"_",S$3),materiali!$C:$K,6,0),"")</f>
        <v/>
      </c>
      <c r="T446" s="86"/>
      <c r="U446" s="31"/>
      <c r="AD446" s="97"/>
    </row>
    <row r="447" spans="1:30" ht="35.1" hidden="1" customHeight="1" x14ac:dyDescent="0.25">
      <c r="A447" s="83"/>
      <c r="B447" s="7"/>
      <c r="C447" s="8"/>
      <c r="D447" s="8"/>
      <c r="E447" s="60"/>
      <c r="F447" s="84" t="str">
        <f>IFERROR(VLOOKUP(CONCATENATE($B447,"_",F$3),materiali!$C:$K,5,0),"")</f>
        <v/>
      </c>
      <c r="G447" s="85" t="str">
        <f>IFERROR(VLOOKUP(CONCATENATE($B447,"_",G$3),materiali!$C:$K,6,0),"")</f>
        <v/>
      </c>
      <c r="H447" s="86"/>
      <c r="I447" s="84" t="str">
        <f>IFERROR(VLOOKUP(CONCATENATE($B447,"_",I$3),materiali!$C:$K,5,0),"")</f>
        <v/>
      </c>
      <c r="J447" s="85" t="str">
        <f>IFERROR(VLOOKUP(CONCATENATE($B447,"_",J$3),materiali!$C:$K,6,0),"")</f>
        <v/>
      </c>
      <c r="K447" s="86"/>
      <c r="L447" s="84" t="str">
        <f>IFERROR(VLOOKUP(CONCATENATE($B447,"_",L$3),materiali!$C:$K,5,0),"")</f>
        <v/>
      </c>
      <c r="M447" s="85" t="str">
        <f>IFERROR(VLOOKUP(CONCATENATE($B447,"_",M$3),materiali!$C:$K,6,0),"")</f>
        <v/>
      </c>
      <c r="N447" s="86"/>
      <c r="O447" s="84" t="str">
        <f>IFERROR(VLOOKUP(CONCATENATE($B447,"_",O$3),materiali!$C:$K,5,0),"")</f>
        <v/>
      </c>
      <c r="P447" s="85" t="str">
        <f>IFERROR(VLOOKUP(CONCATENATE($B447,"_",P$3),materiali!$C:$K,6,0),"")</f>
        <v/>
      </c>
      <c r="Q447" s="86"/>
      <c r="R447" s="84" t="str">
        <f>IFERROR(VLOOKUP(CONCATENATE($B447,"_",R$3),materiali!$C:$K,5,0),"")</f>
        <v/>
      </c>
      <c r="S447" s="85" t="str">
        <f>IFERROR(VLOOKUP(CONCATENATE($B447,"_",S$3),materiali!$C:$K,6,0),"")</f>
        <v/>
      </c>
      <c r="T447" s="86"/>
      <c r="U447" s="31"/>
      <c r="AD447" s="97"/>
    </row>
    <row r="448" spans="1:30" ht="35.1" hidden="1" customHeight="1" x14ac:dyDescent="0.25">
      <c r="A448" s="83"/>
      <c r="B448" s="7"/>
      <c r="C448" s="8"/>
      <c r="D448" s="8"/>
      <c r="E448" s="60"/>
      <c r="F448" s="84" t="str">
        <f>IFERROR(VLOOKUP(CONCATENATE($B448,"_",F$3),materiali!$C:$K,5,0),"")</f>
        <v/>
      </c>
      <c r="G448" s="85" t="str">
        <f>IFERROR(VLOOKUP(CONCATENATE($B448,"_",G$3),materiali!$C:$K,6,0),"")</f>
        <v/>
      </c>
      <c r="H448" s="86"/>
      <c r="I448" s="84" t="str">
        <f>IFERROR(VLOOKUP(CONCATENATE($B448,"_",I$3),materiali!$C:$K,5,0),"")</f>
        <v/>
      </c>
      <c r="J448" s="85" t="str">
        <f>IFERROR(VLOOKUP(CONCATENATE($B448,"_",J$3),materiali!$C:$K,6,0),"")</f>
        <v/>
      </c>
      <c r="K448" s="86"/>
      <c r="L448" s="84" t="str">
        <f>IFERROR(VLOOKUP(CONCATENATE($B448,"_",L$3),materiali!$C:$K,5,0),"")</f>
        <v/>
      </c>
      <c r="M448" s="85" t="str">
        <f>IFERROR(VLOOKUP(CONCATENATE($B448,"_",M$3),materiali!$C:$K,6,0),"")</f>
        <v/>
      </c>
      <c r="N448" s="86"/>
      <c r="O448" s="84" t="str">
        <f>IFERROR(VLOOKUP(CONCATENATE($B448,"_",O$3),materiali!$C:$K,5,0),"")</f>
        <v/>
      </c>
      <c r="P448" s="85" t="str">
        <f>IFERROR(VLOOKUP(CONCATENATE($B448,"_",P$3),materiali!$C:$K,6,0),"")</f>
        <v/>
      </c>
      <c r="Q448" s="86"/>
      <c r="R448" s="84" t="str">
        <f>IFERROR(VLOOKUP(CONCATENATE($B448,"_",R$3),materiali!$C:$K,5,0),"")</f>
        <v/>
      </c>
      <c r="S448" s="85" t="str">
        <f>IFERROR(VLOOKUP(CONCATENATE($B448,"_",S$3),materiali!$C:$K,6,0),"")</f>
        <v/>
      </c>
      <c r="T448" s="86"/>
      <c r="U448" s="31"/>
      <c r="AD448" s="97"/>
    </row>
    <row r="449" spans="1:30" ht="35.1" hidden="1" customHeight="1" x14ac:dyDescent="0.25">
      <c r="A449" s="83"/>
      <c r="B449" s="7"/>
      <c r="C449" s="8"/>
      <c r="D449" s="8"/>
      <c r="E449" s="60"/>
      <c r="F449" s="84" t="str">
        <f>IFERROR(VLOOKUP(CONCATENATE($B449,"_",F$3),materiali!$C:$K,5,0),"")</f>
        <v/>
      </c>
      <c r="G449" s="85" t="str">
        <f>IFERROR(VLOOKUP(CONCATENATE($B449,"_",G$3),materiali!$C:$K,6,0),"")</f>
        <v/>
      </c>
      <c r="H449" s="86"/>
      <c r="I449" s="84" t="str">
        <f>IFERROR(VLOOKUP(CONCATENATE($B449,"_",I$3),materiali!$C:$K,5,0),"")</f>
        <v/>
      </c>
      <c r="J449" s="85" t="str">
        <f>IFERROR(VLOOKUP(CONCATENATE($B449,"_",J$3),materiali!$C:$K,6,0),"")</f>
        <v/>
      </c>
      <c r="K449" s="86"/>
      <c r="L449" s="84" t="str">
        <f>IFERROR(VLOOKUP(CONCATENATE($B449,"_",L$3),materiali!$C:$K,5,0),"")</f>
        <v/>
      </c>
      <c r="M449" s="85" t="str">
        <f>IFERROR(VLOOKUP(CONCATENATE($B449,"_",M$3),materiali!$C:$K,6,0),"")</f>
        <v/>
      </c>
      <c r="N449" s="86"/>
      <c r="O449" s="84" t="str">
        <f>IFERROR(VLOOKUP(CONCATENATE($B449,"_",O$3),materiali!$C:$K,5,0),"")</f>
        <v/>
      </c>
      <c r="P449" s="85" t="str">
        <f>IFERROR(VLOOKUP(CONCATENATE($B449,"_",P$3),materiali!$C:$K,6,0),"")</f>
        <v/>
      </c>
      <c r="Q449" s="86"/>
      <c r="R449" s="84" t="str">
        <f>IFERROR(VLOOKUP(CONCATENATE($B449,"_",R$3),materiali!$C:$K,5,0),"")</f>
        <v/>
      </c>
      <c r="S449" s="85" t="str">
        <f>IFERROR(VLOOKUP(CONCATENATE($B449,"_",S$3),materiali!$C:$K,6,0),"")</f>
        <v/>
      </c>
      <c r="T449" s="86"/>
      <c r="U449" s="31"/>
      <c r="AD449" s="97"/>
    </row>
    <row r="450" spans="1:30" ht="35.1" hidden="1" customHeight="1" x14ac:dyDescent="0.25">
      <c r="A450" s="83"/>
      <c r="B450" s="7"/>
      <c r="C450" s="8"/>
      <c r="D450" s="8"/>
      <c r="E450" s="60"/>
      <c r="F450" s="84" t="str">
        <f>IFERROR(VLOOKUP(CONCATENATE($B450,"_",F$3),materiali!$C:$K,5,0),"")</f>
        <v/>
      </c>
      <c r="G450" s="85" t="str">
        <f>IFERROR(VLOOKUP(CONCATENATE($B450,"_",G$3),materiali!$C:$K,6,0),"")</f>
        <v/>
      </c>
      <c r="H450" s="86"/>
      <c r="I450" s="84" t="str">
        <f>IFERROR(VLOOKUP(CONCATENATE($B450,"_",I$3),materiali!$C:$K,5,0),"")</f>
        <v/>
      </c>
      <c r="J450" s="85" t="str">
        <f>IFERROR(VLOOKUP(CONCATENATE($B450,"_",J$3),materiali!$C:$K,6,0),"")</f>
        <v/>
      </c>
      <c r="K450" s="86"/>
      <c r="L450" s="84" t="str">
        <f>IFERROR(VLOOKUP(CONCATENATE($B450,"_",L$3),materiali!$C:$K,5,0),"")</f>
        <v/>
      </c>
      <c r="M450" s="85" t="str">
        <f>IFERROR(VLOOKUP(CONCATENATE($B450,"_",M$3),materiali!$C:$K,6,0),"")</f>
        <v/>
      </c>
      <c r="N450" s="86"/>
      <c r="O450" s="84" t="str">
        <f>IFERROR(VLOOKUP(CONCATENATE($B450,"_",O$3),materiali!$C:$K,5,0),"")</f>
        <v/>
      </c>
      <c r="P450" s="85" t="str">
        <f>IFERROR(VLOOKUP(CONCATENATE($B450,"_",P$3),materiali!$C:$K,6,0),"")</f>
        <v/>
      </c>
      <c r="Q450" s="86"/>
      <c r="R450" s="84" t="str">
        <f>IFERROR(VLOOKUP(CONCATENATE($B450,"_",R$3),materiali!$C:$K,5,0),"")</f>
        <v/>
      </c>
      <c r="S450" s="85" t="str">
        <f>IFERROR(VLOOKUP(CONCATENATE($B450,"_",S$3),materiali!$C:$K,6,0),"")</f>
        <v/>
      </c>
      <c r="T450" s="86"/>
      <c r="U450" s="31"/>
      <c r="AD450" s="97"/>
    </row>
    <row r="451" spans="1:30" ht="35.1" hidden="1" customHeight="1" x14ac:dyDescent="0.25">
      <c r="A451" s="83"/>
      <c r="B451" s="7"/>
      <c r="C451" s="8"/>
      <c r="D451" s="8"/>
      <c r="E451" s="60"/>
      <c r="F451" s="84" t="str">
        <f>IFERROR(VLOOKUP(CONCATENATE($B451,"_",F$3),materiali!$C:$K,5,0),"")</f>
        <v/>
      </c>
      <c r="G451" s="85" t="str">
        <f>IFERROR(VLOOKUP(CONCATENATE($B451,"_",G$3),materiali!$C:$K,6,0),"")</f>
        <v/>
      </c>
      <c r="H451" s="86"/>
      <c r="I451" s="84" t="str">
        <f>IFERROR(VLOOKUP(CONCATENATE($B451,"_",I$3),materiali!$C:$K,5,0),"")</f>
        <v/>
      </c>
      <c r="J451" s="85" t="str">
        <f>IFERROR(VLOOKUP(CONCATENATE($B451,"_",J$3),materiali!$C:$K,6,0),"")</f>
        <v/>
      </c>
      <c r="K451" s="86"/>
      <c r="L451" s="84" t="str">
        <f>IFERROR(VLOOKUP(CONCATENATE($B451,"_",L$3),materiali!$C:$K,5,0),"")</f>
        <v/>
      </c>
      <c r="M451" s="85" t="str">
        <f>IFERROR(VLOOKUP(CONCATENATE($B451,"_",M$3),materiali!$C:$K,6,0),"")</f>
        <v/>
      </c>
      <c r="N451" s="86"/>
      <c r="O451" s="84" t="str">
        <f>IFERROR(VLOOKUP(CONCATENATE($B451,"_",O$3),materiali!$C:$K,5,0),"")</f>
        <v/>
      </c>
      <c r="P451" s="85" t="str">
        <f>IFERROR(VLOOKUP(CONCATENATE($B451,"_",P$3),materiali!$C:$K,6,0),"")</f>
        <v/>
      </c>
      <c r="Q451" s="86"/>
      <c r="R451" s="84" t="str">
        <f>IFERROR(VLOOKUP(CONCATENATE($B451,"_",R$3),materiali!$C:$K,5,0),"")</f>
        <v/>
      </c>
      <c r="S451" s="85" t="str">
        <f>IFERROR(VLOOKUP(CONCATENATE($B451,"_",S$3),materiali!$C:$K,6,0),"")</f>
        <v/>
      </c>
      <c r="T451" s="86"/>
      <c r="U451" s="31"/>
      <c r="AD451" s="97"/>
    </row>
    <row r="452" spans="1:30" ht="35.1" hidden="1" customHeight="1" x14ac:dyDescent="0.25">
      <c r="A452" s="83"/>
      <c r="B452" s="7"/>
      <c r="C452" s="8"/>
      <c r="D452" s="8"/>
      <c r="E452" s="60"/>
      <c r="F452" s="84" t="str">
        <f>IFERROR(VLOOKUP(CONCATENATE($B452,"_",F$3),materiali!$C:$K,5,0),"")</f>
        <v/>
      </c>
      <c r="G452" s="85" t="str">
        <f>IFERROR(VLOOKUP(CONCATENATE($B452,"_",G$3),materiali!$C:$K,6,0),"")</f>
        <v/>
      </c>
      <c r="H452" s="86"/>
      <c r="I452" s="84" t="str">
        <f>IFERROR(VLOOKUP(CONCATENATE($B452,"_",I$3),materiali!$C:$K,5,0),"")</f>
        <v/>
      </c>
      <c r="J452" s="85" t="str">
        <f>IFERROR(VLOOKUP(CONCATENATE($B452,"_",J$3),materiali!$C:$K,6,0),"")</f>
        <v/>
      </c>
      <c r="K452" s="86"/>
      <c r="L452" s="84" t="str">
        <f>IFERROR(VLOOKUP(CONCATENATE($B452,"_",L$3),materiali!$C:$K,5,0),"")</f>
        <v/>
      </c>
      <c r="M452" s="85" t="str">
        <f>IFERROR(VLOOKUP(CONCATENATE($B452,"_",M$3),materiali!$C:$K,6,0),"")</f>
        <v/>
      </c>
      <c r="N452" s="86"/>
      <c r="O452" s="84" t="str">
        <f>IFERROR(VLOOKUP(CONCATENATE($B452,"_",O$3),materiali!$C:$K,5,0),"")</f>
        <v/>
      </c>
      <c r="P452" s="85" t="str">
        <f>IFERROR(VLOOKUP(CONCATENATE($B452,"_",P$3),materiali!$C:$K,6,0),"")</f>
        <v/>
      </c>
      <c r="Q452" s="86"/>
      <c r="R452" s="84" t="str">
        <f>IFERROR(VLOOKUP(CONCATENATE($B452,"_",R$3),materiali!$C:$K,5,0),"")</f>
        <v/>
      </c>
      <c r="S452" s="85" t="str">
        <f>IFERROR(VLOOKUP(CONCATENATE($B452,"_",S$3),materiali!$C:$K,6,0),"")</f>
        <v/>
      </c>
      <c r="T452" s="86"/>
      <c r="U452" s="31"/>
      <c r="AD452" s="97"/>
    </row>
    <row r="453" spans="1:30" ht="35.1" hidden="1" customHeight="1" x14ac:dyDescent="0.25">
      <c r="A453" s="83"/>
      <c r="B453" s="7"/>
      <c r="C453" s="8"/>
      <c r="D453" s="8"/>
      <c r="E453" s="60"/>
      <c r="F453" s="84" t="str">
        <f>IFERROR(VLOOKUP(CONCATENATE($B453,"_",F$3),materiali!$C:$K,5,0),"")</f>
        <v/>
      </c>
      <c r="G453" s="85" t="str">
        <f>IFERROR(VLOOKUP(CONCATENATE($B453,"_",G$3),materiali!$C:$K,6,0),"")</f>
        <v/>
      </c>
      <c r="H453" s="86"/>
      <c r="I453" s="84" t="str">
        <f>IFERROR(VLOOKUP(CONCATENATE($B453,"_",I$3),materiali!$C:$K,5,0),"")</f>
        <v/>
      </c>
      <c r="J453" s="85" t="str">
        <f>IFERROR(VLOOKUP(CONCATENATE($B453,"_",J$3),materiali!$C:$K,6,0),"")</f>
        <v/>
      </c>
      <c r="K453" s="86"/>
      <c r="L453" s="84" t="str">
        <f>IFERROR(VLOOKUP(CONCATENATE($B453,"_",L$3),materiali!$C:$K,5,0),"")</f>
        <v/>
      </c>
      <c r="M453" s="85" t="str">
        <f>IFERROR(VLOOKUP(CONCATENATE($B453,"_",M$3),materiali!$C:$K,6,0),"")</f>
        <v/>
      </c>
      <c r="N453" s="86"/>
      <c r="O453" s="84" t="str">
        <f>IFERROR(VLOOKUP(CONCATENATE($B453,"_",O$3),materiali!$C:$K,5,0),"")</f>
        <v/>
      </c>
      <c r="P453" s="85" t="str">
        <f>IFERROR(VLOOKUP(CONCATENATE($B453,"_",P$3),materiali!$C:$K,6,0),"")</f>
        <v/>
      </c>
      <c r="Q453" s="86"/>
      <c r="R453" s="84" t="str">
        <f>IFERROR(VLOOKUP(CONCATENATE($B453,"_",R$3),materiali!$C:$K,5,0),"")</f>
        <v/>
      </c>
      <c r="S453" s="85" t="str">
        <f>IFERROR(VLOOKUP(CONCATENATE($B453,"_",S$3),materiali!$C:$K,6,0),"")</f>
        <v/>
      </c>
      <c r="T453" s="86"/>
      <c r="U453" s="31"/>
      <c r="AD453" s="97"/>
    </row>
    <row r="454" spans="1:30" ht="35.1" hidden="1" customHeight="1" x14ac:dyDescent="0.25">
      <c r="A454" s="83"/>
      <c r="B454" s="7"/>
      <c r="C454" s="8"/>
      <c r="D454" s="8"/>
      <c r="E454" s="60"/>
      <c r="F454" s="84" t="str">
        <f>IFERROR(VLOOKUP(CONCATENATE($B454,"_",F$3),materiali!$C:$K,5,0),"")</f>
        <v/>
      </c>
      <c r="G454" s="85" t="str">
        <f>IFERROR(VLOOKUP(CONCATENATE($B454,"_",G$3),materiali!$C:$K,6,0),"")</f>
        <v/>
      </c>
      <c r="H454" s="86"/>
      <c r="I454" s="84" t="str">
        <f>IFERROR(VLOOKUP(CONCATENATE($B454,"_",I$3),materiali!$C:$K,5,0),"")</f>
        <v/>
      </c>
      <c r="J454" s="85" t="str">
        <f>IFERROR(VLOOKUP(CONCATENATE($B454,"_",J$3),materiali!$C:$K,6,0),"")</f>
        <v/>
      </c>
      <c r="K454" s="86"/>
      <c r="L454" s="84" t="str">
        <f>IFERROR(VLOOKUP(CONCATENATE($B454,"_",L$3),materiali!$C:$K,5,0),"")</f>
        <v/>
      </c>
      <c r="M454" s="85" t="str">
        <f>IFERROR(VLOOKUP(CONCATENATE($B454,"_",M$3),materiali!$C:$K,6,0),"")</f>
        <v/>
      </c>
      <c r="N454" s="86"/>
      <c r="O454" s="84" t="str">
        <f>IFERROR(VLOOKUP(CONCATENATE($B454,"_",O$3),materiali!$C:$K,5,0),"")</f>
        <v/>
      </c>
      <c r="P454" s="85" t="str">
        <f>IFERROR(VLOOKUP(CONCATENATE($B454,"_",P$3),materiali!$C:$K,6,0),"")</f>
        <v/>
      </c>
      <c r="Q454" s="86"/>
      <c r="R454" s="84" t="str">
        <f>IFERROR(VLOOKUP(CONCATENATE($B454,"_",R$3),materiali!$C:$K,5,0),"")</f>
        <v/>
      </c>
      <c r="S454" s="85" t="str">
        <f>IFERROR(VLOOKUP(CONCATENATE($B454,"_",S$3),materiali!$C:$K,6,0),"")</f>
        <v/>
      </c>
      <c r="T454" s="86"/>
      <c r="U454" s="31"/>
      <c r="AD454" s="97"/>
    </row>
    <row r="455" spans="1:30" ht="35.1" hidden="1" customHeight="1" x14ac:dyDescent="0.25">
      <c r="A455" s="83"/>
      <c r="B455" s="7"/>
      <c r="C455" s="8"/>
      <c r="D455" s="8"/>
      <c r="E455" s="60"/>
      <c r="F455" s="84" t="str">
        <f>IFERROR(VLOOKUP(CONCATENATE($B455,"_",F$3),materiali!$C:$K,5,0),"")</f>
        <v/>
      </c>
      <c r="G455" s="85" t="str">
        <f>IFERROR(VLOOKUP(CONCATENATE($B455,"_",G$3),materiali!$C:$K,6,0),"")</f>
        <v/>
      </c>
      <c r="H455" s="86"/>
      <c r="I455" s="84" t="str">
        <f>IFERROR(VLOOKUP(CONCATENATE($B455,"_",I$3),materiali!$C:$K,5,0),"")</f>
        <v/>
      </c>
      <c r="J455" s="85" t="str">
        <f>IFERROR(VLOOKUP(CONCATENATE($B455,"_",J$3),materiali!$C:$K,6,0),"")</f>
        <v/>
      </c>
      <c r="K455" s="86"/>
      <c r="L455" s="84" t="str">
        <f>IFERROR(VLOOKUP(CONCATENATE($B455,"_",L$3),materiali!$C:$K,5,0),"")</f>
        <v/>
      </c>
      <c r="M455" s="85" t="str">
        <f>IFERROR(VLOOKUP(CONCATENATE($B455,"_",M$3),materiali!$C:$K,6,0),"")</f>
        <v/>
      </c>
      <c r="N455" s="86"/>
      <c r="O455" s="84" t="str">
        <f>IFERROR(VLOOKUP(CONCATENATE($B455,"_",O$3),materiali!$C:$K,5,0),"")</f>
        <v/>
      </c>
      <c r="P455" s="85" t="str">
        <f>IFERROR(VLOOKUP(CONCATENATE($B455,"_",P$3),materiali!$C:$K,6,0),"")</f>
        <v/>
      </c>
      <c r="Q455" s="86"/>
      <c r="R455" s="84" t="str">
        <f>IFERROR(VLOOKUP(CONCATENATE($B455,"_",R$3),materiali!$C:$K,5,0),"")</f>
        <v/>
      </c>
      <c r="S455" s="85" t="str">
        <f>IFERROR(VLOOKUP(CONCATENATE($B455,"_",S$3),materiali!$C:$K,6,0),"")</f>
        <v/>
      </c>
      <c r="T455" s="86"/>
      <c r="U455" s="31"/>
      <c r="AD455" s="97"/>
    </row>
    <row r="456" spans="1:30" ht="35.1" hidden="1" customHeight="1" x14ac:dyDescent="0.25">
      <c r="A456" s="83"/>
      <c r="B456" s="7"/>
      <c r="C456" s="8"/>
      <c r="D456" s="8"/>
      <c r="E456" s="60"/>
      <c r="F456" s="84" t="str">
        <f>IFERROR(VLOOKUP(CONCATENATE($B456,"_",F$3),materiali!$C:$K,5,0),"")</f>
        <v/>
      </c>
      <c r="G456" s="85" t="str">
        <f>IFERROR(VLOOKUP(CONCATENATE($B456,"_",G$3),materiali!$C:$K,6,0),"")</f>
        <v/>
      </c>
      <c r="H456" s="86"/>
      <c r="I456" s="84" t="str">
        <f>IFERROR(VLOOKUP(CONCATENATE($B456,"_",I$3),materiali!$C:$K,5,0),"")</f>
        <v/>
      </c>
      <c r="J456" s="85" t="str">
        <f>IFERROR(VLOOKUP(CONCATENATE($B456,"_",J$3),materiali!$C:$K,6,0),"")</f>
        <v/>
      </c>
      <c r="K456" s="86"/>
      <c r="L456" s="84" t="str">
        <f>IFERROR(VLOOKUP(CONCATENATE($B456,"_",L$3),materiali!$C:$K,5,0),"")</f>
        <v/>
      </c>
      <c r="M456" s="85" t="str">
        <f>IFERROR(VLOOKUP(CONCATENATE($B456,"_",M$3),materiali!$C:$K,6,0),"")</f>
        <v/>
      </c>
      <c r="N456" s="86"/>
      <c r="O456" s="84" t="str">
        <f>IFERROR(VLOOKUP(CONCATENATE($B456,"_",O$3),materiali!$C:$K,5,0),"")</f>
        <v/>
      </c>
      <c r="P456" s="85" t="str">
        <f>IFERROR(VLOOKUP(CONCATENATE($B456,"_",P$3),materiali!$C:$K,6,0),"")</f>
        <v/>
      </c>
      <c r="Q456" s="86"/>
      <c r="R456" s="84" t="str">
        <f>IFERROR(VLOOKUP(CONCATENATE($B456,"_",R$3),materiali!$C:$K,5,0),"")</f>
        <v/>
      </c>
      <c r="S456" s="85" t="str">
        <f>IFERROR(VLOOKUP(CONCATENATE($B456,"_",S$3),materiali!$C:$K,6,0),"")</f>
        <v/>
      </c>
      <c r="T456" s="86"/>
      <c r="U456" s="31"/>
      <c r="AD456" s="97"/>
    </row>
    <row r="457" spans="1:30" ht="35.1" hidden="1" customHeight="1" x14ac:dyDescent="0.25">
      <c r="A457" s="83"/>
      <c r="B457" s="7"/>
      <c r="C457" s="8"/>
      <c r="D457" s="8"/>
      <c r="E457" s="60"/>
      <c r="F457" s="84" t="str">
        <f>IFERROR(VLOOKUP(CONCATENATE($B457,"_",F$3),materiali!$C:$K,5,0),"")</f>
        <v/>
      </c>
      <c r="G457" s="85" t="str">
        <f>IFERROR(VLOOKUP(CONCATENATE($B457,"_",G$3),materiali!$C:$K,6,0),"")</f>
        <v/>
      </c>
      <c r="H457" s="86"/>
      <c r="I457" s="84" t="str">
        <f>IFERROR(VLOOKUP(CONCATENATE($B457,"_",I$3),materiali!$C:$K,5,0),"")</f>
        <v/>
      </c>
      <c r="J457" s="85" t="str">
        <f>IFERROR(VLOOKUP(CONCATENATE($B457,"_",J$3),materiali!$C:$K,6,0),"")</f>
        <v/>
      </c>
      <c r="K457" s="86"/>
      <c r="L457" s="84" t="str">
        <f>IFERROR(VLOOKUP(CONCATENATE($B457,"_",L$3),materiali!$C:$K,5,0),"")</f>
        <v/>
      </c>
      <c r="M457" s="85" t="str">
        <f>IFERROR(VLOOKUP(CONCATENATE($B457,"_",M$3),materiali!$C:$K,6,0),"")</f>
        <v/>
      </c>
      <c r="N457" s="86"/>
      <c r="O457" s="84" t="str">
        <f>IFERROR(VLOOKUP(CONCATENATE($B457,"_",O$3),materiali!$C:$K,5,0),"")</f>
        <v/>
      </c>
      <c r="P457" s="85" t="str">
        <f>IFERROR(VLOOKUP(CONCATENATE($B457,"_",P$3),materiali!$C:$K,6,0),"")</f>
        <v/>
      </c>
      <c r="Q457" s="86"/>
      <c r="R457" s="84" t="str">
        <f>IFERROR(VLOOKUP(CONCATENATE($B457,"_",R$3),materiali!$C:$K,5,0),"")</f>
        <v/>
      </c>
      <c r="S457" s="85" t="str">
        <f>IFERROR(VLOOKUP(CONCATENATE($B457,"_",S$3),materiali!$C:$K,6,0),"")</f>
        <v/>
      </c>
      <c r="T457" s="86"/>
      <c r="U457" s="31"/>
      <c r="AD457" s="97"/>
    </row>
    <row r="458" spans="1:30" ht="35.1" hidden="1" customHeight="1" x14ac:dyDescent="0.25">
      <c r="A458" s="83"/>
      <c r="B458" s="7"/>
      <c r="C458" s="8"/>
      <c r="D458" s="8"/>
      <c r="E458" s="60"/>
      <c r="F458" s="84" t="str">
        <f>IFERROR(VLOOKUP(CONCATENATE($B458,"_",F$3),materiali!$C:$K,5,0),"")</f>
        <v/>
      </c>
      <c r="G458" s="85" t="str">
        <f>IFERROR(VLOOKUP(CONCATENATE($B458,"_",G$3),materiali!$C:$K,6,0),"")</f>
        <v/>
      </c>
      <c r="H458" s="86"/>
      <c r="I458" s="84" t="str">
        <f>IFERROR(VLOOKUP(CONCATENATE($B458,"_",I$3),materiali!$C:$K,5,0),"")</f>
        <v/>
      </c>
      <c r="J458" s="85" t="str">
        <f>IFERROR(VLOOKUP(CONCATENATE($B458,"_",J$3),materiali!$C:$K,6,0),"")</f>
        <v/>
      </c>
      <c r="K458" s="86"/>
      <c r="L458" s="84" t="str">
        <f>IFERROR(VLOOKUP(CONCATENATE($B458,"_",L$3),materiali!$C:$K,5,0),"")</f>
        <v/>
      </c>
      <c r="M458" s="85" t="str">
        <f>IFERROR(VLOOKUP(CONCATENATE($B458,"_",M$3),materiali!$C:$K,6,0),"")</f>
        <v/>
      </c>
      <c r="N458" s="86"/>
      <c r="O458" s="84" t="str">
        <f>IFERROR(VLOOKUP(CONCATENATE($B458,"_",O$3),materiali!$C:$K,5,0),"")</f>
        <v/>
      </c>
      <c r="P458" s="85" t="str">
        <f>IFERROR(VLOOKUP(CONCATENATE($B458,"_",P$3),materiali!$C:$K,6,0),"")</f>
        <v/>
      </c>
      <c r="Q458" s="86"/>
      <c r="R458" s="84" t="str">
        <f>IFERROR(VLOOKUP(CONCATENATE($B458,"_",R$3),materiali!$C:$K,5,0),"")</f>
        <v/>
      </c>
      <c r="S458" s="85" t="str">
        <f>IFERROR(VLOOKUP(CONCATENATE($B458,"_",S$3),materiali!$C:$K,6,0),"")</f>
        <v/>
      </c>
      <c r="T458" s="86"/>
      <c r="U458" s="31"/>
      <c r="AD458" s="97"/>
    </row>
    <row r="459" spans="1:30" ht="35.1" hidden="1" customHeight="1" x14ac:dyDescent="0.25">
      <c r="A459" s="83"/>
      <c r="B459" s="7"/>
      <c r="C459" s="8"/>
      <c r="D459" s="8"/>
      <c r="E459" s="60"/>
      <c r="F459" s="84" t="str">
        <f>IFERROR(VLOOKUP(CONCATENATE($B459,"_",F$3),materiali!$C:$K,5,0),"")</f>
        <v/>
      </c>
      <c r="G459" s="85" t="str">
        <f>IFERROR(VLOOKUP(CONCATENATE($B459,"_",G$3),materiali!$C:$K,6,0),"")</f>
        <v/>
      </c>
      <c r="H459" s="86"/>
      <c r="I459" s="84" t="str">
        <f>IFERROR(VLOOKUP(CONCATENATE($B459,"_",I$3),materiali!$C:$K,5,0),"")</f>
        <v/>
      </c>
      <c r="J459" s="85" t="str">
        <f>IFERROR(VLOOKUP(CONCATENATE($B459,"_",J$3),materiali!$C:$K,6,0),"")</f>
        <v/>
      </c>
      <c r="K459" s="86"/>
      <c r="L459" s="84" t="str">
        <f>IFERROR(VLOOKUP(CONCATENATE($B459,"_",L$3),materiali!$C:$K,5,0),"")</f>
        <v/>
      </c>
      <c r="M459" s="85" t="str">
        <f>IFERROR(VLOOKUP(CONCATENATE($B459,"_",M$3),materiali!$C:$K,6,0),"")</f>
        <v/>
      </c>
      <c r="N459" s="86"/>
      <c r="O459" s="84" t="str">
        <f>IFERROR(VLOOKUP(CONCATENATE($B459,"_",O$3),materiali!$C:$K,5,0),"")</f>
        <v/>
      </c>
      <c r="P459" s="85" t="str">
        <f>IFERROR(VLOOKUP(CONCATENATE($B459,"_",P$3),materiali!$C:$K,6,0),"")</f>
        <v/>
      </c>
      <c r="Q459" s="86"/>
      <c r="R459" s="84" t="str">
        <f>IFERROR(VLOOKUP(CONCATENATE($B459,"_",R$3),materiali!$C:$K,5,0),"")</f>
        <v/>
      </c>
      <c r="S459" s="85" t="str">
        <f>IFERROR(VLOOKUP(CONCATENATE($B459,"_",S$3),materiali!$C:$K,6,0),"")</f>
        <v/>
      </c>
      <c r="T459" s="86"/>
      <c r="U459" s="31"/>
      <c r="AD459" s="97"/>
    </row>
    <row r="460" spans="1:30" ht="35.1" hidden="1" customHeight="1" x14ac:dyDescent="0.25">
      <c r="A460" s="83"/>
      <c r="B460" s="7"/>
      <c r="C460" s="8"/>
      <c r="D460" s="8"/>
      <c r="E460" s="60"/>
      <c r="F460" s="84" t="str">
        <f>IFERROR(VLOOKUP(CONCATENATE($B460,"_",F$3),materiali!$C:$K,5,0),"")</f>
        <v/>
      </c>
      <c r="G460" s="85" t="str">
        <f>IFERROR(VLOOKUP(CONCATENATE($B460,"_",G$3),materiali!$C:$K,6,0),"")</f>
        <v/>
      </c>
      <c r="H460" s="86"/>
      <c r="I460" s="84" t="str">
        <f>IFERROR(VLOOKUP(CONCATENATE($B460,"_",I$3),materiali!$C:$K,5,0),"")</f>
        <v/>
      </c>
      <c r="J460" s="85" t="str">
        <f>IFERROR(VLOOKUP(CONCATENATE($B460,"_",J$3),materiali!$C:$K,6,0),"")</f>
        <v/>
      </c>
      <c r="K460" s="86"/>
      <c r="L460" s="84" t="str">
        <f>IFERROR(VLOOKUP(CONCATENATE($B460,"_",L$3),materiali!$C:$K,5,0),"")</f>
        <v/>
      </c>
      <c r="M460" s="85" t="str">
        <f>IFERROR(VLOOKUP(CONCATENATE($B460,"_",M$3),materiali!$C:$K,6,0),"")</f>
        <v/>
      </c>
      <c r="N460" s="86"/>
      <c r="O460" s="84" t="str">
        <f>IFERROR(VLOOKUP(CONCATENATE($B460,"_",O$3),materiali!$C:$K,5,0),"")</f>
        <v/>
      </c>
      <c r="P460" s="85" t="str">
        <f>IFERROR(VLOOKUP(CONCATENATE($B460,"_",P$3),materiali!$C:$K,6,0),"")</f>
        <v/>
      </c>
      <c r="Q460" s="86"/>
      <c r="R460" s="84" t="str">
        <f>IFERROR(VLOOKUP(CONCATENATE($B460,"_",R$3),materiali!$C:$K,5,0),"")</f>
        <v/>
      </c>
      <c r="S460" s="85" t="str">
        <f>IFERROR(VLOOKUP(CONCATENATE($B460,"_",S$3),materiali!$C:$K,6,0),"")</f>
        <v/>
      </c>
      <c r="T460" s="86"/>
      <c r="U460" s="31"/>
      <c r="AD460" s="97"/>
    </row>
    <row r="461" spans="1:30" ht="35.1" hidden="1" customHeight="1" x14ac:dyDescent="0.25">
      <c r="A461" s="83"/>
      <c r="B461" s="7"/>
      <c r="C461" s="8"/>
      <c r="D461" s="8"/>
      <c r="E461" s="60"/>
      <c r="F461" s="84" t="str">
        <f>IFERROR(VLOOKUP(CONCATENATE($B461,"_",F$3),materiali!$C:$K,5,0),"")</f>
        <v/>
      </c>
      <c r="G461" s="85" t="str">
        <f>IFERROR(VLOOKUP(CONCATENATE($B461,"_",G$3),materiali!$C:$K,6,0),"")</f>
        <v/>
      </c>
      <c r="H461" s="86"/>
      <c r="I461" s="84" t="str">
        <f>IFERROR(VLOOKUP(CONCATENATE($B461,"_",I$3),materiali!$C:$K,5,0),"")</f>
        <v/>
      </c>
      <c r="J461" s="85" t="str">
        <f>IFERROR(VLOOKUP(CONCATENATE($B461,"_",J$3),materiali!$C:$K,6,0),"")</f>
        <v/>
      </c>
      <c r="K461" s="86"/>
      <c r="L461" s="84" t="str">
        <f>IFERROR(VLOOKUP(CONCATENATE($B461,"_",L$3),materiali!$C:$K,5,0),"")</f>
        <v/>
      </c>
      <c r="M461" s="85" t="str">
        <f>IFERROR(VLOOKUP(CONCATENATE($B461,"_",M$3),materiali!$C:$K,6,0),"")</f>
        <v/>
      </c>
      <c r="N461" s="86"/>
      <c r="O461" s="84" t="str">
        <f>IFERROR(VLOOKUP(CONCATENATE($B461,"_",O$3),materiali!$C:$K,5,0),"")</f>
        <v/>
      </c>
      <c r="P461" s="85" t="str">
        <f>IFERROR(VLOOKUP(CONCATENATE($B461,"_",P$3),materiali!$C:$K,6,0),"")</f>
        <v/>
      </c>
      <c r="Q461" s="86"/>
      <c r="R461" s="84" t="str">
        <f>IFERROR(VLOOKUP(CONCATENATE($B461,"_",R$3),materiali!$C:$K,5,0),"")</f>
        <v/>
      </c>
      <c r="S461" s="85" t="str">
        <f>IFERROR(VLOOKUP(CONCATENATE($B461,"_",S$3),materiali!$C:$K,6,0),"")</f>
        <v/>
      </c>
      <c r="T461" s="86"/>
      <c r="U461" s="31"/>
      <c r="AD461" s="97"/>
    </row>
    <row r="462" spans="1:30" ht="35.1" hidden="1" customHeight="1" x14ac:dyDescent="0.25">
      <c r="A462" s="83"/>
      <c r="B462" s="7"/>
      <c r="C462" s="8"/>
      <c r="D462" s="8"/>
      <c r="E462" s="60"/>
      <c r="F462" s="84" t="str">
        <f>IFERROR(VLOOKUP(CONCATENATE($B462,"_",F$3),materiali!$C:$K,5,0),"")</f>
        <v/>
      </c>
      <c r="G462" s="85" t="str">
        <f>IFERROR(VLOOKUP(CONCATENATE($B462,"_",G$3),materiali!$C:$K,6,0),"")</f>
        <v/>
      </c>
      <c r="H462" s="86"/>
      <c r="I462" s="84" t="str">
        <f>IFERROR(VLOOKUP(CONCATENATE($B462,"_",I$3),materiali!$C:$K,5,0),"")</f>
        <v/>
      </c>
      <c r="J462" s="85" t="str">
        <f>IFERROR(VLOOKUP(CONCATENATE($B462,"_",J$3),materiali!$C:$K,6,0),"")</f>
        <v/>
      </c>
      <c r="K462" s="86"/>
      <c r="L462" s="84" t="str">
        <f>IFERROR(VLOOKUP(CONCATENATE($B462,"_",L$3),materiali!$C:$K,5,0),"")</f>
        <v/>
      </c>
      <c r="M462" s="85" t="str">
        <f>IFERROR(VLOOKUP(CONCATENATE($B462,"_",M$3),materiali!$C:$K,6,0),"")</f>
        <v/>
      </c>
      <c r="N462" s="86"/>
      <c r="O462" s="84" t="str">
        <f>IFERROR(VLOOKUP(CONCATENATE($B462,"_",O$3),materiali!$C:$K,5,0),"")</f>
        <v/>
      </c>
      <c r="P462" s="85" t="str">
        <f>IFERROR(VLOOKUP(CONCATENATE($B462,"_",P$3),materiali!$C:$K,6,0),"")</f>
        <v/>
      </c>
      <c r="Q462" s="86"/>
      <c r="R462" s="84" t="str">
        <f>IFERROR(VLOOKUP(CONCATENATE($B462,"_",R$3),materiali!$C:$K,5,0),"")</f>
        <v/>
      </c>
      <c r="S462" s="85" t="str">
        <f>IFERROR(VLOOKUP(CONCATENATE($B462,"_",S$3),materiali!$C:$K,6,0),"")</f>
        <v/>
      </c>
      <c r="T462" s="86"/>
      <c r="U462" s="31"/>
      <c r="AD462" s="97"/>
    </row>
    <row r="463" spans="1:30" ht="35.1" hidden="1" customHeight="1" x14ac:dyDescent="0.25">
      <c r="A463" s="83"/>
      <c r="B463" s="7"/>
      <c r="C463" s="8"/>
      <c r="D463" s="8"/>
      <c r="E463" s="60"/>
      <c r="F463" s="84" t="str">
        <f>IFERROR(VLOOKUP(CONCATENATE($B463,"_",F$3),materiali!$C:$K,5,0),"")</f>
        <v/>
      </c>
      <c r="G463" s="85" t="str">
        <f>IFERROR(VLOOKUP(CONCATENATE($B463,"_",G$3),materiali!$C:$K,6,0),"")</f>
        <v/>
      </c>
      <c r="H463" s="86"/>
      <c r="I463" s="84" t="str">
        <f>IFERROR(VLOOKUP(CONCATENATE($B463,"_",I$3),materiali!$C:$K,5,0),"")</f>
        <v/>
      </c>
      <c r="J463" s="85" t="str">
        <f>IFERROR(VLOOKUP(CONCATENATE($B463,"_",J$3),materiali!$C:$K,6,0),"")</f>
        <v/>
      </c>
      <c r="K463" s="86"/>
      <c r="L463" s="84" t="str">
        <f>IFERROR(VLOOKUP(CONCATENATE($B463,"_",L$3),materiali!$C:$K,5,0),"")</f>
        <v/>
      </c>
      <c r="M463" s="85" t="str">
        <f>IFERROR(VLOOKUP(CONCATENATE($B463,"_",M$3),materiali!$C:$K,6,0),"")</f>
        <v/>
      </c>
      <c r="N463" s="86"/>
      <c r="O463" s="84" t="str">
        <f>IFERROR(VLOOKUP(CONCATENATE($B463,"_",O$3),materiali!$C:$K,5,0),"")</f>
        <v/>
      </c>
      <c r="P463" s="85" t="str">
        <f>IFERROR(VLOOKUP(CONCATENATE($B463,"_",P$3),materiali!$C:$K,6,0),"")</f>
        <v/>
      </c>
      <c r="Q463" s="86"/>
      <c r="R463" s="84" t="str">
        <f>IFERROR(VLOOKUP(CONCATENATE($B463,"_",R$3),materiali!$C:$K,5,0),"")</f>
        <v/>
      </c>
      <c r="S463" s="85" t="str">
        <f>IFERROR(VLOOKUP(CONCATENATE($B463,"_",S$3),materiali!$C:$K,6,0),"")</f>
        <v/>
      </c>
      <c r="T463" s="86"/>
      <c r="U463" s="31"/>
      <c r="AD463" s="97"/>
    </row>
    <row r="464" spans="1:30" ht="35.1" hidden="1" customHeight="1" x14ac:dyDescent="0.25">
      <c r="A464" s="83"/>
      <c r="B464" s="7"/>
      <c r="C464" s="8"/>
      <c r="D464" s="8"/>
      <c r="E464" s="60"/>
      <c r="F464" s="84" t="str">
        <f>IFERROR(VLOOKUP(CONCATENATE($B464,"_",F$3),materiali!$C:$K,5,0),"")</f>
        <v/>
      </c>
      <c r="G464" s="85" t="str">
        <f>IFERROR(VLOOKUP(CONCATENATE($B464,"_",G$3),materiali!$C:$K,6,0),"")</f>
        <v/>
      </c>
      <c r="H464" s="86"/>
      <c r="I464" s="84" t="str">
        <f>IFERROR(VLOOKUP(CONCATENATE($B464,"_",I$3),materiali!$C:$K,5,0),"")</f>
        <v/>
      </c>
      <c r="J464" s="85" t="str">
        <f>IFERROR(VLOOKUP(CONCATENATE($B464,"_",J$3),materiali!$C:$K,6,0),"")</f>
        <v/>
      </c>
      <c r="K464" s="86"/>
      <c r="L464" s="84" t="str">
        <f>IFERROR(VLOOKUP(CONCATENATE($B464,"_",L$3),materiali!$C:$K,5,0),"")</f>
        <v/>
      </c>
      <c r="M464" s="85" t="str">
        <f>IFERROR(VLOOKUP(CONCATENATE($B464,"_",M$3),materiali!$C:$K,6,0),"")</f>
        <v/>
      </c>
      <c r="N464" s="86"/>
      <c r="O464" s="84" t="str">
        <f>IFERROR(VLOOKUP(CONCATENATE($B464,"_",O$3),materiali!$C:$K,5,0),"")</f>
        <v/>
      </c>
      <c r="P464" s="85" t="str">
        <f>IFERROR(VLOOKUP(CONCATENATE($B464,"_",P$3),materiali!$C:$K,6,0),"")</f>
        <v/>
      </c>
      <c r="Q464" s="86"/>
      <c r="R464" s="84" t="str">
        <f>IFERROR(VLOOKUP(CONCATENATE($B464,"_",R$3),materiali!$C:$K,5,0),"")</f>
        <v/>
      </c>
      <c r="S464" s="85" t="str">
        <f>IFERROR(VLOOKUP(CONCATENATE($B464,"_",S$3),materiali!$C:$K,6,0),"")</f>
        <v/>
      </c>
      <c r="T464" s="86"/>
      <c r="U464" s="31"/>
      <c r="AD464" s="97"/>
    </row>
    <row r="465" spans="1:30" ht="35.1" hidden="1" customHeight="1" x14ac:dyDescent="0.25">
      <c r="A465" s="83"/>
      <c r="B465" s="7"/>
      <c r="C465" s="8"/>
      <c r="D465" s="8"/>
      <c r="E465" s="60"/>
      <c r="F465" s="84" t="str">
        <f>IFERROR(VLOOKUP(CONCATENATE($B465,"_",F$3),materiali!$C:$K,5,0),"")</f>
        <v/>
      </c>
      <c r="G465" s="85" t="str">
        <f>IFERROR(VLOOKUP(CONCATENATE($B465,"_",G$3),materiali!$C:$K,6,0),"")</f>
        <v/>
      </c>
      <c r="H465" s="86"/>
      <c r="I465" s="84" t="str">
        <f>IFERROR(VLOOKUP(CONCATENATE($B465,"_",I$3),materiali!$C:$K,5,0),"")</f>
        <v/>
      </c>
      <c r="J465" s="85" t="str">
        <f>IFERROR(VLOOKUP(CONCATENATE($B465,"_",J$3),materiali!$C:$K,6,0),"")</f>
        <v/>
      </c>
      <c r="K465" s="86"/>
      <c r="L465" s="84" t="str">
        <f>IFERROR(VLOOKUP(CONCATENATE($B465,"_",L$3),materiali!$C:$K,5,0),"")</f>
        <v/>
      </c>
      <c r="M465" s="85" t="str">
        <f>IFERROR(VLOOKUP(CONCATENATE($B465,"_",M$3),materiali!$C:$K,6,0),"")</f>
        <v/>
      </c>
      <c r="N465" s="86"/>
      <c r="O465" s="84" t="str">
        <f>IFERROR(VLOOKUP(CONCATENATE($B465,"_",O$3),materiali!$C:$K,5,0),"")</f>
        <v/>
      </c>
      <c r="P465" s="85" t="str">
        <f>IFERROR(VLOOKUP(CONCATENATE($B465,"_",P$3),materiali!$C:$K,6,0),"")</f>
        <v/>
      </c>
      <c r="Q465" s="86"/>
      <c r="R465" s="84" t="str">
        <f>IFERROR(VLOOKUP(CONCATENATE($B465,"_",R$3),materiali!$C:$K,5,0),"")</f>
        <v/>
      </c>
      <c r="S465" s="85" t="str">
        <f>IFERROR(VLOOKUP(CONCATENATE($B465,"_",S$3),materiali!$C:$K,6,0),"")</f>
        <v/>
      </c>
      <c r="T465" s="86"/>
      <c r="U465" s="31"/>
      <c r="AD465" s="97"/>
    </row>
    <row r="466" spans="1:30" ht="35.1" hidden="1" customHeight="1" x14ac:dyDescent="0.25">
      <c r="A466" s="83"/>
      <c r="B466" s="7"/>
      <c r="C466" s="8"/>
      <c r="D466" s="8"/>
      <c r="E466" s="60"/>
      <c r="F466" s="84" t="str">
        <f>IFERROR(VLOOKUP(CONCATENATE($B466,"_",F$3),materiali!$C:$K,5,0),"")</f>
        <v/>
      </c>
      <c r="G466" s="85" t="str">
        <f>IFERROR(VLOOKUP(CONCATENATE($B466,"_",G$3),materiali!$C:$K,6,0),"")</f>
        <v/>
      </c>
      <c r="H466" s="86"/>
      <c r="I466" s="84" t="str">
        <f>IFERROR(VLOOKUP(CONCATENATE($B466,"_",I$3),materiali!$C:$K,5,0),"")</f>
        <v/>
      </c>
      <c r="J466" s="85" t="str">
        <f>IFERROR(VLOOKUP(CONCATENATE($B466,"_",J$3),materiali!$C:$K,6,0),"")</f>
        <v/>
      </c>
      <c r="K466" s="86"/>
      <c r="L466" s="84" t="str">
        <f>IFERROR(VLOOKUP(CONCATENATE($B466,"_",L$3),materiali!$C:$K,5,0),"")</f>
        <v/>
      </c>
      <c r="M466" s="85" t="str">
        <f>IFERROR(VLOOKUP(CONCATENATE($B466,"_",M$3),materiali!$C:$K,6,0),"")</f>
        <v/>
      </c>
      <c r="N466" s="86"/>
      <c r="O466" s="84" t="str">
        <f>IFERROR(VLOOKUP(CONCATENATE($B466,"_",O$3),materiali!$C:$K,5,0),"")</f>
        <v/>
      </c>
      <c r="P466" s="85" t="str">
        <f>IFERROR(VLOOKUP(CONCATENATE($B466,"_",P$3),materiali!$C:$K,6,0),"")</f>
        <v/>
      </c>
      <c r="Q466" s="86"/>
      <c r="R466" s="84" t="str">
        <f>IFERROR(VLOOKUP(CONCATENATE($B466,"_",R$3),materiali!$C:$K,5,0),"")</f>
        <v/>
      </c>
      <c r="S466" s="85" t="str">
        <f>IFERROR(VLOOKUP(CONCATENATE($B466,"_",S$3),materiali!$C:$K,6,0),"")</f>
        <v/>
      </c>
      <c r="T466" s="86"/>
      <c r="U466" s="31"/>
      <c r="AD466" s="97"/>
    </row>
    <row r="467" spans="1:30" ht="35.1" hidden="1" customHeight="1" x14ac:dyDescent="0.25">
      <c r="A467" s="83"/>
      <c r="B467" s="7"/>
      <c r="C467" s="8"/>
      <c r="D467" s="8"/>
      <c r="E467" s="60"/>
      <c r="F467" s="84" t="str">
        <f>IFERROR(VLOOKUP(CONCATENATE($B467,"_",F$3),materiali!$C:$K,5,0),"")</f>
        <v/>
      </c>
      <c r="G467" s="85" t="str">
        <f>IFERROR(VLOOKUP(CONCATENATE($B467,"_",G$3),materiali!$C:$K,6,0),"")</f>
        <v/>
      </c>
      <c r="H467" s="86"/>
      <c r="I467" s="84" t="str">
        <f>IFERROR(VLOOKUP(CONCATENATE($B467,"_",I$3),materiali!$C:$K,5,0),"")</f>
        <v/>
      </c>
      <c r="J467" s="85" t="str">
        <f>IFERROR(VLOOKUP(CONCATENATE($B467,"_",J$3),materiali!$C:$K,6,0),"")</f>
        <v/>
      </c>
      <c r="K467" s="86"/>
      <c r="L467" s="84" t="str">
        <f>IFERROR(VLOOKUP(CONCATENATE($B467,"_",L$3),materiali!$C:$K,5,0),"")</f>
        <v/>
      </c>
      <c r="M467" s="85" t="str">
        <f>IFERROR(VLOOKUP(CONCATENATE($B467,"_",M$3),materiali!$C:$K,6,0),"")</f>
        <v/>
      </c>
      <c r="N467" s="86"/>
      <c r="O467" s="84" t="str">
        <f>IFERROR(VLOOKUP(CONCATENATE($B467,"_",O$3),materiali!$C:$K,5,0),"")</f>
        <v/>
      </c>
      <c r="P467" s="85" t="str">
        <f>IFERROR(VLOOKUP(CONCATENATE($B467,"_",P$3),materiali!$C:$K,6,0),"")</f>
        <v/>
      </c>
      <c r="Q467" s="86"/>
      <c r="R467" s="84" t="str">
        <f>IFERROR(VLOOKUP(CONCATENATE($B467,"_",R$3),materiali!$C:$K,5,0),"")</f>
        <v/>
      </c>
      <c r="S467" s="85" t="str">
        <f>IFERROR(VLOOKUP(CONCATENATE($B467,"_",S$3),materiali!$C:$K,6,0),"")</f>
        <v/>
      </c>
      <c r="T467" s="86"/>
      <c r="U467" s="31"/>
      <c r="AD467" s="97"/>
    </row>
    <row r="468" spans="1:30" ht="35.1" hidden="1" customHeight="1" x14ac:dyDescent="0.25">
      <c r="A468" s="83"/>
      <c r="B468" s="7"/>
      <c r="C468" s="8"/>
      <c r="D468" s="8"/>
      <c r="E468" s="60"/>
      <c r="F468" s="84" t="str">
        <f>IFERROR(VLOOKUP(CONCATENATE($B468,"_",F$3),materiali!$C:$K,5,0),"")</f>
        <v/>
      </c>
      <c r="G468" s="85" t="str">
        <f>IFERROR(VLOOKUP(CONCATENATE($B468,"_",G$3),materiali!$C:$K,6,0),"")</f>
        <v/>
      </c>
      <c r="H468" s="86"/>
      <c r="I468" s="84" t="str">
        <f>IFERROR(VLOOKUP(CONCATENATE($B468,"_",I$3),materiali!$C:$K,5,0),"")</f>
        <v/>
      </c>
      <c r="J468" s="85" t="str">
        <f>IFERROR(VLOOKUP(CONCATENATE($B468,"_",J$3),materiali!$C:$K,6,0),"")</f>
        <v/>
      </c>
      <c r="K468" s="86"/>
      <c r="L468" s="84" t="str">
        <f>IFERROR(VLOOKUP(CONCATENATE($B468,"_",L$3),materiali!$C:$K,5,0),"")</f>
        <v/>
      </c>
      <c r="M468" s="85" t="str">
        <f>IFERROR(VLOOKUP(CONCATENATE($B468,"_",M$3),materiali!$C:$K,6,0),"")</f>
        <v/>
      </c>
      <c r="N468" s="86"/>
      <c r="O468" s="84" t="str">
        <f>IFERROR(VLOOKUP(CONCATENATE($B468,"_",O$3),materiali!$C:$K,5,0),"")</f>
        <v/>
      </c>
      <c r="P468" s="85" t="str">
        <f>IFERROR(VLOOKUP(CONCATENATE($B468,"_",P$3),materiali!$C:$K,6,0),"")</f>
        <v/>
      </c>
      <c r="Q468" s="86"/>
      <c r="R468" s="84" t="str">
        <f>IFERROR(VLOOKUP(CONCATENATE($B468,"_",R$3),materiali!$C:$K,5,0),"")</f>
        <v/>
      </c>
      <c r="S468" s="85" t="str">
        <f>IFERROR(VLOOKUP(CONCATENATE($B468,"_",S$3),materiali!$C:$K,6,0),"")</f>
        <v/>
      </c>
      <c r="T468" s="86"/>
      <c r="U468" s="31"/>
      <c r="AD468" s="97"/>
    </row>
    <row r="469" spans="1:30" ht="35.1" hidden="1" customHeight="1" x14ac:dyDescent="0.25">
      <c r="A469" s="83"/>
      <c r="B469" s="7"/>
      <c r="C469" s="8"/>
      <c r="D469" s="8"/>
      <c r="E469" s="60"/>
      <c r="F469" s="84" t="str">
        <f>IFERROR(VLOOKUP(CONCATENATE($B469,"_",F$3),materiali!$C:$K,5,0),"")</f>
        <v/>
      </c>
      <c r="G469" s="85" t="str">
        <f>IFERROR(VLOOKUP(CONCATENATE($B469,"_",G$3),materiali!$C:$K,6,0),"")</f>
        <v/>
      </c>
      <c r="H469" s="86"/>
      <c r="I469" s="84" t="str">
        <f>IFERROR(VLOOKUP(CONCATENATE($B469,"_",I$3),materiali!$C:$K,5,0),"")</f>
        <v/>
      </c>
      <c r="J469" s="85" t="str">
        <f>IFERROR(VLOOKUP(CONCATENATE($B469,"_",J$3),materiali!$C:$K,6,0),"")</f>
        <v/>
      </c>
      <c r="K469" s="86"/>
      <c r="L469" s="84" t="str">
        <f>IFERROR(VLOOKUP(CONCATENATE($B469,"_",L$3),materiali!$C:$K,5,0),"")</f>
        <v/>
      </c>
      <c r="M469" s="85" t="str">
        <f>IFERROR(VLOOKUP(CONCATENATE($B469,"_",M$3),materiali!$C:$K,6,0),"")</f>
        <v/>
      </c>
      <c r="N469" s="86"/>
      <c r="O469" s="84" t="str">
        <f>IFERROR(VLOOKUP(CONCATENATE($B469,"_",O$3),materiali!$C:$K,5,0),"")</f>
        <v/>
      </c>
      <c r="P469" s="85" t="str">
        <f>IFERROR(VLOOKUP(CONCATENATE($B469,"_",P$3),materiali!$C:$K,6,0),"")</f>
        <v/>
      </c>
      <c r="Q469" s="86"/>
      <c r="R469" s="84" t="str">
        <f>IFERROR(VLOOKUP(CONCATENATE($B469,"_",R$3),materiali!$C:$K,5,0),"")</f>
        <v/>
      </c>
      <c r="S469" s="85" t="str">
        <f>IFERROR(VLOOKUP(CONCATENATE($B469,"_",S$3),materiali!$C:$K,6,0),"")</f>
        <v/>
      </c>
      <c r="T469" s="86"/>
      <c r="U469" s="31"/>
      <c r="AD469" s="97"/>
    </row>
    <row r="470" spans="1:30" ht="35.1" hidden="1" customHeight="1" x14ac:dyDescent="0.25">
      <c r="A470" s="83"/>
      <c r="B470" s="7"/>
      <c r="C470" s="8"/>
      <c r="D470" s="8"/>
      <c r="E470" s="60"/>
      <c r="F470" s="84" t="str">
        <f>IFERROR(VLOOKUP(CONCATENATE($B470,"_",F$3),materiali!$C:$K,5,0),"")</f>
        <v/>
      </c>
      <c r="G470" s="85" t="str">
        <f>IFERROR(VLOOKUP(CONCATENATE($B470,"_",G$3),materiali!$C:$K,6,0),"")</f>
        <v/>
      </c>
      <c r="H470" s="86"/>
      <c r="I470" s="84" t="str">
        <f>IFERROR(VLOOKUP(CONCATENATE($B470,"_",I$3),materiali!$C:$K,5,0),"")</f>
        <v/>
      </c>
      <c r="J470" s="85" t="str">
        <f>IFERROR(VLOOKUP(CONCATENATE($B470,"_",J$3),materiali!$C:$K,6,0),"")</f>
        <v/>
      </c>
      <c r="K470" s="86"/>
      <c r="L470" s="84" t="str">
        <f>IFERROR(VLOOKUP(CONCATENATE($B470,"_",L$3),materiali!$C:$K,5,0),"")</f>
        <v/>
      </c>
      <c r="M470" s="85" t="str">
        <f>IFERROR(VLOOKUP(CONCATENATE($B470,"_",M$3),materiali!$C:$K,6,0),"")</f>
        <v/>
      </c>
      <c r="N470" s="86"/>
      <c r="O470" s="84" t="str">
        <f>IFERROR(VLOOKUP(CONCATENATE($B470,"_",O$3),materiali!$C:$K,5,0),"")</f>
        <v/>
      </c>
      <c r="P470" s="85" t="str">
        <f>IFERROR(VLOOKUP(CONCATENATE($B470,"_",P$3),materiali!$C:$K,6,0),"")</f>
        <v/>
      </c>
      <c r="Q470" s="86"/>
      <c r="R470" s="84" t="str">
        <f>IFERROR(VLOOKUP(CONCATENATE($B470,"_",R$3),materiali!$C:$K,5,0),"")</f>
        <v/>
      </c>
      <c r="S470" s="85" t="str">
        <f>IFERROR(VLOOKUP(CONCATENATE($B470,"_",S$3),materiali!$C:$K,6,0),"")</f>
        <v/>
      </c>
      <c r="T470" s="86"/>
      <c r="U470" s="31"/>
      <c r="AD470" s="97"/>
    </row>
    <row r="471" spans="1:30" ht="35.1" hidden="1" customHeight="1" x14ac:dyDescent="0.25">
      <c r="A471" s="83"/>
      <c r="B471" s="7"/>
      <c r="C471" s="8"/>
      <c r="D471" s="8"/>
      <c r="E471" s="60"/>
      <c r="F471" s="84" t="str">
        <f>IFERROR(VLOOKUP(CONCATENATE($B471,"_",F$3),materiali!$C:$K,5,0),"")</f>
        <v/>
      </c>
      <c r="G471" s="85" t="str">
        <f>IFERROR(VLOOKUP(CONCATENATE($B471,"_",G$3),materiali!$C:$K,6,0),"")</f>
        <v/>
      </c>
      <c r="H471" s="86"/>
      <c r="I471" s="84" t="str">
        <f>IFERROR(VLOOKUP(CONCATENATE($B471,"_",I$3),materiali!$C:$K,5,0),"")</f>
        <v/>
      </c>
      <c r="J471" s="85" t="str">
        <f>IFERROR(VLOOKUP(CONCATENATE($B471,"_",J$3),materiali!$C:$K,6,0),"")</f>
        <v/>
      </c>
      <c r="K471" s="86"/>
      <c r="L471" s="84" t="str">
        <f>IFERROR(VLOOKUP(CONCATENATE($B471,"_",L$3),materiali!$C:$K,5,0),"")</f>
        <v/>
      </c>
      <c r="M471" s="85" t="str">
        <f>IFERROR(VLOOKUP(CONCATENATE($B471,"_",M$3),materiali!$C:$K,6,0),"")</f>
        <v/>
      </c>
      <c r="N471" s="86"/>
      <c r="O471" s="84" t="str">
        <f>IFERROR(VLOOKUP(CONCATENATE($B471,"_",O$3),materiali!$C:$K,5,0),"")</f>
        <v/>
      </c>
      <c r="P471" s="85" t="str">
        <f>IFERROR(VLOOKUP(CONCATENATE($B471,"_",P$3),materiali!$C:$K,6,0),"")</f>
        <v/>
      </c>
      <c r="Q471" s="86"/>
      <c r="R471" s="84" t="str">
        <f>IFERROR(VLOOKUP(CONCATENATE($B471,"_",R$3),materiali!$C:$K,5,0),"")</f>
        <v/>
      </c>
      <c r="S471" s="85" t="str">
        <f>IFERROR(VLOOKUP(CONCATENATE($B471,"_",S$3),materiali!$C:$K,6,0),"")</f>
        <v/>
      </c>
      <c r="T471" s="86"/>
      <c r="U471" s="31"/>
      <c r="AD471" s="97"/>
    </row>
    <row r="472" spans="1:30" ht="35.1" hidden="1" customHeight="1" x14ac:dyDescent="0.25">
      <c r="A472" s="83"/>
      <c r="B472" s="7"/>
      <c r="C472" s="8"/>
      <c r="D472" s="8"/>
      <c r="E472" s="60"/>
      <c r="F472" s="84" t="str">
        <f>IFERROR(VLOOKUP(CONCATENATE($B472,"_",F$3),materiali!$C:$K,5,0),"")</f>
        <v/>
      </c>
      <c r="G472" s="85" t="str">
        <f>IFERROR(VLOOKUP(CONCATENATE($B472,"_",G$3),materiali!$C:$K,6,0),"")</f>
        <v/>
      </c>
      <c r="H472" s="86"/>
      <c r="I472" s="84" t="str">
        <f>IFERROR(VLOOKUP(CONCATENATE($B472,"_",I$3),materiali!$C:$K,5,0),"")</f>
        <v/>
      </c>
      <c r="J472" s="85" t="str">
        <f>IFERROR(VLOOKUP(CONCATENATE($B472,"_",J$3),materiali!$C:$K,6,0),"")</f>
        <v/>
      </c>
      <c r="K472" s="86"/>
      <c r="L472" s="84" t="str">
        <f>IFERROR(VLOOKUP(CONCATENATE($B472,"_",L$3),materiali!$C:$K,5,0),"")</f>
        <v/>
      </c>
      <c r="M472" s="85" t="str">
        <f>IFERROR(VLOOKUP(CONCATENATE($B472,"_",M$3),materiali!$C:$K,6,0),"")</f>
        <v/>
      </c>
      <c r="N472" s="86"/>
      <c r="O472" s="84" t="str">
        <f>IFERROR(VLOOKUP(CONCATENATE($B472,"_",O$3),materiali!$C:$K,5,0),"")</f>
        <v/>
      </c>
      <c r="P472" s="85" t="str">
        <f>IFERROR(VLOOKUP(CONCATENATE($B472,"_",P$3),materiali!$C:$K,6,0),"")</f>
        <v/>
      </c>
      <c r="Q472" s="86"/>
      <c r="R472" s="84" t="str">
        <f>IFERROR(VLOOKUP(CONCATENATE($B472,"_",R$3),materiali!$C:$K,5,0),"")</f>
        <v/>
      </c>
      <c r="S472" s="85" t="str">
        <f>IFERROR(VLOOKUP(CONCATENATE($B472,"_",S$3),materiali!$C:$K,6,0),"")</f>
        <v/>
      </c>
      <c r="T472" s="86"/>
      <c r="U472" s="31"/>
      <c r="AD472" s="97"/>
    </row>
    <row r="473" spans="1:30" ht="35.1" hidden="1" customHeight="1" x14ac:dyDescent="0.25">
      <c r="A473" s="83"/>
      <c r="B473" s="7"/>
      <c r="C473" s="8"/>
      <c r="D473" s="8"/>
      <c r="E473" s="60"/>
      <c r="F473" s="84" t="str">
        <f>IFERROR(VLOOKUP(CONCATENATE($B473,"_",F$3),materiali!$C:$K,5,0),"")</f>
        <v/>
      </c>
      <c r="G473" s="85" t="str">
        <f>IFERROR(VLOOKUP(CONCATENATE($B473,"_",G$3),materiali!$C:$K,6,0),"")</f>
        <v/>
      </c>
      <c r="H473" s="86"/>
      <c r="I473" s="84" t="str">
        <f>IFERROR(VLOOKUP(CONCATENATE($B473,"_",I$3),materiali!$C:$K,5,0),"")</f>
        <v/>
      </c>
      <c r="J473" s="85" t="str">
        <f>IFERROR(VLOOKUP(CONCATENATE($B473,"_",J$3),materiali!$C:$K,6,0),"")</f>
        <v/>
      </c>
      <c r="K473" s="86"/>
      <c r="L473" s="84" t="str">
        <f>IFERROR(VLOOKUP(CONCATENATE($B473,"_",L$3),materiali!$C:$K,5,0),"")</f>
        <v/>
      </c>
      <c r="M473" s="85" t="str">
        <f>IFERROR(VLOOKUP(CONCATENATE($B473,"_",M$3),materiali!$C:$K,6,0),"")</f>
        <v/>
      </c>
      <c r="N473" s="86"/>
      <c r="O473" s="84" t="str">
        <f>IFERROR(VLOOKUP(CONCATENATE($B473,"_",O$3),materiali!$C:$K,5,0),"")</f>
        <v/>
      </c>
      <c r="P473" s="85" t="str">
        <f>IFERROR(VLOOKUP(CONCATENATE($B473,"_",P$3),materiali!$C:$K,6,0),"")</f>
        <v/>
      </c>
      <c r="Q473" s="86"/>
      <c r="R473" s="84" t="str">
        <f>IFERROR(VLOOKUP(CONCATENATE($B473,"_",R$3),materiali!$C:$K,5,0),"")</f>
        <v/>
      </c>
      <c r="S473" s="85" t="str">
        <f>IFERROR(VLOOKUP(CONCATENATE($B473,"_",S$3),materiali!$C:$K,6,0),"")</f>
        <v/>
      </c>
      <c r="T473" s="86"/>
      <c r="U473" s="31"/>
      <c r="AD473" s="97"/>
    </row>
    <row r="474" spans="1:30" ht="35.1" hidden="1" customHeight="1" x14ac:dyDescent="0.25">
      <c r="A474" s="83"/>
      <c r="B474" s="7"/>
      <c r="C474" s="8"/>
      <c r="D474" s="8"/>
      <c r="E474" s="60"/>
      <c r="F474" s="84" t="str">
        <f>IFERROR(VLOOKUP(CONCATENATE($B474,"_",F$3),materiali!$C:$K,5,0),"")</f>
        <v/>
      </c>
      <c r="G474" s="85" t="str">
        <f>IFERROR(VLOOKUP(CONCATENATE($B474,"_",G$3),materiali!$C:$K,6,0),"")</f>
        <v/>
      </c>
      <c r="H474" s="86"/>
      <c r="I474" s="84" t="str">
        <f>IFERROR(VLOOKUP(CONCATENATE($B474,"_",I$3),materiali!$C:$K,5,0),"")</f>
        <v/>
      </c>
      <c r="J474" s="85" t="str">
        <f>IFERROR(VLOOKUP(CONCATENATE($B474,"_",J$3),materiali!$C:$K,6,0),"")</f>
        <v/>
      </c>
      <c r="K474" s="86"/>
      <c r="L474" s="84" t="str">
        <f>IFERROR(VLOOKUP(CONCATENATE($B474,"_",L$3),materiali!$C:$K,5,0),"")</f>
        <v/>
      </c>
      <c r="M474" s="85" t="str">
        <f>IFERROR(VLOOKUP(CONCATENATE($B474,"_",M$3),materiali!$C:$K,6,0),"")</f>
        <v/>
      </c>
      <c r="N474" s="86"/>
      <c r="O474" s="84" t="str">
        <f>IFERROR(VLOOKUP(CONCATENATE($B474,"_",O$3),materiali!$C:$K,5,0),"")</f>
        <v/>
      </c>
      <c r="P474" s="85" t="str">
        <f>IFERROR(VLOOKUP(CONCATENATE($B474,"_",P$3),materiali!$C:$K,6,0),"")</f>
        <v/>
      </c>
      <c r="Q474" s="86"/>
      <c r="R474" s="84" t="str">
        <f>IFERROR(VLOOKUP(CONCATENATE($B474,"_",R$3),materiali!$C:$K,5,0),"")</f>
        <v/>
      </c>
      <c r="S474" s="85" t="str">
        <f>IFERROR(VLOOKUP(CONCATENATE($B474,"_",S$3),materiali!$C:$K,6,0),"")</f>
        <v/>
      </c>
      <c r="T474" s="86"/>
      <c r="U474" s="31"/>
      <c r="AD474" s="97"/>
    </row>
    <row r="475" spans="1:30" ht="35.1" hidden="1" customHeight="1" x14ac:dyDescent="0.25">
      <c r="A475" s="83"/>
      <c r="B475" s="7"/>
      <c r="C475" s="8"/>
      <c r="D475" s="8"/>
      <c r="E475" s="60"/>
      <c r="F475" s="84" t="str">
        <f>IFERROR(VLOOKUP(CONCATENATE($B475,"_",F$3),materiali!$C:$K,5,0),"")</f>
        <v/>
      </c>
      <c r="G475" s="85" t="str">
        <f>IFERROR(VLOOKUP(CONCATENATE($B475,"_",G$3),materiali!$C:$K,6,0),"")</f>
        <v/>
      </c>
      <c r="H475" s="86"/>
      <c r="I475" s="84" t="str">
        <f>IFERROR(VLOOKUP(CONCATENATE($B475,"_",I$3),materiali!$C:$K,5,0),"")</f>
        <v/>
      </c>
      <c r="J475" s="85" t="str">
        <f>IFERROR(VLOOKUP(CONCATENATE($B475,"_",J$3),materiali!$C:$K,6,0),"")</f>
        <v/>
      </c>
      <c r="K475" s="86"/>
      <c r="L475" s="84" t="str">
        <f>IFERROR(VLOOKUP(CONCATENATE($B475,"_",L$3),materiali!$C:$K,5,0),"")</f>
        <v/>
      </c>
      <c r="M475" s="85" t="str">
        <f>IFERROR(VLOOKUP(CONCATENATE($B475,"_",M$3),materiali!$C:$K,6,0),"")</f>
        <v/>
      </c>
      <c r="N475" s="86"/>
      <c r="O475" s="84" t="str">
        <f>IFERROR(VLOOKUP(CONCATENATE($B475,"_",O$3),materiali!$C:$K,5,0),"")</f>
        <v/>
      </c>
      <c r="P475" s="85" t="str">
        <f>IFERROR(VLOOKUP(CONCATENATE($B475,"_",P$3),materiali!$C:$K,6,0),"")</f>
        <v/>
      </c>
      <c r="Q475" s="86"/>
      <c r="R475" s="84" t="str">
        <f>IFERROR(VLOOKUP(CONCATENATE($B475,"_",R$3),materiali!$C:$K,5,0),"")</f>
        <v/>
      </c>
      <c r="S475" s="85" t="str">
        <f>IFERROR(VLOOKUP(CONCATENATE($B475,"_",S$3),materiali!$C:$K,6,0),"")</f>
        <v/>
      </c>
      <c r="T475" s="86"/>
      <c r="U475" s="31"/>
      <c r="AD475" s="97"/>
    </row>
    <row r="476" spans="1:30" ht="35.1" hidden="1" customHeight="1" x14ac:dyDescent="0.25">
      <c r="A476" s="83"/>
      <c r="B476" s="7"/>
      <c r="C476" s="8"/>
      <c r="D476" s="8"/>
      <c r="E476" s="60"/>
      <c r="F476" s="84" t="str">
        <f>IFERROR(VLOOKUP(CONCATENATE($B476,"_",F$3),materiali!$C:$K,5,0),"")</f>
        <v/>
      </c>
      <c r="G476" s="85" t="str">
        <f>IFERROR(VLOOKUP(CONCATENATE($B476,"_",G$3),materiali!$C:$K,6,0),"")</f>
        <v/>
      </c>
      <c r="H476" s="86"/>
      <c r="I476" s="84" t="str">
        <f>IFERROR(VLOOKUP(CONCATENATE($B476,"_",I$3),materiali!$C:$K,5,0),"")</f>
        <v/>
      </c>
      <c r="J476" s="85" t="str">
        <f>IFERROR(VLOOKUP(CONCATENATE($B476,"_",J$3),materiali!$C:$K,6,0),"")</f>
        <v/>
      </c>
      <c r="K476" s="86"/>
      <c r="L476" s="84" t="str">
        <f>IFERROR(VLOOKUP(CONCATENATE($B476,"_",L$3),materiali!$C:$K,5,0),"")</f>
        <v/>
      </c>
      <c r="M476" s="85" t="str">
        <f>IFERROR(VLOOKUP(CONCATENATE($B476,"_",M$3),materiali!$C:$K,6,0),"")</f>
        <v/>
      </c>
      <c r="N476" s="86"/>
      <c r="O476" s="84" t="str">
        <f>IFERROR(VLOOKUP(CONCATENATE($B476,"_",O$3),materiali!$C:$K,5,0),"")</f>
        <v/>
      </c>
      <c r="P476" s="85" t="str">
        <f>IFERROR(VLOOKUP(CONCATENATE($B476,"_",P$3),materiali!$C:$K,6,0),"")</f>
        <v/>
      </c>
      <c r="Q476" s="86"/>
      <c r="R476" s="84" t="str">
        <f>IFERROR(VLOOKUP(CONCATENATE($B476,"_",R$3),materiali!$C:$K,5,0),"")</f>
        <v/>
      </c>
      <c r="S476" s="85" t="str">
        <f>IFERROR(VLOOKUP(CONCATENATE($B476,"_",S$3),materiali!$C:$K,6,0),"")</f>
        <v/>
      </c>
      <c r="T476" s="86"/>
      <c r="U476" s="31"/>
      <c r="AD476" s="97"/>
    </row>
    <row r="477" spans="1:30" ht="35.1" hidden="1" customHeight="1" x14ac:dyDescent="0.25">
      <c r="A477" s="83"/>
      <c r="B477" s="7"/>
      <c r="C477" s="8"/>
      <c r="D477" s="8"/>
      <c r="E477" s="60"/>
      <c r="F477" s="84" t="str">
        <f>IFERROR(VLOOKUP(CONCATENATE($B477,"_",F$3),materiali!$C:$K,5,0),"")</f>
        <v/>
      </c>
      <c r="G477" s="85" t="str">
        <f>IFERROR(VLOOKUP(CONCATENATE($B477,"_",G$3),materiali!$C:$K,6,0),"")</f>
        <v/>
      </c>
      <c r="H477" s="86"/>
      <c r="I477" s="84" t="str">
        <f>IFERROR(VLOOKUP(CONCATENATE($B477,"_",I$3),materiali!$C:$K,5,0),"")</f>
        <v/>
      </c>
      <c r="J477" s="85" t="str">
        <f>IFERROR(VLOOKUP(CONCATENATE($B477,"_",J$3),materiali!$C:$K,6,0),"")</f>
        <v/>
      </c>
      <c r="K477" s="86"/>
      <c r="L477" s="84" t="str">
        <f>IFERROR(VLOOKUP(CONCATENATE($B477,"_",L$3),materiali!$C:$K,5,0),"")</f>
        <v/>
      </c>
      <c r="M477" s="85" t="str">
        <f>IFERROR(VLOOKUP(CONCATENATE($B477,"_",M$3),materiali!$C:$K,6,0),"")</f>
        <v/>
      </c>
      <c r="N477" s="86"/>
      <c r="O477" s="84" t="str">
        <f>IFERROR(VLOOKUP(CONCATENATE($B477,"_",O$3),materiali!$C:$K,5,0),"")</f>
        <v/>
      </c>
      <c r="P477" s="85" t="str">
        <f>IFERROR(VLOOKUP(CONCATENATE($B477,"_",P$3),materiali!$C:$K,6,0),"")</f>
        <v/>
      </c>
      <c r="Q477" s="86"/>
      <c r="R477" s="84" t="str">
        <f>IFERROR(VLOOKUP(CONCATENATE($B477,"_",R$3),materiali!$C:$K,5,0),"")</f>
        <v/>
      </c>
      <c r="S477" s="85" t="str">
        <f>IFERROR(VLOOKUP(CONCATENATE($B477,"_",S$3),materiali!$C:$K,6,0),"")</f>
        <v/>
      </c>
      <c r="T477" s="86"/>
      <c r="U477" s="31"/>
      <c r="AD477" s="97"/>
    </row>
    <row r="478" spans="1:30" ht="35.1" hidden="1" customHeight="1" x14ac:dyDescent="0.25">
      <c r="A478" s="83"/>
      <c r="B478" s="7"/>
      <c r="C478" s="8"/>
      <c r="D478" s="8"/>
      <c r="E478" s="60"/>
      <c r="F478" s="84" t="str">
        <f>IFERROR(VLOOKUP(CONCATENATE($B478,"_",F$3),materiali!$C:$K,5,0),"")</f>
        <v/>
      </c>
      <c r="G478" s="85" t="str">
        <f>IFERROR(VLOOKUP(CONCATENATE($B478,"_",G$3),materiali!$C:$K,6,0),"")</f>
        <v/>
      </c>
      <c r="H478" s="86"/>
      <c r="I478" s="84" t="str">
        <f>IFERROR(VLOOKUP(CONCATENATE($B478,"_",I$3),materiali!$C:$K,5,0),"")</f>
        <v/>
      </c>
      <c r="J478" s="85" t="str">
        <f>IFERROR(VLOOKUP(CONCATENATE($B478,"_",J$3),materiali!$C:$K,6,0),"")</f>
        <v/>
      </c>
      <c r="K478" s="86"/>
      <c r="L478" s="84" t="str">
        <f>IFERROR(VLOOKUP(CONCATENATE($B478,"_",L$3),materiali!$C:$K,5,0),"")</f>
        <v/>
      </c>
      <c r="M478" s="85" t="str">
        <f>IFERROR(VLOOKUP(CONCATENATE($B478,"_",M$3),materiali!$C:$K,6,0),"")</f>
        <v/>
      </c>
      <c r="N478" s="86"/>
      <c r="O478" s="84" t="str">
        <f>IFERROR(VLOOKUP(CONCATENATE($B478,"_",O$3),materiali!$C:$K,5,0),"")</f>
        <v/>
      </c>
      <c r="P478" s="85" t="str">
        <f>IFERROR(VLOOKUP(CONCATENATE($B478,"_",P$3),materiali!$C:$K,6,0),"")</f>
        <v/>
      </c>
      <c r="Q478" s="86"/>
      <c r="R478" s="84" t="str">
        <f>IFERROR(VLOOKUP(CONCATENATE($B478,"_",R$3),materiali!$C:$K,5,0),"")</f>
        <v/>
      </c>
      <c r="S478" s="85" t="str">
        <f>IFERROR(VLOOKUP(CONCATENATE($B478,"_",S$3),materiali!$C:$K,6,0),"")</f>
        <v/>
      </c>
      <c r="T478" s="86"/>
      <c r="U478" s="31"/>
      <c r="AD478" s="97"/>
    </row>
    <row r="479" spans="1:30" ht="35.1" hidden="1" customHeight="1" x14ac:dyDescent="0.25">
      <c r="A479" s="83"/>
      <c r="B479" s="7"/>
      <c r="C479" s="8"/>
      <c r="D479" s="8"/>
      <c r="E479" s="60"/>
      <c r="F479" s="84" t="str">
        <f>IFERROR(VLOOKUP(CONCATENATE($B479,"_",F$3),materiali!$C:$K,5,0),"")</f>
        <v/>
      </c>
      <c r="G479" s="85" t="str">
        <f>IFERROR(VLOOKUP(CONCATENATE($B479,"_",G$3),materiali!$C:$K,6,0),"")</f>
        <v/>
      </c>
      <c r="H479" s="86"/>
      <c r="I479" s="84" t="str">
        <f>IFERROR(VLOOKUP(CONCATENATE($B479,"_",I$3),materiali!$C:$K,5,0),"")</f>
        <v/>
      </c>
      <c r="J479" s="85" t="str">
        <f>IFERROR(VLOOKUP(CONCATENATE($B479,"_",J$3),materiali!$C:$K,6,0),"")</f>
        <v/>
      </c>
      <c r="K479" s="86"/>
      <c r="L479" s="84" t="str">
        <f>IFERROR(VLOOKUP(CONCATENATE($B479,"_",L$3),materiali!$C:$K,5,0),"")</f>
        <v/>
      </c>
      <c r="M479" s="85" t="str">
        <f>IFERROR(VLOOKUP(CONCATENATE($B479,"_",M$3),materiali!$C:$K,6,0),"")</f>
        <v/>
      </c>
      <c r="N479" s="86"/>
      <c r="O479" s="84" t="str">
        <f>IFERROR(VLOOKUP(CONCATENATE($B479,"_",O$3),materiali!$C:$K,5,0),"")</f>
        <v/>
      </c>
      <c r="P479" s="85" t="str">
        <f>IFERROR(VLOOKUP(CONCATENATE($B479,"_",P$3),materiali!$C:$K,6,0),"")</f>
        <v/>
      </c>
      <c r="Q479" s="86"/>
      <c r="R479" s="84" t="str">
        <f>IFERROR(VLOOKUP(CONCATENATE($B479,"_",R$3),materiali!$C:$K,5,0),"")</f>
        <v/>
      </c>
      <c r="S479" s="85" t="str">
        <f>IFERROR(VLOOKUP(CONCATENATE($B479,"_",S$3),materiali!$C:$K,6,0),"")</f>
        <v/>
      </c>
      <c r="T479" s="86"/>
      <c r="U479" s="31"/>
      <c r="AD479" s="97"/>
    </row>
    <row r="480" spans="1:30" ht="35.1" hidden="1" customHeight="1" x14ac:dyDescent="0.25">
      <c r="A480" s="83"/>
      <c r="B480" s="7"/>
      <c r="C480" s="8"/>
      <c r="D480" s="8"/>
      <c r="E480" s="60"/>
      <c r="F480" s="84" t="str">
        <f>IFERROR(VLOOKUP(CONCATENATE($B480,"_",F$3),materiali!$C:$K,5,0),"")</f>
        <v/>
      </c>
      <c r="G480" s="85" t="str">
        <f>IFERROR(VLOOKUP(CONCATENATE($B480,"_",G$3),materiali!$C:$K,6,0),"")</f>
        <v/>
      </c>
      <c r="H480" s="86"/>
      <c r="I480" s="84" t="str">
        <f>IFERROR(VLOOKUP(CONCATENATE($B480,"_",I$3),materiali!$C:$K,5,0),"")</f>
        <v/>
      </c>
      <c r="J480" s="85" t="str">
        <f>IFERROR(VLOOKUP(CONCATENATE($B480,"_",J$3),materiali!$C:$K,6,0),"")</f>
        <v/>
      </c>
      <c r="K480" s="86"/>
      <c r="L480" s="84" t="str">
        <f>IFERROR(VLOOKUP(CONCATENATE($B480,"_",L$3),materiali!$C:$K,5,0),"")</f>
        <v/>
      </c>
      <c r="M480" s="85" t="str">
        <f>IFERROR(VLOOKUP(CONCATENATE($B480,"_",M$3),materiali!$C:$K,6,0),"")</f>
        <v/>
      </c>
      <c r="N480" s="86"/>
      <c r="O480" s="84" t="str">
        <f>IFERROR(VLOOKUP(CONCATENATE($B480,"_",O$3),materiali!$C:$K,5,0),"")</f>
        <v/>
      </c>
      <c r="P480" s="85" t="str">
        <f>IFERROR(VLOOKUP(CONCATENATE($B480,"_",P$3),materiali!$C:$K,6,0),"")</f>
        <v/>
      </c>
      <c r="Q480" s="86"/>
      <c r="R480" s="84" t="str">
        <f>IFERROR(VLOOKUP(CONCATENATE($B480,"_",R$3),materiali!$C:$K,5,0),"")</f>
        <v/>
      </c>
      <c r="S480" s="85" t="str">
        <f>IFERROR(VLOOKUP(CONCATENATE($B480,"_",S$3),materiali!$C:$K,6,0),"")</f>
        <v/>
      </c>
      <c r="T480" s="86"/>
      <c r="U480" s="31"/>
      <c r="AD480" s="97"/>
    </row>
    <row r="481" spans="1:30" ht="35.1" hidden="1" customHeight="1" x14ac:dyDescent="0.25">
      <c r="A481" s="83"/>
      <c r="B481" s="7"/>
      <c r="C481" s="8"/>
      <c r="D481" s="8"/>
      <c r="E481" s="60"/>
      <c r="F481" s="84" t="str">
        <f>IFERROR(VLOOKUP(CONCATENATE($B481,"_",F$3),materiali!$C:$K,5,0),"")</f>
        <v/>
      </c>
      <c r="G481" s="85" t="str">
        <f>IFERROR(VLOOKUP(CONCATENATE($B481,"_",G$3),materiali!$C:$K,6,0),"")</f>
        <v/>
      </c>
      <c r="H481" s="86"/>
      <c r="I481" s="84" t="str">
        <f>IFERROR(VLOOKUP(CONCATENATE($B481,"_",I$3),materiali!$C:$K,5,0),"")</f>
        <v/>
      </c>
      <c r="J481" s="85" t="str">
        <f>IFERROR(VLOOKUP(CONCATENATE($B481,"_",J$3),materiali!$C:$K,6,0),"")</f>
        <v/>
      </c>
      <c r="K481" s="86"/>
      <c r="L481" s="84" t="str">
        <f>IFERROR(VLOOKUP(CONCATENATE($B481,"_",L$3),materiali!$C:$K,5,0),"")</f>
        <v/>
      </c>
      <c r="M481" s="85" t="str">
        <f>IFERROR(VLOOKUP(CONCATENATE($B481,"_",M$3),materiali!$C:$K,6,0),"")</f>
        <v/>
      </c>
      <c r="N481" s="86"/>
      <c r="O481" s="84" t="str">
        <f>IFERROR(VLOOKUP(CONCATENATE($B481,"_",O$3),materiali!$C:$K,5,0),"")</f>
        <v/>
      </c>
      <c r="P481" s="85" t="str">
        <f>IFERROR(VLOOKUP(CONCATENATE($B481,"_",P$3),materiali!$C:$K,6,0),"")</f>
        <v/>
      </c>
      <c r="Q481" s="86"/>
      <c r="R481" s="84" t="str">
        <f>IFERROR(VLOOKUP(CONCATENATE($B481,"_",R$3),materiali!$C:$K,5,0),"")</f>
        <v/>
      </c>
      <c r="S481" s="85" t="str">
        <f>IFERROR(VLOOKUP(CONCATENATE($B481,"_",S$3),materiali!$C:$K,6,0),"")</f>
        <v/>
      </c>
      <c r="T481" s="86"/>
      <c r="U481" s="31"/>
      <c r="AD481" s="97"/>
    </row>
    <row r="482" spans="1:30" ht="35.1" hidden="1" customHeight="1" x14ac:dyDescent="0.25">
      <c r="A482" s="83"/>
      <c r="B482" s="7"/>
      <c r="C482" s="8"/>
      <c r="D482" s="8"/>
      <c r="E482" s="60"/>
      <c r="F482" s="84" t="str">
        <f>IFERROR(VLOOKUP(CONCATENATE($B482,"_",F$3),materiali!$C:$K,5,0),"")</f>
        <v/>
      </c>
      <c r="G482" s="85" t="str">
        <f>IFERROR(VLOOKUP(CONCATENATE($B482,"_",G$3),materiali!$C:$K,6,0),"")</f>
        <v/>
      </c>
      <c r="H482" s="86"/>
      <c r="I482" s="84" t="str">
        <f>IFERROR(VLOOKUP(CONCATENATE($B482,"_",I$3),materiali!$C:$K,5,0),"")</f>
        <v/>
      </c>
      <c r="J482" s="85" t="str">
        <f>IFERROR(VLOOKUP(CONCATENATE($B482,"_",J$3),materiali!$C:$K,6,0),"")</f>
        <v/>
      </c>
      <c r="K482" s="86"/>
      <c r="L482" s="84" t="str">
        <f>IFERROR(VLOOKUP(CONCATENATE($B482,"_",L$3),materiali!$C:$K,5,0),"")</f>
        <v/>
      </c>
      <c r="M482" s="85" t="str">
        <f>IFERROR(VLOOKUP(CONCATENATE($B482,"_",M$3),materiali!$C:$K,6,0),"")</f>
        <v/>
      </c>
      <c r="N482" s="86"/>
      <c r="O482" s="84" t="str">
        <f>IFERROR(VLOOKUP(CONCATENATE($B482,"_",O$3),materiali!$C:$K,5,0),"")</f>
        <v/>
      </c>
      <c r="P482" s="85" t="str">
        <f>IFERROR(VLOOKUP(CONCATENATE($B482,"_",P$3),materiali!$C:$K,6,0),"")</f>
        <v/>
      </c>
      <c r="Q482" s="86"/>
      <c r="R482" s="84" t="str">
        <f>IFERROR(VLOOKUP(CONCATENATE($B482,"_",R$3),materiali!$C:$K,5,0),"")</f>
        <v/>
      </c>
      <c r="S482" s="85" t="str">
        <f>IFERROR(VLOOKUP(CONCATENATE($B482,"_",S$3),materiali!$C:$K,6,0),"")</f>
        <v/>
      </c>
      <c r="T482" s="86"/>
      <c r="U482" s="31"/>
      <c r="AD482" s="97"/>
    </row>
    <row r="483" spans="1:30" ht="35.1" hidden="1" customHeight="1" x14ac:dyDescent="0.25">
      <c r="A483" s="83"/>
      <c r="B483" s="7"/>
      <c r="C483" s="8"/>
      <c r="D483" s="8"/>
      <c r="E483" s="60"/>
      <c r="F483" s="84" t="str">
        <f>IFERROR(VLOOKUP(CONCATENATE($B483,"_",F$3),materiali!$C:$K,5,0),"")</f>
        <v/>
      </c>
      <c r="G483" s="85" t="str">
        <f>IFERROR(VLOOKUP(CONCATENATE($B483,"_",G$3),materiali!$C:$K,6,0),"")</f>
        <v/>
      </c>
      <c r="H483" s="86"/>
      <c r="I483" s="84" t="str">
        <f>IFERROR(VLOOKUP(CONCATENATE($B483,"_",I$3),materiali!$C:$K,5,0),"")</f>
        <v/>
      </c>
      <c r="J483" s="85" t="str">
        <f>IFERROR(VLOOKUP(CONCATENATE($B483,"_",J$3),materiali!$C:$K,6,0),"")</f>
        <v/>
      </c>
      <c r="K483" s="86"/>
      <c r="L483" s="84" t="str">
        <f>IFERROR(VLOOKUP(CONCATENATE($B483,"_",L$3),materiali!$C:$K,5,0),"")</f>
        <v/>
      </c>
      <c r="M483" s="85" t="str">
        <f>IFERROR(VLOOKUP(CONCATENATE($B483,"_",M$3),materiali!$C:$K,6,0),"")</f>
        <v/>
      </c>
      <c r="N483" s="86"/>
      <c r="O483" s="84" t="str">
        <f>IFERROR(VLOOKUP(CONCATENATE($B483,"_",O$3),materiali!$C:$K,5,0),"")</f>
        <v/>
      </c>
      <c r="P483" s="85" t="str">
        <f>IFERROR(VLOOKUP(CONCATENATE($B483,"_",P$3),materiali!$C:$K,6,0),"")</f>
        <v/>
      </c>
      <c r="Q483" s="86"/>
      <c r="R483" s="84" t="str">
        <f>IFERROR(VLOOKUP(CONCATENATE($B483,"_",R$3),materiali!$C:$K,5,0),"")</f>
        <v/>
      </c>
      <c r="S483" s="85" t="str">
        <f>IFERROR(VLOOKUP(CONCATENATE($B483,"_",S$3),materiali!$C:$K,6,0),"")</f>
        <v/>
      </c>
      <c r="T483" s="86"/>
      <c r="U483" s="31"/>
      <c r="AD483" s="97"/>
    </row>
    <row r="484" spans="1:30" ht="35.1" hidden="1" customHeight="1" x14ac:dyDescent="0.25">
      <c r="A484" s="83"/>
      <c r="B484" s="7"/>
      <c r="C484" s="8"/>
      <c r="D484" s="8"/>
      <c r="E484" s="60"/>
      <c r="F484" s="84" t="str">
        <f>IFERROR(VLOOKUP(CONCATENATE($B484,"_",F$3),materiali!$C:$K,5,0),"")</f>
        <v/>
      </c>
      <c r="G484" s="85" t="str">
        <f>IFERROR(VLOOKUP(CONCATENATE($B484,"_",G$3),materiali!$C:$K,6,0),"")</f>
        <v/>
      </c>
      <c r="H484" s="86"/>
      <c r="I484" s="84" t="str">
        <f>IFERROR(VLOOKUP(CONCATENATE($B484,"_",I$3),materiali!$C:$K,5,0),"")</f>
        <v/>
      </c>
      <c r="J484" s="85" t="str">
        <f>IFERROR(VLOOKUP(CONCATENATE($B484,"_",J$3),materiali!$C:$K,6,0),"")</f>
        <v/>
      </c>
      <c r="K484" s="86"/>
      <c r="L484" s="84" t="str">
        <f>IFERROR(VLOOKUP(CONCATENATE($B484,"_",L$3),materiali!$C:$K,5,0),"")</f>
        <v/>
      </c>
      <c r="M484" s="85" t="str">
        <f>IFERROR(VLOOKUP(CONCATENATE($B484,"_",M$3),materiali!$C:$K,6,0),"")</f>
        <v/>
      </c>
      <c r="N484" s="86"/>
      <c r="O484" s="84" t="str">
        <f>IFERROR(VLOOKUP(CONCATENATE($B484,"_",O$3),materiali!$C:$K,5,0),"")</f>
        <v/>
      </c>
      <c r="P484" s="85" t="str">
        <f>IFERROR(VLOOKUP(CONCATENATE($B484,"_",P$3),materiali!$C:$K,6,0),"")</f>
        <v/>
      </c>
      <c r="Q484" s="86"/>
      <c r="R484" s="84" t="str">
        <f>IFERROR(VLOOKUP(CONCATENATE($B484,"_",R$3),materiali!$C:$K,5,0),"")</f>
        <v/>
      </c>
      <c r="S484" s="85" t="str">
        <f>IFERROR(VLOOKUP(CONCATENATE($B484,"_",S$3),materiali!$C:$K,6,0),"")</f>
        <v/>
      </c>
      <c r="T484" s="86"/>
      <c r="U484" s="31"/>
      <c r="AD484" s="97"/>
    </row>
    <row r="485" spans="1:30" ht="35.1" hidden="1" customHeight="1" x14ac:dyDescent="0.25">
      <c r="A485" s="83"/>
      <c r="B485" s="7"/>
      <c r="C485" s="8"/>
      <c r="D485" s="8"/>
      <c r="E485" s="60"/>
      <c r="F485" s="84" t="str">
        <f>IFERROR(VLOOKUP(CONCATENATE($B485,"_",F$3),materiali!$C:$K,5,0),"")</f>
        <v/>
      </c>
      <c r="G485" s="85" t="str">
        <f>IFERROR(VLOOKUP(CONCATENATE($B485,"_",G$3),materiali!$C:$K,6,0),"")</f>
        <v/>
      </c>
      <c r="H485" s="86"/>
      <c r="I485" s="84" t="str">
        <f>IFERROR(VLOOKUP(CONCATENATE($B485,"_",I$3),materiali!$C:$K,5,0),"")</f>
        <v/>
      </c>
      <c r="J485" s="85" t="str">
        <f>IFERROR(VLOOKUP(CONCATENATE($B485,"_",J$3),materiali!$C:$K,6,0),"")</f>
        <v/>
      </c>
      <c r="K485" s="86"/>
      <c r="L485" s="84" t="str">
        <f>IFERROR(VLOOKUP(CONCATENATE($B485,"_",L$3),materiali!$C:$K,5,0),"")</f>
        <v/>
      </c>
      <c r="M485" s="85" t="str">
        <f>IFERROR(VLOOKUP(CONCATENATE($B485,"_",M$3),materiali!$C:$K,6,0),"")</f>
        <v/>
      </c>
      <c r="N485" s="86"/>
      <c r="O485" s="84" t="str">
        <f>IFERROR(VLOOKUP(CONCATENATE($B485,"_",O$3),materiali!$C:$K,5,0),"")</f>
        <v/>
      </c>
      <c r="P485" s="85" t="str">
        <f>IFERROR(VLOOKUP(CONCATENATE($B485,"_",P$3),materiali!$C:$K,6,0),"")</f>
        <v/>
      </c>
      <c r="Q485" s="86"/>
      <c r="R485" s="84" t="str">
        <f>IFERROR(VLOOKUP(CONCATENATE($B485,"_",R$3),materiali!$C:$K,5,0),"")</f>
        <v/>
      </c>
      <c r="S485" s="85" t="str">
        <f>IFERROR(VLOOKUP(CONCATENATE($B485,"_",S$3),materiali!$C:$K,6,0),"")</f>
        <v/>
      </c>
      <c r="T485" s="86"/>
      <c r="U485" s="31"/>
      <c r="AD485" s="97"/>
    </row>
    <row r="486" spans="1:30" ht="35.1" hidden="1" customHeight="1" x14ac:dyDescent="0.25">
      <c r="A486" s="83"/>
      <c r="B486" s="7"/>
      <c r="C486" s="8"/>
      <c r="D486" s="8"/>
      <c r="E486" s="60"/>
      <c r="F486" s="84" t="str">
        <f>IFERROR(VLOOKUP(CONCATENATE($B486,"_",F$3),materiali!$C:$K,5,0),"")</f>
        <v/>
      </c>
      <c r="G486" s="85" t="str">
        <f>IFERROR(VLOOKUP(CONCATENATE($B486,"_",G$3),materiali!$C:$K,6,0),"")</f>
        <v/>
      </c>
      <c r="H486" s="86"/>
      <c r="I486" s="84" t="str">
        <f>IFERROR(VLOOKUP(CONCATENATE($B486,"_",I$3),materiali!$C:$K,5,0),"")</f>
        <v/>
      </c>
      <c r="J486" s="85" t="str">
        <f>IFERROR(VLOOKUP(CONCATENATE($B486,"_",J$3),materiali!$C:$K,6,0),"")</f>
        <v/>
      </c>
      <c r="K486" s="86"/>
      <c r="L486" s="84" t="str">
        <f>IFERROR(VLOOKUP(CONCATENATE($B486,"_",L$3),materiali!$C:$K,5,0),"")</f>
        <v/>
      </c>
      <c r="M486" s="85" t="str">
        <f>IFERROR(VLOOKUP(CONCATENATE($B486,"_",M$3),materiali!$C:$K,6,0),"")</f>
        <v/>
      </c>
      <c r="N486" s="86"/>
      <c r="O486" s="84" t="str">
        <f>IFERROR(VLOOKUP(CONCATENATE($B486,"_",O$3),materiali!$C:$K,5,0),"")</f>
        <v/>
      </c>
      <c r="P486" s="85" t="str">
        <f>IFERROR(VLOOKUP(CONCATENATE($B486,"_",P$3),materiali!$C:$K,6,0),"")</f>
        <v/>
      </c>
      <c r="Q486" s="86"/>
      <c r="R486" s="84" t="str">
        <f>IFERROR(VLOOKUP(CONCATENATE($B486,"_",R$3),materiali!$C:$K,5,0),"")</f>
        <v/>
      </c>
      <c r="S486" s="85" t="str">
        <f>IFERROR(VLOOKUP(CONCATENATE($B486,"_",S$3),materiali!$C:$K,6,0),"")</f>
        <v/>
      </c>
      <c r="T486" s="86"/>
      <c r="U486" s="31"/>
      <c r="AD486" s="97"/>
    </row>
    <row r="487" spans="1:30" ht="35.1" hidden="1" customHeight="1" x14ac:dyDescent="0.25">
      <c r="A487" s="83"/>
      <c r="B487" s="7"/>
      <c r="C487" s="8"/>
      <c r="D487" s="8"/>
      <c r="E487" s="60"/>
      <c r="F487" s="84" t="str">
        <f>IFERROR(VLOOKUP(CONCATENATE($B487,"_",F$3),materiali!$C:$K,5,0),"")</f>
        <v/>
      </c>
      <c r="G487" s="85" t="str">
        <f>IFERROR(VLOOKUP(CONCATENATE($B487,"_",G$3),materiali!$C:$K,6,0),"")</f>
        <v/>
      </c>
      <c r="H487" s="86"/>
      <c r="I487" s="84" t="str">
        <f>IFERROR(VLOOKUP(CONCATENATE($B487,"_",I$3),materiali!$C:$K,5,0),"")</f>
        <v/>
      </c>
      <c r="J487" s="85" t="str">
        <f>IFERROR(VLOOKUP(CONCATENATE($B487,"_",J$3),materiali!$C:$K,6,0),"")</f>
        <v/>
      </c>
      <c r="K487" s="86"/>
      <c r="L487" s="84" t="str">
        <f>IFERROR(VLOOKUP(CONCATENATE($B487,"_",L$3),materiali!$C:$K,5,0),"")</f>
        <v/>
      </c>
      <c r="M487" s="85" t="str">
        <f>IFERROR(VLOOKUP(CONCATENATE($B487,"_",M$3),materiali!$C:$K,6,0),"")</f>
        <v/>
      </c>
      <c r="N487" s="86"/>
      <c r="O487" s="84" t="str">
        <f>IFERROR(VLOOKUP(CONCATENATE($B487,"_",O$3),materiali!$C:$K,5,0),"")</f>
        <v/>
      </c>
      <c r="P487" s="85" t="str">
        <f>IFERROR(VLOOKUP(CONCATENATE($B487,"_",P$3),materiali!$C:$K,6,0),"")</f>
        <v/>
      </c>
      <c r="Q487" s="86"/>
      <c r="R487" s="84" t="str">
        <f>IFERROR(VLOOKUP(CONCATENATE($B487,"_",R$3),materiali!$C:$K,5,0),"")</f>
        <v/>
      </c>
      <c r="S487" s="85" t="str">
        <f>IFERROR(VLOOKUP(CONCATENATE($B487,"_",S$3),materiali!$C:$K,6,0),"")</f>
        <v/>
      </c>
      <c r="T487" s="86"/>
      <c r="U487" s="31"/>
      <c r="AD487" s="97"/>
    </row>
    <row r="488" spans="1:30" ht="35.1" hidden="1" customHeight="1" x14ac:dyDescent="0.25">
      <c r="A488" s="83"/>
      <c r="B488" s="7"/>
      <c r="C488" s="8"/>
      <c r="D488" s="8"/>
      <c r="E488" s="60"/>
      <c r="F488" s="84" t="str">
        <f>IFERROR(VLOOKUP(CONCATENATE($B488,"_",F$3),materiali!$C:$K,5,0),"")</f>
        <v/>
      </c>
      <c r="G488" s="85" t="str">
        <f>IFERROR(VLOOKUP(CONCATENATE($B488,"_",G$3),materiali!$C:$K,6,0),"")</f>
        <v/>
      </c>
      <c r="H488" s="86"/>
      <c r="I488" s="84" t="str">
        <f>IFERROR(VLOOKUP(CONCATENATE($B488,"_",I$3),materiali!$C:$K,5,0),"")</f>
        <v/>
      </c>
      <c r="J488" s="85" t="str">
        <f>IFERROR(VLOOKUP(CONCATENATE($B488,"_",J$3),materiali!$C:$K,6,0),"")</f>
        <v/>
      </c>
      <c r="K488" s="86"/>
      <c r="L488" s="84" t="str">
        <f>IFERROR(VLOOKUP(CONCATENATE($B488,"_",L$3),materiali!$C:$K,5,0),"")</f>
        <v/>
      </c>
      <c r="M488" s="85" t="str">
        <f>IFERROR(VLOOKUP(CONCATENATE($B488,"_",M$3),materiali!$C:$K,6,0),"")</f>
        <v/>
      </c>
      <c r="N488" s="86"/>
      <c r="O488" s="84" t="str">
        <f>IFERROR(VLOOKUP(CONCATENATE($B488,"_",O$3),materiali!$C:$K,5,0),"")</f>
        <v/>
      </c>
      <c r="P488" s="85" t="str">
        <f>IFERROR(VLOOKUP(CONCATENATE($B488,"_",P$3),materiali!$C:$K,6,0),"")</f>
        <v/>
      </c>
      <c r="Q488" s="86"/>
      <c r="R488" s="84" t="str">
        <f>IFERROR(VLOOKUP(CONCATENATE($B488,"_",R$3),materiali!$C:$K,5,0),"")</f>
        <v/>
      </c>
      <c r="S488" s="85" t="str">
        <f>IFERROR(VLOOKUP(CONCATENATE($B488,"_",S$3),materiali!$C:$K,6,0),"")</f>
        <v/>
      </c>
      <c r="T488" s="86"/>
      <c r="U488" s="31"/>
      <c r="AD488" s="97"/>
    </row>
    <row r="489" spans="1:30" ht="35.1" hidden="1" customHeight="1" x14ac:dyDescent="0.25">
      <c r="A489" s="83"/>
      <c r="B489" s="7"/>
      <c r="C489" s="8"/>
      <c r="D489" s="8"/>
      <c r="E489" s="60"/>
      <c r="F489" s="84" t="str">
        <f>IFERROR(VLOOKUP(CONCATENATE($B489,"_",F$3),materiali!$C:$K,5,0),"")</f>
        <v/>
      </c>
      <c r="G489" s="85" t="str">
        <f>IFERROR(VLOOKUP(CONCATENATE($B489,"_",G$3),materiali!$C:$K,6,0),"")</f>
        <v/>
      </c>
      <c r="H489" s="86"/>
      <c r="I489" s="84" t="str">
        <f>IFERROR(VLOOKUP(CONCATENATE($B489,"_",I$3),materiali!$C:$K,5,0),"")</f>
        <v/>
      </c>
      <c r="J489" s="85" t="str">
        <f>IFERROR(VLOOKUP(CONCATENATE($B489,"_",J$3),materiali!$C:$K,6,0),"")</f>
        <v/>
      </c>
      <c r="K489" s="86"/>
      <c r="L489" s="84" t="str">
        <f>IFERROR(VLOOKUP(CONCATENATE($B489,"_",L$3),materiali!$C:$K,5,0),"")</f>
        <v/>
      </c>
      <c r="M489" s="85" t="str">
        <f>IFERROR(VLOOKUP(CONCATENATE($B489,"_",M$3),materiali!$C:$K,6,0),"")</f>
        <v/>
      </c>
      <c r="N489" s="86"/>
      <c r="O489" s="84" t="str">
        <f>IFERROR(VLOOKUP(CONCATENATE($B489,"_",O$3),materiali!$C:$K,5,0),"")</f>
        <v/>
      </c>
      <c r="P489" s="85" t="str">
        <f>IFERROR(VLOOKUP(CONCATENATE($B489,"_",P$3),materiali!$C:$K,6,0),"")</f>
        <v/>
      </c>
      <c r="Q489" s="86"/>
      <c r="R489" s="84" t="str">
        <f>IFERROR(VLOOKUP(CONCATENATE($B489,"_",R$3),materiali!$C:$K,5,0),"")</f>
        <v/>
      </c>
      <c r="S489" s="85" t="str">
        <f>IFERROR(VLOOKUP(CONCATENATE($B489,"_",S$3),materiali!$C:$K,6,0),"")</f>
        <v/>
      </c>
      <c r="T489" s="86"/>
      <c r="U489" s="31"/>
      <c r="AD489" s="97"/>
    </row>
    <row r="490" spans="1:30" ht="35.1" hidden="1" customHeight="1" x14ac:dyDescent="0.25">
      <c r="A490" s="83"/>
      <c r="B490" s="7"/>
      <c r="C490" s="8"/>
      <c r="D490" s="8"/>
      <c r="E490" s="60"/>
      <c r="F490" s="84" t="str">
        <f>IFERROR(VLOOKUP(CONCATENATE($B490,"_",F$3),materiali!$C:$K,5,0),"")</f>
        <v/>
      </c>
      <c r="G490" s="85" t="str">
        <f>IFERROR(VLOOKUP(CONCATENATE($B490,"_",G$3),materiali!$C:$K,6,0),"")</f>
        <v/>
      </c>
      <c r="H490" s="86"/>
      <c r="I490" s="84" t="str">
        <f>IFERROR(VLOOKUP(CONCATENATE($B490,"_",I$3),materiali!$C:$K,5,0),"")</f>
        <v/>
      </c>
      <c r="J490" s="85" t="str">
        <f>IFERROR(VLOOKUP(CONCATENATE($B490,"_",J$3),materiali!$C:$K,6,0),"")</f>
        <v/>
      </c>
      <c r="K490" s="86"/>
      <c r="L490" s="84" t="str">
        <f>IFERROR(VLOOKUP(CONCATENATE($B490,"_",L$3),materiali!$C:$K,5,0),"")</f>
        <v/>
      </c>
      <c r="M490" s="85" t="str">
        <f>IFERROR(VLOOKUP(CONCATENATE($B490,"_",M$3),materiali!$C:$K,6,0),"")</f>
        <v/>
      </c>
      <c r="N490" s="86"/>
      <c r="O490" s="84" t="str">
        <f>IFERROR(VLOOKUP(CONCATENATE($B490,"_",O$3),materiali!$C:$K,5,0),"")</f>
        <v/>
      </c>
      <c r="P490" s="85" t="str">
        <f>IFERROR(VLOOKUP(CONCATENATE($B490,"_",P$3),materiali!$C:$K,6,0),"")</f>
        <v/>
      </c>
      <c r="Q490" s="86"/>
      <c r="R490" s="84" t="str">
        <f>IFERROR(VLOOKUP(CONCATENATE($B490,"_",R$3),materiali!$C:$K,5,0),"")</f>
        <v/>
      </c>
      <c r="S490" s="85" t="str">
        <f>IFERROR(VLOOKUP(CONCATENATE($B490,"_",S$3),materiali!$C:$K,6,0),"")</f>
        <v/>
      </c>
      <c r="T490" s="86"/>
      <c r="U490" s="31"/>
      <c r="AD490" s="97"/>
    </row>
    <row r="491" spans="1:30" ht="35.1" hidden="1" customHeight="1" x14ac:dyDescent="0.25">
      <c r="A491" s="83"/>
      <c r="B491" s="7"/>
      <c r="C491" s="8"/>
      <c r="D491" s="8"/>
      <c r="E491" s="60"/>
      <c r="F491" s="84" t="str">
        <f>IFERROR(VLOOKUP(CONCATENATE($B491,"_",F$3),materiali!$C:$K,5,0),"")</f>
        <v/>
      </c>
      <c r="G491" s="85" t="str">
        <f>IFERROR(VLOOKUP(CONCATENATE($B491,"_",G$3),materiali!$C:$K,6,0),"")</f>
        <v/>
      </c>
      <c r="H491" s="86"/>
      <c r="I491" s="84" t="str">
        <f>IFERROR(VLOOKUP(CONCATENATE($B491,"_",I$3),materiali!$C:$K,5,0),"")</f>
        <v/>
      </c>
      <c r="J491" s="85" t="str">
        <f>IFERROR(VLOOKUP(CONCATENATE($B491,"_",J$3),materiali!$C:$K,6,0),"")</f>
        <v/>
      </c>
      <c r="K491" s="86"/>
      <c r="L491" s="84" t="str">
        <f>IFERROR(VLOOKUP(CONCATENATE($B491,"_",L$3),materiali!$C:$K,5,0),"")</f>
        <v/>
      </c>
      <c r="M491" s="85" t="str">
        <f>IFERROR(VLOOKUP(CONCATENATE($B491,"_",M$3),materiali!$C:$K,6,0),"")</f>
        <v/>
      </c>
      <c r="N491" s="86"/>
      <c r="O491" s="84" t="str">
        <f>IFERROR(VLOOKUP(CONCATENATE($B491,"_",O$3),materiali!$C:$K,5,0),"")</f>
        <v/>
      </c>
      <c r="P491" s="85" t="str">
        <f>IFERROR(VLOOKUP(CONCATENATE($B491,"_",P$3),materiali!$C:$K,6,0),"")</f>
        <v/>
      </c>
      <c r="Q491" s="86"/>
      <c r="R491" s="84" t="str">
        <f>IFERROR(VLOOKUP(CONCATENATE($B491,"_",R$3),materiali!$C:$K,5,0),"")</f>
        <v/>
      </c>
      <c r="S491" s="85" t="str">
        <f>IFERROR(VLOOKUP(CONCATENATE($B491,"_",S$3),materiali!$C:$K,6,0),"")</f>
        <v/>
      </c>
      <c r="T491" s="86"/>
      <c r="U491" s="31"/>
      <c r="AD491" s="97"/>
    </row>
    <row r="492" spans="1:30" ht="35.1" hidden="1" customHeight="1" x14ac:dyDescent="0.25">
      <c r="A492" s="83"/>
      <c r="B492" s="7"/>
      <c r="C492" s="8"/>
      <c r="D492" s="8"/>
      <c r="E492" s="60"/>
      <c r="F492" s="84" t="str">
        <f>IFERROR(VLOOKUP(CONCATENATE($B492,"_",F$3),materiali!$C:$K,5,0),"")</f>
        <v/>
      </c>
      <c r="G492" s="85" t="str">
        <f>IFERROR(VLOOKUP(CONCATENATE($B492,"_",G$3),materiali!$C:$K,6,0),"")</f>
        <v/>
      </c>
      <c r="H492" s="86"/>
      <c r="I492" s="84" t="str">
        <f>IFERROR(VLOOKUP(CONCATENATE($B492,"_",I$3),materiali!$C:$K,5,0),"")</f>
        <v/>
      </c>
      <c r="J492" s="85" t="str">
        <f>IFERROR(VLOOKUP(CONCATENATE($B492,"_",J$3),materiali!$C:$K,6,0),"")</f>
        <v/>
      </c>
      <c r="K492" s="86"/>
      <c r="L492" s="84" t="str">
        <f>IFERROR(VLOOKUP(CONCATENATE($B492,"_",L$3),materiali!$C:$K,5,0),"")</f>
        <v/>
      </c>
      <c r="M492" s="85" t="str">
        <f>IFERROR(VLOOKUP(CONCATENATE($B492,"_",M$3),materiali!$C:$K,6,0),"")</f>
        <v/>
      </c>
      <c r="N492" s="86"/>
      <c r="O492" s="84" t="str">
        <f>IFERROR(VLOOKUP(CONCATENATE($B492,"_",O$3),materiali!$C:$K,5,0),"")</f>
        <v/>
      </c>
      <c r="P492" s="85" t="str">
        <f>IFERROR(VLOOKUP(CONCATENATE($B492,"_",P$3),materiali!$C:$K,6,0),"")</f>
        <v/>
      </c>
      <c r="Q492" s="86"/>
      <c r="R492" s="84" t="str">
        <f>IFERROR(VLOOKUP(CONCATENATE($B492,"_",R$3),materiali!$C:$K,5,0),"")</f>
        <v/>
      </c>
      <c r="S492" s="85" t="str">
        <f>IFERROR(VLOOKUP(CONCATENATE($B492,"_",S$3),materiali!$C:$K,6,0),"")</f>
        <v/>
      </c>
      <c r="T492" s="86"/>
      <c r="U492" s="31"/>
      <c r="AD492" s="97"/>
    </row>
    <row r="493" spans="1:30" ht="35.1" hidden="1" customHeight="1" x14ac:dyDescent="0.25">
      <c r="A493" s="83"/>
      <c r="B493" s="7"/>
      <c r="C493" s="8"/>
      <c r="D493" s="8"/>
      <c r="E493" s="60"/>
      <c r="F493" s="84" t="str">
        <f>IFERROR(VLOOKUP(CONCATENATE($B493,"_",F$3),materiali!$C:$K,5,0),"")</f>
        <v/>
      </c>
      <c r="G493" s="85" t="str">
        <f>IFERROR(VLOOKUP(CONCATENATE($B493,"_",G$3),materiali!$C:$K,6,0),"")</f>
        <v/>
      </c>
      <c r="H493" s="86"/>
      <c r="I493" s="84" t="str">
        <f>IFERROR(VLOOKUP(CONCATENATE($B493,"_",I$3),materiali!$C:$K,5,0),"")</f>
        <v/>
      </c>
      <c r="J493" s="85" t="str">
        <f>IFERROR(VLOOKUP(CONCATENATE($B493,"_",J$3),materiali!$C:$K,6,0),"")</f>
        <v/>
      </c>
      <c r="K493" s="86"/>
      <c r="L493" s="84" t="str">
        <f>IFERROR(VLOOKUP(CONCATENATE($B493,"_",L$3),materiali!$C:$K,5,0),"")</f>
        <v/>
      </c>
      <c r="M493" s="85" t="str">
        <f>IFERROR(VLOOKUP(CONCATENATE($B493,"_",M$3),materiali!$C:$K,6,0),"")</f>
        <v/>
      </c>
      <c r="N493" s="86"/>
      <c r="O493" s="84" t="str">
        <f>IFERROR(VLOOKUP(CONCATENATE($B493,"_",O$3),materiali!$C:$K,5,0),"")</f>
        <v/>
      </c>
      <c r="P493" s="85" t="str">
        <f>IFERROR(VLOOKUP(CONCATENATE($B493,"_",P$3),materiali!$C:$K,6,0),"")</f>
        <v/>
      </c>
      <c r="Q493" s="86"/>
      <c r="R493" s="84" t="str">
        <f>IFERROR(VLOOKUP(CONCATENATE($B493,"_",R$3),materiali!$C:$K,5,0),"")</f>
        <v/>
      </c>
      <c r="S493" s="85" t="str">
        <f>IFERROR(VLOOKUP(CONCATENATE($B493,"_",S$3),materiali!$C:$K,6,0),"")</f>
        <v/>
      </c>
      <c r="T493" s="86"/>
      <c r="U493" s="31"/>
      <c r="AD493" s="97"/>
    </row>
    <row r="494" spans="1:30" ht="35.1" hidden="1" customHeight="1" x14ac:dyDescent="0.25">
      <c r="A494" s="83"/>
      <c r="B494" s="7"/>
      <c r="C494" s="8"/>
      <c r="D494" s="8"/>
      <c r="E494" s="60"/>
      <c r="F494" s="84" t="str">
        <f>IFERROR(VLOOKUP(CONCATENATE($B494,"_",F$3),materiali!$C:$K,5,0),"")</f>
        <v/>
      </c>
      <c r="G494" s="85" t="str">
        <f>IFERROR(VLOOKUP(CONCATENATE($B494,"_",G$3),materiali!$C:$K,6,0),"")</f>
        <v/>
      </c>
      <c r="H494" s="86"/>
      <c r="I494" s="84" t="str">
        <f>IFERROR(VLOOKUP(CONCATENATE($B494,"_",I$3),materiali!$C:$K,5,0),"")</f>
        <v/>
      </c>
      <c r="J494" s="85" t="str">
        <f>IFERROR(VLOOKUP(CONCATENATE($B494,"_",J$3),materiali!$C:$K,6,0),"")</f>
        <v/>
      </c>
      <c r="K494" s="86"/>
      <c r="L494" s="84" t="str">
        <f>IFERROR(VLOOKUP(CONCATENATE($B494,"_",L$3),materiali!$C:$K,5,0),"")</f>
        <v/>
      </c>
      <c r="M494" s="85" t="str">
        <f>IFERROR(VLOOKUP(CONCATENATE($B494,"_",M$3),materiali!$C:$K,6,0),"")</f>
        <v/>
      </c>
      <c r="N494" s="86"/>
      <c r="O494" s="84" t="str">
        <f>IFERROR(VLOOKUP(CONCATENATE($B494,"_",O$3),materiali!$C:$K,5,0),"")</f>
        <v/>
      </c>
      <c r="P494" s="85" t="str">
        <f>IFERROR(VLOOKUP(CONCATENATE($B494,"_",P$3),materiali!$C:$K,6,0),"")</f>
        <v/>
      </c>
      <c r="Q494" s="86"/>
      <c r="R494" s="84" t="str">
        <f>IFERROR(VLOOKUP(CONCATENATE($B494,"_",R$3),materiali!$C:$K,5,0),"")</f>
        <v/>
      </c>
      <c r="S494" s="85" t="str">
        <f>IFERROR(VLOOKUP(CONCATENATE($B494,"_",S$3),materiali!$C:$K,6,0),"")</f>
        <v/>
      </c>
      <c r="T494" s="86"/>
      <c r="U494" s="31"/>
      <c r="AD494" s="97"/>
    </row>
    <row r="495" spans="1:30" ht="35.1" hidden="1" customHeight="1" x14ac:dyDescent="0.25">
      <c r="A495" s="83"/>
      <c r="B495" s="7"/>
      <c r="C495" s="8"/>
      <c r="D495" s="8"/>
      <c r="E495" s="60"/>
      <c r="F495" s="84" t="str">
        <f>IFERROR(VLOOKUP(CONCATENATE($B495,"_",F$3),materiali!$C:$K,5,0),"")</f>
        <v/>
      </c>
      <c r="G495" s="85" t="str">
        <f>IFERROR(VLOOKUP(CONCATENATE($B495,"_",G$3),materiali!$C:$K,6,0),"")</f>
        <v/>
      </c>
      <c r="H495" s="86"/>
      <c r="I495" s="84" t="str">
        <f>IFERROR(VLOOKUP(CONCATENATE($B495,"_",I$3),materiali!$C:$K,5,0),"")</f>
        <v/>
      </c>
      <c r="J495" s="85" t="str">
        <f>IFERROR(VLOOKUP(CONCATENATE($B495,"_",J$3),materiali!$C:$K,6,0),"")</f>
        <v/>
      </c>
      <c r="K495" s="86"/>
      <c r="L495" s="84" t="str">
        <f>IFERROR(VLOOKUP(CONCATENATE($B495,"_",L$3),materiali!$C:$K,5,0),"")</f>
        <v/>
      </c>
      <c r="M495" s="85" t="str">
        <f>IFERROR(VLOOKUP(CONCATENATE($B495,"_",M$3),materiali!$C:$K,6,0),"")</f>
        <v/>
      </c>
      <c r="N495" s="86"/>
      <c r="O495" s="84" t="str">
        <f>IFERROR(VLOOKUP(CONCATENATE($B495,"_",O$3),materiali!$C:$K,5,0),"")</f>
        <v/>
      </c>
      <c r="P495" s="85" t="str">
        <f>IFERROR(VLOOKUP(CONCATENATE($B495,"_",P$3),materiali!$C:$K,6,0),"")</f>
        <v/>
      </c>
      <c r="Q495" s="86"/>
      <c r="R495" s="84" t="str">
        <f>IFERROR(VLOOKUP(CONCATENATE($B495,"_",R$3),materiali!$C:$K,5,0),"")</f>
        <v/>
      </c>
      <c r="S495" s="85" t="str">
        <f>IFERROR(VLOOKUP(CONCATENATE($B495,"_",S$3),materiali!$C:$K,6,0),"")</f>
        <v/>
      </c>
      <c r="T495" s="86"/>
      <c r="U495" s="31"/>
      <c r="AD495" s="97"/>
    </row>
    <row r="496" spans="1:30" ht="35.1" hidden="1" customHeight="1" x14ac:dyDescent="0.25">
      <c r="A496" s="83"/>
      <c r="B496" s="7"/>
      <c r="C496" s="8"/>
      <c r="D496" s="8"/>
      <c r="E496" s="60"/>
      <c r="F496" s="84" t="str">
        <f>IFERROR(VLOOKUP(CONCATENATE($B496,"_",F$3),materiali!$C:$K,5,0),"")</f>
        <v/>
      </c>
      <c r="G496" s="85" t="str">
        <f>IFERROR(VLOOKUP(CONCATENATE($B496,"_",G$3),materiali!$C:$K,6,0),"")</f>
        <v/>
      </c>
      <c r="H496" s="86"/>
      <c r="I496" s="84" t="str">
        <f>IFERROR(VLOOKUP(CONCATENATE($B496,"_",I$3),materiali!$C:$K,5,0),"")</f>
        <v/>
      </c>
      <c r="J496" s="85" t="str">
        <f>IFERROR(VLOOKUP(CONCATENATE($B496,"_",J$3),materiali!$C:$K,6,0),"")</f>
        <v/>
      </c>
      <c r="K496" s="86"/>
      <c r="L496" s="84" t="str">
        <f>IFERROR(VLOOKUP(CONCATENATE($B496,"_",L$3),materiali!$C:$K,5,0),"")</f>
        <v/>
      </c>
      <c r="M496" s="85" t="str">
        <f>IFERROR(VLOOKUP(CONCATENATE($B496,"_",M$3),materiali!$C:$K,6,0),"")</f>
        <v/>
      </c>
      <c r="N496" s="86"/>
      <c r="O496" s="84" t="str">
        <f>IFERROR(VLOOKUP(CONCATENATE($B496,"_",O$3),materiali!$C:$K,5,0),"")</f>
        <v/>
      </c>
      <c r="P496" s="85" t="str">
        <f>IFERROR(VLOOKUP(CONCATENATE($B496,"_",P$3),materiali!$C:$K,6,0),"")</f>
        <v/>
      </c>
      <c r="Q496" s="86"/>
      <c r="R496" s="84" t="str">
        <f>IFERROR(VLOOKUP(CONCATENATE($B496,"_",R$3),materiali!$C:$K,5,0),"")</f>
        <v/>
      </c>
      <c r="S496" s="85" t="str">
        <f>IFERROR(VLOOKUP(CONCATENATE($B496,"_",S$3),materiali!$C:$K,6,0),"")</f>
        <v/>
      </c>
      <c r="T496" s="86"/>
      <c r="U496" s="31"/>
      <c r="AD496" s="97"/>
    </row>
    <row r="497" spans="1:30" ht="35.1" hidden="1" customHeight="1" x14ac:dyDescent="0.25">
      <c r="A497" s="83"/>
      <c r="B497" s="7"/>
      <c r="C497" s="8"/>
      <c r="D497" s="8"/>
      <c r="E497" s="60"/>
      <c r="F497" s="84" t="str">
        <f>IFERROR(VLOOKUP(CONCATENATE($B497,"_",F$3),materiali!$C:$K,5,0),"")</f>
        <v/>
      </c>
      <c r="G497" s="85" t="str">
        <f>IFERROR(VLOOKUP(CONCATENATE($B497,"_",G$3),materiali!$C:$K,6,0),"")</f>
        <v/>
      </c>
      <c r="H497" s="86"/>
      <c r="I497" s="84" t="str">
        <f>IFERROR(VLOOKUP(CONCATENATE($B497,"_",I$3),materiali!$C:$K,5,0),"")</f>
        <v/>
      </c>
      <c r="J497" s="85" t="str">
        <f>IFERROR(VLOOKUP(CONCATENATE($B497,"_",J$3),materiali!$C:$K,6,0),"")</f>
        <v/>
      </c>
      <c r="K497" s="86"/>
      <c r="L497" s="84" t="str">
        <f>IFERROR(VLOOKUP(CONCATENATE($B497,"_",L$3),materiali!$C:$K,5,0),"")</f>
        <v/>
      </c>
      <c r="M497" s="85" t="str">
        <f>IFERROR(VLOOKUP(CONCATENATE($B497,"_",M$3),materiali!$C:$K,6,0),"")</f>
        <v/>
      </c>
      <c r="N497" s="86"/>
      <c r="O497" s="84" t="str">
        <f>IFERROR(VLOOKUP(CONCATENATE($B497,"_",O$3),materiali!$C:$K,5,0),"")</f>
        <v/>
      </c>
      <c r="P497" s="85" t="str">
        <f>IFERROR(VLOOKUP(CONCATENATE($B497,"_",P$3),materiali!$C:$K,6,0),"")</f>
        <v/>
      </c>
      <c r="Q497" s="86"/>
      <c r="R497" s="84" t="str">
        <f>IFERROR(VLOOKUP(CONCATENATE($B497,"_",R$3),materiali!$C:$K,5,0),"")</f>
        <v/>
      </c>
      <c r="S497" s="85" t="str">
        <f>IFERROR(VLOOKUP(CONCATENATE($B497,"_",S$3),materiali!$C:$K,6,0),"")</f>
        <v/>
      </c>
      <c r="T497" s="86"/>
      <c r="U497" s="31"/>
      <c r="AD497" s="97"/>
    </row>
    <row r="498" spans="1:30" ht="35.1" hidden="1" customHeight="1" x14ac:dyDescent="0.25">
      <c r="A498" s="83"/>
      <c r="B498" s="7"/>
      <c r="C498" s="8"/>
      <c r="D498" s="8"/>
      <c r="E498" s="60"/>
      <c r="F498" s="84" t="str">
        <f>IFERROR(VLOOKUP(CONCATENATE($B498,"_",F$3),materiali!$C:$K,5,0),"")</f>
        <v/>
      </c>
      <c r="G498" s="85" t="str">
        <f>IFERROR(VLOOKUP(CONCATENATE($B498,"_",G$3),materiali!$C:$K,6,0),"")</f>
        <v/>
      </c>
      <c r="H498" s="86"/>
      <c r="I498" s="84" t="str">
        <f>IFERROR(VLOOKUP(CONCATENATE($B498,"_",I$3),materiali!$C:$K,5,0),"")</f>
        <v/>
      </c>
      <c r="J498" s="85" t="str">
        <f>IFERROR(VLOOKUP(CONCATENATE($B498,"_",J$3),materiali!$C:$K,6,0),"")</f>
        <v/>
      </c>
      <c r="K498" s="86"/>
      <c r="L498" s="84" t="str">
        <f>IFERROR(VLOOKUP(CONCATENATE($B498,"_",L$3),materiali!$C:$K,5,0),"")</f>
        <v/>
      </c>
      <c r="M498" s="85" t="str">
        <f>IFERROR(VLOOKUP(CONCATENATE($B498,"_",M$3),materiali!$C:$K,6,0),"")</f>
        <v/>
      </c>
      <c r="N498" s="86"/>
      <c r="O498" s="84" t="str">
        <f>IFERROR(VLOOKUP(CONCATENATE($B498,"_",O$3),materiali!$C:$K,5,0),"")</f>
        <v/>
      </c>
      <c r="P498" s="85" t="str">
        <f>IFERROR(VLOOKUP(CONCATENATE($B498,"_",P$3),materiali!$C:$K,6,0),"")</f>
        <v/>
      </c>
      <c r="Q498" s="86"/>
      <c r="R498" s="84" t="str">
        <f>IFERROR(VLOOKUP(CONCATENATE($B498,"_",R$3),materiali!$C:$K,5,0),"")</f>
        <v/>
      </c>
      <c r="S498" s="85" t="str">
        <f>IFERROR(VLOOKUP(CONCATENATE($B498,"_",S$3),materiali!$C:$K,6,0),"")</f>
        <v/>
      </c>
      <c r="T498" s="86"/>
      <c r="U498" s="31"/>
      <c r="AD498" s="97"/>
    </row>
    <row r="499" spans="1:30" ht="35.1" hidden="1" customHeight="1" x14ac:dyDescent="0.25">
      <c r="A499" s="83"/>
      <c r="B499" s="7"/>
      <c r="C499" s="8"/>
      <c r="D499" s="8"/>
      <c r="E499" s="60"/>
      <c r="F499" s="84" t="str">
        <f>IFERROR(VLOOKUP(CONCATENATE($B499,"_",F$3),materiali!$C:$K,5,0),"")</f>
        <v/>
      </c>
      <c r="G499" s="85" t="str">
        <f>IFERROR(VLOOKUP(CONCATENATE($B499,"_",G$3),materiali!$C:$K,6,0),"")</f>
        <v/>
      </c>
      <c r="H499" s="86"/>
      <c r="I499" s="84" t="str">
        <f>IFERROR(VLOOKUP(CONCATENATE($B499,"_",I$3),materiali!$C:$K,5,0),"")</f>
        <v/>
      </c>
      <c r="J499" s="85" t="str">
        <f>IFERROR(VLOOKUP(CONCATENATE($B499,"_",J$3),materiali!$C:$K,6,0),"")</f>
        <v/>
      </c>
      <c r="K499" s="86"/>
      <c r="L499" s="84" t="str">
        <f>IFERROR(VLOOKUP(CONCATENATE($B499,"_",L$3),materiali!$C:$K,5,0),"")</f>
        <v/>
      </c>
      <c r="M499" s="85" t="str">
        <f>IFERROR(VLOOKUP(CONCATENATE($B499,"_",M$3),materiali!$C:$K,6,0),"")</f>
        <v/>
      </c>
      <c r="N499" s="86"/>
      <c r="O499" s="84" t="str">
        <f>IFERROR(VLOOKUP(CONCATENATE($B499,"_",O$3),materiali!$C:$K,5,0),"")</f>
        <v/>
      </c>
      <c r="P499" s="85" t="str">
        <f>IFERROR(VLOOKUP(CONCATENATE($B499,"_",P$3),materiali!$C:$K,6,0),"")</f>
        <v/>
      </c>
      <c r="Q499" s="86"/>
      <c r="R499" s="84" t="str">
        <f>IFERROR(VLOOKUP(CONCATENATE($B499,"_",R$3),materiali!$C:$K,5,0),"")</f>
        <v/>
      </c>
      <c r="S499" s="85" t="str">
        <f>IFERROR(VLOOKUP(CONCATENATE($B499,"_",S$3),materiali!$C:$K,6,0),"")</f>
        <v/>
      </c>
      <c r="T499" s="86"/>
      <c r="U499" s="31"/>
      <c r="AD499" s="97"/>
    </row>
    <row r="500" spans="1:30" ht="35.1" hidden="1" customHeight="1" x14ac:dyDescent="0.25">
      <c r="A500" s="83"/>
      <c r="B500" s="7"/>
      <c r="C500" s="8"/>
      <c r="D500" s="8"/>
      <c r="E500" s="60"/>
      <c r="F500" s="84" t="str">
        <f>IFERROR(VLOOKUP(CONCATENATE($B500,"_",F$3),materiali!$C:$K,5,0),"")</f>
        <v/>
      </c>
      <c r="G500" s="85" t="str">
        <f>IFERROR(VLOOKUP(CONCATENATE($B500,"_",G$3),materiali!$C:$K,6,0),"")</f>
        <v/>
      </c>
      <c r="H500" s="86"/>
      <c r="I500" s="84" t="str">
        <f>IFERROR(VLOOKUP(CONCATENATE($B500,"_",I$3),materiali!$C:$K,5,0),"")</f>
        <v/>
      </c>
      <c r="J500" s="85" t="str">
        <f>IFERROR(VLOOKUP(CONCATENATE($B500,"_",J$3),materiali!$C:$K,6,0),"")</f>
        <v/>
      </c>
      <c r="K500" s="86"/>
      <c r="L500" s="84" t="str">
        <f>IFERROR(VLOOKUP(CONCATENATE($B500,"_",L$3),materiali!$C:$K,5,0),"")</f>
        <v/>
      </c>
      <c r="M500" s="85" t="str">
        <f>IFERROR(VLOOKUP(CONCATENATE($B500,"_",M$3),materiali!$C:$K,6,0),"")</f>
        <v/>
      </c>
      <c r="N500" s="86"/>
      <c r="O500" s="84" t="str">
        <f>IFERROR(VLOOKUP(CONCATENATE($B500,"_",O$3),materiali!$C:$K,5,0),"")</f>
        <v/>
      </c>
      <c r="P500" s="85" t="str">
        <f>IFERROR(VLOOKUP(CONCATENATE($B500,"_",P$3),materiali!$C:$K,6,0),"")</f>
        <v/>
      </c>
      <c r="Q500" s="86"/>
      <c r="R500" s="84" t="str">
        <f>IFERROR(VLOOKUP(CONCATENATE($B500,"_",R$3),materiali!$C:$K,5,0),"")</f>
        <v/>
      </c>
      <c r="S500" s="85" t="str">
        <f>IFERROR(VLOOKUP(CONCATENATE($B500,"_",S$3),materiali!$C:$K,6,0),"")</f>
        <v/>
      </c>
      <c r="T500" s="86"/>
      <c r="U500" s="31"/>
      <c r="AD500" s="97"/>
    </row>
    <row r="501" spans="1:30" ht="35.1" hidden="1" customHeight="1" x14ac:dyDescent="0.25">
      <c r="A501" s="83"/>
      <c r="B501" s="7"/>
      <c r="C501" s="8"/>
      <c r="D501" s="8"/>
      <c r="E501" s="60"/>
      <c r="F501" s="84" t="str">
        <f>IFERROR(VLOOKUP(CONCATENATE($B501,"_",F$3),materiali!$C:$K,5,0),"")</f>
        <v/>
      </c>
      <c r="G501" s="85" t="str">
        <f>IFERROR(VLOOKUP(CONCATENATE($B501,"_",G$3),materiali!$C:$K,6,0),"")</f>
        <v/>
      </c>
      <c r="H501" s="86"/>
      <c r="I501" s="84" t="str">
        <f>IFERROR(VLOOKUP(CONCATENATE($B501,"_",I$3),materiali!$C:$K,5,0),"")</f>
        <v/>
      </c>
      <c r="J501" s="85" t="str">
        <f>IFERROR(VLOOKUP(CONCATENATE($B501,"_",J$3),materiali!$C:$K,6,0),"")</f>
        <v/>
      </c>
      <c r="K501" s="86"/>
      <c r="L501" s="84" t="str">
        <f>IFERROR(VLOOKUP(CONCATENATE($B501,"_",L$3),materiali!$C:$K,5,0),"")</f>
        <v/>
      </c>
      <c r="M501" s="85" t="str">
        <f>IFERROR(VLOOKUP(CONCATENATE($B501,"_",M$3),materiali!$C:$K,6,0),"")</f>
        <v/>
      </c>
      <c r="N501" s="86"/>
      <c r="O501" s="84" t="str">
        <f>IFERROR(VLOOKUP(CONCATENATE($B501,"_",O$3),materiali!$C:$K,5,0),"")</f>
        <v/>
      </c>
      <c r="P501" s="85" t="str">
        <f>IFERROR(VLOOKUP(CONCATENATE($B501,"_",P$3),materiali!$C:$K,6,0),"")</f>
        <v/>
      </c>
      <c r="Q501" s="86"/>
      <c r="R501" s="84" t="str">
        <f>IFERROR(VLOOKUP(CONCATENATE($B501,"_",R$3),materiali!$C:$K,5,0),"")</f>
        <v/>
      </c>
      <c r="S501" s="85" t="str">
        <f>IFERROR(VLOOKUP(CONCATENATE($B501,"_",S$3),materiali!$C:$K,6,0),"")</f>
        <v/>
      </c>
      <c r="T501" s="86"/>
      <c r="U501" s="31"/>
      <c r="AD501" s="97"/>
    </row>
    <row r="502" spans="1:30" ht="35.1" hidden="1" customHeight="1" x14ac:dyDescent="0.25">
      <c r="A502" s="83"/>
      <c r="B502" s="7"/>
      <c r="C502" s="8"/>
      <c r="D502" s="8"/>
      <c r="E502" s="60"/>
      <c r="F502" s="84" t="str">
        <f>IFERROR(VLOOKUP(CONCATENATE($B502,"_",F$3),materiali!$C:$K,5,0),"")</f>
        <v/>
      </c>
      <c r="G502" s="85" t="str">
        <f>IFERROR(VLOOKUP(CONCATENATE($B502,"_",G$3),materiali!$C:$K,6,0),"")</f>
        <v/>
      </c>
      <c r="H502" s="86"/>
      <c r="I502" s="84" t="str">
        <f>IFERROR(VLOOKUP(CONCATENATE($B502,"_",I$3),materiali!$C:$K,5,0),"")</f>
        <v/>
      </c>
      <c r="J502" s="85" t="str">
        <f>IFERROR(VLOOKUP(CONCATENATE($B502,"_",J$3),materiali!$C:$K,6,0),"")</f>
        <v/>
      </c>
      <c r="K502" s="86"/>
      <c r="L502" s="84" t="str">
        <f>IFERROR(VLOOKUP(CONCATENATE($B502,"_",L$3),materiali!$C:$K,5,0),"")</f>
        <v/>
      </c>
      <c r="M502" s="85" t="str">
        <f>IFERROR(VLOOKUP(CONCATENATE($B502,"_",M$3),materiali!$C:$K,6,0),"")</f>
        <v/>
      </c>
      <c r="N502" s="86"/>
      <c r="O502" s="84" t="str">
        <f>IFERROR(VLOOKUP(CONCATENATE($B502,"_",O$3),materiali!$C:$K,5,0),"")</f>
        <v/>
      </c>
      <c r="P502" s="85" t="str">
        <f>IFERROR(VLOOKUP(CONCATENATE($B502,"_",P$3),materiali!$C:$K,6,0),"")</f>
        <v/>
      </c>
      <c r="Q502" s="86"/>
      <c r="R502" s="84" t="str">
        <f>IFERROR(VLOOKUP(CONCATENATE($B502,"_",R$3),materiali!$C:$K,5,0),"")</f>
        <v/>
      </c>
      <c r="S502" s="85" t="str">
        <f>IFERROR(VLOOKUP(CONCATENATE($B502,"_",S$3),materiali!$C:$K,6,0),"")</f>
        <v/>
      </c>
      <c r="T502" s="86"/>
      <c r="U502" s="31"/>
      <c r="AD502" s="97"/>
    </row>
    <row r="503" spans="1:30" ht="35.1" hidden="1" customHeight="1" x14ac:dyDescent="0.25">
      <c r="A503" s="83"/>
      <c r="B503" s="7"/>
      <c r="C503" s="8"/>
      <c r="D503" s="8"/>
      <c r="E503" s="60"/>
      <c r="F503" s="84" t="str">
        <f>IFERROR(VLOOKUP(CONCATENATE($B503,"_",F$3),materiali!$C:$K,5,0),"")</f>
        <v/>
      </c>
      <c r="G503" s="85" t="str">
        <f>IFERROR(VLOOKUP(CONCATENATE($B503,"_",G$3),materiali!$C:$K,6,0),"")</f>
        <v/>
      </c>
      <c r="H503" s="86"/>
      <c r="I503" s="84" t="str">
        <f>IFERROR(VLOOKUP(CONCATENATE($B503,"_",I$3),materiali!$C:$K,5,0),"")</f>
        <v/>
      </c>
      <c r="J503" s="85" t="str">
        <f>IFERROR(VLOOKUP(CONCATENATE($B503,"_",J$3),materiali!$C:$K,6,0),"")</f>
        <v/>
      </c>
      <c r="K503" s="86"/>
      <c r="L503" s="84" t="str">
        <f>IFERROR(VLOOKUP(CONCATENATE($B503,"_",L$3),materiali!$C:$K,5,0),"")</f>
        <v/>
      </c>
      <c r="M503" s="85" t="str">
        <f>IFERROR(VLOOKUP(CONCATENATE($B503,"_",M$3),materiali!$C:$K,6,0),"")</f>
        <v/>
      </c>
      <c r="N503" s="86"/>
      <c r="O503" s="84" t="str">
        <f>IFERROR(VLOOKUP(CONCATENATE($B503,"_",O$3),materiali!$C:$K,5,0),"")</f>
        <v/>
      </c>
      <c r="P503" s="85" t="str">
        <f>IFERROR(VLOOKUP(CONCATENATE($B503,"_",P$3),materiali!$C:$K,6,0),"")</f>
        <v/>
      </c>
      <c r="Q503" s="86"/>
      <c r="R503" s="84" t="str">
        <f>IFERROR(VLOOKUP(CONCATENATE($B503,"_",R$3),materiali!$C:$K,5,0),"")</f>
        <v/>
      </c>
      <c r="S503" s="85" t="str">
        <f>IFERROR(VLOOKUP(CONCATENATE($B503,"_",S$3),materiali!$C:$K,6,0),"")</f>
        <v/>
      </c>
      <c r="T503" s="86"/>
      <c r="U503" s="31"/>
      <c r="AD503" s="97"/>
    </row>
    <row r="504" spans="1:30" ht="35.1" hidden="1" customHeight="1" x14ac:dyDescent="0.25">
      <c r="A504" s="83"/>
      <c r="B504" s="7"/>
      <c r="C504" s="8"/>
      <c r="D504" s="8"/>
      <c r="E504" s="60"/>
      <c r="F504" s="84" t="str">
        <f>IFERROR(VLOOKUP(CONCATENATE($B504,"_",F$3),materiali!$C:$K,5,0),"")</f>
        <v/>
      </c>
      <c r="G504" s="85" t="str">
        <f>IFERROR(VLOOKUP(CONCATENATE($B504,"_",G$3),materiali!$C:$K,6,0),"")</f>
        <v/>
      </c>
      <c r="H504" s="86"/>
      <c r="I504" s="84" t="str">
        <f>IFERROR(VLOOKUP(CONCATENATE($B504,"_",I$3),materiali!$C:$K,5,0),"")</f>
        <v/>
      </c>
      <c r="J504" s="85" t="str">
        <f>IFERROR(VLOOKUP(CONCATENATE($B504,"_",J$3),materiali!$C:$K,6,0),"")</f>
        <v/>
      </c>
      <c r="K504" s="86"/>
      <c r="L504" s="84" t="str">
        <f>IFERROR(VLOOKUP(CONCATENATE($B504,"_",L$3),materiali!$C:$K,5,0),"")</f>
        <v/>
      </c>
      <c r="M504" s="85" t="str">
        <f>IFERROR(VLOOKUP(CONCATENATE($B504,"_",M$3),materiali!$C:$K,6,0),"")</f>
        <v/>
      </c>
      <c r="N504" s="86"/>
      <c r="O504" s="84" t="str">
        <f>IFERROR(VLOOKUP(CONCATENATE($B504,"_",O$3),materiali!$C:$K,5,0),"")</f>
        <v/>
      </c>
      <c r="P504" s="85" t="str">
        <f>IFERROR(VLOOKUP(CONCATENATE($B504,"_",P$3),materiali!$C:$K,6,0),"")</f>
        <v/>
      </c>
      <c r="Q504" s="86"/>
      <c r="R504" s="84" t="str">
        <f>IFERROR(VLOOKUP(CONCATENATE($B504,"_",R$3),materiali!$C:$K,5,0),"")</f>
        <v/>
      </c>
      <c r="S504" s="85" t="str">
        <f>IFERROR(VLOOKUP(CONCATENATE($B504,"_",S$3),materiali!$C:$K,6,0),"")</f>
        <v/>
      </c>
      <c r="T504" s="86"/>
      <c r="U504" s="31"/>
      <c r="AD504" s="97"/>
    </row>
    <row r="505" spans="1:30" ht="35.1" hidden="1" customHeight="1" x14ac:dyDescent="0.25">
      <c r="A505" s="83"/>
      <c r="B505" s="7"/>
      <c r="C505" s="8"/>
      <c r="D505" s="8"/>
      <c r="E505" s="60"/>
      <c r="F505" s="84" t="str">
        <f>IFERROR(VLOOKUP(CONCATENATE($B505,"_",F$3),materiali!$C:$K,5,0),"")</f>
        <v/>
      </c>
      <c r="G505" s="85" t="str">
        <f>IFERROR(VLOOKUP(CONCATENATE($B505,"_",G$3),materiali!$C:$K,6,0),"")</f>
        <v/>
      </c>
      <c r="H505" s="86"/>
      <c r="I505" s="84" t="str">
        <f>IFERROR(VLOOKUP(CONCATENATE($B505,"_",I$3),materiali!$C:$K,5,0),"")</f>
        <v/>
      </c>
      <c r="J505" s="85" t="str">
        <f>IFERROR(VLOOKUP(CONCATENATE($B505,"_",J$3),materiali!$C:$K,6,0),"")</f>
        <v/>
      </c>
      <c r="K505" s="86"/>
      <c r="L505" s="84" t="str">
        <f>IFERROR(VLOOKUP(CONCATENATE($B505,"_",L$3),materiali!$C:$K,5,0),"")</f>
        <v/>
      </c>
      <c r="M505" s="85" t="str">
        <f>IFERROR(VLOOKUP(CONCATENATE($B505,"_",M$3),materiali!$C:$K,6,0),"")</f>
        <v/>
      </c>
      <c r="N505" s="86"/>
      <c r="O505" s="84" t="str">
        <f>IFERROR(VLOOKUP(CONCATENATE($B505,"_",O$3),materiali!$C:$K,5,0),"")</f>
        <v/>
      </c>
      <c r="P505" s="85" t="str">
        <f>IFERROR(VLOOKUP(CONCATENATE($B505,"_",P$3),materiali!$C:$K,6,0),"")</f>
        <v/>
      </c>
      <c r="Q505" s="86"/>
      <c r="R505" s="84" t="str">
        <f>IFERROR(VLOOKUP(CONCATENATE($B505,"_",R$3),materiali!$C:$K,5,0),"")</f>
        <v/>
      </c>
      <c r="S505" s="85" t="str">
        <f>IFERROR(VLOOKUP(CONCATENATE($B505,"_",S$3),materiali!$C:$K,6,0),"")</f>
        <v/>
      </c>
      <c r="T505" s="86"/>
      <c r="U505" s="31"/>
      <c r="AD505" s="97"/>
    </row>
    <row r="506" spans="1:30" ht="35.1" hidden="1" customHeight="1" x14ac:dyDescent="0.25">
      <c r="A506" s="83"/>
      <c r="B506" s="7"/>
      <c r="C506" s="8"/>
      <c r="D506" s="8"/>
      <c r="E506" s="60"/>
      <c r="F506" s="84" t="str">
        <f>IFERROR(VLOOKUP(CONCATENATE($B506,"_",F$3),materiali!$C:$K,5,0),"")</f>
        <v/>
      </c>
      <c r="G506" s="85" t="str">
        <f>IFERROR(VLOOKUP(CONCATENATE($B506,"_",G$3),materiali!$C:$K,6,0),"")</f>
        <v/>
      </c>
      <c r="H506" s="86"/>
      <c r="I506" s="84" t="str">
        <f>IFERROR(VLOOKUP(CONCATENATE($B506,"_",I$3),materiali!$C:$K,5,0),"")</f>
        <v/>
      </c>
      <c r="J506" s="85" t="str">
        <f>IFERROR(VLOOKUP(CONCATENATE($B506,"_",J$3),materiali!$C:$K,6,0),"")</f>
        <v/>
      </c>
      <c r="K506" s="86"/>
      <c r="L506" s="84" t="str">
        <f>IFERROR(VLOOKUP(CONCATENATE($B506,"_",L$3),materiali!$C:$K,5,0),"")</f>
        <v/>
      </c>
      <c r="M506" s="85" t="str">
        <f>IFERROR(VLOOKUP(CONCATENATE($B506,"_",M$3),materiali!$C:$K,6,0),"")</f>
        <v/>
      </c>
      <c r="N506" s="86"/>
      <c r="O506" s="84" t="str">
        <f>IFERROR(VLOOKUP(CONCATENATE($B506,"_",O$3),materiali!$C:$K,5,0),"")</f>
        <v/>
      </c>
      <c r="P506" s="85" t="str">
        <f>IFERROR(VLOOKUP(CONCATENATE($B506,"_",P$3),materiali!$C:$K,6,0),"")</f>
        <v/>
      </c>
      <c r="Q506" s="86"/>
      <c r="R506" s="84" t="str">
        <f>IFERROR(VLOOKUP(CONCATENATE($B506,"_",R$3),materiali!$C:$K,5,0),"")</f>
        <v/>
      </c>
      <c r="S506" s="85" t="str">
        <f>IFERROR(VLOOKUP(CONCATENATE($B506,"_",S$3),materiali!$C:$K,6,0),"")</f>
        <v/>
      </c>
      <c r="T506" s="86"/>
      <c r="U506" s="31"/>
      <c r="AD506" s="97"/>
    </row>
    <row r="507" spans="1:30" ht="35.1" hidden="1" customHeight="1" x14ac:dyDescent="0.25">
      <c r="A507" s="83"/>
      <c r="B507" s="7"/>
      <c r="C507" s="8"/>
      <c r="D507" s="8"/>
      <c r="E507" s="60"/>
      <c r="F507" s="84" t="str">
        <f>IFERROR(VLOOKUP(CONCATENATE($B507,"_",F$3),materiali!$C:$K,5,0),"")</f>
        <v/>
      </c>
      <c r="G507" s="85" t="str">
        <f>IFERROR(VLOOKUP(CONCATENATE($B507,"_",G$3),materiali!$C:$K,6,0),"")</f>
        <v/>
      </c>
      <c r="H507" s="86"/>
      <c r="I507" s="84" t="str">
        <f>IFERROR(VLOOKUP(CONCATENATE($B507,"_",I$3),materiali!$C:$K,5,0),"")</f>
        <v/>
      </c>
      <c r="J507" s="85" t="str">
        <f>IFERROR(VLOOKUP(CONCATENATE($B507,"_",J$3),materiali!$C:$K,6,0),"")</f>
        <v/>
      </c>
      <c r="K507" s="86"/>
      <c r="L507" s="84" t="str">
        <f>IFERROR(VLOOKUP(CONCATENATE($B507,"_",L$3),materiali!$C:$K,5,0),"")</f>
        <v/>
      </c>
      <c r="M507" s="85" t="str">
        <f>IFERROR(VLOOKUP(CONCATENATE($B507,"_",M$3),materiali!$C:$K,6,0),"")</f>
        <v/>
      </c>
      <c r="N507" s="86"/>
      <c r="O507" s="84" t="str">
        <f>IFERROR(VLOOKUP(CONCATENATE($B507,"_",O$3),materiali!$C:$K,5,0),"")</f>
        <v/>
      </c>
      <c r="P507" s="85" t="str">
        <f>IFERROR(VLOOKUP(CONCATENATE($B507,"_",P$3),materiali!$C:$K,6,0),"")</f>
        <v/>
      </c>
      <c r="Q507" s="86"/>
      <c r="R507" s="84" t="str">
        <f>IFERROR(VLOOKUP(CONCATENATE($B507,"_",R$3),materiali!$C:$K,5,0),"")</f>
        <v/>
      </c>
      <c r="S507" s="85" t="str">
        <f>IFERROR(VLOOKUP(CONCATENATE($B507,"_",S$3),materiali!$C:$K,6,0),"")</f>
        <v/>
      </c>
      <c r="T507" s="86"/>
      <c r="U507" s="31"/>
      <c r="AD507" s="97"/>
    </row>
    <row r="508" spans="1:30" ht="35.1" hidden="1" customHeight="1" x14ac:dyDescent="0.25">
      <c r="A508" s="83"/>
      <c r="B508" s="7"/>
      <c r="C508" s="8"/>
      <c r="D508" s="8"/>
      <c r="E508" s="60"/>
      <c r="F508" s="84" t="str">
        <f>IFERROR(VLOOKUP(CONCATENATE($B508,"_",F$3),materiali!$C:$K,5,0),"")</f>
        <v/>
      </c>
      <c r="G508" s="85" t="str">
        <f>IFERROR(VLOOKUP(CONCATENATE($B508,"_",G$3),materiali!$C:$K,6,0),"")</f>
        <v/>
      </c>
      <c r="H508" s="86"/>
      <c r="I508" s="84" t="str">
        <f>IFERROR(VLOOKUP(CONCATENATE($B508,"_",I$3),materiali!$C:$K,5,0),"")</f>
        <v/>
      </c>
      <c r="J508" s="85" t="str">
        <f>IFERROR(VLOOKUP(CONCATENATE($B508,"_",J$3),materiali!$C:$K,6,0),"")</f>
        <v/>
      </c>
      <c r="K508" s="86"/>
      <c r="L508" s="84" t="str">
        <f>IFERROR(VLOOKUP(CONCATENATE($B508,"_",L$3),materiali!$C:$K,5,0),"")</f>
        <v/>
      </c>
      <c r="M508" s="85" t="str">
        <f>IFERROR(VLOOKUP(CONCATENATE($B508,"_",M$3),materiali!$C:$K,6,0),"")</f>
        <v/>
      </c>
      <c r="N508" s="86"/>
      <c r="O508" s="84" t="str">
        <f>IFERROR(VLOOKUP(CONCATENATE($B508,"_",O$3),materiali!$C:$K,5,0),"")</f>
        <v/>
      </c>
      <c r="P508" s="85" t="str">
        <f>IFERROR(VLOOKUP(CONCATENATE($B508,"_",P$3),materiali!$C:$K,6,0),"")</f>
        <v/>
      </c>
      <c r="Q508" s="86"/>
      <c r="R508" s="84" t="str">
        <f>IFERROR(VLOOKUP(CONCATENATE($B508,"_",R$3),materiali!$C:$K,5,0),"")</f>
        <v/>
      </c>
      <c r="S508" s="85" t="str">
        <f>IFERROR(VLOOKUP(CONCATENATE($B508,"_",S$3),materiali!$C:$K,6,0),"")</f>
        <v/>
      </c>
      <c r="T508" s="86"/>
      <c r="U508" s="31"/>
      <c r="AD508" s="97"/>
    </row>
    <row r="509" spans="1:30" ht="35.1" hidden="1" customHeight="1" x14ac:dyDescent="0.25">
      <c r="A509" s="83"/>
      <c r="B509" s="7"/>
      <c r="C509" s="8"/>
      <c r="D509" s="8"/>
      <c r="E509" s="60"/>
      <c r="F509" s="84" t="str">
        <f>IFERROR(VLOOKUP(CONCATENATE($B509,"_",F$3),materiali!$C:$K,5,0),"")</f>
        <v/>
      </c>
      <c r="G509" s="85" t="str">
        <f>IFERROR(VLOOKUP(CONCATENATE($B509,"_",G$3),materiali!$C:$K,6,0),"")</f>
        <v/>
      </c>
      <c r="H509" s="86"/>
      <c r="I509" s="84" t="str">
        <f>IFERROR(VLOOKUP(CONCATENATE($B509,"_",I$3),materiali!$C:$K,5,0),"")</f>
        <v/>
      </c>
      <c r="J509" s="85" t="str">
        <f>IFERROR(VLOOKUP(CONCATENATE($B509,"_",J$3),materiali!$C:$K,6,0),"")</f>
        <v/>
      </c>
      <c r="K509" s="86"/>
      <c r="L509" s="84" t="str">
        <f>IFERROR(VLOOKUP(CONCATENATE($B509,"_",L$3),materiali!$C:$K,5,0),"")</f>
        <v/>
      </c>
      <c r="M509" s="85" t="str">
        <f>IFERROR(VLOOKUP(CONCATENATE($B509,"_",M$3),materiali!$C:$K,6,0),"")</f>
        <v/>
      </c>
      <c r="N509" s="86"/>
      <c r="O509" s="84" t="str">
        <f>IFERROR(VLOOKUP(CONCATENATE($B509,"_",O$3),materiali!$C:$K,5,0),"")</f>
        <v/>
      </c>
      <c r="P509" s="85" t="str">
        <f>IFERROR(VLOOKUP(CONCATENATE($B509,"_",P$3),materiali!$C:$K,6,0),"")</f>
        <v/>
      </c>
      <c r="Q509" s="86"/>
      <c r="R509" s="84" t="str">
        <f>IFERROR(VLOOKUP(CONCATENATE($B509,"_",R$3),materiali!$C:$K,5,0),"")</f>
        <v/>
      </c>
      <c r="S509" s="85" t="str">
        <f>IFERROR(VLOOKUP(CONCATENATE($B509,"_",S$3),materiali!$C:$K,6,0),"")</f>
        <v/>
      </c>
      <c r="T509" s="86"/>
      <c r="U509" s="31"/>
      <c r="AD509" s="97"/>
    </row>
    <row r="510" spans="1:30" ht="35.1" hidden="1" customHeight="1" x14ac:dyDescent="0.25">
      <c r="A510" s="83"/>
      <c r="B510" s="7"/>
      <c r="C510" s="8"/>
      <c r="D510" s="8"/>
      <c r="E510" s="60"/>
      <c r="F510" s="84" t="str">
        <f>IFERROR(VLOOKUP(CONCATENATE($B510,"_",F$3),materiali!$C:$K,5,0),"")</f>
        <v/>
      </c>
      <c r="G510" s="85" t="str">
        <f>IFERROR(VLOOKUP(CONCATENATE($B510,"_",G$3),materiali!$C:$K,6,0),"")</f>
        <v/>
      </c>
      <c r="H510" s="86"/>
      <c r="I510" s="84" t="str">
        <f>IFERROR(VLOOKUP(CONCATENATE($B510,"_",I$3),materiali!$C:$K,5,0),"")</f>
        <v/>
      </c>
      <c r="J510" s="85" t="str">
        <f>IFERROR(VLOOKUP(CONCATENATE($B510,"_",J$3),materiali!$C:$K,6,0),"")</f>
        <v/>
      </c>
      <c r="K510" s="86"/>
      <c r="L510" s="84" t="str">
        <f>IFERROR(VLOOKUP(CONCATENATE($B510,"_",L$3),materiali!$C:$K,5,0),"")</f>
        <v/>
      </c>
      <c r="M510" s="85" t="str">
        <f>IFERROR(VLOOKUP(CONCATENATE($B510,"_",M$3),materiali!$C:$K,6,0),"")</f>
        <v/>
      </c>
      <c r="N510" s="86"/>
      <c r="O510" s="84" t="str">
        <f>IFERROR(VLOOKUP(CONCATENATE($B510,"_",O$3),materiali!$C:$K,5,0),"")</f>
        <v/>
      </c>
      <c r="P510" s="85" t="str">
        <f>IFERROR(VLOOKUP(CONCATENATE($B510,"_",P$3),materiali!$C:$K,6,0),"")</f>
        <v/>
      </c>
      <c r="Q510" s="86"/>
      <c r="R510" s="84" t="str">
        <f>IFERROR(VLOOKUP(CONCATENATE($B510,"_",R$3),materiali!$C:$K,5,0),"")</f>
        <v/>
      </c>
      <c r="S510" s="85" t="str">
        <f>IFERROR(VLOOKUP(CONCATENATE($B510,"_",S$3),materiali!$C:$K,6,0),"")</f>
        <v/>
      </c>
      <c r="T510" s="86"/>
      <c r="U510" s="31"/>
      <c r="AD510" s="97"/>
    </row>
    <row r="511" spans="1:30" ht="35.1" hidden="1" customHeight="1" x14ac:dyDescent="0.25">
      <c r="A511" s="83"/>
      <c r="B511" s="7"/>
      <c r="C511" s="8"/>
      <c r="D511" s="8"/>
      <c r="E511" s="60"/>
      <c r="F511" s="84" t="str">
        <f>IFERROR(VLOOKUP(CONCATENATE($B511,"_",F$3),materiali!$C:$K,5,0),"")</f>
        <v/>
      </c>
      <c r="G511" s="85" t="str">
        <f>IFERROR(VLOOKUP(CONCATENATE($B511,"_",G$3),materiali!$C:$K,6,0),"")</f>
        <v/>
      </c>
      <c r="H511" s="86"/>
      <c r="I511" s="84" t="str">
        <f>IFERROR(VLOOKUP(CONCATENATE($B511,"_",I$3),materiali!$C:$K,5,0),"")</f>
        <v/>
      </c>
      <c r="J511" s="85" t="str">
        <f>IFERROR(VLOOKUP(CONCATENATE($B511,"_",J$3),materiali!$C:$K,6,0),"")</f>
        <v/>
      </c>
      <c r="K511" s="86"/>
      <c r="L511" s="84" t="str">
        <f>IFERROR(VLOOKUP(CONCATENATE($B511,"_",L$3),materiali!$C:$K,5,0),"")</f>
        <v/>
      </c>
      <c r="M511" s="85" t="str">
        <f>IFERROR(VLOOKUP(CONCATENATE($B511,"_",M$3),materiali!$C:$K,6,0),"")</f>
        <v/>
      </c>
      <c r="N511" s="86"/>
      <c r="O511" s="84" t="str">
        <f>IFERROR(VLOOKUP(CONCATENATE($B511,"_",O$3),materiali!$C:$K,5,0),"")</f>
        <v/>
      </c>
      <c r="P511" s="85" t="str">
        <f>IFERROR(VLOOKUP(CONCATENATE($B511,"_",P$3),materiali!$C:$K,6,0),"")</f>
        <v/>
      </c>
      <c r="Q511" s="86"/>
      <c r="R511" s="84" t="str">
        <f>IFERROR(VLOOKUP(CONCATENATE($B511,"_",R$3),materiali!$C:$K,5,0),"")</f>
        <v/>
      </c>
      <c r="S511" s="85" t="str">
        <f>IFERROR(VLOOKUP(CONCATENATE($B511,"_",S$3),materiali!$C:$K,6,0),"")</f>
        <v/>
      </c>
      <c r="T511" s="86"/>
      <c r="U511" s="31"/>
      <c r="AD511" s="97"/>
    </row>
    <row r="512" spans="1:30" ht="35.1" hidden="1" customHeight="1" x14ac:dyDescent="0.25">
      <c r="A512" s="83"/>
      <c r="B512" s="7"/>
      <c r="C512" s="8"/>
      <c r="D512" s="8"/>
      <c r="E512" s="60"/>
      <c r="F512" s="84" t="str">
        <f>IFERROR(VLOOKUP(CONCATENATE($B512,"_",F$3),materiali!$C:$K,5,0),"")</f>
        <v/>
      </c>
      <c r="G512" s="85" t="str">
        <f>IFERROR(VLOOKUP(CONCATENATE($B512,"_",G$3),materiali!$C:$K,6,0),"")</f>
        <v/>
      </c>
      <c r="H512" s="86"/>
      <c r="I512" s="84" t="str">
        <f>IFERROR(VLOOKUP(CONCATENATE($B512,"_",I$3),materiali!$C:$K,5,0),"")</f>
        <v/>
      </c>
      <c r="J512" s="85" t="str">
        <f>IFERROR(VLOOKUP(CONCATENATE($B512,"_",J$3),materiali!$C:$K,6,0),"")</f>
        <v/>
      </c>
      <c r="K512" s="86"/>
      <c r="L512" s="84" t="str">
        <f>IFERROR(VLOOKUP(CONCATENATE($B512,"_",L$3),materiali!$C:$K,5,0),"")</f>
        <v/>
      </c>
      <c r="M512" s="85" t="str">
        <f>IFERROR(VLOOKUP(CONCATENATE($B512,"_",M$3),materiali!$C:$K,6,0),"")</f>
        <v/>
      </c>
      <c r="N512" s="86"/>
      <c r="O512" s="84" t="str">
        <f>IFERROR(VLOOKUP(CONCATENATE($B512,"_",O$3),materiali!$C:$K,5,0),"")</f>
        <v/>
      </c>
      <c r="P512" s="85" t="str">
        <f>IFERROR(VLOOKUP(CONCATENATE($B512,"_",P$3),materiali!$C:$K,6,0),"")</f>
        <v/>
      </c>
      <c r="Q512" s="86"/>
      <c r="R512" s="84" t="str">
        <f>IFERROR(VLOOKUP(CONCATENATE($B512,"_",R$3),materiali!$C:$K,5,0),"")</f>
        <v/>
      </c>
      <c r="S512" s="85" t="str">
        <f>IFERROR(VLOOKUP(CONCATENATE($B512,"_",S$3),materiali!$C:$K,6,0),"")</f>
        <v/>
      </c>
      <c r="T512" s="86"/>
      <c r="U512" s="31"/>
      <c r="AD512" s="97"/>
    </row>
    <row r="513" spans="1:30" ht="35.1" hidden="1" customHeight="1" x14ac:dyDescent="0.25">
      <c r="A513" s="83"/>
      <c r="B513" s="7"/>
      <c r="C513" s="8"/>
      <c r="D513" s="8"/>
      <c r="E513" s="60"/>
      <c r="F513" s="84" t="str">
        <f>IFERROR(VLOOKUP(CONCATENATE($B513,"_",F$3),materiali!$C:$K,5,0),"")</f>
        <v/>
      </c>
      <c r="G513" s="85" t="str">
        <f>IFERROR(VLOOKUP(CONCATENATE($B513,"_",G$3),materiali!$C:$K,6,0),"")</f>
        <v/>
      </c>
      <c r="H513" s="86"/>
      <c r="I513" s="84" t="str">
        <f>IFERROR(VLOOKUP(CONCATENATE($B513,"_",I$3),materiali!$C:$K,5,0),"")</f>
        <v/>
      </c>
      <c r="J513" s="85" t="str">
        <f>IFERROR(VLOOKUP(CONCATENATE($B513,"_",J$3),materiali!$C:$K,6,0),"")</f>
        <v/>
      </c>
      <c r="K513" s="86"/>
      <c r="L513" s="84" t="str">
        <f>IFERROR(VLOOKUP(CONCATENATE($B513,"_",L$3),materiali!$C:$K,5,0),"")</f>
        <v/>
      </c>
      <c r="M513" s="85" t="str">
        <f>IFERROR(VLOOKUP(CONCATENATE($B513,"_",M$3),materiali!$C:$K,6,0),"")</f>
        <v/>
      </c>
      <c r="N513" s="86"/>
      <c r="O513" s="84" t="str">
        <f>IFERROR(VLOOKUP(CONCATENATE($B513,"_",O$3),materiali!$C:$K,5,0),"")</f>
        <v/>
      </c>
      <c r="P513" s="85" t="str">
        <f>IFERROR(VLOOKUP(CONCATENATE($B513,"_",P$3),materiali!$C:$K,6,0),"")</f>
        <v/>
      </c>
      <c r="Q513" s="86"/>
      <c r="R513" s="84" t="str">
        <f>IFERROR(VLOOKUP(CONCATENATE($B513,"_",R$3),materiali!$C:$K,5,0),"")</f>
        <v/>
      </c>
      <c r="S513" s="85" t="str">
        <f>IFERROR(VLOOKUP(CONCATENATE($B513,"_",S$3),materiali!$C:$K,6,0),"")</f>
        <v/>
      </c>
      <c r="T513" s="86"/>
      <c r="U513" s="31"/>
      <c r="AD513" s="97"/>
    </row>
    <row r="514" spans="1:30" ht="35.1" hidden="1" customHeight="1" x14ac:dyDescent="0.25">
      <c r="A514" s="83"/>
      <c r="B514" s="7"/>
      <c r="C514" s="8"/>
      <c r="D514" s="8"/>
      <c r="E514" s="60"/>
      <c r="F514" s="84" t="str">
        <f>IFERROR(VLOOKUP(CONCATENATE($B514,"_",F$3),materiali!$C:$K,5,0),"")</f>
        <v/>
      </c>
      <c r="G514" s="85" t="str">
        <f>IFERROR(VLOOKUP(CONCATENATE($B514,"_",G$3),materiali!$C:$K,6,0),"")</f>
        <v/>
      </c>
      <c r="H514" s="86"/>
      <c r="I514" s="84" t="str">
        <f>IFERROR(VLOOKUP(CONCATENATE($B514,"_",I$3),materiali!$C:$K,5,0),"")</f>
        <v/>
      </c>
      <c r="J514" s="85" t="str">
        <f>IFERROR(VLOOKUP(CONCATENATE($B514,"_",J$3),materiali!$C:$K,6,0),"")</f>
        <v/>
      </c>
      <c r="K514" s="86"/>
      <c r="L514" s="84" t="str">
        <f>IFERROR(VLOOKUP(CONCATENATE($B514,"_",L$3),materiali!$C:$K,5,0),"")</f>
        <v/>
      </c>
      <c r="M514" s="85" t="str">
        <f>IFERROR(VLOOKUP(CONCATENATE($B514,"_",M$3),materiali!$C:$K,6,0),"")</f>
        <v/>
      </c>
      <c r="N514" s="86"/>
      <c r="O514" s="84" t="str">
        <f>IFERROR(VLOOKUP(CONCATENATE($B514,"_",O$3),materiali!$C:$K,5,0),"")</f>
        <v/>
      </c>
      <c r="P514" s="85" t="str">
        <f>IFERROR(VLOOKUP(CONCATENATE($B514,"_",P$3),materiali!$C:$K,6,0),"")</f>
        <v/>
      </c>
      <c r="Q514" s="86"/>
      <c r="R514" s="84" t="str">
        <f>IFERROR(VLOOKUP(CONCATENATE($B514,"_",R$3),materiali!$C:$K,5,0),"")</f>
        <v/>
      </c>
      <c r="S514" s="85" t="str">
        <f>IFERROR(VLOOKUP(CONCATENATE($B514,"_",S$3),materiali!$C:$K,6,0),"")</f>
        <v/>
      </c>
      <c r="T514" s="86"/>
      <c r="U514" s="31"/>
      <c r="AD514" s="97"/>
    </row>
    <row r="515" spans="1:30" ht="35.1" hidden="1" customHeight="1" x14ac:dyDescent="0.25">
      <c r="A515" s="83"/>
      <c r="B515" s="7"/>
      <c r="C515" s="8"/>
      <c r="D515" s="8"/>
      <c r="E515" s="60"/>
      <c r="F515" s="84" t="str">
        <f>IFERROR(VLOOKUP(CONCATENATE($B515,"_",F$3),materiali!$C:$K,5,0),"")</f>
        <v/>
      </c>
      <c r="G515" s="85" t="str">
        <f>IFERROR(VLOOKUP(CONCATENATE($B515,"_",G$3),materiali!$C:$K,6,0),"")</f>
        <v/>
      </c>
      <c r="H515" s="86"/>
      <c r="I515" s="84" t="str">
        <f>IFERROR(VLOOKUP(CONCATENATE($B515,"_",I$3),materiali!$C:$K,5,0),"")</f>
        <v/>
      </c>
      <c r="J515" s="85" t="str">
        <f>IFERROR(VLOOKUP(CONCATENATE($B515,"_",J$3),materiali!$C:$K,6,0),"")</f>
        <v/>
      </c>
      <c r="K515" s="86"/>
      <c r="L515" s="84" t="str">
        <f>IFERROR(VLOOKUP(CONCATENATE($B515,"_",L$3),materiali!$C:$K,5,0),"")</f>
        <v/>
      </c>
      <c r="M515" s="85" t="str">
        <f>IFERROR(VLOOKUP(CONCATENATE($B515,"_",M$3),materiali!$C:$K,6,0),"")</f>
        <v/>
      </c>
      <c r="N515" s="86"/>
      <c r="O515" s="84" t="str">
        <f>IFERROR(VLOOKUP(CONCATENATE($B515,"_",O$3),materiali!$C:$K,5,0),"")</f>
        <v/>
      </c>
      <c r="P515" s="85" t="str">
        <f>IFERROR(VLOOKUP(CONCATENATE($B515,"_",P$3),materiali!$C:$K,6,0),"")</f>
        <v/>
      </c>
      <c r="Q515" s="86"/>
      <c r="R515" s="84" t="str">
        <f>IFERROR(VLOOKUP(CONCATENATE($B515,"_",R$3),materiali!$C:$K,5,0),"")</f>
        <v/>
      </c>
      <c r="S515" s="85" t="str">
        <f>IFERROR(VLOOKUP(CONCATENATE($B515,"_",S$3),materiali!$C:$K,6,0),"")</f>
        <v/>
      </c>
      <c r="T515" s="86"/>
      <c r="U515" s="31"/>
      <c r="AD515" s="97"/>
    </row>
    <row r="516" spans="1:30" ht="35.1" hidden="1" customHeight="1" x14ac:dyDescent="0.25">
      <c r="A516" s="83"/>
      <c r="B516" s="7"/>
      <c r="C516" s="8"/>
      <c r="D516" s="8"/>
      <c r="E516" s="60"/>
      <c r="F516" s="84" t="str">
        <f>IFERROR(VLOOKUP(CONCATENATE($B516,"_",F$3),materiali!$C:$K,5,0),"")</f>
        <v/>
      </c>
      <c r="G516" s="85" t="str">
        <f>IFERROR(VLOOKUP(CONCATENATE($B516,"_",G$3),materiali!$C:$K,6,0),"")</f>
        <v/>
      </c>
      <c r="H516" s="86"/>
      <c r="I516" s="84" t="str">
        <f>IFERROR(VLOOKUP(CONCATENATE($B516,"_",I$3),materiali!$C:$K,5,0),"")</f>
        <v/>
      </c>
      <c r="J516" s="85" t="str">
        <f>IFERROR(VLOOKUP(CONCATENATE($B516,"_",J$3),materiali!$C:$K,6,0),"")</f>
        <v/>
      </c>
      <c r="K516" s="86"/>
      <c r="L516" s="84" t="str">
        <f>IFERROR(VLOOKUP(CONCATENATE($B516,"_",L$3),materiali!$C:$K,5,0),"")</f>
        <v/>
      </c>
      <c r="M516" s="85" t="str">
        <f>IFERROR(VLOOKUP(CONCATENATE($B516,"_",M$3),materiali!$C:$K,6,0),"")</f>
        <v/>
      </c>
      <c r="N516" s="86"/>
      <c r="O516" s="84" t="str">
        <f>IFERROR(VLOOKUP(CONCATENATE($B516,"_",O$3),materiali!$C:$K,5,0),"")</f>
        <v/>
      </c>
      <c r="P516" s="85" t="str">
        <f>IFERROR(VLOOKUP(CONCATENATE($B516,"_",P$3),materiali!$C:$K,6,0),"")</f>
        <v/>
      </c>
      <c r="Q516" s="86"/>
      <c r="R516" s="84" t="str">
        <f>IFERROR(VLOOKUP(CONCATENATE($B516,"_",R$3),materiali!$C:$K,5,0),"")</f>
        <v/>
      </c>
      <c r="S516" s="85" t="str">
        <f>IFERROR(VLOOKUP(CONCATENATE($B516,"_",S$3),materiali!$C:$K,6,0),"")</f>
        <v/>
      </c>
      <c r="T516" s="86"/>
      <c r="U516" s="31"/>
      <c r="AD516" s="97"/>
    </row>
    <row r="517" spans="1:30" ht="35.1" hidden="1" customHeight="1" x14ac:dyDescent="0.25">
      <c r="A517" s="83"/>
      <c r="B517" s="7"/>
      <c r="C517" s="8"/>
      <c r="D517" s="8"/>
      <c r="E517" s="60"/>
      <c r="F517" s="84" t="str">
        <f>IFERROR(VLOOKUP(CONCATENATE($B517,"_",F$3),materiali!$C:$K,5,0),"")</f>
        <v/>
      </c>
      <c r="G517" s="85" t="str">
        <f>IFERROR(VLOOKUP(CONCATENATE($B517,"_",G$3),materiali!$C:$K,6,0),"")</f>
        <v/>
      </c>
      <c r="H517" s="86"/>
      <c r="I517" s="84" t="str">
        <f>IFERROR(VLOOKUP(CONCATENATE($B517,"_",I$3),materiali!$C:$K,5,0),"")</f>
        <v/>
      </c>
      <c r="J517" s="85" t="str">
        <f>IFERROR(VLOOKUP(CONCATENATE($B517,"_",J$3),materiali!$C:$K,6,0),"")</f>
        <v/>
      </c>
      <c r="K517" s="86"/>
      <c r="L517" s="84" t="str">
        <f>IFERROR(VLOOKUP(CONCATENATE($B517,"_",L$3),materiali!$C:$K,5,0),"")</f>
        <v/>
      </c>
      <c r="M517" s="85" t="str">
        <f>IFERROR(VLOOKUP(CONCATENATE($B517,"_",M$3),materiali!$C:$K,6,0),"")</f>
        <v/>
      </c>
      <c r="N517" s="86"/>
      <c r="O517" s="84" t="str">
        <f>IFERROR(VLOOKUP(CONCATENATE($B517,"_",O$3),materiali!$C:$K,5,0),"")</f>
        <v/>
      </c>
      <c r="P517" s="85" t="str">
        <f>IFERROR(VLOOKUP(CONCATENATE($B517,"_",P$3),materiali!$C:$K,6,0),"")</f>
        <v/>
      </c>
      <c r="Q517" s="86"/>
      <c r="R517" s="84" t="str">
        <f>IFERROR(VLOOKUP(CONCATENATE($B517,"_",R$3),materiali!$C:$K,5,0),"")</f>
        <v/>
      </c>
      <c r="S517" s="85" t="str">
        <f>IFERROR(VLOOKUP(CONCATENATE($B517,"_",S$3),materiali!$C:$K,6,0),"")</f>
        <v/>
      </c>
      <c r="T517" s="86"/>
      <c r="U517" s="31"/>
      <c r="AD517" s="97"/>
    </row>
    <row r="518" spans="1:30" ht="35.1" hidden="1" customHeight="1" x14ac:dyDescent="0.25">
      <c r="A518" s="83"/>
      <c r="B518" s="7"/>
      <c r="C518" s="8"/>
      <c r="D518" s="8"/>
      <c r="E518" s="60"/>
      <c r="F518" s="84" t="str">
        <f>IFERROR(VLOOKUP(CONCATENATE($B518,"_",F$3),materiali!$C:$K,5,0),"")</f>
        <v/>
      </c>
      <c r="G518" s="85" t="str">
        <f>IFERROR(VLOOKUP(CONCATENATE($B518,"_",G$3),materiali!$C:$K,6,0),"")</f>
        <v/>
      </c>
      <c r="H518" s="86"/>
      <c r="I518" s="84" t="str">
        <f>IFERROR(VLOOKUP(CONCATENATE($B518,"_",I$3),materiali!$C:$K,5,0),"")</f>
        <v/>
      </c>
      <c r="J518" s="85" t="str">
        <f>IFERROR(VLOOKUP(CONCATENATE($B518,"_",J$3),materiali!$C:$K,6,0),"")</f>
        <v/>
      </c>
      <c r="K518" s="86"/>
      <c r="L518" s="84" t="str">
        <f>IFERROR(VLOOKUP(CONCATENATE($B518,"_",L$3),materiali!$C:$K,5,0),"")</f>
        <v/>
      </c>
      <c r="M518" s="85" t="str">
        <f>IFERROR(VLOOKUP(CONCATENATE($B518,"_",M$3),materiali!$C:$K,6,0),"")</f>
        <v/>
      </c>
      <c r="N518" s="86"/>
      <c r="O518" s="84" t="str">
        <f>IFERROR(VLOOKUP(CONCATENATE($B518,"_",O$3),materiali!$C:$K,5,0),"")</f>
        <v/>
      </c>
      <c r="P518" s="85" t="str">
        <f>IFERROR(VLOOKUP(CONCATENATE($B518,"_",P$3),materiali!$C:$K,6,0),"")</f>
        <v/>
      </c>
      <c r="Q518" s="86"/>
      <c r="R518" s="84" t="str">
        <f>IFERROR(VLOOKUP(CONCATENATE($B518,"_",R$3),materiali!$C:$K,5,0),"")</f>
        <v/>
      </c>
      <c r="S518" s="85" t="str">
        <f>IFERROR(VLOOKUP(CONCATENATE($B518,"_",S$3),materiali!$C:$K,6,0),"")</f>
        <v/>
      </c>
      <c r="T518" s="86"/>
      <c r="U518" s="31"/>
      <c r="AD518" s="97"/>
    </row>
    <row r="519" spans="1:30" ht="35.1" hidden="1" customHeight="1" x14ac:dyDescent="0.25">
      <c r="A519" s="83"/>
      <c r="B519" s="7"/>
      <c r="C519" s="8"/>
      <c r="D519" s="8"/>
      <c r="E519" s="60"/>
      <c r="F519" s="84" t="str">
        <f>IFERROR(VLOOKUP(CONCATENATE($B519,"_",F$3),materiali!$C:$K,5,0),"")</f>
        <v/>
      </c>
      <c r="G519" s="85" t="str">
        <f>IFERROR(VLOOKUP(CONCATENATE($B519,"_",G$3),materiali!$C:$K,6,0),"")</f>
        <v/>
      </c>
      <c r="H519" s="86"/>
      <c r="I519" s="84" t="str">
        <f>IFERROR(VLOOKUP(CONCATENATE($B519,"_",I$3),materiali!$C:$K,5,0),"")</f>
        <v/>
      </c>
      <c r="J519" s="85" t="str">
        <f>IFERROR(VLOOKUP(CONCATENATE($B519,"_",J$3),materiali!$C:$K,6,0),"")</f>
        <v/>
      </c>
      <c r="K519" s="86"/>
      <c r="L519" s="84" t="str">
        <f>IFERROR(VLOOKUP(CONCATENATE($B519,"_",L$3),materiali!$C:$K,5,0),"")</f>
        <v/>
      </c>
      <c r="M519" s="85" t="str">
        <f>IFERROR(VLOOKUP(CONCATENATE($B519,"_",M$3),materiali!$C:$K,6,0),"")</f>
        <v/>
      </c>
      <c r="N519" s="86"/>
      <c r="O519" s="84" t="str">
        <f>IFERROR(VLOOKUP(CONCATENATE($B519,"_",O$3),materiali!$C:$K,5,0),"")</f>
        <v/>
      </c>
      <c r="P519" s="85" t="str">
        <f>IFERROR(VLOOKUP(CONCATENATE($B519,"_",P$3),materiali!$C:$K,6,0),"")</f>
        <v/>
      </c>
      <c r="Q519" s="86"/>
      <c r="R519" s="84" t="str">
        <f>IFERROR(VLOOKUP(CONCATENATE($B519,"_",R$3),materiali!$C:$K,5,0),"")</f>
        <v/>
      </c>
      <c r="S519" s="85" t="str">
        <f>IFERROR(VLOOKUP(CONCATENATE($B519,"_",S$3),materiali!$C:$K,6,0),"")</f>
        <v/>
      </c>
      <c r="T519" s="86"/>
      <c r="U519" s="31"/>
      <c r="AD519" s="97"/>
    </row>
    <row r="520" spans="1:30" ht="35.1" hidden="1" customHeight="1" x14ac:dyDescent="0.25">
      <c r="A520" s="83"/>
      <c r="B520" s="7"/>
      <c r="C520" s="8"/>
      <c r="D520" s="8"/>
      <c r="E520" s="60"/>
      <c r="F520" s="84" t="str">
        <f>IFERROR(VLOOKUP(CONCATENATE($B520,"_",F$3),materiali!$C:$K,5,0),"")</f>
        <v/>
      </c>
      <c r="G520" s="85" t="str">
        <f>IFERROR(VLOOKUP(CONCATENATE($B520,"_",G$3),materiali!$C:$K,6,0),"")</f>
        <v/>
      </c>
      <c r="H520" s="86"/>
      <c r="I520" s="84" t="str">
        <f>IFERROR(VLOOKUP(CONCATENATE($B520,"_",I$3),materiali!$C:$K,5,0),"")</f>
        <v/>
      </c>
      <c r="J520" s="85" t="str">
        <f>IFERROR(VLOOKUP(CONCATENATE($B520,"_",J$3),materiali!$C:$K,6,0),"")</f>
        <v/>
      </c>
      <c r="K520" s="86"/>
      <c r="L520" s="84" t="str">
        <f>IFERROR(VLOOKUP(CONCATENATE($B520,"_",L$3),materiali!$C:$K,5,0),"")</f>
        <v/>
      </c>
      <c r="M520" s="85" t="str">
        <f>IFERROR(VLOOKUP(CONCATENATE($B520,"_",M$3),materiali!$C:$K,6,0),"")</f>
        <v/>
      </c>
      <c r="N520" s="86"/>
      <c r="O520" s="84" t="str">
        <f>IFERROR(VLOOKUP(CONCATENATE($B520,"_",O$3),materiali!$C:$K,5,0),"")</f>
        <v/>
      </c>
      <c r="P520" s="85" t="str">
        <f>IFERROR(VLOOKUP(CONCATENATE($B520,"_",P$3),materiali!$C:$K,6,0),"")</f>
        <v/>
      </c>
      <c r="Q520" s="86"/>
      <c r="R520" s="84" t="str">
        <f>IFERROR(VLOOKUP(CONCATENATE($B520,"_",R$3),materiali!$C:$K,5,0),"")</f>
        <v/>
      </c>
      <c r="S520" s="85" t="str">
        <f>IFERROR(VLOOKUP(CONCATENATE($B520,"_",S$3),materiali!$C:$K,6,0),"")</f>
        <v/>
      </c>
      <c r="T520" s="86"/>
      <c r="U520" s="31"/>
      <c r="AD520" s="97"/>
    </row>
    <row r="521" spans="1:30" ht="35.1" hidden="1" customHeight="1" x14ac:dyDescent="0.25">
      <c r="A521" s="83"/>
      <c r="B521" s="7"/>
      <c r="C521" s="8"/>
      <c r="D521" s="8"/>
      <c r="E521" s="60"/>
      <c r="F521" s="84" t="str">
        <f>IFERROR(VLOOKUP(CONCATENATE($B521,"_",F$3),materiali!$C:$K,5,0),"")</f>
        <v/>
      </c>
      <c r="G521" s="85" t="str">
        <f>IFERROR(VLOOKUP(CONCATENATE($B521,"_",G$3),materiali!$C:$K,6,0),"")</f>
        <v/>
      </c>
      <c r="H521" s="86"/>
      <c r="I521" s="84" t="str">
        <f>IFERROR(VLOOKUP(CONCATENATE($B521,"_",I$3),materiali!$C:$K,5,0),"")</f>
        <v/>
      </c>
      <c r="J521" s="85" t="str">
        <f>IFERROR(VLOOKUP(CONCATENATE($B521,"_",J$3),materiali!$C:$K,6,0),"")</f>
        <v/>
      </c>
      <c r="K521" s="86"/>
      <c r="L521" s="84" t="str">
        <f>IFERROR(VLOOKUP(CONCATENATE($B521,"_",L$3),materiali!$C:$K,5,0),"")</f>
        <v/>
      </c>
      <c r="M521" s="85" t="str">
        <f>IFERROR(VLOOKUP(CONCATENATE($B521,"_",M$3),materiali!$C:$K,6,0),"")</f>
        <v/>
      </c>
      <c r="N521" s="86"/>
      <c r="O521" s="84" t="str">
        <f>IFERROR(VLOOKUP(CONCATENATE($B521,"_",O$3),materiali!$C:$K,5,0),"")</f>
        <v/>
      </c>
      <c r="P521" s="85" t="str">
        <f>IFERROR(VLOOKUP(CONCATENATE($B521,"_",P$3),materiali!$C:$K,6,0),"")</f>
        <v/>
      </c>
      <c r="Q521" s="86"/>
      <c r="R521" s="84" t="str">
        <f>IFERROR(VLOOKUP(CONCATENATE($B521,"_",R$3),materiali!$C:$K,5,0),"")</f>
        <v/>
      </c>
      <c r="S521" s="85" t="str">
        <f>IFERROR(VLOOKUP(CONCATENATE($B521,"_",S$3),materiali!$C:$K,6,0),"")</f>
        <v/>
      </c>
      <c r="T521" s="86"/>
      <c r="U521" s="31"/>
      <c r="AD521" s="97"/>
    </row>
    <row r="522" spans="1:30" ht="35.1" hidden="1" customHeight="1" x14ac:dyDescent="0.25">
      <c r="A522" s="83"/>
      <c r="B522" s="7"/>
      <c r="C522" s="8"/>
      <c r="D522" s="8"/>
      <c r="E522" s="60"/>
      <c r="F522" s="84" t="str">
        <f>IFERROR(VLOOKUP(CONCATENATE($B522,"_",F$3),materiali!$C:$K,5,0),"")</f>
        <v/>
      </c>
      <c r="G522" s="85" t="str">
        <f>IFERROR(VLOOKUP(CONCATENATE($B522,"_",G$3),materiali!$C:$K,6,0),"")</f>
        <v/>
      </c>
      <c r="H522" s="86"/>
      <c r="I522" s="84" t="str">
        <f>IFERROR(VLOOKUP(CONCATENATE($B522,"_",I$3),materiali!$C:$K,5,0),"")</f>
        <v/>
      </c>
      <c r="J522" s="85" t="str">
        <f>IFERROR(VLOOKUP(CONCATENATE($B522,"_",J$3),materiali!$C:$K,6,0),"")</f>
        <v/>
      </c>
      <c r="K522" s="86"/>
      <c r="L522" s="84" t="str">
        <f>IFERROR(VLOOKUP(CONCATENATE($B522,"_",L$3),materiali!$C:$K,5,0),"")</f>
        <v/>
      </c>
      <c r="M522" s="85" t="str">
        <f>IFERROR(VLOOKUP(CONCATENATE($B522,"_",M$3),materiali!$C:$K,6,0),"")</f>
        <v/>
      </c>
      <c r="N522" s="86"/>
      <c r="O522" s="84" t="str">
        <f>IFERROR(VLOOKUP(CONCATENATE($B522,"_",O$3),materiali!$C:$K,5,0),"")</f>
        <v/>
      </c>
      <c r="P522" s="85" t="str">
        <f>IFERROR(VLOOKUP(CONCATENATE($B522,"_",P$3),materiali!$C:$K,6,0),"")</f>
        <v/>
      </c>
      <c r="Q522" s="86"/>
      <c r="R522" s="84" t="str">
        <f>IFERROR(VLOOKUP(CONCATENATE($B522,"_",R$3),materiali!$C:$K,5,0),"")</f>
        <v/>
      </c>
      <c r="S522" s="85" t="str">
        <f>IFERROR(VLOOKUP(CONCATENATE($B522,"_",S$3),materiali!$C:$K,6,0),"")</f>
        <v/>
      </c>
      <c r="T522" s="86"/>
      <c r="U522" s="31"/>
      <c r="AD522" s="97"/>
    </row>
    <row r="523" spans="1:30" ht="35.1" hidden="1" customHeight="1" x14ac:dyDescent="0.25">
      <c r="A523" s="83"/>
      <c r="B523" s="7"/>
      <c r="C523" s="8"/>
      <c r="D523" s="8"/>
      <c r="E523" s="60"/>
      <c r="F523" s="84" t="str">
        <f>IFERROR(VLOOKUP(CONCATENATE($B523,"_",F$3),materiali!$C:$K,5,0),"")</f>
        <v/>
      </c>
      <c r="G523" s="85" t="str">
        <f>IFERROR(VLOOKUP(CONCATENATE($B523,"_",G$3),materiali!$C:$K,6,0),"")</f>
        <v/>
      </c>
      <c r="H523" s="86"/>
      <c r="I523" s="84" t="str">
        <f>IFERROR(VLOOKUP(CONCATENATE($B523,"_",I$3),materiali!$C:$K,5,0),"")</f>
        <v/>
      </c>
      <c r="J523" s="85" t="str">
        <f>IFERROR(VLOOKUP(CONCATENATE($B523,"_",J$3),materiali!$C:$K,6,0),"")</f>
        <v/>
      </c>
      <c r="K523" s="86"/>
      <c r="L523" s="84" t="str">
        <f>IFERROR(VLOOKUP(CONCATENATE($B523,"_",L$3),materiali!$C:$K,5,0),"")</f>
        <v/>
      </c>
      <c r="M523" s="85" t="str">
        <f>IFERROR(VLOOKUP(CONCATENATE($B523,"_",M$3),materiali!$C:$K,6,0),"")</f>
        <v/>
      </c>
      <c r="N523" s="86"/>
      <c r="O523" s="84" t="str">
        <f>IFERROR(VLOOKUP(CONCATENATE($B523,"_",O$3),materiali!$C:$K,5,0),"")</f>
        <v/>
      </c>
      <c r="P523" s="85" t="str">
        <f>IFERROR(VLOOKUP(CONCATENATE($B523,"_",P$3),materiali!$C:$K,6,0),"")</f>
        <v/>
      </c>
      <c r="Q523" s="86"/>
      <c r="R523" s="84" t="str">
        <f>IFERROR(VLOOKUP(CONCATENATE($B523,"_",R$3),materiali!$C:$K,5,0),"")</f>
        <v/>
      </c>
      <c r="S523" s="85" t="str">
        <f>IFERROR(VLOOKUP(CONCATENATE($B523,"_",S$3),materiali!$C:$K,6,0),"")</f>
        <v/>
      </c>
      <c r="T523" s="86"/>
      <c r="U523" s="31"/>
      <c r="AD523" s="97"/>
    </row>
    <row r="524" spans="1:30" ht="35.1" hidden="1" customHeight="1" x14ac:dyDescent="0.25">
      <c r="A524" s="83"/>
      <c r="B524" s="7"/>
      <c r="C524" s="8"/>
      <c r="D524" s="8"/>
      <c r="E524" s="60"/>
      <c r="F524" s="84" t="str">
        <f>IFERROR(VLOOKUP(CONCATENATE($B524,"_",F$3),materiali!$C:$K,5,0),"")</f>
        <v/>
      </c>
      <c r="G524" s="85" t="str">
        <f>IFERROR(VLOOKUP(CONCATENATE($B524,"_",G$3),materiali!$C:$K,6,0),"")</f>
        <v/>
      </c>
      <c r="H524" s="86"/>
      <c r="I524" s="84" t="str">
        <f>IFERROR(VLOOKUP(CONCATENATE($B524,"_",I$3),materiali!$C:$K,5,0),"")</f>
        <v/>
      </c>
      <c r="J524" s="85" t="str">
        <f>IFERROR(VLOOKUP(CONCATENATE($B524,"_",J$3),materiali!$C:$K,6,0),"")</f>
        <v/>
      </c>
      <c r="K524" s="86"/>
      <c r="L524" s="84" t="str">
        <f>IFERROR(VLOOKUP(CONCATENATE($B524,"_",L$3),materiali!$C:$K,5,0),"")</f>
        <v/>
      </c>
      <c r="M524" s="85" t="str">
        <f>IFERROR(VLOOKUP(CONCATENATE($B524,"_",M$3),materiali!$C:$K,6,0),"")</f>
        <v/>
      </c>
      <c r="N524" s="86"/>
      <c r="O524" s="84" t="str">
        <f>IFERROR(VLOOKUP(CONCATENATE($B524,"_",O$3),materiali!$C:$K,5,0),"")</f>
        <v/>
      </c>
      <c r="P524" s="85" t="str">
        <f>IFERROR(VLOOKUP(CONCATENATE($B524,"_",P$3),materiali!$C:$K,6,0),"")</f>
        <v/>
      </c>
      <c r="Q524" s="86"/>
      <c r="R524" s="84" t="str">
        <f>IFERROR(VLOOKUP(CONCATENATE($B524,"_",R$3),materiali!$C:$K,5,0),"")</f>
        <v/>
      </c>
      <c r="S524" s="85" t="str">
        <f>IFERROR(VLOOKUP(CONCATENATE($B524,"_",S$3),materiali!$C:$K,6,0),"")</f>
        <v/>
      </c>
      <c r="T524" s="86"/>
      <c r="U524" s="31"/>
      <c r="AD524" s="97"/>
    </row>
    <row r="525" spans="1:30" ht="35.1" hidden="1" customHeight="1" x14ac:dyDescent="0.25">
      <c r="A525" s="83"/>
      <c r="B525" s="7"/>
      <c r="C525" s="8"/>
      <c r="D525" s="8"/>
      <c r="E525" s="60"/>
      <c r="F525" s="84" t="str">
        <f>IFERROR(VLOOKUP(CONCATENATE($B525,"_",F$3),materiali!$C:$K,5,0),"")</f>
        <v/>
      </c>
      <c r="G525" s="85" t="str">
        <f>IFERROR(VLOOKUP(CONCATENATE($B525,"_",G$3),materiali!$C:$K,6,0),"")</f>
        <v/>
      </c>
      <c r="H525" s="86"/>
      <c r="I525" s="84" t="str">
        <f>IFERROR(VLOOKUP(CONCATENATE($B525,"_",I$3),materiali!$C:$K,5,0),"")</f>
        <v/>
      </c>
      <c r="J525" s="85" t="str">
        <f>IFERROR(VLOOKUP(CONCATENATE($B525,"_",J$3),materiali!$C:$K,6,0),"")</f>
        <v/>
      </c>
      <c r="K525" s="86"/>
      <c r="L525" s="84" t="str">
        <f>IFERROR(VLOOKUP(CONCATENATE($B525,"_",L$3),materiali!$C:$K,5,0),"")</f>
        <v/>
      </c>
      <c r="M525" s="85" t="str">
        <f>IFERROR(VLOOKUP(CONCATENATE($B525,"_",M$3),materiali!$C:$K,6,0),"")</f>
        <v/>
      </c>
      <c r="N525" s="86"/>
      <c r="O525" s="84" t="str">
        <f>IFERROR(VLOOKUP(CONCATENATE($B525,"_",O$3),materiali!$C:$K,5,0),"")</f>
        <v/>
      </c>
      <c r="P525" s="85" t="str">
        <f>IFERROR(VLOOKUP(CONCATENATE($B525,"_",P$3),materiali!$C:$K,6,0),"")</f>
        <v/>
      </c>
      <c r="Q525" s="86"/>
      <c r="R525" s="84" t="str">
        <f>IFERROR(VLOOKUP(CONCATENATE($B525,"_",R$3),materiali!$C:$K,5,0),"")</f>
        <v/>
      </c>
      <c r="S525" s="85" t="str">
        <f>IFERROR(VLOOKUP(CONCATENATE($B525,"_",S$3),materiali!$C:$K,6,0),"")</f>
        <v/>
      </c>
      <c r="T525" s="86"/>
      <c r="U525" s="31"/>
      <c r="AD525" s="97"/>
    </row>
    <row r="526" spans="1:30" ht="35.1" hidden="1" customHeight="1" x14ac:dyDescent="0.25">
      <c r="A526" s="83"/>
      <c r="B526" s="7"/>
      <c r="C526" s="8"/>
      <c r="D526" s="8"/>
      <c r="E526" s="60"/>
      <c r="F526" s="84" t="str">
        <f>IFERROR(VLOOKUP(CONCATENATE($B526,"_",F$3),materiali!$C:$K,5,0),"")</f>
        <v/>
      </c>
      <c r="G526" s="85" t="str">
        <f>IFERROR(VLOOKUP(CONCATENATE($B526,"_",G$3),materiali!$C:$K,6,0),"")</f>
        <v/>
      </c>
      <c r="H526" s="86"/>
      <c r="I526" s="84" t="str">
        <f>IFERROR(VLOOKUP(CONCATENATE($B526,"_",I$3),materiali!$C:$K,5,0),"")</f>
        <v/>
      </c>
      <c r="J526" s="85" t="str">
        <f>IFERROR(VLOOKUP(CONCATENATE($B526,"_",J$3),materiali!$C:$K,6,0),"")</f>
        <v/>
      </c>
      <c r="K526" s="86"/>
      <c r="L526" s="84" t="str">
        <f>IFERROR(VLOOKUP(CONCATENATE($B526,"_",L$3),materiali!$C:$K,5,0),"")</f>
        <v/>
      </c>
      <c r="M526" s="85" t="str">
        <f>IFERROR(VLOOKUP(CONCATENATE($B526,"_",M$3),materiali!$C:$K,6,0),"")</f>
        <v/>
      </c>
      <c r="N526" s="86"/>
      <c r="O526" s="84" t="str">
        <f>IFERROR(VLOOKUP(CONCATENATE($B526,"_",O$3),materiali!$C:$K,5,0),"")</f>
        <v/>
      </c>
      <c r="P526" s="85" t="str">
        <f>IFERROR(VLOOKUP(CONCATENATE($B526,"_",P$3),materiali!$C:$K,6,0),"")</f>
        <v/>
      </c>
      <c r="Q526" s="86"/>
      <c r="R526" s="84" t="str">
        <f>IFERROR(VLOOKUP(CONCATENATE($B526,"_",R$3),materiali!$C:$K,5,0),"")</f>
        <v/>
      </c>
      <c r="S526" s="85" t="str">
        <f>IFERROR(VLOOKUP(CONCATENATE($B526,"_",S$3),materiali!$C:$K,6,0),"")</f>
        <v/>
      </c>
      <c r="T526" s="86"/>
      <c r="U526" s="31"/>
      <c r="AD526" s="97"/>
    </row>
    <row r="527" spans="1:30" ht="35.1" hidden="1" customHeight="1" x14ac:dyDescent="0.25">
      <c r="A527" s="83"/>
      <c r="B527" s="7"/>
      <c r="C527" s="8"/>
      <c r="D527" s="8"/>
      <c r="E527" s="60"/>
      <c r="F527" s="84" t="str">
        <f>IFERROR(VLOOKUP(CONCATENATE($B527,"_",F$3),materiali!$C:$K,5,0),"")</f>
        <v/>
      </c>
      <c r="G527" s="85" t="str">
        <f>IFERROR(VLOOKUP(CONCATENATE($B527,"_",G$3),materiali!$C:$K,6,0),"")</f>
        <v/>
      </c>
      <c r="H527" s="86"/>
      <c r="I527" s="84" t="str">
        <f>IFERROR(VLOOKUP(CONCATENATE($B527,"_",I$3),materiali!$C:$K,5,0),"")</f>
        <v/>
      </c>
      <c r="J527" s="85" t="str">
        <f>IFERROR(VLOOKUP(CONCATENATE($B527,"_",J$3),materiali!$C:$K,6,0),"")</f>
        <v/>
      </c>
      <c r="K527" s="86"/>
      <c r="L527" s="84" t="str">
        <f>IFERROR(VLOOKUP(CONCATENATE($B527,"_",L$3),materiali!$C:$K,5,0),"")</f>
        <v/>
      </c>
      <c r="M527" s="85" t="str">
        <f>IFERROR(VLOOKUP(CONCATENATE($B527,"_",M$3),materiali!$C:$K,6,0),"")</f>
        <v/>
      </c>
      <c r="N527" s="86"/>
      <c r="O527" s="84" t="str">
        <f>IFERROR(VLOOKUP(CONCATENATE($B527,"_",O$3),materiali!$C:$K,5,0),"")</f>
        <v/>
      </c>
      <c r="P527" s="85" t="str">
        <f>IFERROR(VLOOKUP(CONCATENATE($B527,"_",P$3),materiali!$C:$K,6,0),"")</f>
        <v/>
      </c>
      <c r="Q527" s="86"/>
      <c r="R527" s="84" t="str">
        <f>IFERROR(VLOOKUP(CONCATENATE($B527,"_",R$3),materiali!$C:$K,5,0),"")</f>
        <v/>
      </c>
      <c r="S527" s="85" t="str">
        <f>IFERROR(VLOOKUP(CONCATENATE($B527,"_",S$3),materiali!$C:$K,6,0),"")</f>
        <v/>
      </c>
      <c r="T527" s="86"/>
      <c r="U527" s="31"/>
      <c r="AD527" s="97"/>
    </row>
    <row r="528" spans="1:30" ht="35.1" hidden="1" customHeight="1" x14ac:dyDescent="0.25">
      <c r="A528" s="83"/>
      <c r="B528" s="7"/>
      <c r="C528" s="8"/>
      <c r="D528" s="8"/>
      <c r="E528" s="60"/>
      <c r="F528" s="84" t="str">
        <f>IFERROR(VLOOKUP(CONCATENATE($B528,"_",F$3),materiali!$C:$K,5,0),"")</f>
        <v/>
      </c>
      <c r="G528" s="85" t="str">
        <f>IFERROR(VLOOKUP(CONCATENATE($B528,"_",G$3),materiali!$C:$K,6,0),"")</f>
        <v/>
      </c>
      <c r="H528" s="86"/>
      <c r="I528" s="84" t="str">
        <f>IFERROR(VLOOKUP(CONCATENATE($B528,"_",I$3),materiali!$C:$K,5,0),"")</f>
        <v/>
      </c>
      <c r="J528" s="85" t="str">
        <f>IFERROR(VLOOKUP(CONCATENATE($B528,"_",J$3),materiali!$C:$K,6,0),"")</f>
        <v/>
      </c>
      <c r="K528" s="86"/>
      <c r="L528" s="84" t="str">
        <f>IFERROR(VLOOKUP(CONCATENATE($B528,"_",L$3),materiali!$C:$K,5,0),"")</f>
        <v/>
      </c>
      <c r="M528" s="85" t="str">
        <f>IFERROR(VLOOKUP(CONCATENATE($B528,"_",M$3),materiali!$C:$K,6,0),"")</f>
        <v/>
      </c>
      <c r="N528" s="86"/>
      <c r="O528" s="84" t="str">
        <f>IFERROR(VLOOKUP(CONCATENATE($B528,"_",O$3),materiali!$C:$K,5,0),"")</f>
        <v/>
      </c>
      <c r="P528" s="85" t="str">
        <f>IFERROR(VLOOKUP(CONCATENATE($B528,"_",P$3),materiali!$C:$K,6,0),"")</f>
        <v/>
      </c>
      <c r="Q528" s="86"/>
      <c r="R528" s="84" t="str">
        <f>IFERROR(VLOOKUP(CONCATENATE($B528,"_",R$3),materiali!$C:$K,5,0),"")</f>
        <v/>
      </c>
      <c r="S528" s="85" t="str">
        <f>IFERROR(VLOOKUP(CONCATENATE($B528,"_",S$3),materiali!$C:$K,6,0),"")</f>
        <v/>
      </c>
      <c r="T528" s="86"/>
      <c r="U528" s="31"/>
      <c r="AD528" s="97"/>
    </row>
    <row r="529" spans="1:30" ht="35.1" hidden="1" customHeight="1" x14ac:dyDescent="0.25">
      <c r="A529" s="83"/>
      <c r="B529" s="7"/>
      <c r="C529" s="8"/>
      <c r="D529" s="8"/>
      <c r="E529" s="60"/>
      <c r="F529" s="84" t="str">
        <f>IFERROR(VLOOKUP(CONCATENATE($B529,"_",F$3),materiali!$C:$K,5,0),"")</f>
        <v/>
      </c>
      <c r="G529" s="85" t="str">
        <f>IFERROR(VLOOKUP(CONCATENATE($B529,"_",G$3),materiali!$C:$K,6,0),"")</f>
        <v/>
      </c>
      <c r="H529" s="86"/>
      <c r="I529" s="84" t="str">
        <f>IFERROR(VLOOKUP(CONCATENATE($B529,"_",I$3),materiali!$C:$K,5,0),"")</f>
        <v/>
      </c>
      <c r="J529" s="85" t="str">
        <f>IFERROR(VLOOKUP(CONCATENATE($B529,"_",J$3),materiali!$C:$K,6,0),"")</f>
        <v/>
      </c>
      <c r="K529" s="86"/>
      <c r="L529" s="84" t="str">
        <f>IFERROR(VLOOKUP(CONCATENATE($B529,"_",L$3),materiali!$C:$K,5,0),"")</f>
        <v/>
      </c>
      <c r="M529" s="85" t="str">
        <f>IFERROR(VLOOKUP(CONCATENATE($B529,"_",M$3),materiali!$C:$K,6,0),"")</f>
        <v/>
      </c>
      <c r="N529" s="86"/>
      <c r="O529" s="84" t="str">
        <f>IFERROR(VLOOKUP(CONCATENATE($B529,"_",O$3),materiali!$C:$K,5,0),"")</f>
        <v/>
      </c>
      <c r="P529" s="85" t="str">
        <f>IFERROR(VLOOKUP(CONCATENATE($B529,"_",P$3),materiali!$C:$K,6,0),"")</f>
        <v/>
      </c>
      <c r="Q529" s="86"/>
      <c r="R529" s="84" t="str">
        <f>IFERROR(VLOOKUP(CONCATENATE($B529,"_",R$3),materiali!$C:$K,5,0),"")</f>
        <v/>
      </c>
      <c r="S529" s="85" t="str">
        <f>IFERROR(VLOOKUP(CONCATENATE($B529,"_",S$3),materiali!$C:$K,6,0),"")</f>
        <v/>
      </c>
      <c r="T529" s="86"/>
      <c r="U529" s="31"/>
      <c r="AD529" s="97"/>
    </row>
    <row r="530" spans="1:30" ht="35.1" hidden="1" customHeight="1" x14ac:dyDescent="0.25">
      <c r="A530" s="83"/>
      <c r="B530" s="7"/>
      <c r="C530" s="8"/>
      <c r="D530" s="8"/>
      <c r="E530" s="60"/>
      <c r="F530" s="84" t="str">
        <f>IFERROR(VLOOKUP(CONCATENATE($B530,"_",F$3),materiali!$C:$K,5,0),"")</f>
        <v/>
      </c>
      <c r="G530" s="85" t="str">
        <f>IFERROR(VLOOKUP(CONCATENATE($B530,"_",G$3),materiali!$C:$K,6,0),"")</f>
        <v/>
      </c>
      <c r="H530" s="86"/>
      <c r="I530" s="84" t="str">
        <f>IFERROR(VLOOKUP(CONCATENATE($B530,"_",I$3),materiali!$C:$K,5,0),"")</f>
        <v/>
      </c>
      <c r="J530" s="85" t="str">
        <f>IFERROR(VLOOKUP(CONCATENATE($B530,"_",J$3),materiali!$C:$K,6,0),"")</f>
        <v/>
      </c>
      <c r="K530" s="86"/>
      <c r="L530" s="84" t="str">
        <f>IFERROR(VLOOKUP(CONCATENATE($B530,"_",L$3),materiali!$C:$K,5,0),"")</f>
        <v/>
      </c>
      <c r="M530" s="85" t="str">
        <f>IFERROR(VLOOKUP(CONCATENATE($B530,"_",M$3),materiali!$C:$K,6,0),"")</f>
        <v/>
      </c>
      <c r="N530" s="86"/>
      <c r="O530" s="84" t="str">
        <f>IFERROR(VLOOKUP(CONCATENATE($B530,"_",O$3),materiali!$C:$K,5,0),"")</f>
        <v/>
      </c>
      <c r="P530" s="85" t="str">
        <f>IFERROR(VLOOKUP(CONCATENATE($B530,"_",P$3),materiali!$C:$K,6,0),"")</f>
        <v/>
      </c>
      <c r="Q530" s="86"/>
      <c r="R530" s="84" t="str">
        <f>IFERROR(VLOOKUP(CONCATENATE($B530,"_",R$3),materiali!$C:$K,5,0),"")</f>
        <v/>
      </c>
      <c r="S530" s="85" t="str">
        <f>IFERROR(VLOOKUP(CONCATENATE($B530,"_",S$3),materiali!$C:$K,6,0),"")</f>
        <v/>
      </c>
      <c r="T530" s="86"/>
      <c r="U530" s="31"/>
      <c r="AD530" s="97"/>
    </row>
    <row r="531" spans="1:30" ht="35.1" hidden="1" customHeight="1" x14ac:dyDescent="0.25">
      <c r="A531" s="83"/>
      <c r="B531" s="7"/>
      <c r="C531" s="8"/>
      <c r="D531" s="8"/>
      <c r="E531" s="60"/>
      <c r="F531" s="84" t="str">
        <f>IFERROR(VLOOKUP(CONCATENATE($B531,"_",F$3),materiali!$C:$K,5,0),"")</f>
        <v/>
      </c>
      <c r="G531" s="85" t="str">
        <f>IFERROR(VLOOKUP(CONCATENATE($B531,"_",G$3),materiali!$C:$K,6,0),"")</f>
        <v/>
      </c>
      <c r="H531" s="86"/>
      <c r="I531" s="84" t="str">
        <f>IFERROR(VLOOKUP(CONCATENATE($B531,"_",I$3),materiali!$C:$K,5,0),"")</f>
        <v/>
      </c>
      <c r="J531" s="85" t="str">
        <f>IFERROR(VLOOKUP(CONCATENATE($B531,"_",J$3),materiali!$C:$K,6,0),"")</f>
        <v/>
      </c>
      <c r="K531" s="86"/>
      <c r="L531" s="84" t="str">
        <f>IFERROR(VLOOKUP(CONCATENATE($B531,"_",L$3),materiali!$C:$K,5,0),"")</f>
        <v/>
      </c>
      <c r="M531" s="85" t="str">
        <f>IFERROR(VLOOKUP(CONCATENATE($B531,"_",M$3),materiali!$C:$K,6,0),"")</f>
        <v/>
      </c>
      <c r="N531" s="86"/>
      <c r="O531" s="84" t="str">
        <f>IFERROR(VLOOKUP(CONCATENATE($B531,"_",O$3),materiali!$C:$K,5,0),"")</f>
        <v/>
      </c>
      <c r="P531" s="85" t="str">
        <f>IFERROR(VLOOKUP(CONCATENATE($B531,"_",P$3),materiali!$C:$K,6,0),"")</f>
        <v/>
      </c>
      <c r="Q531" s="86"/>
      <c r="R531" s="84" t="str">
        <f>IFERROR(VLOOKUP(CONCATENATE($B531,"_",R$3),materiali!$C:$K,5,0),"")</f>
        <v/>
      </c>
      <c r="S531" s="85" t="str">
        <f>IFERROR(VLOOKUP(CONCATENATE($B531,"_",S$3),materiali!$C:$K,6,0),"")</f>
        <v/>
      </c>
      <c r="T531" s="86"/>
      <c r="U531" s="31"/>
      <c r="AD531" s="97"/>
    </row>
    <row r="532" spans="1:30" ht="35.1" hidden="1" customHeight="1" x14ac:dyDescent="0.25">
      <c r="A532" s="83"/>
      <c r="B532" s="7"/>
      <c r="C532" s="8"/>
      <c r="D532" s="8"/>
      <c r="E532" s="60"/>
      <c r="F532" s="84" t="str">
        <f>IFERROR(VLOOKUP(CONCATENATE($B532,"_",F$3),materiali!$C:$K,5,0),"")</f>
        <v/>
      </c>
      <c r="G532" s="85" t="str">
        <f>IFERROR(VLOOKUP(CONCATENATE($B532,"_",G$3),materiali!$C:$K,6,0),"")</f>
        <v/>
      </c>
      <c r="H532" s="86"/>
      <c r="I532" s="84" t="str">
        <f>IFERROR(VLOOKUP(CONCATENATE($B532,"_",I$3),materiali!$C:$K,5,0),"")</f>
        <v/>
      </c>
      <c r="J532" s="85" t="str">
        <f>IFERROR(VLOOKUP(CONCATENATE($B532,"_",J$3),materiali!$C:$K,6,0),"")</f>
        <v/>
      </c>
      <c r="K532" s="86"/>
      <c r="L532" s="84" t="str">
        <f>IFERROR(VLOOKUP(CONCATENATE($B532,"_",L$3),materiali!$C:$K,5,0),"")</f>
        <v/>
      </c>
      <c r="M532" s="85" t="str">
        <f>IFERROR(VLOOKUP(CONCATENATE($B532,"_",M$3),materiali!$C:$K,6,0),"")</f>
        <v/>
      </c>
      <c r="N532" s="86"/>
      <c r="O532" s="84" t="str">
        <f>IFERROR(VLOOKUP(CONCATENATE($B532,"_",O$3),materiali!$C:$K,5,0),"")</f>
        <v/>
      </c>
      <c r="P532" s="85" t="str">
        <f>IFERROR(VLOOKUP(CONCATENATE($B532,"_",P$3),materiali!$C:$K,6,0),"")</f>
        <v/>
      </c>
      <c r="Q532" s="86"/>
      <c r="R532" s="84" t="str">
        <f>IFERROR(VLOOKUP(CONCATENATE($B532,"_",R$3),materiali!$C:$K,5,0),"")</f>
        <v/>
      </c>
      <c r="S532" s="85" t="str">
        <f>IFERROR(VLOOKUP(CONCATENATE($B532,"_",S$3),materiali!$C:$K,6,0),"")</f>
        <v/>
      </c>
      <c r="T532" s="86"/>
      <c r="U532" s="31"/>
      <c r="AD532" s="97"/>
    </row>
    <row r="533" spans="1:30" ht="35.1" hidden="1" customHeight="1" x14ac:dyDescent="0.25">
      <c r="A533" s="83"/>
      <c r="B533" s="7"/>
      <c r="C533" s="8"/>
      <c r="D533" s="8"/>
      <c r="E533" s="60"/>
      <c r="F533" s="84" t="str">
        <f>IFERROR(VLOOKUP(CONCATENATE($B533,"_",F$3),materiali!$C:$K,5,0),"")</f>
        <v/>
      </c>
      <c r="G533" s="85" t="str">
        <f>IFERROR(VLOOKUP(CONCATENATE($B533,"_",G$3),materiali!$C:$K,6,0),"")</f>
        <v/>
      </c>
      <c r="H533" s="86"/>
      <c r="I533" s="84" t="str">
        <f>IFERROR(VLOOKUP(CONCATENATE($B533,"_",I$3),materiali!$C:$K,5,0),"")</f>
        <v/>
      </c>
      <c r="J533" s="85" t="str">
        <f>IFERROR(VLOOKUP(CONCATENATE($B533,"_",J$3),materiali!$C:$K,6,0),"")</f>
        <v/>
      </c>
      <c r="K533" s="86"/>
      <c r="L533" s="84" t="str">
        <f>IFERROR(VLOOKUP(CONCATENATE($B533,"_",L$3),materiali!$C:$K,5,0),"")</f>
        <v/>
      </c>
      <c r="M533" s="85" t="str">
        <f>IFERROR(VLOOKUP(CONCATENATE($B533,"_",M$3),materiali!$C:$K,6,0),"")</f>
        <v/>
      </c>
      <c r="N533" s="86"/>
      <c r="O533" s="84" t="str">
        <f>IFERROR(VLOOKUP(CONCATENATE($B533,"_",O$3),materiali!$C:$K,5,0),"")</f>
        <v/>
      </c>
      <c r="P533" s="85" t="str">
        <f>IFERROR(VLOOKUP(CONCATENATE($B533,"_",P$3),materiali!$C:$K,6,0),"")</f>
        <v/>
      </c>
      <c r="Q533" s="86"/>
      <c r="R533" s="84" t="str">
        <f>IFERROR(VLOOKUP(CONCATENATE($B533,"_",R$3),materiali!$C:$K,5,0),"")</f>
        <v/>
      </c>
      <c r="S533" s="85" t="str">
        <f>IFERROR(VLOOKUP(CONCATENATE($B533,"_",S$3),materiali!$C:$K,6,0),"")</f>
        <v/>
      </c>
      <c r="T533" s="86"/>
      <c r="U533" s="31"/>
      <c r="AD533" s="97"/>
    </row>
    <row r="534" spans="1:30" ht="35.1" hidden="1" customHeight="1" x14ac:dyDescent="0.25">
      <c r="A534" s="83"/>
      <c r="B534" s="7"/>
      <c r="C534" s="8"/>
      <c r="D534" s="8"/>
      <c r="E534" s="60"/>
      <c r="F534" s="84" t="str">
        <f>IFERROR(VLOOKUP(CONCATENATE($B534,"_",F$3),materiali!$C:$K,5,0),"")</f>
        <v/>
      </c>
      <c r="G534" s="85" t="str">
        <f>IFERROR(VLOOKUP(CONCATENATE($B534,"_",G$3),materiali!$C:$K,6,0),"")</f>
        <v/>
      </c>
      <c r="H534" s="86"/>
      <c r="I534" s="84" t="str">
        <f>IFERROR(VLOOKUP(CONCATENATE($B534,"_",I$3),materiali!$C:$K,5,0),"")</f>
        <v/>
      </c>
      <c r="J534" s="85" t="str">
        <f>IFERROR(VLOOKUP(CONCATENATE($B534,"_",J$3),materiali!$C:$K,6,0),"")</f>
        <v/>
      </c>
      <c r="K534" s="86"/>
      <c r="L534" s="84" t="str">
        <f>IFERROR(VLOOKUP(CONCATENATE($B534,"_",L$3),materiali!$C:$K,5,0),"")</f>
        <v/>
      </c>
      <c r="M534" s="85" t="str">
        <f>IFERROR(VLOOKUP(CONCATENATE($B534,"_",M$3),materiali!$C:$K,6,0),"")</f>
        <v/>
      </c>
      <c r="N534" s="86"/>
      <c r="O534" s="84" t="str">
        <f>IFERROR(VLOOKUP(CONCATENATE($B534,"_",O$3),materiali!$C:$K,5,0),"")</f>
        <v/>
      </c>
      <c r="P534" s="85" t="str">
        <f>IFERROR(VLOOKUP(CONCATENATE($B534,"_",P$3),materiali!$C:$K,6,0),"")</f>
        <v/>
      </c>
      <c r="Q534" s="86"/>
      <c r="R534" s="84" t="str">
        <f>IFERROR(VLOOKUP(CONCATENATE($B534,"_",R$3),materiali!$C:$K,5,0),"")</f>
        <v/>
      </c>
      <c r="S534" s="85" t="str">
        <f>IFERROR(VLOOKUP(CONCATENATE($B534,"_",S$3),materiali!$C:$K,6,0),"")</f>
        <v/>
      </c>
      <c r="T534" s="86"/>
      <c r="U534" s="31"/>
      <c r="AD534" s="97"/>
    </row>
    <row r="535" spans="1:30" ht="35.1" hidden="1" customHeight="1" x14ac:dyDescent="0.25">
      <c r="A535" s="83"/>
      <c r="B535" s="7"/>
      <c r="C535" s="8"/>
      <c r="D535" s="8"/>
      <c r="E535" s="60"/>
      <c r="F535" s="84" t="str">
        <f>IFERROR(VLOOKUP(CONCATENATE($B535,"_",F$3),materiali!$C:$K,5,0),"")</f>
        <v/>
      </c>
      <c r="G535" s="85" t="str">
        <f>IFERROR(VLOOKUP(CONCATENATE($B535,"_",G$3),materiali!$C:$K,6,0),"")</f>
        <v/>
      </c>
      <c r="H535" s="86"/>
      <c r="I535" s="84" t="str">
        <f>IFERROR(VLOOKUP(CONCATENATE($B535,"_",I$3),materiali!$C:$K,5,0),"")</f>
        <v/>
      </c>
      <c r="J535" s="85" t="str">
        <f>IFERROR(VLOOKUP(CONCATENATE($B535,"_",J$3),materiali!$C:$K,6,0),"")</f>
        <v/>
      </c>
      <c r="K535" s="86"/>
      <c r="L535" s="84" t="str">
        <f>IFERROR(VLOOKUP(CONCATENATE($B535,"_",L$3),materiali!$C:$K,5,0),"")</f>
        <v/>
      </c>
      <c r="M535" s="85" t="str">
        <f>IFERROR(VLOOKUP(CONCATENATE($B535,"_",M$3),materiali!$C:$K,6,0),"")</f>
        <v/>
      </c>
      <c r="N535" s="86"/>
      <c r="O535" s="84" t="str">
        <f>IFERROR(VLOOKUP(CONCATENATE($B535,"_",O$3),materiali!$C:$K,5,0),"")</f>
        <v/>
      </c>
      <c r="P535" s="85" t="str">
        <f>IFERROR(VLOOKUP(CONCATENATE($B535,"_",P$3),materiali!$C:$K,6,0),"")</f>
        <v/>
      </c>
      <c r="Q535" s="86"/>
      <c r="R535" s="84" t="str">
        <f>IFERROR(VLOOKUP(CONCATENATE($B535,"_",R$3),materiali!$C:$K,5,0),"")</f>
        <v/>
      </c>
      <c r="S535" s="85" t="str">
        <f>IFERROR(VLOOKUP(CONCATENATE($B535,"_",S$3),materiali!$C:$K,6,0),"")</f>
        <v/>
      </c>
      <c r="T535" s="86"/>
      <c r="U535" s="31"/>
      <c r="AD535" s="97"/>
    </row>
    <row r="536" spans="1:30" ht="35.1" hidden="1" customHeight="1" x14ac:dyDescent="0.25">
      <c r="A536" s="83"/>
      <c r="B536" s="7"/>
      <c r="C536" s="8"/>
      <c r="D536" s="8"/>
      <c r="E536" s="60"/>
      <c r="F536" s="84" t="str">
        <f>IFERROR(VLOOKUP(CONCATENATE($B536,"_",F$3),materiali!$C:$K,5,0),"")</f>
        <v/>
      </c>
      <c r="G536" s="85" t="str">
        <f>IFERROR(VLOOKUP(CONCATENATE($B536,"_",G$3),materiali!$C:$K,6,0),"")</f>
        <v/>
      </c>
      <c r="H536" s="86"/>
      <c r="I536" s="84" t="str">
        <f>IFERROR(VLOOKUP(CONCATENATE($B536,"_",I$3),materiali!$C:$K,5,0),"")</f>
        <v/>
      </c>
      <c r="J536" s="85" t="str">
        <f>IFERROR(VLOOKUP(CONCATENATE($B536,"_",J$3),materiali!$C:$K,6,0),"")</f>
        <v/>
      </c>
      <c r="K536" s="86"/>
      <c r="L536" s="84" t="str">
        <f>IFERROR(VLOOKUP(CONCATENATE($B536,"_",L$3),materiali!$C:$K,5,0),"")</f>
        <v/>
      </c>
      <c r="M536" s="85" t="str">
        <f>IFERROR(VLOOKUP(CONCATENATE($B536,"_",M$3),materiali!$C:$K,6,0),"")</f>
        <v/>
      </c>
      <c r="N536" s="86"/>
      <c r="O536" s="84" t="str">
        <f>IFERROR(VLOOKUP(CONCATENATE($B536,"_",O$3),materiali!$C:$K,5,0),"")</f>
        <v/>
      </c>
      <c r="P536" s="85" t="str">
        <f>IFERROR(VLOOKUP(CONCATENATE($B536,"_",P$3),materiali!$C:$K,6,0),"")</f>
        <v/>
      </c>
      <c r="Q536" s="86"/>
      <c r="R536" s="84" t="str">
        <f>IFERROR(VLOOKUP(CONCATENATE($B536,"_",R$3),materiali!$C:$K,5,0),"")</f>
        <v/>
      </c>
      <c r="S536" s="85" t="str">
        <f>IFERROR(VLOOKUP(CONCATENATE($B536,"_",S$3),materiali!$C:$K,6,0),"")</f>
        <v/>
      </c>
      <c r="T536" s="86"/>
      <c r="U536" s="31"/>
      <c r="AD536" s="97"/>
    </row>
    <row r="537" spans="1:30" ht="35.1" hidden="1" customHeight="1" x14ac:dyDescent="0.25">
      <c r="A537" s="83"/>
      <c r="B537" s="7"/>
      <c r="C537" s="8"/>
      <c r="D537" s="8"/>
      <c r="E537" s="60"/>
      <c r="F537" s="84" t="str">
        <f>IFERROR(VLOOKUP(CONCATENATE($B537,"_",F$3),materiali!$C:$K,5,0),"")</f>
        <v/>
      </c>
      <c r="G537" s="85" t="str">
        <f>IFERROR(VLOOKUP(CONCATENATE($B537,"_",G$3),materiali!$C:$K,6,0),"")</f>
        <v/>
      </c>
      <c r="H537" s="86"/>
      <c r="I537" s="84" t="str">
        <f>IFERROR(VLOOKUP(CONCATENATE($B537,"_",I$3),materiali!$C:$K,5,0),"")</f>
        <v/>
      </c>
      <c r="J537" s="85" t="str">
        <f>IFERROR(VLOOKUP(CONCATENATE($B537,"_",J$3),materiali!$C:$K,6,0),"")</f>
        <v/>
      </c>
      <c r="K537" s="86"/>
      <c r="L537" s="84" t="str">
        <f>IFERROR(VLOOKUP(CONCATENATE($B537,"_",L$3),materiali!$C:$K,5,0),"")</f>
        <v/>
      </c>
      <c r="M537" s="85" t="str">
        <f>IFERROR(VLOOKUP(CONCATENATE($B537,"_",M$3),materiali!$C:$K,6,0),"")</f>
        <v/>
      </c>
      <c r="N537" s="86"/>
      <c r="O537" s="84" t="str">
        <f>IFERROR(VLOOKUP(CONCATENATE($B537,"_",O$3),materiali!$C:$K,5,0),"")</f>
        <v/>
      </c>
      <c r="P537" s="85" t="str">
        <f>IFERROR(VLOOKUP(CONCATENATE($B537,"_",P$3),materiali!$C:$K,6,0),"")</f>
        <v/>
      </c>
      <c r="Q537" s="86"/>
      <c r="R537" s="84" t="str">
        <f>IFERROR(VLOOKUP(CONCATENATE($B537,"_",R$3),materiali!$C:$K,5,0),"")</f>
        <v/>
      </c>
      <c r="S537" s="85" t="str">
        <f>IFERROR(VLOOKUP(CONCATENATE($B537,"_",S$3),materiali!$C:$K,6,0),"")</f>
        <v/>
      </c>
      <c r="T537" s="86"/>
      <c r="U537" s="31"/>
      <c r="AD537" s="97"/>
    </row>
    <row r="538" spans="1:30" ht="35.1" hidden="1" customHeight="1" x14ac:dyDescent="0.25">
      <c r="A538" s="83"/>
      <c r="B538" s="7"/>
      <c r="C538" s="8"/>
      <c r="D538" s="8"/>
      <c r="E538" s="60"/>
      <c r="F538" s="84" t="str">
        <f>IFERROR(VLOOKUP(CONCATENATE($B538,"_",F$3),materiali!$C:$K,5,0),"")</f>
        <v/>
      </c>
      <c r="G538" s="85" t="str">
        <f>IFERROR(VLOOKUP(CONCATENATE($B538,"_",G$3),materiali!$C:$K,6,0),"")</f>
        <v/>
      </c>
      <c r="H538" s="86"/>
      <c r="I538" s="84" t="str">
        <f>IFERROR(VLOOKUP(CONCATENATE($B538,"_",I$3),materiali!$C:$K,5,0),"")</f>
        <v/>
      </c>
      <c r="J538" s="85" t="str">
        <f>IFERROR(VLOOKUP(CONCATENATE($B538,"_",J$3),materiali!$C:$K,6,0),"")</f>
        <v/>
      </c>
      <c r="K538" s="86"/>
      <c r="L538" s="84" t="str">
        <f>IFERROR(VLOOKUP(CONCATENATE($B538,"_",L$3),materiali!$C:$K,5,0),"")</f>
        <v/>
      </c>
      <c r="M538" s="85" t="str">
        <f>IFERROR(VLOOKUP(CONCATENATE($B538,"_",M$3),materiali!$C:$K,6,0),"")</f>
        <v/>
      </c>
      <c r="N538" s="86"/>
      <c r="O538" s="84" t="str">
        <f>IFERROR(VLOOKUP(CONCATENATE($B538,"_",O$3),materiali!$C:$K,5,0),"")</f>
        <v/>
      </c>
      <c r="P538" s="85" t="str">
        <f>IFERROR(VLOOKUP(CONCATENATE($B538,"_",P$3),materiali!$C:$K,6,0),"")</f>
        <v/>
      </c>
      <c r="Q538" s="86"/>
      <c r="R538" s="84" t="str">
        <f>IFERROR(VLOOKUP(CONCATENATE($B538,"_",R$3),materiali!$C:$K,5,0),"")</f>
        <v/>
      </c>
      <c r="S538" s="85" t="str">
        <f>IFERROR(VLOOKUP(CONCATENATE($B538,"_",S$3),materiali!$C:$K,6,0),"")</f>
        <v/>
      </c>
      <c r="T538" s="86"/>
      <c r="U538" s="31"/>
      <c r="AD538" s="97"/>
    </row>
    <row r="539" spans="1:30" ht="35.1" hidden="1" customHeight="1" x14ac:dyDescent="0.25">
      <c r="A539" s="83"/>
      <c r="B539" s="7"/>
      <c r="C539" s="8"/>
      <c r="D539" s="8"/>
      <c r="E539" s="60"/>
      <c r="F539" s="84" t="str">
        <f>IFERROR(VLOOKUP(CONCATENATE($B539,"_",F$3),materiali!$C:$K,5,0),"")</f>
        <v/>
      </c>
      <c r="G539" s="85" t="str">
        <f>IFERROR(VLOOKUP(CONCATENATE($B539,"_",G$3),materiali!$C:$K,6,0),"")</f>
        <v/>
      </c>
      <c r="H539" s="86"/>
      <c r="I539" s="84" t="str">
        <f>IFERROR(VLOOKUP(CONCATENATE($B539,"_",I$3),materiali!$C:$K,5,0),"")</f>
        <v/>
      </c>
      <c r="J539" s="85" t="str">
        <f>IFERROR(VLOOKUP(CONCATENATE($B539,"_",J$3),materiali!$C:$K,6,0),"")</f>
        <v/>
      </c>
      <c r="K539" s="86"/>
      <c r="L539" s="84" t="str">
        <f>IFERROR(VLOOKUP(CONCATENATE($B539,"_",L$3),materiali!$C:$K,5,0),"")</f>
        <v/>
      </c>
      <c r="M539" s="85" t="str">
        <f>IFERROR(VLOOKUP(CONCATENATE($B539,"_",M$3),materiali!$C:$K,6,0),"")</f>
        <v/>
      </c>
      <c r="N539" s="86"/>
      <c r="O539" s="84" t="str">
        <f>IFERROR(VLOOKUP(CONCATENATE($B539,"_",O$3),materiali!$C:$K,5,0),"")</f>
        <v/>
      </c>
      <c r="P539" s="85" t="str">
        <f>IFERROR(VLOOKUP(CONCATENATE($B539,"_",P$3),materiali!$C:$K,6,0),"")</f>
        <v/>
      </c>
      <c r="Q539" s="86"/>
      <c r="R539" s="84" t="str">
        <f>IFERROR(VLOOKUP(CONCATENATE($B539,"_",R$3),materiali!$C:$K,5,0),"")</f>
        <v/>
      </c>
      <c r="S539" s="85" t="str">
        <f>IFERROR(VLOOKUP(CONCATENATE($B539,"_",S$3),materiali!$C:$K,6,0),"")</f>
        <v/>
      </c>
      <c r="T539" s="86"/>
      <c r="U539" s="31"/>
      <c r="AD539" s="97"/>
    </row>
    <row r="540" spans="1:30" ht="35.1" hidden="1" customHeight="1" x14ac:dyDescent="0.25">
      <c r="A540" s="83"/>
      <c r="B540" s="7"/>
      <c r="C540" s="8"/>
      <c r="D540" s="8"/>
      <c r="E540" s="60"/>
      <c r="F540" s="84" t="str">
        <f>IFERROR(VLOOKUP(CONCATENATE($B540,"_",F$3),materiali!$C:$K,5,0),"")</f>
        <v/>
      </c>
      <c r="G540" s="85" t="str">
        <f>IFERROR(VLOOKUP(CONCATENATE($B540,"_",G$3),materiali!$C:$K,6,0),"")</f>
        <v/>
      </c>
      <c r="H540" s="86"/>
      <c r="I540" s="84" t="str">
        <f>IFERROR(VLOOKUP(CONCATENATE($B540,"_",I$3),materiali!$C:$K,5,0),"")</f>
        <v/>
      </c>
      <c r="J540" s="85" t="str">
        <f>IFERROR(VLOOKUP(CONCATENATE($B540,"_",J$3),materiali!$C:$K,6,0),"")</f>
        <v/>
      </c>
      <c r="K540" s="86"/>
      <c r="L540" s="84" t="str">
        <f>IFERROR(VLOOKUP(CONCATENATE($B540,"_",L$3),materiali!$C:$K,5,0),"")</f>
        <v/>
      </c>
      <c r="M540" s="85" t="str">
        <f>IFERROR(VLOOKUP(CONCATENATE($B540,"_",M$3),materiali!$C:$K,6,0),"")</f>
        <v/>
      </c>
      <c r="N540" s="86"/>
      <c r="O540" s="84" t="str">
        <f>IFERROR(VLOOKUP(CONCATENATE($B540,"_",O$3),materiali!$C:$K,5,0),"")</f>
        <v/>
      </c>
      <c r="P540" s="85" t="str">
        <f>IFERROR(VLOOKUP(CONCATENATE($B540,"_",P$3),materiali!$C:$K,6,0),"")</f>
        <v/>
      </c>
      <c r="Q540" s="86"/>
      <c r="R540" s="84" t="str">
        <f>IFERROR(VLOOKUP(CONCATENATE($B540,"_",R$3),materiali!$C:$K,5,0),"")</f>
        <v/>
      </c>
      <c r="S540" s="85" t="str">
        <f>IFERROR(VLOOKUP(CONCATENATE($B540,"_",S$3),materiali!$C:$K,6,0),"")</f>
        <v/>
      </c>
      <c r="T540" s="86"/>
      <c r="U540" s="31"/>
      <c r="AD540" s="97"/>
    </row>
    <row r="541" spans="1:30" ht="35.1" hidden="1" customHeight="1" x14ac:dyDescent="0.25">
      <c r="A541" s="83"/>
      <c r="B541" s="7"/>
      <c r="C541" s="8"/>
      <c r="D541" s="8"/>
      <c r="E541" s="60"/>
      <c r="F541" s="84" t="str">
        <f>IFERROR(VLOOKUP(CONCATENATE($B541,"_",F$3),materiali!$C:$K,5,0),"")</f>
        <v/>
      </c>
      <c r="G541" s="85" t="str">
        <f>IFERROR(VLOOKUP(CONCATENATE($B541,"_",G$3),materiali!$C:$K,6,0),"")</f>
        <v/>
      </c>
      <c r="H541" s="86"/>
      <c r="I541" s="84" t="str">
        <f>IFERROR(VLOOKUP(CONCATENATE($B541,"_",I$3),materiali!$C:$K,5,0),"")</f>
        <v/>
      </c>
      <c r="J541" s="85" t="str">
        <f>IFERROR(VLOOKUP(CONCATENATE($B541,"_",J$3),materiali!$C:$K,6,0),"")</f>
        <v/>
      </c>
      <c r="K541" s="86"/>
      <c r="L541" s="84" t="str">
        <f>IFERROR(VLOOKUP(CONCATENATE($B541,"_",L$3),materiali!$C:$K,5,0),"")</f>
        <v/>
      </c>
      <c r="M541" s="85" t="str">
        <f>IFERROR(VLOOKUP(CONCATENATE($B541,"_",M$3),materiali!$C:$K,6,0),"")</f>
        <v/>
      </c>
      <c r="N541" s="86"/>
      <c r="O541" s="84" t="str">
        <f>IFERROR(VLOOKUP(CONCATENATE($B541,"_",O$3),materiali!$C:$K,5,0),"")</f>
        <v/>
      </c>
      <c r="P541" s="85" t="str">
        <f>IFERROR(VLOOKUP(CONCATENATE($B541,"_",P$3),materiali!$C:$K,6,0),"")</f>
        <v/>
      </c>
      <c r="Q541" s="86"/>
      <c r="R541" s="84" t="str">
        <f>IFERROR(VLOOKUP(CONCATENATE($B541,"_",R$3),materiali!$C:$K,5,0),"")</f>
        <v/>
      </c>
      <c r="S541" s="85" t="str">
        <f>IFERROR(VLOOKUP(CONCATENATE($B541,"_",S$3),materiali!$C:$K,6,0),"")</f>
        <v/>
      </c>
      <c r="T541" s="86"/>
      <c r="U541" s="31"/>
      <c r="AD541" s="97"/>
    </row>
    <row r="542" spans="1:30" ht="35.1" hidden="1" customHeight="1" x14ac:dyDescent="0.25">
      <c r="A542" s="83"/>
      <c r="B542" s="7"/>
      <c r="C542" s="8"/>
      <c r="D542" s="8"/>
      <c r="E542" s="60"/>
      <c r="F542" s="84" t="str">
        <f>IFERROR(VLOOKUP(CONCATENATE($B542,"_",F$3),materiali!$C:$K,5,0),"")</f>
        <v/>
      </c>
      <c r="G542" s="85" t="str">
        <f>IFERROR(VLOOKUP(CONCATENATE($B542,"_",G$3),materiali!$C:$K,6,0),"")</f>
        <v/>
      </c>
      <c r="H542" s="86"/>
      <c r="I542" s="84" t="str">
        <f>IFERROR(VLOOKUP(CONCATENATE($B542,"_",I$3),materiali!$C:$K,5,0),"")</f>
        <v/>
      </c>
      <c r="J542" s="85" t="str">
        <f>IFERROR(VLOOKUP(CONCATENATE($B542,"_",J$3),materiali!$C:$K,6,0),"")</f>
        <v/>
      </c>
      <c r="K542" s="86"/>
      <c r="L542" s="84" t="str">
        <f>IFERROR(VLOOKUP(CONCATENATE($B542,"_",L$3),materiali!$C:$K,5,0),"")</f>
        <v/>
      </c>
      <c r="M542" s="85" t="str">
        <f>IFERROR(VLOOKUP(CONCATENATE($B542,"_",M$3),materiali!$C:$K,6,0),"")</f>
        <v/>
      </c>
      <c r="N542" s="86"/>
      <c r="O542" s="84" t="str">
        <f>IFERROR(VLOOKUP(CONCATENATE($B542,"_",O$3),materiali!$C:$K,5,0),"")</f>
        <v/>
      </c>
      <c r="P542" s="85" t="str">
        <f>IFERROR(VLOOKUP(CONCATENATE($B542,"_",P$3),materiali!$C:$K,6,0),"")</f>
        <v/>
      </c>
      <c r="Q542" s="86"/>
      <c r="R542" s="84" t="str">
        <f>IFERROR(VLOOKUP(CONCATENATE($B542,"_",R$3),materiali!$C:$K,5,0),"")</f>
        <v/>
      </c>
      <c r="S542" s="85" t="str">
        <f>IFERROR(VLOOKUP(CONCATENATE($B542,"_",S$3),materiali!$C:$K,6,0),"")</f>
        <v/>
      </c>
      <c r="T542" s="86"/>
      <c r="U542" s="31"/>
      <c r="AD542" s="97"/>
    </row>
    <row r="543" spans="1:30" ht="35.1" hidden="1" customHeight="1" x14ac:dyDescent="0.25">
      <c r="A543" s="83"/>
      <c r="B543" s="7"/>
      <c r="C543" s="8"/>
      <c r="D543" s="8"/>
      <c r="E543" s="60"/>
      <c r="F543" s="84" t="str">
        <f>IFERROR(VLOOKUP(CONCATENATE($B543,"_",F$3),materiali!$C:$K,5,0),"")</f>
        <v/>
      </c>
      <c r="G543" s="85" t="str">
        <f>IFERROR(VLOOKUP(CONCATENATE($B543,"_",G$3),materiali!$C:$K,6,0),"")</f>
        <v/>
      </c>
      <c r="H543" s="86"/>
      <c r="I543" s="84" t="str">
        <f>IFERROR(VLOOKUP(CONCATENATE($B543,"_",I$3),materiali!$C:$K,5,0),"")</f>
        <v/>
      </c>
      <c r="J543" s="85" t="str">
        <f>IFERROR(VLOOKUP(CONCATENATE($B543,"_",J$3),materiali!$C:$K,6,0),"")</f>
        <v/>
      </c>
      <c r="K543" s="86"/>
      <c r="L543" s="84" t="str">
        <f>IFERROR(VLOOKUP(CONCATENATE($B543,"_",L$3),materiali!$C:$K,5,0),"")</f>
        <v/>
      </c>
      <c r="M543" s="85" t="str">
        <f>IFERROR(VLOOKUP(CONCATENATE($B543,"_",M$3),materiali!$C:$K,6,0),"")</f>
        <v/>
      </c>
      <c r="N543" s="86"/>
      <c r="O543" s="84" t="str">
        <f>IFERROR(VLOOKUP(CONCATENATE($B543,"_",O$3),materiali!$C:$K,5,0),"")</f>
        <v/>
      </c>
      <c r="P543" s="85" t="str">
        <f>IFERROR(VLOOKUP(CONCATENATE($B543,"_",P$3),materiali!$C:$K,6,0),"")</f>
        <v/>
      </c>
      <c r="Q543" s="86"/>
      <c r="R543" s="84" t="str">
        <f>IFERROR(VLOOKUP(CONCATENATE($B543,"_",R$3),materiali!$C:$K,5,0),"")</f>
        <v/>
      </c>
      <c r="S543" s="85" t="str">
        <f>IFERROR(VLOOKUP(CONCATENATE($B543,"_",S$3),materiali!$C:$K,6,0),"")</f>
        <v/>
      </c>
      <c r="T543" s="86"/>
      <c r="U543" s="31"/>
      <c r="AD543" s="97"/>
    </row>
    <row r="544" spans="1:30" ht="35.1" hidden="1" customHeight="1" x14ac:dyDescent="0.25">
      <c r="A544" s="83"/>
      <c r="B544" s="7"/>
      <c r="C544" s="8"/>
      <c r="D544" s="8"/>
      <c r="E544" s="60"/>
      <c r="F544" s="84" t="str">
        <f>IFERROR(VLOOKUP(CONCATENATE($B544,"_",F$3),materiali!$C:$K,5,0),"")</f>
        <v/>
      </c>
      <c r="G544" s="85" t="str">
        <f>IFERROR(VLOOKUP(CONCATENATE($B544,"_",G$3),materiali!$C:$K,6,0),"")</f>
        <v/>
      </c>
      <c r="H544" s="86"/>
      <c r="I544" s="84" t="str">
        <f>IFERROR(VLOOKUP(CONCATENATE($B544,"_",I$3),materiali!$C:$K,5,0),"")</f>
        <v/>
      </c>
      <c r="J544" s="85" t="str">
        <f>IFERROR(VLOOKUP(CONCATENATE($B544,"_",J$3),materiali!$C:$K,6,0),"")</f>
        <v/>
      </c>
      <c r="K544" s="86"/>
      <c r="L544" s="84" t="str">
        <f>IFERROR(VLOOKUP(CONCATENATE($B544,"_",L$3),materiali!$C:$K,5,0),"")</f>
        <v/>
      </c>
      <c r="M544" s="85" t="str">
        <f>IFERROR(VLOOKUP(CONCATENATE($B544,"_",M$3),materiali!$C:$K,6,0),"")</f>
        <v/>
      </c>
      <c r="N544" s="86"/>
      <c r="O544" s="84" t="str">
        <f>IFERROR(VLOOKUP(CONCATENATE($B544,"_",O$3),materiali!$C:$K,5,0),"")</f>
        <v/>
      </c>
      <c r="P544" s="85" t="str">
        <f>IFERROR(VLOOKUP(CONCATENATE($B544,"_",P$3),materiali!$C:$K,6,0),"")</f>
        <v/>
      </c>
      <c r="Q544" s="86"/>
      <c r="R544" s="84" t="str">
        <f>IFERROR(VLOOKUP(CONCATENATE($B544,"_",R$3),materiali!$C:$K,5,0),"")</f>
        <v/>
      </c>
      <c r="S544" s="85" t="str">
        <f>IFERROR(VLOOKUP(CONCATENATE($B544,"_",S$3),materiali!$C:$K,6,0),"")</f>
        <v/>
      </c>
      <c r="T544" s="86"/>
      <c r="U544" s="31"/>
      <c r="AD544" s="97"/>
    </row>
    <row r="545" spans="1:30" ht="35.1" hidden="1" customHeight="1" x14ac:dyDescent="0.25">
      <c r="A545" s="83"/>
      <c r="B545" s="7"/>
      <c r="C545" s="8"/>
      <c r="D545" s="8"/>
      <c r="E545" s="60"/>
      <c r="F545" s="84" t="str">
        <f>IFERROR(VLOOKUP(CONCATENATE($B545,"_",F$3),materiali!$C:$K,5,0),"")</f>
        <v/>
      </c>
      <c r="G545" s="85" t="str">
        <f>IFERROR(VLOOKUP(CONCATENATE($B545,"_",G$3),materiali!$C:$K,6,0),"")</f>
        <v/>
      </c>
      <c r="H545" s="86"/>
      <c r="I545" s="84" t="str">
        <f>IFERROR(VLOOKUP(CONCATENATE($B545,"_",I$3),materiali!$C:$K,5,0),"")</f>
        <v/>
      </c>
      <c r="J545" s="85" t="str">
        <f>IFERROR(VLOOKUP(CONCATENATE($B545,"_",J$3),materiali!$C:$K,6,0),"")</f>
        <v/>
      </c>
      <c r="K545" s="86"/>
      <c r="L545" s="84" t="str">
        <f>IFERROR(VLOOKUP(CONCATENATE($B545,"_",L$3),materiali!$C:$K,5,0),"")</f>
        <v/>
      </c>
      <c r="M545" s="85" t="str">
        <f>IFERROR(VLOOKUP(CONCATENATE($B545,"_",M$3),materiali!$C:$K,6,0),"")</f>
        <v/>
      </c>
      <c r="N545" s="86"/>
      <c r="O545" s="84" t="str">
        <f>IFERROR(VLOOKUP(CONCATENATE($B545,"_",O$3),materiali!$C:$K,5,0),"")</f>
        <v/>
      </c>
      <c r="P545" s="85" t="str">
        <f>IFERROR(VLOOKUP(CONCATENATE($B545,"_",P$3),materiali!$C:$K,6,0),"")</f>
        <v/>
      </c>
      <c r="Q545" s="86"/>
      <c r="R545" s="84" t="str">
        <f>IFERROR(VLOOKUP(CONCATENATE($B545,"_",R$3),materiali!$C:$K,5,0),"")</f>
        <v/>
      </c>
      <c r="S545" s="85" t="str">
        <f>IFERROR(VLOOKUP(CONCATENATE($B545,"_",S$3),materiali!$C:$K,6,0),"")</f>
        <v/>
      </c>
      <c r="T545" s="86"/>
      <c r="U545" s="31"/>
      <c r="AD545" s="97"/>
    </row>
    <row r="546" spans="1:30" ht="35.1" hidden="1" customHeight="1" x14ac:dyDescent="0.25">
      <c r="A546" s="83"/>
      <c r="B546" s="7"/>
      <c r="C546" s="8"/>
      <c r="D546" s="8"/>
      <c r="E546" s="60"/>
      <c r="F546" s="84" t="str">
        <f>IFERROR(VLOOKUP(CONCATENATE($B546,"_",F$3),materiali!$C:$K,5,0),"")</f>
        <v/>
      </c>
      <c r="G546" s="85" t="str">
        <f>IFERROR(VLOOKUP(CONCATENATE($B546,"_",G$3),materiali!$C:$K,6,0),"")</f>
        <v/>
      </c>
      <c r="H546" s="86"/>
      <c r="I546" s="84" t="str">
        <f>IFERROR(VLOOKUP(CONCATENATE($B546,"_",I$3),materiali!$C:$K,5,0),"")</f>
        <v/>
      </c>
      <c r="J546" s="85" t="str">
        <f>IFERROR(VLOOKUP(CONCATENATE($B546,"_",J$3),materiali!$C:$K,6,0),"")</f>
        <v/>
      </c>
      <c r="K546" s="86"/>
      <c r="L546" s="84" t="str">
        <f>IFERROR(VLOOKUP(CONCATENATE($B546,"_",L$3),materiali!$C:$K,5,0),"")</f>
        <v/>
      </c>
      <c r="M546" s="85" t="str">
        <f>IFERROR(VLOOKUP(CONCATENATE($B546,"_",M$3),materiali!$C:$K,6,0),"")</f>
        <v/>
      </c>
      <c r="N546" s="86"/>
      <c r="O546" s="84" t="str">
        <f>IFERROR(VLOOKUP(CONCATENATE($B546,"_",O$3),materiali!$C:$K,5,0),"")</f>
        <v/>
      </c>
      <c r="P546" s="85" t="str">
        <f>IFERROR(VLOOKUP(CONCATENATE($B546,"_",P$3),materiali!$C:$K,6,0),"")</f>
        <v/>
      </c>
      <c r="Q546" s="86"/>
      <c r="R546" s="84" t="str">
        <f>IFERROR(VLOOKUP(CONCATENATE($B546,"_",R$3),materiali!$C:$K,5,0),"")</f>
        <v/>
      </c>
      <c r="S546" s="85" t="str">
        <f>IFERROR(VLOOKUP(CONCATENATE($B546,"_",S$3),materiali!$C:$K,6,0),"")</f>
        <v/>
      </c>
      <c r="T546" s="86"/>
      <c r="U546" s="31"/>
      <c r="AD546" s="97"/>
    </row>
    <row r="547" spans="1:30" ht="35.1" hidden="1" customHeight="1" x14ac:dyDescent="0.25">
      <c r="A547" s="83"/>
      <c r="B547" s="7"/>
      <c r="C547" s="8"/>
      <c r="D547" s="8"/>
      <c r="E547" s="60"/>
      <c r="F547" s="84" t="str">
        <f>IFERROR(VLOOKUP(CONCATENATE($B547,"_",F$3),materiali!$C:$K,5,0),"")</f>
        <v/>
      </c>
      <c r="G547" s="85" t="str">
        <f>IFERROR(VLOOKUP(CONCATENATE($B547,"_",G$3),materiali!$C:$K,6,0),"")</f>
        <v/>
      </c>
      <c r="H547" s="86"/>
      <c r="I547" s="84" t="str">
        <f>IFERROR(VLOOKUP(CONCATENATE($B547,"_",I$3),materiali!$C:$K,5,0),"")</f>
        <v/>
      </c>
      <c r="J547" s="85" t="str">
        <f>IFERROR(VLOOKUP(CONCATENATE($B547,"_",J$3),materiali!$C:$K,6,0),"")</f>
        <v/>
      </c>
      <c r="K547" s="86"/>
      <c r="L547" s="84" t="str">
        <f>IFERROR(VLOOKUP(CONCATENATE($B547,"_",L$3),materiali!$C:$K,5,0),"")</f>
        <v/>
      </c>
      <c r="M547" s="85" t="str">
        <f>IFERROR(VLOOKUP(CONCATENATE($B547,"_",M$3),materiali!$C:$K,6,0),"")</f>
        <v/>
      </c>
      <c r="N547" s="86"/>
      <c r="O547" s="84" t="str">
        <f>IFERROR(VLOOKUP(CONCATENATE($B547,"_",O$3),materiali!$C:$K,5,0),"")</f>
        <v/>
      </c>
      <c r="P547" s="85" t="str">
        <f>IFERROR(VLOOKUP(CONCATENATE($B547,"_",P$3),materiali!$C:$K,6,0),"")</f>
        <v/>
      </c>
      <c r="Q547" s="86"/>
      <c r="R547" s="84" t="str">
        <f>IFERROR(VLOOKUP(CONCATENATE($B547,"_",R$3),materiali!$C:$K,5,0),"")</f>
        <v/>
      </c>
      <c r="S547" s="85" t="str">
        <f>IFERROR(VLOOKUP(CONCATENATE($B547,"_",S$3),materiali!$C:$K,6,0),"")</f>
        <v/>
      </c>
      <c r="T547" s="86"/>
      <c r="U547" s="31"/>
      <c r="AD547" s="97"/>
    </row>
    <row r="548" spans="1:30" ht="35.1" hidden="1" customHeight="1" x14ac:dyDescent="0.25">
      <c r="A548" s="83"/>
      <c r="B548" s="7"/>
      <c r="C548" s="8"/>
      <c r="D548" s="8"/>
      <c r="E548" s="60"/>
      <c r="F548" s="84" t="str">
        <f>IFERROR(VLOOKUP(CONCATENATE($B548,"_",F$3),materiali!$C:$K,5,0),"")</f>
        <v/>
      </c>
      <c r="G548" s="85" t="str">
        <f>IFERROR(VLOOKUP(CONCATENATE($B548,"_",G$3),materiali!$C:$K,6,0),"")</f>
        <v/>
      </c>
      <c r="H548" s="86"/>
      <c r="I548" s="84" t="str">
        <f>IFERROR(VLOOKUP(CONCATENATE($B548,"_",I$3),materiali!$C:$K,5,0),"")</f>
        <v/>
      </c>
      <c r="J548" s="85" t="str">
        <f>IFERROR(VLOOKUP(CONCATENATE($B548,"_",J$3),materiali!$C:$K,6,0),"")</f>
        <v/>
      </c>
      <c r="K548" s="86"/>
      <c r="L548" s="84" t="str">
        <f>IFERROR(VLOOKUP(CONCATENATE($B548,"_",L$3),materiali!$C:$K,5,0),"")</f>
        <v/>
      </c>
      <c r="M548" s="85" t="str">
        <f>IFERROR(VLOOKUP(CONCATENATE($B548,"_",M$3),materiali!$C:$K,6,0),"")</f>
        <v/>
      </c>
      <c r="N548" s="86"/>
      <c r="O548" s="84" t="str">
        <f>IFERROR(VLOOKUP(CONCATENATE($B548,"_",O$3),materiali!$C:$K,5,0),"")</f>
        <v/>
      </c>
      <c r="P548" s="85" t="str">
        <f>IFERROR(VLOOKUP(CONCATENATE($B548,"_",P$3),materiali!$C:$K,6,0),"")</f>
        <v/>
      </c>
      <c r="Q548" s="86"/>
      <c r="R548" s="84" t="str">
        <f>IFERROR(VLOOKUP(CONCATENATE($B548,"_",R$3),materiali!$C:$K,5,0),"")</f>
        <v/>
      </c>
      <c r="S548" s="85" t="str">
        <f>IFERROR(VLOOKUP(CONCATENATE($B548,"_",S$3),materiali!$C:$K,6,0),"")</f>
        <v/>
      </c>
      <c r="T548" s="86"/>
      <c r="U548" s="31"/>
      <c r="AD548" s="97"/>
    </row>
    <row r="549" spans="1:30" ht="35.1" hidden="1" customHeight="1" x14ac:dyDescent="0.25">
      <c r="A549" s="83"/>
      <c r="B549" s="7"/>
      <c r="C549" s="8"/>
      <c r="D549" s="8"/>
      <c r="E549" s="60"/>
      <c r="F549" s="84" t="str">
        <f>IFERROR(VLOOKUP(CONCATENATE($B549,"_",F$3),materiali!$C:$K,5,0),"")</f>
        <v/>
      </c>
      <c r="G549" s="85" t="str">
        <f>IFERROR(VLOOKUP(CONCATENATE($B549,"_",G$3),materiali!$C:$K,6,0),"")</f>
        <v/>
      </c>
      <c r="H549" s="86"/>
      <c r="I549" s="84" t="str">
        <f>IFERROR(VLOOKUP(CONCATENATE($B549,"_",I$3),materiali!$C:$K,5,0),"")</f>
        <v/>
      </c>
      <c r="J549" s="85" t="str">
        <f>IFERROR(VLOOKUP(CONCATENATE($B549,"_",J$3),materiali!$C:$K,6,0),"")</f>
        <v/>
      </c>
      <c r="K549" s="86"/>
      <c r="L549" s="84" t="str">
        <f>IFERROR(VLOOKUP(CONCATENATE($B549,"_",L$3),materiali!$C:$K,5,0),"")</f>
        <v/>
      </c>
      <c r="M549" s="85" t="str">
        <f>IFERROR(VLOOKUP(CONCATENATE($B549,"_",M$3),materiali!$C:$K,6,0),"")</f>
        <v/>
      </c>
      <c r="N549" s="86"/>
      <c r="O549" s="84" t="str">
        <f>IFERROR(VLOOKUP(CONCATENATE($B549,"_",O$3),materiali!$C:$K,5,0),"")</f>
        <v/>
      </c>
      <c r="P549" s="85" t="str">
        <f>IFERROR(VLOOKUP(CONCATENATE($B549,"_",P$3),materiali!$C:$K,6,0),"")</f>
        <v/>
      </c>
      <c r="Q549" s="86"/>
      <c r="R549" s="84" t="str">
        <f>IFERROR(VLOOKUP(CONCATENATE($B549,"_",R$3),materiali!$C:$K,5,0),"")</f>
        <v/>
      </c>
      <c r="S549" s="85" t="str">
        <f>IFERROR(VLOOKUP(CONCATENATE($B549,"_",S$3),materiali!$C:$K,6,0),"")</f>
        <v/>
      </c>
      <c r="T549" s="86"/>
      <c r="U549" s="31"/>
      <c r="AD549" s="97"/>
    </row>
    <row r="550" spans="1:30" ht="35.1" hidden="1" customHeight="1" x14ac:dyDescent="0.25">
      <c r="A550" s="83"/>
      <c r="B550" s="7"/>
      <c r="C550" s="8"/>
      <c r="D550" s="8"/>
      <c r="E550" s="60"/>
      <c r="F550" s="84" t="str">
        <f>IFERROR(VLOOKUP(CONCATENATE($B550,"_",F$3),materiali!$C:$K,5,0),"")</f>
        <v/>
      </c>
      <c r="G550" s="85" t="str">
        <f>IFERROR(VLOOKUP(CONCATENATE($B550,"_",G$3),materiali!$C:$K,6,0),"")</f>
        <v/>
      </c>
      <c r="H550" s="86"/>
      <c r="I550" s="84" t="str">
        <f>IFERROR(VLOOKUP(CONCATENATE($B550,"_",I$3),materiali!$C:$K,5,0),"")</f>
        <v/>
      </c>
      <c r="J550" s="85" t="str">
        <f>IFERROR(VLOOKUP(CONCATENATE($B550,"_",J$3),materiali!$C:$K,6,0),"")</f>
        <v/>
      </c>
      <c r="K550" s="86"/>
      <c r="L550" s="84" t="str">
        <f>IFERROR(VLOOKUP(CONCATENATE($B550,"_",L$3),materiali!$C:$K,5,0),"")</f>
        <v/>
      </c>
      <c r="M550" s="85" t="str">
        <f>IFERROR(VLOOKUP(CONCATENATE($B550,"_",M$3),materiali!$C:$K,6,0),"")</f>
        <v/>
      </c>
      <c r="N550" s="86"/>
      <c r="O550" s="84" t="str">
        <f>IFERROR(VLOOKUP(CONCATENATE($B550,"_",O$3),materiali!$C:$K,5,0),"")</f>
        <v/>
      </c>
      <c r="P550" s="85" t="str">
        <f>IFERROR(VLOOKUP(CONCATENATE($B550,"_",P$3),materiali!$C:$K,6,0),"")</f>
        <v/>
      </c>
      <c r="Q550" s="86"/>
      <c r="R550" s="84" t="str">
        <f>IFERROR(VLOOKUP(CONCATENATE($B550,"_",R$3),materiali!$C:$K,5,0),"")</f>
        <v/>
      </c>
      <c r="S550" s="85" t="str">
        <f>IFERROR(VLOOKUP(CONCATENATE($B550,"_",S$3),materiali!$C:$K,6,0),"")</f>
        <v/>
      </c>
      <c r="T550" s="86"/>
      <c r="U550" s="31"/>
      <c r="AD550" s="97"/>
    </row>
    <row r="551" spans="1:30" ht="35.1" hidden="1" customHeight="1" x14ac:dyDescent="0.25">
      <c r="A551" s="83"/>
      <c r="B551" s="7"/>
      <c r="C551" s="8"/>
      <c r="D551" s="8"/>
      <c r="E551" s="60"/>
      <c r="F551" s="84" t="str">
        <f>IFERROR(VLOOKUP(CONCATENATE($B551,"_",F$3),materiali!$C:$K,5,0),"")</f>
        <v/>
      </c>
      <c r="G551" s="85" t="str">
        <f>IFERROR(VLOOKUP(CONCATENATE($B551,"_",G$3),materiali!$C:$K,6,0),"")</f>
        <v/>
      </c>
      <c r="H551" s="86"/>
      <c r="I551" s="84" t="str">
        <f>IFERROR(VLOOKUP(CONCATENATE($B551,"_",I$3),materiali!$C:$K,5,0),"")</f>
        <v/>
      </c>
      <c r="J551" s="85" t="str">
        <f>IFERROR(VLOOKUP(CONCATENATE($B551,"_",J$3),materiali!$C:$K,6,0),"")</f>
        <v/>
      </c>
      <c r="K551" s="86"/>
      <c r="L551" s="84" t="str">
        <f>IFERROR(VLOOKUP(CONCATENATE($B551,"_",L$3),materiali!$C:$K,5,0),"")</f>
        <v/>
      </c>
      <c r="M551" s="85" t="str">
        <f>IFERROR(VLOOKUP(CONCATENATE($B551,"_",M$3),materiali!$C:$K,6,0),"")</f>
        <v/>
      </c>
      <c r="N551" s="86"/>
      <c r="O551" s="84" t="str">
        <f>IFERROR(VLOOKUP(CONCATENATE($B551,"_",O$3),materiali!$C:$K,5,0),"")</f>
        <v/>
      </c>
      <c r="P551" s="85" t="str">
        <f>IFERROR(VLOOKUP(CONCATENATE($B551,"_",P$3),materiali!$C:$K,6,0),"")</f>
        <v/>
      </c>
      <c r="Q551" s="86"/>
      <c r="R551" s="84" t="str">
        <f>IFERROR(VLOOKUP(CONCATENATE($B551,"_",R$3),materiali!$C:$K,5,0),"")</f>
        <v/>
      </c>
      <c r="S551" s="85" t="str">
        <f>IFERROR(VLOOKUP(CONCATENATE($B551,"_",S$3),materiali!$C:$K,6,0),"")</f>
        <v/>
      </c>
      <c r="T551" s="86"/>
      <c r="U551" s="31"/>
      <c r="AD551" s="97"/>
    </row>
    <row r="552" spans="1:30" ht="35.1" hidden="1" customHeight="1" x14ac:dyDescent="0.25">
      <c r="A552" s="83"/>
      <c r="B552" s="7"/>
      <c r="C552" s="8"/>
      <c r="D552" s="8"/>
      <c r="E552" s="60"/>
      <c r="F552" s="84" t="str">
        <f>IFERROR(VLOOKUP(CONCATENATE($B552,"_",F$3),materiali!$C:$K,5,0),"")</f>
        <v/>
      </c>
      <c r="G552" s="85" t="str">
        <f>IFERROR(VLOOKUP(CONCATENATE($B552,"_",G$3),materiali!$C:$K,6,0),"")</f>
        <v/>
      </c>
      <c r="H552" s="86"/>
      <c r="I552" s="84" t="str">
        <f>IFERROR(VLOOKUP(CONCATENATE($B552,"_",I$3),materiali!$C:$K,5,0),"")</f>
        <v/>
      </c>
      <c r="J552" s="85" t="str">
        <f>IFERROR(VLOOKUP(CONCATENATE($B552,"_",J$3),materiali!$C:$K,6,0),"")</f>
        <v/>
      </c>
      <c r="K552" s="86"/>
      <c r="L552" s="84" t="str">
        <f>IFERROR(VLOOKUP(CONCATENATE($B552,"_",L$3),materiali!$C:$K,5,0),"")</f>
        <v/>
      </c>
      <c r="M552" s="85" t="str">
        <f>IFERROR(VLOOKUP(CONCATENATE($B552,"_",M$3),materiali!$C:$K,6,0),"")</f>
        <v/>
      </c>
      <c r="N552" s="86"/>
      <c r="O552" s="84" t="str">
        <f>IFERROR(VLOOKUP(CONCATENATE($B552,"_",O$3),materiali!$C:$K,5,0),"")</f>
        <v/>
      </c>
      <c r="P552" s="85" t="str">
        <f>IFERROR(VLOOKUP(CONCATENATE($B552,"_",P$3),materiali!$C:$K,6,0),"")</f>
        <v/>
      </c>
      <c r="Q552" s="86"/>
      <c r="R552" s="84" t="str">
        <f>IFERROR(VLOOKUP(CONCATENATE($B552,"_",R$3),materiali!$C:$K,5,0),"")</f>
        <v/>
      </c>
      <c r="S552" s="85" t="str">
        <f>IFERROR(VLOOKUP(CONCATENATE($B552,"_",S$3),materiali!$C:$K,6,0),"")</f>
        <v/>
      </c>
      <c r="T552" s="86"/>
      <c r="U552" s="31"/>
      <c r="AD552" s="97"/>
    </row>
    <row r="553" spans="1:30" ht="35.1" hidden="1" customHeight="1" x14ac:dyDescent="0.25">
      <c r="A553" s="83"/>
      <c r="B553" s="7"/>
      <c r="C553" s="8"/>
      <c r="D553" s="8"/>
      <c r="E553" s="60"/>
      <c r="F553" s="84" t="str">
        <f>IFERROR(VLOOKUP(CONCATENATE($B553,"_",F$3),materiali!$C:$K,5,0),"")</f>
        <v/>
      </c>
      <c r="G553" s="85" t="str">
        <f>IFERROR(VLOOKUP(CONCATENATE($B553,"_",G$3),materiali!$C:$K,6,0),"")</f>
        <v/>
      </c>
      <c r="H553" s="86"/>
      <c r="I553" s="84" t="str">
        <f>IFERROR(VLOOKUP(CONCATENATE($B553,"_",I$3),materiali!$C:$K,5,0),"")</f>
        <v/>
      </c>
      <c r="J553" s="85" t="str">
        <f>IFERROR(VLOOKUP(CONCATENATE($B553,"_",J$3),materiali!$C:$K,6,0),"")</f>
        <v/>
      </c>
      <c r="K553" s="86"/>
      <c r="L553" s="84" t="str">
        <f>IFERROR(VLOOKUP(CONCATENATE($B553,"_",L$3),materiali!$C:$K,5,0),"")</f>
        <v/>
      </c>
      <c r="M553" s="85" t="str">
        <f>IFERROR(VLOOKUP(CONCATENATE($B553,"_",M$3),materiali!$C:$K,6,0),"")</f>
        <v/>
      </c>
      <c r="N553" s="86"/>
      <c r="O553" s="84" t="str">
        <f>IFERROR(VLOOKUP(CONCATENATE($B553,"_",O$3),materiali!$C:$K,5,0),"")</f>
        <v/>
      </c>
      <c r="P553" s="85" t="str">
        <f>IFERROR(VLOOKUP(CONCATENATE($B553,"_",P$3),materiali!$C:$K,6,0),"")</f>
        <v/>
      </c>
      <c r="Q553" s="86"/>
      <c r="R553" s="84" t="str">
        <f>IFERROR(VLOOKUP(CONCATENATE($B553,"_",R$3),materiali!$C:$K,5,0),"")</f>
        <v/>
      </c>
      <c r="S553" s="85" t="str">
        <f>IFERROR(VLOOKUP(CONCATENATE($B553,"_",S$3),materiali!$C:$K,6,0),"")</f>
        <v/>
      </c>
      <c r="T553" s="86"/>
      <c r="U553" s="31"/>
      <c r="AD553" s="97"/>
    </row>
    <row r="554" spans="1:30" ht="35.1" hidden="1" customHeight="1" x14ac:dyDescent="0.25">
      <c r="A554" s="83"/>
      <c r="B554" s="7"/>
      <c r="C554" s="8"/>
      <c r="D554" s="8"/>
      <c r="E554" s="60"/>
      <c r="F554" s="84" t="str">
        <f>IFERROR(VLOOKUP(CONCATENATE($B554,"_",F$3),materiali!$C:$K,5,0),"")</f>
        <v/>
      </c>
      <c r="G554" s="85" t="str">
        <f>IFERROR(VLOOKUP(CONCATENATE($B554,"_",G$3),materiali!$C:$K,6,0),"")</f>
        <v/>
      </c>
      <c r="H554" s="86"/>
      <c r="I554" s="84" t="str">
        <f>IFERROR(VLOOKUP(CONCATENATE($B554,"_",I$3),materiali!$C:$K,5,0),"")</f>
        <v/>
      </c>
      <c r="J554" s="85" t="str">
        <f>IFERROR(VLOOKUP(CONCATENATE($B554,"_",J$3),materiali!$C:$K,6,0),"")</f>
        <v/>
      </c>
      <c r="K554" s="86"/>
      <c r="L554" s="84" t="str">
        <f>IFERROR(VLOOKUP(CONCATENATE($B554,"_",L$3),materiali!$C:$K,5,0),"")</f>
        <v/>
      </c>
      <c r="M554" s="85" t="str">
        <f>IFERROR(VLOOKUP(CONCATENATE($B554,"_",M$3),materiali!$C:$K,6,0),"")</f>
        <v/>
      </c>
      <c r="N554" s="86"/>
      <c r="O554" s="84" t="str">
        <f>IFERROR(VLOOKUP(CONCATENATE($B554,"_",O$3),materiali!$C:$K,5,0),"")</f>
        <v/>
      </c>
      <c r="P554" s="85" t="str">
        <f>IFERROR(VLOOKUP(CONCATENATE($B554,"_",P$3),materiali!$C:$K,6,0),"")</f>
        <v/>
      </c>
      <c r="Q554" s="86"/>
      <c r="R554" s="84" t="str">
        <f>IFERROR(VLOOKUP(CONCATENATE($B554,"_",R$3),materiali!$C:$K,5,0),"")</f>
        <v/>
      </c>
      <c r="S554" s="85" t="str">
        <f>IFERROR(VLOOKUP(CONCATENATE($B554,"_",S$3),materiali!$C:$K,6,0),"")</f>
        <v/>
      </c>
      <c r="T554" s="86"/>
      <c r="U554" s="31"/>
      <c r="AD554" s="97"/>
    </row>
    <row r="555" spans="1:30" ht="35.1" hidden="1" customHeight="1" x14ac:dyDescent="0.25">
      <c r="A555" s="83"/>
      <c r="B555" s="7"/>
      <c r="C555" s="8"/>
      <c r="D555" s="8"/>
      <c r="E555" s="60"/>
      <c r="F555" s="84" t="str">
        <f>IFERROR(VLOOKUP(CONCATENATE($B555,"_",F$3),materiali!$C:$K,5,0),"")</f>
        <v/>
      </c>
      <c r="G555" s="85" t="str">
        <f>IFERROR(VLOOKUP(CONCATENATE($B555,"_",G$3),materiali!$C:$K,6,0),"")</f>
        <v/>
      </c>
      <c r="H555" s="86"/>
      <c r="I555" s="84" t="str">
        <f>IFERROR(VLOOKUP(CONCATENATE($B555,"_",I$3),materiali!$C:$K,5,0),"")</f>
        <v/>
      </c>
      <c r="J555" s="85" t="str">
        <f>IFERROR(VLOOKUP(CONCATENATE($B555,"_",J$3),materiali!$C:$K,6,0),"")</f>
        <v/>
      </c>
      <c r="K555" s="86"/>
      <c r="L555" s="84" t="str">
        <f>IFERROR(VLOOKUP(CONCATENATE($B555,"_",L$3),materiali!$C:$K,5,0),"")</f>
        <v/>
      </c>
      <c r="M555" s="85" t="str">
        <f>IFERROR(VLOOKUP(CONCATENATE($B555,"_",M$3),materiali!$C:$K,6,0),"")</f>
        <v/>
      </c>
      <c r="N555" s="86"/>
      <c r="O555" s="84" t="str">
        <f>IFERROR(VLOOKUP(CONCATENATE($B555,"_",O$3),materiali!$C:$K,5,0),"")</f>
        <v/>
      </c>
      <c r="P555" s="85" t="str">
        <f>IFERROR(VLOOKUP(CONCATENATE($B555,"_",P$3),materiali!$C:$K,6,0),"")</f>
        <v/>
      </c>
      <c r="Q555" s="86"/>
      <c r="R555" s="84" t="str">
        <f>IFERROR(VLOOKUP(CONCATENATE($B555,"_",R$3),materiali!$C:$K,5,0),"")</f>
        <v/>
      </c>
      <c r="S555" s="85" t="str">
        <f>IFERROR(VLOOKUP(CONCATENATE($B555,"_",S$3),materiali!$C:$K,6,0),"")</f>
        <v/>
      </c>
      <c r="T555" s="86"/>
      <c r="U555" s="31"/>
      <c r="AD555" s="97"/>
    </row>
    <row r="556" spans="1:30" ht="35.1" hidden="1" customHeight="1" x14ac:dyDescent="0.25">
      <c r="A556" s="83"/>
      <c r="B556" s="7"/>
      <c r="C556" s="8"/>
      <c r="D556" s="8"/>
      <c r="E556" s="60"/>
      <c r="F556" s="84" t="str">
        <f>IFERROR(VLOOKUP(CONCATENATE($B556,"_",F$3),materiali!$C:$K,5,0),"")</f>
        <v/>
      </c>
      <c r="G556" s="85" t="str">
        <f>IFERROR(VLOOKUP(CONCATENATE($B556,"_",G$3),materiali!$C:$K,6,0),"")</f>
        <v/>
      </c>
      <c r="H556" s="86"/>
      <c r="I556" s="84" t="str">
        <f>IFERROR(VLOOKUP(CONCATENATE($B556,"_",I$3),materiali!$C:$K,5,0),"")</f>
        <v/>
      </c>
      <c r="J556" s="85" t="str">
        <f>IFERROR(VLOOKUP(CONCATENATE($B556,"_",J$3),materiali!$C:$K,6,0),"")</f>
        <v/>
      </c>
      <c r="K556" s="86"/>
      <c r="L556" s="84" t="str">
        <f>IFERROR(VLOOKUP(CONCATENATE($B556,"_",L$3),materiali!$C:$K,5,0),"")</f>
        <v/>
      </c>
      <c r="M556" s="85" t="str">
        <f>IFERROR(VLOOKUP(CONCATENATE($B556,"_",M$3),materiali!$C:$K,6,0),"")</f>
        <v/>
      </c>
      <c r="N556" s="86"/>
      <c r="O556" s="84" t="str">
        <f>IFERROR(VLOOKUP(CONCATENATE($B556,"_",O$3),materiali!$C:$K,5,0),"")</f>
        <v/>
      </c>
      <c r="P556" s="85" t="str">
        <f>IFERROR(VLOOKUP(CONCATENATE($B556,"_",P$3),materiali!$C:$K,6,0),"")</f>
        <v/>
      </c>
      <c r="Q556" s="86"/>
      <c r="R556" s="84" t="str">
        <f>IFERROR(VLOOKUP(CONCATENATE($B556,"_",R$3),materiali!$C:$K,5,0),"")</f>
        <v/>
      </c>
      <c r="S556" s="85" t="str">
        <f>IFERROR(VLOOKUP(CONCATENATE($B556,"_",S$3),materiali!$C:$K,6,0),"")</f>
        <v/>
      </c>
      <c r="T556" s="86"/>
      <c r="U556" s="31"/>
      <c r="AD556" s="97"/>
    </row>
    <row r="557" spans="1:30" ht="35.1" hidden="1" customHeight="1" x14ac:dyDescent="0.25">
      <c r="A557" s="83"/>
      <c r="B557" s="7"/>
      <c r="C557" s="8"/>
      <c r="D557" s="8"/>
      <c r="E557" s="60"/>
      <c r="F557" s="84" t="str">
        <f>IFERROR(VLOOKUP(CONCATENATE($B557,"_",F$3),materiali!$C:$K,5,0),"")</f>
        <v/>
      </c>
      <c r="G557" s="85" t="str">
        <f>IFERROR(VLOOKUP(CONCATENATE($B557,"_",G$3),materiali!$C:$K,6,0),"")</f>
        <v/>
      </c>
      <c r="H557" s="86"/>
      <c r="I557" s="84" t="str">
        <f>IFERROR(VLOOKUP(CONCATENATE($B557,"_",I$3),materiali!$C:$K,5,0),"")</f>
        <v/>
      </c>
      <c r="J557" s="85" t="str">
        <f>IFERROR(VLOOKUP(CONCATENATE($B557,"_",J$3),materiali!$C:$K,6,0),"")</f>
        <v/>
      </c>
      <c r="K557" s="86"/>
      <c r="L557" s="84" t="str">
        <f>IFERROR(VLOOKUP(CONCATENATE($B557,"_",L$3),materiali!$C:$K,5,0),"")</f>
        <v/>
      </c>
      <c r="M557" s="85" t="str">
        <f>IFERROR(VLOOKUP(CONCATENATE($B557,"_",M$3),materiali!$C:$K,6,0),"")</f>
        <v/>
      </c>
      <c r="N557" s="86"/>
      <c r="O557" s="84" t="str">
        <f>IFERROR(VLOOKUP(CONCATENATE($B557,"_",O$3),materiali!$C:$K,5,0),"")</f>
        <v/>
      </c>
      <c r="P557" s="85" t="str">
        <f>IFERROR(VLOOKUP(CONCATENATE($B557,"_",P$3),materiali!$C:$K,6,0),"")</f>
        <v/>
      </c>
      <c r="Q557" s="86"/>
      <c r="R557" s="84" t="str">
        <f>IFERROR(VLOOKUP(CONCATENATE($B557,"_",R$3),materiali!$C:$K,5,0),"")</f>
        <v/>
      </c>
      <c r="S557" s="85" t="str">
        <f>IFERROR(VLOOKUP(CONCATENATE($B557,"_",S$3),materiali!$C:$K,6,0),"")</f>
        <v/>
      </c>
      <c r="T557" s="86"/>
      <c r="U557" s="31"/>
      <c r="AD557" s="97"/>
    </row>
    <row r="558" spans="1:30" ht="35.1" hidden="1" customHeight="1" x14ac:dyDescent="0.25">
      <c r="A558" s="83"/>
      <c r="B558" s="7"/>
      <c r="C558" s="8"/>
      <c r="D558" s="8"/>
      <c r="E558" s="60"/>
      <c r="F558" s="84" t="str">
        <f>IFERROR(VLOOKUP(CONCATENATE($B558,"_",F$3),materiali!$C:$K,5,0),"")</f>
        <v/>
      </c>
      <c r="G558" s="85" t="str">
        <f>IFERROR(VLOOKUP(CONCATENATE($B558,"_",G$3),materiali!$C:$K,6,0),"")</f>
        <v/>
      </c>
      <c r="H558" s="86"/>
      <c r="I558" s="84" t="str">
        <f>IFERROR(VLOOKUP(CONCATENATE($B558,"_",I$3),materiali!$C:$K,5,0),"")</f>
        <v/>
      </c>
      <c r="J558" s="85" t="str">
        <f>IFERROR(VLOOKUP(CONCATENATE($B558,"_",J$3),materiali!$C:$K,6,0),"")</f>
        <v/>
      </c>
      <c r="K558" s="86"/>
      <c r="L558" s="84" t="str">
        <f>IFERROR(VLOOKUP(CONCATENATE($B558,"_",L$3),materiali!$C:$K,5,0),"")</f>
        <v/>
      </c>
      <c r="M558" s="85" t="str">
        <f>IFERROR(VLOOKUP(CONCATENATE($B558,"_",M$3),materiali!$C:$K,6,0),"")</f>
        <v/>
      </c>
      <c r="N558" s="86"/>
      <c r="O558" s="84" t="str">
        <f>IFERROR(VLOOKUP(CONCATENATE($B558,"_",O$3),materiali!$C:$K,5,0),"")</f>
        <v/>
      </c>
      <c r="P558" s="85" t="str">
        <f>IFERROR(VLOOKUP(CONCATENATE($B558,"_",P$3),materiali!$C:$K,6,0),"")</f>
        <v/>
      </c>
      <c r="Q558" s="86"/>
      <c r="R558" s="84" t="str">
        <f>IFERROR(VLOOKUP(CONCATENATE($B558,"_",R$3),materiali!$C:$K,5,0),"")</f>
        <v/>
      </c>
      <c r="S558" s="85" t="str">
        <f>IFERROR(VLOOKUP(CONCATENATE($B558,"_",S$3),materiali!$C:$K,6,0),"")</f>
        <v/>
      </c>
      <c r="T558" s="86"/>
      <c r="U558" s="31"/>
      <c r="AD558" s="97"/>
    </row>
    <row r="559" spans="1:30" ht="35.1" hidden="1" customHeight="1" x14ac:dyDescent="0.25">
      <c r="A559" s="83"/>
      <c r="B559" s="7"/>
      <c r="C559" s="8"/>
      <c r="D559" s="8"/>
      <c r="E559" s="60"/>
      <c r="F559" s="84" t="str">
        <f>IFERROR(VLOOKUP(CONCATENATE($B559,"_",F$3),materiali!$C:$K,5,0),"")</f>
        <v/>
      </c>
      <c r="G559" s="85" t="str">
        <f>IFERROR(VLOOKUP(CONCATENATE($B559,"_",G$3),materiali!$C:$K,6,0),"")</f>
        <v/>
      </c>
      <c r="H559" s="86"/>
      <c r="I559" s="84" t="str">
        <f>IFERROR(VLOOKUP(CONCATENATE($B559,"_",I$3),materiali!$C:$K,5,0),"")</f>
        <v/>
      </c>
      <c r="J559" s="85" t="str">
        <f>IFERROR(VLOOKUP(CONCATENATE($B559,"_",J$3),materiali!$C:$K,6,0),"")</f>
        <v/>
      </c>
      <c r="K559" s="86"/>
      <c r="L559" s="84" t="str">
        <f>IFERROR(VLOOKUP(CONCATENATE($B559,"_",L$3),materiali!$C:$K,5,0),"")</f>
        <v/>
      </c>
      <c r="M559" s="85" t="str">
        <f>IFERROR(VLOOKUP(CONCATENATE($B559,"_",M$3),materiali!$C:$K,6,0),"")</f>
        <v/>
      </c>
      <c r="N559" s="86"/>
      <c r="O559" s="84" t="str">
        <f>IFERROR(VLOOKUP(CONCATENATE($B559,"_",O$3),materiali!$C:$K,5,0),"")</f>
        <v/>
      </c>
      <c r="P559" s="85" t="str">
        <f>IFERROR(VLOOKUP(CONCATENATE($B559,"_",P$3),materiali!$C:$K,6,0),"")</f>
        <v/>
      </c>
      <c r="Q559" s="86"/>
      <c r="R559" s="84" t="str">
        <f>IFERROR(VLOOKUP(CONCATENATE($B559,"_",R$3),materiali!$C:$K,5,0),"")</f>
        <v/>
      </c>
      <c r="S559" s="85" t="str">
        <f>IFERROR(VLOOKUP(CONCATENATE($B559,"_",S$3),materiali!$C:$K,6,0),"")</f>
        <v/>
      </c>
      <c r="T559" s="86"/>
      <c r="U559" s="31"/>
      <c r="AD559" s="97"/>
    </row>
    <row r="560" spans="1:30" ht="35.1" hidden="1" customHeight="1" x14ac:dyDescent="0.25">
      <c r="A560" s="83"/>
      <c r="B560" s="7"/>
      <c r="C560" s="8"/>
      <c r="D560" s="8"/>
      <c r="E560" s="60"/>
      <c r="F560" s="84" t="str">
        <f>IFERROR(VLOOKUP(CONCATENATE($B560,"_",F$3),materiali!$C:$K,5,0),"")</f>
        <v/>
      </c>
      <c r="G560" s="85" t="str">
        <f>IFERROR(VLOOKUP(CONCATENATE($B560,"_",G$3),materiali!$C:$K,6,0),"")</f>
        <v/>
      </c>
      <c r="H560" s="86"/>
      <c r="I560" s="84" t="str">
        <f>IFERROR(VLOOKUP(CONCATENATE($B560,"_",I$3),materiali!$C:$K,5,0),"")</f>
        <v/>
      </c>
      <c r="J560" s="85" t="str">
        <f>IFERROR(VLOOKUP(CONCATENATE($B560,"_",J$3),materiali!$C:$K,6,0),"")</f>
        <v/>
      </c>
      <c r="K560" s="86"/>
      <c r="L560" s="84" t="str">
        <f>IFERROR(VLOOKUP(CONCATENATE($B560,"_",L$3),materiali!$C:$K,5,0),"")</f>
        <v/>
      </c>
      <c r="M560" s="85" t="str">
        <f>IFERROR(VLOOKUP(CONCATENATE($B560,"_",M$3),materiali!$C:$K,6,0),"")</f>
        <v/>
      </c>
      <c r="N560" s="86"/>
      <c r="O560" s="84" t="str">
        <f>IFERROR(VLOOKUP(CONCATENATE($B560,"_",O$3),materiali!$C:$K,5,0),"")</f>
        <v/>
      </c>
      <c r="P560" s="85" t="str">
        <f>IFERROR(VLOOKUP(CONCATENATE($B560,"_",P$3),materiali!$C:$K,6,0),"")</f>
        <v/>
      </c>
      <c r="Q560" s="86"/>
      <c r="R560" s="84" t="str">
        <f>IFERROR(VLOOKUP(CONCATENATE($B560,"_",R$3),materiali!$C:$K,5,0),"")</f>
        <v/>
      </c>
      <c r="S560" s="85" t="str">
        <f>IFERROR(VLOOKUP(CONCATENATE($B560,"_",S$3),materiali!$C:$K,6,0),"")</f>
        <v/>
      </c>
      <c r="T560" s="86"/>
      <c r="U560" s="31"/>
      <c r="AD560" s="97"/>
    </row>
    <row r="561" spans="1:30" ht="35.1" hidden="1" customHeight="1" x14ac:dyDescent="0.25">
      <c r="A561" s="83"/>
      <c r="B561" s="7"/>
      <c r="C561" s="8"/>
      <c r="D561" s="8"/>
      <c r="E561" s="60"/>
      <c r="F561" s="84" t="str">
        <f>IFERROR(VLOOKUP(CONCATENATE($B561,"_",F$3),materiali!$C:$K,5,0),"")</f>
        <v/>
      </c>
      <c r="G561" s="85" t="str">
        <f>IFERROR(VLOOKUP(CONCATENATE($B561,"_",G$3),materiali!$C:$K,6,0),"")</f>
        <v/>
      </c>
      <c r="H561" s="86"/>
      <c r="I561" s="84" t="str">
        <f>IFERROR(VLOOKUP(CONCATENATE($B561,"_",I$3),materiali!$C:$K,5,0),"")</f>
        <v/>
      </c>
      <c r="J561" s="85" t="str">
        <f>IFERROR(VLOOKUP(CONCATENATE($B561,"_",J$3),materiali!$C:$K,6,0),"")</f>
        <v/>
      </c>
      <c r="K561" s="86"/>
      <c r="L561" s="84" t="str">
        <f>IFERROR(VLOOKUP(CONCATENATE($B561,"_",L$3),materiali!$C:$K,5,0),"")</f>
        <v/>
      </c>
      <c r="M561" s="85" t="str">
        <f>IFERROR(VLOOKUP(CONCATENATE($B561,"_",M$3),materiali!$C:$K,6,0),"")</f>
        <v/>
      </c>
      <c r="N561" s="86"/>
      <c r="O561" s="84" t="str">
        <f>IFERROR(VLOOKUP(CONCATENATE($B561,"_",O$3),materiali!$C:$K,5,0),"")</f>
        <v/>
      </c>
      <c r="P561" s="85" t="str">
        <f>IFERROR(VLOOKUP(CONCATENATE($B561,"_",P$3),materiali!$C:$K,6,0),"")</f>
        <v/>
      </c>
      <c r="Q561" s="86"/>
      <c r="R561" s="84" t="str">
        <f>IFERROR(VLOOKUP(CONCATENATE($B561,"_",R$3),materiali!$C:$K,5,0),"")</f>
        <v/>
      </c>
      <c r="S561" s="85" t="str">
        <f>IFERROR(VLOOKUP(CONCATENATE($B561,"_",S$3),materiali!$C:$K,6,0),"")</f>
        <v/>
      </c>
      <c r="T561" s="86"/>
      <c r="U561" s="31"/>
      <c r="AD561" s="97"/>
    </row>
    <row r="562" spans="1:30" ht="35.1" hidden="1" customHeight="1" x14ac:dyDescent="0.25">
      <c r="A562" s="83"/>
      <c r="B562" s="7"/>
      <c r="C562" s="8"/>
      <c r="D562" s="8"/>
      <c r="E562" s="60"/>
      <c r="F562" s="84" t="str">
        <f>IFERROR(VLOOKUP(CONCATENATE($B562,"_",F$3),materiali!$C:$K,5,0),"")</f>
        <v/>
      </c>
      <c r="G562" s="85" t="str">
        <f>IFERROR(VLOOKUP(CONCATENATE($B562,"_",G$3),materiali!$C:$K,6,0),"")</f>
        <v/>
      </c>
      <c r="H562" s="86"/>
      <c r="I562" s="84" t="str">
        <f>IFERROR(VLOOKUP(CONCATENATE($B562,"_",I$3),materiali!$C:$K,5,0),"")</f>
        <v/>
      </c>
      <c r="J562" s="85" t="str">
        <f>IFERROR(VLOOKUP(CONCATENATE($B562,"_",J$3),materiali!$C:$K,6,0),"")</f>
        <v/>
      </c>
      <c r="K562" s="86"/>
      <c r="L562" s="84" t="str">
        <f>IFERROR(VLOOKUP(CONCATENATE($B562,"_",L$3),materiali!$C:$K,5,0),"")</f>
        <v/>
      </c>
      <c r="M562" s="85" t="str">
        <f>IFERROR(VLOOKUP(CONCATENATE($B562,"_",M$3),materiali!$C:$K,6,0),"")</f>
        <v/>
      </c>
      <c r="N562" s="86"/>
      <c r="O562" s="84" t="str">
        <f>IFERROR(VLOOKUP(CONCATENATE($B562,"_",O$3),materiali!$C:$K,5,0),"")</f>
        <v/>
      </c>
      <c r="P562" s="85" t="str">
        <f>IFERROR(VLOOKUP(CONCATENATE($B562,"_",P$3),materiali!$C:$K,6,0),"")</f>
        <v/>
      </c>
      <c r="Q562" s="86"/>
      <c r="R562" s="84" t="str">
        <f>IFERROR(VLOOKUP(CONCATENATE($B562,"_",R$3),materiali!$C:$K,5,0),"")</f>
        <v/>
      </c>
      <c r="S562" s="85" t="str">
        <f>IFERROR(VLOOKUP(CONCATENATE($B562,"_",S$3),materiali!$C:$K,6,0),"")</f>
        <v/>
      </c>
      <c r="T562" s="86"/>
      <c r="U562" s="31"/>
      <c r="AD562" s="97"/>
    </row>
    <row r="563" spans="1:30" ht="35.1" hidden="1" customHeight="1" x14ac:dyDescent="0.25">
      <c r="A563" s="83"/>
      <c r="B563" s="7"/>
      <c r="C563" s="8"/>
      <c r="D563" s="8"/>
      <c r="E563" s="60"/>
      <c r="F563" s="84" t="str">
        <f>IFERROR(VLOOKUP(CONCATENATE($B563,"_",F$3),materiali!$C:$K,5,0),"")</f>
        <v/>
      </c>
      <c r="G563" s="85" t="str">
        <f>IFERROR(VLOOKUP(CONCATENATE($B563,"_",G$3),materiali!$C:$K,6,0),"")</f>
        <v/>
      </c>
      <c r="H563" s="86"/>
      <c r="I563" s="84" t="str">
        <f>IFERROR(VLOOKUP(CONCATENATE($B563,"_",I$3),materiali!$C:$K,5,0),"")</f>
        <v/>
      </c>
      <c r="J563" s="85" t="str">
        <f>IFERROR(VLOOKUP(CONCATENATE($B563,"_",J$3),materiali!$C:$K,6,0),"")</f>
        <v/>
      </c>
      <c r="K563" s="86"/>
      <c r="L563" s="84" t="str">
        <f>IFERROR(VLOOKUP(CONCATENATE($B563,"_",L$3),materiali!$C:$K,5,0),"")</f>
        <v/>
      </c>
      <c r="M563" s="85" t="str">
        <f>IFERROR(VLOOKUP(CONCATENATE($B563,"_",M$3),materiali!$C:$K,6,0),"")</f>
        <v/>
      </c>
      <c r="N563" s="86"/>
      <c r="O563" s="84" t="str">
        <f>IFERROR(VLOOKUP(CONCATENATE($B563,"_",O$3),materiali!$C:$K,5,0),"")</f>
        <v/>
      </c>
      <c r="P563" s="85" t="str">
        <f>IFERROR(VLOOKUP(CONCATENATE($B563,"_",P$3),materiali!$C:$K,6,0),"")</f>
        <v/>
      </c>
      <c r="Q563" s="86"/>
      <c r="R563" s="84" t="str">
        <f>IFERROR(VLOOKUP(CONCATENATE($B563,"_",R$3),materiali!$C:$K,5,0),"")</f>
        <v/>
      </c>
      <c r="S563" s="85" t="str">
        <f>IFERROR(VLOOKUP(CONCATENATE($B563,"_",S$3),materiali!$C:$K,6,0),"")</f>
        <v/>
      </c>
      <c r="T563" s="86"/>
      <c r="U563" s="31"/>
      <c r="AD563" s="97"/>
    </row>
    <row r="564" spans="1:30" ht="35.1" hidden="1" customHeight="1" x14ac:dyDescent="0.25">
      <c r="A564" s="83"/>
      <c r="B564" s="7"/>
      <c r="C564" s="8"/>
      <c r="D564" s="8"/>
      <c r="E564" s="60"/>
      <c r="F564" s="84" t="str">
        <f>IFERROR(VLOOKUP(CONCATENATE($B564,"_",F$3),materiali!$C:$K,5,0),"")</f>
        <v/>
      </c>
      <c r="G564" s="85" t="str">
        <f>IFERROR(VLOOKUP(CONCATENATE($B564,"_",G$3),materiali!$C:$K,6,0),"")</f>
        <v/>
      </c>
      <c r="H564" s="86"/>
      <c r="I564" s="84" t="str">
        <f>IFERROR(VLOOKUP(CONCATENATE($B564,"_",I$3),materiali!$C:$K,5,0),"")</f>
        <v/>
      </c>
      <c r="J564" s="85" t="str">
        <f>IFERROR(VLOOKUP(CONCATENATE($B564,"_",J$3),materiali!$C:$K,6,0),"")</f>
        <v/>
      </c>
      <c r="K564" s="86"/>
      <c r="L564" s="84" t="str">
        <f>IFERROR(VLOOKUP(CONCATENATE($B564,"_",L$3),materiali!$C:$K,5,0),"")</f>
        <v/>
      </c>
      <c r="M564" s="85" t="str">
        <f>IFERROR(VLOOKUP(CONCATENATE($B564,"_",M$3),materiali!$C:$K,6,0),"")</f>
        <v/>
      </c>
      <c r="N564" s="86"/>
      <c r="O564" s="84" t="str">
        <f>IFERROR(VLOOKUP(CONCATENATE($B564,"_",O$3),materiali!$C:$K,5,0),"")</f>
        <v/>
      </c>
      <c r="P564" s="85" t="str">
        <f>IFERROR(VLOOKUP(CONCATENATE($B564,"_",P$3),materiali!$C:$K,6,0),"")</f>
        <v/>
      </c>
      <c r="Q564" s="86"/>
      <c r="R564" s="84" t="str">
        <f>IFERROR(VLOOKUP(CONCATENATE($B564,"_",R$3),materiali!$C:$K,5,0),"")</f>
        <v/>
      </c>
      <c r="S564" s="85" t="str">
        <f>IFERROR(VLOOKUP(CONCATENATE($B564,"_",S$3),materiali!$C:$K,6,0),"")</f>
        <v/>
      </c>
      <c r="T564" s="86"/>
      <c r="U564" s="31"/>
      <c r="AD564" s="97"/>
    </row>
    <row r="565" spans="1:30" ht="35.1" hidden="1" customHeight="1" x14ac:dyDescent="0.25">
      <c r="A565" s="83"/>
      <c r="B565" s="7"/>
      <c r="C565" s="8"/>
      <c r="D565" s="8"/>
      <c r="E565" s="60"/>
      <c r="F565" s="84" t="str">
        <f>IFERROR(VLOOKUP(CONCATENATE($B565,"_",F$3),materiali!$C:$K,5,0),"")</f>
        <v/>
      </c>
      <c r="G565" s="85" t="str">
        <f>IFERROR(VLOOKUP(CONCATENATE($B565,"_",G$3),materiali!$C:$K,6,0),"")</f>
        <v/>
      </c>
      <c r="H565" s="86"/>
      <c r="I565" s="84" t="str">
        <f>IFERROR(VLOOKUP(CONCATENATE($B565,"_",I$3),materiali!$C:$K,5,0),"")</f>
        <v/>
      </c>
      <c r="J565" s="85" t="str">
        <f>IFERROR(VLOOKUP(CONCATENATE($B565,"_",J$3),materiali!$C:$K,6,0),"")</f>
        <v/>
      </c>
      <c r="K565" s="86"/>
      <c r="L565" s="84" t="str">
        <f>IFERROR(VLOOKUP(CONCATENATE($B565,"_",L$3),materiali!$C:$K,5,0),"")</f>
        <v/>
      </c>
      <c r="M565" s="85" t="str">
        <f>IFERROR(VLOOKUP(CONCATENATE($B565,"_",M$3),materiali!$C:$K,6,0),"")</f>
        <v/>
      </c>
      <c r="N565" s="86"/>
      <c r="O565" s="84" t="str">
        <f>IFERROR(VLOOKUP(CONCATENATE($B565,"_",O$3),materiali!$C:$K,5,0),"")</f>
        <v/>
      </c>
      <c r="P565" s="85" t="str">
        <f>IFERROR(VLOOKUP(CONCATENATE($B565,"_",P$3),materiali!$C:$K,6,0),"")</f>
        <v/>
      </c>
      <c r="Q565" s="86"/>
      <c r="R565" s="84" t="str">
        <f>IFERROR(VLOOKUP(CONCATENATE($B565,"_",R$3),materiali!$C:$K,5,0),"")</f>
        <v/>
      </c>
      <c r="S565" s="85" t="str">
        <f>IFERROR(VLOOKUP(CONCATENATE($B565,"_",S$3),materiali!$C:$K,6,0),"")</f>
        <v/>
      </c>
      <c r="T565" s="86"/>
      <c r="U565" s="31"/>
      <c r="AD565" s="97"/>
    </row>
    <row r="566" spans="1:30" ht="35.1" hidden="1" customHeight="1" x14ac:dyDescent="0.25">
      <c r="A566" s="83"/>
      <c r="B566" s="7"/>
      <c r="C566" s="8"/>
      <c r="D566" s="8"/>
      <c r="E566" s="60"/>
      <c r="F566" s="84" t="str">
        <f>IFERROR(VLOOKUP(CONCATENATE($B566,"_",F$3),materiali!$C:$K,5,0),"")</f>
        <v/>
      </c>
      <c r="G566" s="85" t="str">
        <f>IFERROR(VLOOKUP(CONCATENATE($B566,"_",G$3),materiali!$C:$K,6,0),"")</f>
        <v/>
      </c>
      <c r="H566" s="86"/>
      <c r="I566" s="84" t="str">
        <f>IFERROR(VLOOKUP(CONCATENATE($B566,"_",I$3),materiali!$C:$K,5,0),"")</f>
        <v/>
      </c>
      <c r="J566" s="85" t="str">
        <f>IFERROR(VLOOKUP(CONCATENATE($B566,"_",J$3),materiali!$C:$K,6,0),"")</f>
        <v/>
      </c>
      <c r="K566" s="86"/>
      <c r="L566" s="84" t="str">
        <f>IFERROR(VLOOKUP(CONCATENATE($B566,"_",L$3),materiali!$C:$K,5,0),"")</f>
        <v/>
      </c>
      <c r="M566" s="85" t="str">
        <f>IFERROR(VLOOKUP(CONCATENATE($B566,"_",M$3),materiali!$C:$K,6,0),"")</f>
        <v/>
      </c>
      <c r="N566" s="86"/>
      <c r="O566" s="84" t="str">
        <f>IFERROR(VLOOKUP(CONCATENATE($B566,"_",O$3),materiali!$C:$K,5,0),"")</f>
        <v/>
      </c>
      <c r="P566" s="85" t="str">
        <f>IFERROR(VLOOKUP(CONCATENATE($B566,"_",P$3),materiali!$C:$K,6,0),"")</f>
        <v/>
      </c>
      <c r="Q566" s="86"/>
      <c r="R566" s="84" t="str">
        <f>IFERROR(VLOOKUP(CONCATENATE($B566,"_",R$3),materiali!$C:$K,5,0),"")</f>
        <v/>
      </c>
      <c r="S566" s="85" t="str">
        <f>IFERROR(VLOOKUP(CONCATENATE($B566,"_",S$3),materiali!$C:$K,6,0),"")</f>
        <v/>
      </c>
      <c r="T566" s="86"/>
      <c r="U566" s="31"/>
      <c r="AD566" s="97"/>
    </row>
    <row r="567" spans="1:30" ht="35.1" hidden="1" customHeight="1" x14ac:dyDescent="0.25">
      <c r="A567" s="83"/>
      <c r="B567" s="7"/>
      <c r="C567" s="8"/>
      <c r="D567" s="8"/>
      <c r="E567" s="60"/>
      <c r="F567" s="84" t="str">
        <f>IFERROR(VLOOKUP(CONCATENATE($B567,"_",F$3),materiali!$C:$K,5,0),"")</f>
        <v/>
      </c>
      <c r="G567" s="85" t="str">
        <f>IFERROR(VLOOKUP(CONCATENATE($B567,"_",G$3),materiali!$C:$K,6,0),"")</f>
        <v/>
      </c>
      <c r="H567" s="86"/>
      <c r="I567" s="84" t="str">
        <f>IFERROR(VLOOKUP(CONCATENATE($B567,"_",I$3),materiali!$C:$K,5,0),"")</f>
        <v/>
      </c>
      <c r="J567" s="85" t="str">
        <f>IFERROR(VLOOKUP(CONCATENATE($B567,"_",J$3),materiali!$C:$K,6,0),"")</f>
        <v/>
      </c>
      <c r="K567" s="86"/>
      <c r="L567" s="84" t="str">
        <f>IFERROR(VLOOKUP(CONCATENATE($B567,"_",L$3),materiali!$C:$K,5,0),"")</f>
        <v/>
      </c>
      <c r="M567" s="85" t="str">
        <f>IFERROR(VLOOKUP(CONCATENATE($B567,"_",M$3),materiali!$C:$K,6,0),"")</f>
        <v/>
      </c>
      <c r="N567" s="86"/>
      <c r="O567" s="84" t="str">
        <f>IFERROR(VLOOKUP(CONCATENATE($B567,"_",O$3),materiali!$C:$K,5,0),"")</f>
        <v/>
      </c>
      <c r="P567" s="85" t="str">
        <f>IFERROR(VLOOKUP(CONCATENATE($B567,"_",P$3),materiali!$C:$K,6,0),"")</f>
        <v/>
      </c>
      <c r="Q567" s="86"/>
      <c r="R567" s="84" t="str">
        <f>IFERROR(VLOOKUP(CONCATENATE($B567,"_",R$3),materiali!$C:$K,5,0),"")</f>
        <v/>
      </c>
      <c r="S567" s="85" t="str">
        <f>IFERROR(VLOOKUP(CONCATENATE($B567,"_",S$3),materiali!$C:$K,6,0),"")</f>
        <v/>
      </c>
      <c r="T567" s="86"/>
      <c r="U567" s="31"/>
      <c r="AD567" s="97"/>
    </row>
    <row r="568" spans="1:30" ht="35.1" hidden="1" customHeight="1" x14ac:dyDescent="0.25">
      <c r="A568" s="83"/>
      <c r="B568" s="7"/>
      <c r="C568" s="8"/>
      <c r="D568" s="8"/>
      <c r="E568" s="60"/>
      <c r="F568" s="84" t="str">
        <f>IFERROR(VLOOKUP(CONCATENATE($B568,"_",F$3),materiali!$C:$K,5,0),"")</f>
        <v/>
      </c>
      <c r="G568" s="85" t="str">
        <f>IFERROR(VLOOKUP(CONCATENATE($B568,"_",G$3),materiali!$C:$K,6,0),"")</f>
        <v/>
      </c>
      <c r="H568" s="86"/>
      <c r="I568" s="84" t="str">
        <f>IFERROR(VLOOKUP(CONCATENATE($B568,"_",I$3),materiali!$C:$K,5,0),"")</f>
        <v/>
      </c>
      <c r="J568" s="85" t="str">
        <f>IFERROR(VLOOKUP(CONCATENATE($B568,"_",J$3),materiali!$C:$K,6,0),"")</f>
        <v/>
      </c>
      <c r="K568" s="86"/>
      <c r="L568" s="84" t="str">
        <f>IFERROR(VLOOKUP(CONCATENATE($B568,"_",L$3),materiali!$C:$K,5,0),"")</f>
        <v/>
      </c>
      <c r="M568" s="85" t="str">
        <f>IFERROR(VLOOKUP(CONCATENATE($B568,"_",M$3),materiali!$C:$K,6,0),"")</f>
        <v/>
      </c>
      <c r="N568" s="86"/>
      <c r="O568" s="84" t="str">
        <f>IFERROR(VLOOKUP(CONCATENATE($B568,"_",O$3),materiali!$C:$K,5,0),"")</f>
        <v/>
      </c>
      <c r="P568" s="85" t="str">
        <f>IFERROR(VLOOKUP(CONCATENATE($B568,"_",P$3),materiali!$C:$K,6,0),"")</f>
        <v/>
      </c>
      <c r="Q568" s="86"/>
      <c r="R568" s="84" t="str">
        <f>IFERROR(VLOOKUP(CONCATENATE($B568,"_",R$3),materiali!$C:$K,5,0),"")</f>
        <v/>
      </c>
      <c r="S568" s="85" t="str">
        <f>IFERROR(VLOOKUP(CONCATENATE($B568,"_",S$3),materiali!$C:$K,6,0),"")</f>
        <v/>
      </c>
      <c r="T568" s="86"/>
      <c r="U568" s="31"/>
      <c r="AD568" s="97"/>
    </row>
    <row r="569" spans="1:30" ht="35.1" hidden="1" customHeight="1" x14ac:dyDescent="0.25">
      <c r="A569" s="83"/>
      <c r="B569" s="7"/>
      <c r="C569" s="8"/>
      <c r="D569" s="8"/>
      <c r="E569" s="60"/>
      <c r="F569" s="84" t="str">
        <f>IFERROR(VLOOKUP(CONCATENATE($B569,"_",F$3),materiali!$C:$K,5,0),"")</f>
        <v/>
      </c>
      <c r="G569" s="85" t="str">
        <f>IFERROR(VLOOKUP(CONCATENATE($B569,"_",G$3),materiali!$C:$K,6,0),"")</f>
        <v/>
      </c>
      <c r="H569" s="86"/>
      <c r="I569" s="84" t="str">
        <f>IFERROR(VLOOKUP(CONCATENATE($B569,"_",I$3),materiali!$C:$K,5,0),"")</f>
        <v/>
      </c>
      <c r="J569" s="85" t="str">
        <f>IFERROR(VLOOKUP(CONCATENATE($B569,"_",J$3),materiali!$C:$K,6,0),"")</f>
        <v/>
      </c>
      <c r="K569" s="86"/>
      <c r="L569" s="84" t="str">
        <f>IFERROR(VLOOKUP(CONCATENATE($B569,"_",L$3),materiali!$C:$K,5,0),"")</f>
        <v/>
      </c>
      <c r="M569" s="85" t="str">
        <f>IFERROR(VLOOKUP(CONCATENATE($B569,"_",M$3),materiali!$C:$K,6,0),"")</f>
        <v/>
      </c>
      <c r="N569" s="86"/>
      <c r="O569" s="84" t="str">
        <f>IFERROR(VLOOKUP(CONCATENATE($B569,"_",O$3),materiali!$C:$K,5,0),"")</f>
        <v/>
      </c>
      <c r="P569" s="85" t="str">
        <f>IFERROR(VLOOKUP(CONCATENATE($B569,"_",P$3),materiali!$C:$K,6,0),"")</f>
        <v/>
      </c>
      <c r="Q569" s="86"/>
      <c r="R569" s="84" t="str">
        <f>IFERROR(VLOOKUP(CONCATENATE($B569,"_",R$3),materiali!$C:$K,5,0),"")</f>
        <v/>
      </c>
      <c r="S569" s="85" t="str">
        <f>IFERROR(VLOOKUP(CONCATENATE($B569,"_",S$3),materiali!$C:$K,6,0),"")</f>
        <v/>
      </c>
      <c r="T569" s="86"/>
      <c r="U569" s="31"/>
      <c r="AD569" s="97"/>
    </row>
    <row r="570" spans="1:30" ht="35.1" hidden="1" customHeight="1" x14ac:dyDescent="0.25">
      <c r="A570" s="83"/>
      <c r="B570" s="7"/>
      <c r="C570" s="8"/>
      <c r="D570" s="8"/>
      <c r="E570" s="60"/>
      <c r="F570" s="84" t="str">
        <f>IFERROR(VLOOKUP(CONCATENATE($B570,"_",F$3),materiali!$C:$K,5,0),"")</f>
        <v/>
      </c>
      <c r="G570" s="85" t="str">
        <f>IFERROR(VLOOKUP(CONCATENATE($B570,"_",G$3),materiali!$C:$K,6,0),"")</f>
        <v/>
      </c>
      <c r="H570" s="86"/>
      <c r="I570" s="84" t="str">
        <f>IFERROR(VLOOKUP(CONCATENATE($B570,"_",I$3),materiali!$C:$K,5,0),"")</f>
        <v/>
      </c>
      <c r="J570" s="85" t="str">
        <f>IFERROR(VLOOKUP(CONCATENATE($B570,"_",J$3),materiali!$C:$K,6,0),"")</f>
        <v/>
      </c>
      <c r="K570" s="86"/>
      <c r="L570" s="84" t="str">
        <f>IFERROR(VLOOKUP(CONCATENATE($B570,"_",L$3),materiali!$C:$K,5,0),"")</f>
        <v/>
      </c>
      <c r="M570" s="85" t="str">
        <f>IFERROR(VLOOKUP(CONCATENATE($B570,"_",M$3),materiali!$C:$K,6,0),"")</f>
        <v/>
      </c>
      <c r="N570" s="86"/>
      <c r="O570" s="84" t="str">
        <f>IFERROR(VLOOKUP(CONCATENATE($B570,"_",O$3),materiali!$C:$K,5,0),"")</f>
        <v/>
      </c>
      <c r="P570" s="85" t="str">
        <f>IFERROR(VLOOKUP(CONCATENATE($B570,"_",P$3),materiali!$C:$K,6,0),"")</f>
        <v/>
      </c>
      <c r="Q570" s="86"/>
      <c r="R570" s="84" t="str">
        <f>IFERROR(VLOOKUP(CONCATENATE($B570,"_",R$3),materiali!$C:$K,5,0),"")</f>
        <v/>
      </c>
      <c r="S570" s="85" t="str">
        <f>IFERROR(VLOOKUP(CONCATENATE($B570,"_",S$3),materiali!$C:$K,6,0),"")</f>
        <v/>
      </c>
      <c r="T570" s="86"/>
      <c r="U570" s="31"/>
      <c r="AD570" s="97"/>
    </row>
    <row r="571" spans="1:30" ht="35.1" hidden="1" customHeight="1" x14ac:dyDescent="0.25">
      <c r="A571" s="83"/>
      <c r="B571" s="7"/>
      <c r="C571" s="8"/>
      <c r="D571" s="8"/>
      <c r="E571" s="60"/>
      <c r="F571" s="84" t="str">
        <f>IFERROR(VLOOKUP(CONCATENATE($B571,"_",F$3),materiali!$C:$K,5,0),"")</f>
        <v/>
      </c>
      <c r="G571" s="85" t="str">
        <f>IFERROR(VLOOKUP(CONCATENATE($B571,"_",G$3),materiali!$C:$K,6,0),"")</f>
        <v/>
      </c>
      <c r="H571" s="86"/>
      <c r="I571" s="84" t="str">
        <f>IFERROR(VLOOKUP(CONCATENATE($B571,"_",I$3),materiali!$C:$K,5,0),"")</f>
        <v/>
      </c>
      <c r="J571" s="85" t="str">
        <f>IFERROR(VLOOKUP(CONCATENATE($B571,"_",J$3),materiali!$C:$K,6,0),"")</f>
        <v/>
      </c>
      <c r="K571" s="86"/>
      <c r="L571" s="84" t="str">
        <f>IFERROR(VLOOKUP(CONCATENATE($B571,"_",L$3),materiali!$C:$K,5,0),"")</f>
        <v/>
      </c>
      <c r="M571" s="85" t="str">
        <f>IFERROR(VLOOKUP(CONCATENATE($B571,"_",M$3),materiali!$C:$K,6,0),"")</f>
        <v/>
      </c>
      <c r="N571" s="86"/>
      <c r="O571" s="84" t="str">
        <f>IFERROR(VLOOKUP(CONCATENATE($B571,"_",O$3),materiali!$C:$K,5,0),"")</f>
        <v/>
      </c>
      <c r="P571" s="85" t="str">
        <f>IFERROR(VLOOKUP(CONCATENATE($B571,"_",P$3),materiali!$C:$K,6,0),"")</f>
        <v/>
      </c>
      <c r="Q571" s="86"/>
      <c r="R571" s="84" t="str">
        <f>IFERROR(VLOOKUP(CONCATENATE($B571,"_",R$3),materiali!$C:$K,5,0),"")</f>
        <v/>
      </c>
      <c r="S571" s="85" t="str">
        <f>IFERROR(VLOOKUP(CONCATENATE($B571,"_",S$3),materiali!$C:$K,6,0),"")</f>
        <v/>
      </c>
      <c r="T571" s="86"/>
      <c r="U571" s="31"/>
      <c r="AD571" s="97"/>
    </row>
    <row r="572" spans="1:30" ht="35.1" hidden="1" customHeight="1" x14ac:dyDescent="0.25">
      <c r="A572" s="83"/>
      <c r="B572" s="7"/>
      <c r="C572" s="8"/>
      <c r="D572" s="8"/>
      <c r="E572" s="60"/>
      <c r="F572" s="84" t="str">
        <f>IFERROR(VLOOKUP(CONCATENATE($B572,"_",F$3),materiali!$C:$K,5,0),"")</f>
        <v/>
      </c>
      <c r="G572" s="85" t="str">
        <f>IFERROR(VLOOKUP(CONCATENATE($B572,"_",G$3),materiali!$C:$K,6,0),"")</f>
        <v/>
      </c>
      <c r="H572" s="86"/>
      <c r="I572" s="84" t="str">
        <f>IFERROR(VLOOKUP(CONCATENATE($B572,"_",I$3),materiali!$C:$K,5,0),"")</f>
        <v/>
      </c>
      <c r="J572" s="85" t="str">
        <f>IFERROR(VLOOKUP(CONCATENATE($B572,"_",J$3),materiali!$C:$K,6,0),"")</f>
        <v/>
      </c>
      <c r="K572" s="86"/>
      <c r="L572" s="84" t="str">
        <f>IFERROR(VLOOKUP(CONCATENATE($B572,"_",L$3),materiali!$C:$K,5,0),"")</f>
        <v/>
      </c>
      <c r="M572" s="85" t="str">
        <f>IFERROR(VLOOKUP(CONCATENATE($B572,"_",M$3),materiali!$C:$K,6,0),"")</f>
        <v/>
      </c>
      <c r="N572" s="86"/>
      <c r="O572" s="84" t="str">
        <f>IFERROR(VLOOKUP(CONCATENATE($B572,"_",O$3),materiali!$C:$K,5,0),"")</f>
        <v/>
      </c>
      <c r="P572" s="85" t="str">
        <f>IFERROR(VLOOKUP(CONCATENATE($B572,"_",P$3),materiali!$C:$K,6,0),"")</f>
        <v/>
      </c>
      <c r="Q572" s="86"/>
      <c r="R572" s="84" t="str">
        <f>IFERROR(VLOOKUP(CONCATENATE($B572,"_",R$3),materiali!$C:$K,5,0),"")</f>
        <v/>
      </c>
      <c r="S572" s="85" t="str">
        <f>IFERROR(VLOOKUP(CONCATENATE($B572,"_",S$3),materiali!$C:$K,6,0),"")</f>
        <v/>
      </c>
      <c r="T572" s="86"/>
      <c r="U572" s="31"/>
      <c r="AD572" s="97"/>
    </row>
    <row r="573" spans="1:30" ht="35.1" hidden="1" customHeight="1" x14ac:dyDescent="0.25">
      <c r="A573" s="83"/>
      <c r="B573" s="7"/>
      <c r="C573" s="8"/>
      <c r="D573" s="8"/>
      <c r="E573" s="60"/>
      <c r="F573" s="84" t="str">
        <f>IFERROR(VLOOKUP(CONCATENATE($B573,"_",F$3),materiali!$C:$K,5,0),"")</f>
        <v/>
      </c>
      <c r="G573" s="85" t="str">
        <f>IFERROR(VLOOKUP(CONCATENATE($B573,"_",G$3),materiali!$C:$K,6,0),"")</f>
        <v/>
      </c>
      <c r="H573" s="86"/>
      <c r="I573" s="84" t="str">
        <f>IFERROR(VLOOKUP(CONCATENATE($B573,"_",I$3),materiali!$C:$K,5,0),"")</f>
        <v/>
      </c>
      <c r="J573" s="85" t="str">
        <f>IFERROR(VLOOKUP(CONCATENATE($B573,"_",J$3),materiali!$C:$K,6,0),"")</f>
        <v/>
      </c>
      <c r="K573" s="86"/>
      <c r="L573" s="84" t="str">
        <f>IFERROR(VLOOKUP(CONCATENATE($B573,"_",L$3),materiali!$C:$K,5,0),"")</f>
        <v/>
      </c>
      <c r="M573" s="85" t="str">
        <f>IFERROR(VLOOKUP(CONCATENATE($B573,"_",M$3),materiali!$C:$K,6,0),"")</f>
        <v/>
      </c>
      <c r="N573" s="86"/>
      <c r="O573" s="84" t="str">
        <f>IFERROR(VLOOKUP(CONCATENATE($B573,"_",O$3),materiali!$C:$K,5,0),"")</f>
        <v/>
      </c>
      <c r="P573" s="85" t="str">
        <f>IFERROR(VLOOKUP(CONCATENATE($B573,"_",P$3),materiali!$C:$K,6,0),"")</f>
        <v/>
      </c>
      <c r="Q573" s="86"/>
      <c r="R573" s="84" t="str">
        <f>IFERROR(VLOOKUP(CONCATENATE($B573,"_",R$3),materiali!$C:$K,5,0),"")</f>
        <v/>
      </c>
      <c r="S573" s="85" t="str">
        <f>IFERROR(VLOOKUP(CONCATENATE($B573,"_",S$3),materiali!$C:$K,6,0),"")</f>
        <v/>
      </c>
      <c r="T573" s="86"/>
      <c r="U573" s="31"/>
      <c r="AD573" s="97"/>
    </row>
    <row r="574" spans="1:30" ht="35.1" hidden="1" customHeight="1" x14ac:dyDescent="0.25">
      <c r="A574" s="83"/>
      <c r="B574" s="7"/>
      <c r="C574" s="8"/>
      <c r="D574" s="8"/>
      <c r="E574" s="60"/>
      <c r="F574" s="84" t="str">
        <f>IFERROR(VLOOKUP(CONCATENATE($B574,"_",F$3),materiali!$C:$K,5,0),"")</f>
        <v/>
      </c>
      <c r="G574" s="85" t="str">
        <f>IFERROR(VLOOKUP(CONCATENATE($B574,"_",G$3),materiali!$C:$K,6,0),"")</f>
        <v/>
      </c>
      <c r="H574" s="86"/>
      <c r="I574" s="84" t="str">
        <f>IFERROR(VLOOKUP(CONCATENATE($B574,"_",I$3),materiali!$C:$K,5,0),"")</f>
        <v/>
      </c>
      <c r="J574" s="85" t="str">
        <f>IFERROR(VLOOKUP(CONCATENATE($B574,"_",J$3),materiali!$C:$K,6,0),"")</f>
        <v/>
      </c>
      <c r="K574" s="86"/>
      <c r="L574" s="84" t="str">
        <f>IFERROR(VLOOKUP(CONCATENATE($B574,"_",L$3),materiali!$C:$K,5,0),"")</f>
        <v/>
      </c>
      <c r="M574" s="85" t="str">
        <f>IFERROR(VLOOKUP(CONCATENATE($B574,"_",M$3),materiali!$C:$K,6,0),"")</f>
        <v/>
      </c>
      <c r="N574" s="86"/>
      <c r="O574" s="84" t="str">
        <f>IFERROR(VLOOKUP(CONCATENATE($B574,"_",O$3),materiali!$C:$K,5,0),"")</f>
        <v/>
      </c>
      <c r="P574" s="85" t="str">
        <f>IFERROR(VLOOKUP(CONCATENATE($B574,"_",P$3),materiali!$C:$K,6,0),"")</f>
        <v/>
      </c>
      <c r="Q574" s="86"/>
      <c r="R574" s="84" t="str">
        <f>IFERROR(VLOOKUP(CONCATENATE($B574,"_",R$3),materiali!$C:$K,5,0),"")</f>
        <v/>
      </c>
      <c r="S574" s="85" t="str">
        <f>IFERROR(VLOOKUP(CONCATENATE($B574,"_",S$3),materiali!$C:$K,6,0),"")</f>
        <v/>
      </c>
      <c r="T574" s="86"/>
      <c r="U574" s="31"/>
      <c r="AD574" s="97"/>
    </row>
    <row r="575" spans="1:30" ht="35.1" hidden="1" customHeight="1" x14ac:dyDescent="0.25">
      <c r="A575" s="83"/>
      <c r="B575" s="7"/>
      <c r="C575" s="8"/>
      <c r="D575" s="8"/>
      <c r="E575" s="60"/>
      <c r="F575" s="84" t="str">
        <f>IFERROR(VLOOKUP(CONCATENATE($B575,"_",F$3),materiali!$C:$K,5,0),"")</f>
        <v/>
      </c>
      <c r="G575" s="85" t="str">
        <f>IFERROR(VLOOKUP(CONCATENATE($B575,"_",G$3),materiali!$C:$K,6,0),"")</f>
        <v/>
      </c>
      <c r="H575" s="86"/>
      <c r="I575" s="84" t="str">
        <f>IFERROR(VLOOKUP(CONCATENATE($B575,"_",I$3),materiali!$C:$K,5,0),"")</f>
        <v/>
      </c>
      <c r="J575" s="85" t="str">
        <f>IFERROR(VLOOKUP(CONCATENATE($B575,"_",J$3),materiali!$C:$K,6,0),"")</f>
        <v/>
      </c>
      <c r="K575" s="86"/>
      <c r="L575" s="84" t="str">
        <f>IFERROR(VLOOKUP(CONCATENATE($B575,"_",L$3),materiali!$C:$K,5,0),"")</f>
        <v/>
      </c>
      <c r="M575" s="85" t="str">
        <f>IFERROR(VLOOKUP(CONCATENATE($B575,"_",M$3),materiali!$C:$K,6,0),"")</f>
        <v/>
      </c>
      <c r="N575" s="86"/>
      <c r="O575" s="84" t="str">
        <f>IFERROR(VLOOKUP(CONCATENATE($B575,"_",O$3),materiali!$C:$K,5,0),"")</f>
        <v/>
      </c>
      <c r="P575" s="85" t="str">
        <f>IFERROR(VLOOKUP(CONCATENATE($B575,"_",P$3),materiali!$C:$K,6,0),"")</f>
        <v/>
      </c>
      <c r="Q575" s="86"/>
      <c r="R575" s="84" t="str">
        <f>IFERROR(VLOOKUP(CONCATENATE($B575,"_",R$3),materiali!$C:$K,5,0),"")</f>
        <v/>
      </c>
      <c r="S575" s="85" t="str">
        <f>IFERROR(VLOOKUP(CONCATENATE($B575,"_",S$3),materiali!$C:$K,6,0),"")</f>
        <v/>
      </c>
      <c r="T575" s="86"/>
      <c r="U575" s="31"/>
      <c r="AD575" s="97"/>
    </row>
    <row r="576" spans="1:30" ht="35.1" hidden="1" customHeight="1" x14ac:dyDescent="0.25">
      <c r="A576" s="83"/>
      <c r="B576" s="7"/>
      <c r="C576" s="8"/>
      <c r="D576" s="8"/>
      <c r="E576" s="60"/>
      <c r="F576" s="84" t="str">
        <f>IFERROR(VLOOKUP(CONCATENATE($B576,"_",F$3),materiali!$C:$K,5,0),"")</f>
        <v/>
      </c>
      <c r="G576" s="85" t="str">
        <f>IFERROR(VLOOKUP(CONCATENATE($B576,"_",G$3),materiali!$C:$K,6,0),"")</f>
        <v/>
      </c>
      <c r="H576" s="86"/>
      <c r="I576" s="84" t="str">
        <f>IFERROR(VLOOKUP(CONCATENATE($B576,"_",I$3),materiali!$C:$K,5,0),"")</f>
        <v/>
      </c>
      <c r="J576" s="85" t="str">
        <f>IFERROR(VLOOKUP(CONCATENATE($B576,"_",J$3),materiali!$C:$K,6,0),"")</f>
        <v/>
      </c>
      <c r="K576" s="86"/>
      <c r="L576" s="84" t="str">
        <f>IFERROR(VLOOKUP(CONCATENATE($B576,"_",L$3),materiali!$C:$K,5,0),"")</f>
        <v/>
      </c>
      <c r="M576" s="85" t="str">
        <f>IFERROR(VLOOKUP(CONCATENATE($B576,"_",M$3),materiali!$C:$K,6,0),"")</f>
        <v/>
      </c>
      <c r="N576" s="86"/>
      <c r="O576" s="84" t="str">
        <f>IFERROR(VLOOKUP(CONCATENATE($B576,"_",O$3),materiali!$C:$K,5,0),"")</f>
        <v/>
      </c>
      <c r="P576" s="85" t="str">
        <f>IFERROR(VLOOKUP(CONCATENATE($B576,"_",P$3),materiali!$C:$K,6,0),"")</f>
        <v/>
      </c>
      <c r="Q576" s="86"/>
      <c r="R576" s="84" t="str">
        <f>IFERROR(VLOOKUP(CONCATENATE($B576,"_",R$3),materiali!$C:$K,5,0),"")</f>
        <v/>
      </c>
      <c r="S576" s="85" t="str">
        <f>IFERROR(VLOOKUP(CONCATENATE($B576,"_",S$3),materiali!$C:$K,6,0),"")</f>
        <v/>
      </c>
      <c r="T576" s="86"/>
      <c r="U576" s="31"/>
      <c r="AD576" s="97"/>
    </row>
    <row r="577" spans="1:30" ht="35.1" hidden="1" customHeight="1" x14ac:dyDescent="0.25">
      <c r="A577" s="83"/>
      <c r="B577" s="7"/>
      <c r="C577" s="8"/>
      <c r="D577" s="8"/>
      <c r="E577" s="60"/>
      <c r="F577" s="84" t="str">
        <f>IFERROR(VLOOKUP(CONCATENATE($B577,"_",F$3),materiali!$C:$K,5,0),"")</f>
        <v/>
      </c>
      <c r="G577" s="85" t="str">
        <f>IFERROR(VLOOKUP(CONCATENATE($B577,"_",G$3),materiali!$C:$K,6,0),"")</f>
        <v/>
      </c>
      <c r="H577" s="86"/>
      <c r="I577" s="84" t="str">
        <f>IFERROR(VLOOKUP(CONCATENATE($B577,"_",I$3),materiali!$C:$K,5,0),"")</f>
        <v/>
      </c>
      <c r="J577" s="85" t="str">
        <f>IFERROR(VLOOKUP(CONCATENATE($B577,"_",J$3),materiali!$C:$K,6,0),"")</f>
        <v/>
      </c>
      <c r="K577" s="86"/>
      <c r="L577" s="84" t="str">
        <f>IFERROR(VLOOKUP(CONCATENATE($B577,"_",L$3),materiali!$C:$K,5,0),"")</f>
        <v/>
      </c>
      <c r="M577" s="85" t="str">
        <f>IFERROR(VLOOKUP(CONCATENATE($B577,"_",M$3),materiali!$C:$K,6,0),"")</f>
        <v/>
      </c>
      <c r="N577" s="86"/>
      <c r="O577" s="84" t="str">
        <f>IFERROR(VLOOKUP(CONCATENATE($B577,"_",O$3),materiali!$C:$K,5,0),"")</f>
        <v/>
      </c>
      <c r="P577" s="85" t="str">
        <f>IFERROR(VLOOKUP(CONCATENATE($B577,"_",P$3),materiali!$C:$K,6,0),"")</f>
        <v/>
      </c>
      <c r="Q577" s="86"/>
      <c r="R577" s="84" t="str">
        <f>IFERROR(VLOOKUP(CONCATENATE($B577,"_",R$3),materiali!$C:$K,5,0),"")</f>
        <v/>
      </c>
      <c r="S577" s="85" t="str">
        <f>IFERROR(VLOOKUP(CONCATENATE($B577,"_",S$3),materiali!$C:$K,6,0),"")</f>
        <v/>
      </c>
      <c r="T577" s="86"/>
      <c r="U577" s="31"/>
      <c r="AD577" s="97"/>
    </row>
    <row r="578" spans="1:30" ht="35.1" hidden="1" customHeight="1" x14ac:dyDescent="0.25">
      <c r="A578" s="83"/>
      <c r="B578" s="7"/>
      <c r="C578" s="8"/>
      <c r="D578" s="8"/>
      <c r="E578" s="60"/>
      <c r="F578" s="84" t="str">
        <f>IFERROR(VLOOKUP(CONCATENATE($B578,"_",F$3),materiali!$C:$K,5,0),"")</f>
        <v/>
      </c>
      <c r="G578" s="85" t="str">
        <f>IFERROR(VLOOKUP(CONCATENATE($B578,"_",G$3),materiali!$C:$K,6,0),"")</f>
        <v/>
      </c>
      <c r="H578" s="86"/>
      <c r="I578" s="84" t="str">
        <f>IFERROR(VLOOKUP(CONCATENATE($B578,"_",I$3),materiali!$C:$K,5,0),"")</f>
        <v/>
      </c>
      <c r="J578" s="85" t="str">
        <f>IFERROR(VLOOKUP(CONCATENATE($B578,"_",J$3),materiali!$C:$K,6,0),"")</f>
        <v/>
      </c>
      <c r="K578" s="86"/>
      <c r="L578" s="84" t="str">
        <f>IFERROR(VLOOKUP(CONCATENATE($B578,"_",L$3),materiali!$C:$K,5,0),"")</f>
        <v/>
      </c>
      <c r="M578" s="85" t="str">
        <f>IFERROR(VLOOKUP(CONCATENATE($B578,"_",M$3),materiali!$C:$K,6,0),"")</f>
        <v/>
      </c>
      <c r="N578" s="86"/>
      <c r="O578" s="84" t="str">
        <f>IFERROR(VLOOKUP(CONCATENATE($B578,"_",O$3),materiali!$C:$K,5,0),"")</f>
        <v/>
      </c>
      <c r="P578" s="85" t="str">
        <f>IFERROR(VLOOKUP(CONCATENATE($B578,"_",P$3),materiali!$C:$K,6,0),"")</f>
        <v/>
      </c>
      <c r="Q578" s="86"/>
      <c r="R578" s="84" t="str">
        <f>IFERROR(VLOOKUP(CONCATENATE($B578,"_",R$3),materiali!$C:$K,5,0),"")</f>
        <v/>
      </c>
      <c r="S578" s="85" t="str">
        <f>IFERROR(VLOOKUP(CONCATENATE($B578,"_",S$3),materiali!$C:$K,6,0),"")</f>
        <v/>
      </c>
      <c r="T578" s="86"/>
      <c r="U578" s="31"/>
      <c r="AD578" s="97"/>
    </row>
    <row r="579" spans="1:30" ht="35.1" hidden="1" customHeight="1" x14ac:dyDescent="0.25">
      <c r="A579" s="83"/>
      <c r="B579" s="7"/>
      <c r="C579" s="8"/>
      <c r="D579" s="8"/>
      <c r="E579" s="60"/>
      <c r="F579" s="84" t="str">
        <f>IFERROR(VLOOKUP(CONCATENATE($B579,"_",F$3),materiali!$C:$K,5,0),"")</f>
        <v/>
      </c>
      <c r="G579" s="85" t="str">
        <f>IFERROR(VLOOKUP(CONCATENATE($B579,"_",G$3),materiali!$C:$K,6,0),"")</f>
        <v/>
      </c>
      <c r="H579" s="86"/>
      <c r="I579" s="84" t="str">
        <f>IFERROR(VLOOKUP(CONCATENATE($B579,"_",I$3),materiali!$C:$K,5,0),"")</f>
        <v/>
      </c>
      <c r="J579" s="85" t="str">
        <f>IFERROR(VLOOKUP(CONCATENATE($B579,"_",J$3),materiali!$C:$K,6,0),"")</f>
        <v/>
      </c>
      <c r="K579" s="86"/>
      <c r="L579" s="84" t="str">
        <f>IFERROR(VLOOKUP(CONCATENATE($B579,"_",L$3),materiali!$C:$K,5,0),"")</f>
        <v/>
      </c>
      <c r="M579" s="85" t="str">
        <f>IFERROR(VLOOKUP(CONCATENATE($B579,"_",M$3),materiali!$C:$K,6,0),"")</f>
        <v/>
      </c>
      <c r="N579" s="86"/>
      <c r="O579" s="84" t="str">
        <f>IFERROR(VLOOKUP(CONCATENATE($B579,"_",O$3),materiali!$C:$K,5,0),"")</f>
        <v/>
      </c>
      <c r="P579" s="85" t="str">
        <f>IFERROR(VLOOKUP(CONCATENATE($B579,"_",P$3),materiali!$C:$K,6,0),"")</f>
        <v/>
      </c>
      <c r="Q579" s="86"/>
      <c r="R579" s="84" t="str">
        <f>IFERROR(VLOOKUP(CONCATENATE($B579,"_",R$3),materiali!$C:$K,5,0),"")</f>
        <v/>
      </c>
      <c r="S579" s="85" t="str">
        <f>IFERROR(VLOOKUP(CONCATENATE($B579,"_",S$3),materiali!$C:$K,6,0),"")</f>
        <v/>
      </c>
      <c r="T579" s="86"/>
      <c r="U579" s="31"/>
      <c r="AD579" s="97"/>
    </row>
    <row r="580" spans="1:30" ht="35.1" hidden="1" customHeight="1" x14ac:dyDescent="0.25">
      <c r="A580" s="83"/>
      <c r="B580" s="7"/>
      <c r="C580" s="8"/>
      <c r="D580" s="8"/>
      <c r="E580" s="60"/>
      <c r="F580" s="84" t="str">
        <f>IFERROR(VLOOKUP(CONCATENATE($B580,"_",F$3),materiali!$C:$K,5,0),"")</f>
        <v/>
      </c>
      <c r="G580" s="85" t="str">
        <f>IFERROR(VLOOKUP(CONCATENATE($B580,"_",G$3),materiali!$C:$K,6,0),"")</f>
        <v/>
      </c>
      <c r="H580" s="86"/>
      <c r="I580" s="84" t="str">
        <f>IFERROR(VLOOKUP(CONCATENATE($B580,"_",I$3),materiali!$C:$K,5,0),"")</f>
        <v/>
      </c>
      <c r="J580" s="85" t="str">
        <f>IFERROR(VLOOKUP(CONCATENATE($B580,"_",J$3),materiali!$C:$K,6,0),"")</f>
        <v/>
      </c>
      <c r="K580" s="86"/>
      <c r="L580" s="84" t="str">
        <f>IFERROR(VLOOKUP(CONCATENATE($B580,"_",L$3),materiali!$C:$K,5,0),"")</f>
        <v/>
      </c>
      <c r="M580" s="85" t="str">
        <f>IFERROR(VLOOKUP(CONCATENATE($B580,"_",M$3),materiali!$C:$K,6,0),"")</f>
        <v/>
      </c>
      <c r="N580" s="86"/>
      <c r="O580" s="84" t="str">
        <f>IFERROR(VLOOKUP(CONCATENATE($B580,"_",O$3),materiali!$C:$K,5,0),"")</f>
        <v/>
      </c>
      <c r="P580" s="85" t="str">
        <f>IFERROR(VLOOKUP(CONCATENATE($B580,"_",P$3),materiali!$C:$K,6,0),"")</f>
        <v/>
      </c>
      <c r="Q580" s="86"/>
      <c r="R580" s="84" t="str">
        <f>IFERROR(VLOOKUP(CONCATENATE($B580,"_",R$3),materiali!$C:$K,5,0),"")</f>
        <v/>
      </c>
      <c r="S580" s="85" t="str">
        <f>IFERROR(VLOOKUP(CONCATENATE($B580,"_",S$3),materiali!$C:$K,6,0),"")</f>
        <v/>
      </c>
      <c r="T580" s="86"/>
      <c r="U580" s="31"/>
      <c r="AD580" s="97"/>
    </row>
    <row r="581" spans="1:30" ht="35.1" hidden="1" customHeight="1" x14ac:dyDescent="0.25">
      <c r="A581" s="83"/>
      <c r="B581" s="7"/>
      <c r="C581" s="8"/>
      <c r="D581" s="8"/>
      <c r="E581" s="60"/>
      <c r="F581" s="84" t="str">
        <f>IFERROR(VLOOKUP(CONCATENATE($B581,"_",F$3),materiali!$C:$K,5,0),"")</f>
        <v/>
      </c>
      <c r="G581" s="85" t="str">
        <f>IFERROR(VLOOKUP(CONCATENATE($B581,"_",G$3),materiali!$C:$K,6,0),"")</f>
        <v/>
      </c>
      <c r="H581" s="86"/>
      <c r="I581" s="84" t="str">
        <f>IFERROR(VLOOKUP(CONCATENATE($B581,"_",I$3),materiali!$C:$K,5,0),"")</f>
        <v/>
      </c>
      <c r="J581" s="85" t="str">
        <f>IFERROR(VLOOKUP(CONCATENATE($B581,"_",J$3),materiali!$C:$K,6,0),"")</f>
        <v/>
      </c>
      <c r="K581" s="86"/>
      <c r="L581" s="84" t="str">
        <f>IFERROR(VLOOKUP(CONCATENATE($B581,"_",L$3),materiali!$C:$K,5,0),"")</f>
        <v/>
      </c>
      <c r="M581" s="85" t="str">
        <f>IFERROR(VLOOKUP(CONCATENATE($B581,"_",M$3),materiali!$C:$K,6,0),"")</f>
        <v/>
      </c>
      <c r="N581" s="86"/>
      <c r="O581" s="84" t="str">
        <f>IFERROR(VLOOKUP(CONCATENATE($B581,"_",O$3),materiali!$C:$K,5,0),"")</f>
        <v/>
      </c>
      <c r="P581" s="85" t="str">
        <f>IFERROR(VLOOKUP(CONCATENATE($B581,"_",P$3),materiali!$C:$K,6,0),"")</f>
        <v/>
      </c>
      <c r="Q581" s="86"/>
      <c r="R581" s="84" t="str">
        <f>IFERROR(VLOOKUP(CONCATENATE($B581,"_",R$3),materiali!$C:$K,5,0),"")</f>
        <v/>
      </c>
      <c r="S581" s="85" t="str">
        <f>IFERROR(VLOOKUP(CONCATENATE($B581,"_",S$3),materiali!$C:$K,6,0),"")</f>
        <v/>
      </c>
      <c r="T581" s="86"/>
      <c r="U581" s="31"/>
      <c r="AD581" s="97"/>
    </row>
    <row r="582" spans="1:30" ht="35.1" hidden="1" customHeight="1" x14ac:dyDescent="0.25">
      <c r="A582" s="83"/>
      <c r="B582" s="7"/>
      <c r="C582" s="8"/>
      <c r="D582" s="8"/>
      <c r="E582" s="60"/>
      <c r="F582" s="84" t="str">
        <f>IFERROR(VLOOKUP(CONCATENATE($B582,"_",F$3),materiali!$C:$K,5,0),"")</f>
        <v/>
      </c>
      <c r="G582" s="85" t="str">
        <f>IFERROR(VLOOKUP(CONCATENATE($B582,"_",G$3),materiali!$C:$K,6,0),"")</f>
        <v/>
      </c>
      <c r="H582" s="86"/>
      <c r="I582" s="84" t="str">
        <f>IFERROR(VLOOKUP(CONCATENATE($B582,"_",I$3),materiali!$C:$K,5,0),"")</f>
        <v/>
      </c>
      <c r="J582" s="85" t="str">
        <f>IFERROR(VLOOKUP(CONCATENATE($B582,"_",J$3),materiali!$C:$K,6,0),"")</f>
        <v/>
      </c>
      <c r="K582" s="86"/>
      <c r="L582" s="84" t="str">
        <f>IFERROR(VLOOKUP(CONCATENATE($B582,"_",L$3),materiali!$C:$K,5,0),"")</f>
        <v/>
      </c>
      <c r="M582" s="85" t="str">
        <f>IFERROR(VLOOKUP(CONCATENATE($B582,"_",M$3),materiali!$C:$K,6,0),"")</f>
        <v/>
      </c>
      <c r="N582" s="86"/>
      <c r="O582" s="84" t="str">
        <f>IFERROR(VLOOKUP(CONCATENATE($B582,"_",O$3),materiali!$C:$K,5,0),"")</f>
        <v/>
      </c>
      <c r="P582" s="85" t="str">
        <f>IFERROR(VLOOKUP(CONCATENATE($B582,"_",P$3),materiali!$C:$K,6,0),"")</f>
        <v/>
      </c>
      <c r="Q582" s="86"/>
      <c r="R582" s="84" t="str">
        <f>IFERROR(VLOOKUP(CONCATENATE($B582,"_",R$3),materiali!$C:$K,5,0),"")</f>
        <v/>
      </c>
      <c r="S582" s="85" t="str">
        <f>IFERROR(VLOOKUP(CONCATENATE($B582,"_",S$3),materiali!$C:$K,6,0),"")</f>
        <v/>
      </c>
      <c r="T582" s="86"/>
      <c r="U582" s="31"/>
      <c r="AD582" s="97"/>
    </row>
    <row r="583" spans="1:30" ht="35.1" hidden="1" customHeight="1" x14ac:dyDescent="0.25">
      <c r="A583" s="83"/>
      <c r="B583" s="7"/>
      <c r="C583" s="8"/>
      <c r="D583" s="8"/>
      <c r="E583" s="60"/>
      <c r="F583" s="84" t="str">
        <f>IFERROR(VLOOKUP(CONCATENATE($B583,"_",F$3),materiali!$C:$K,5,0),"")</f>
        <v/>
      </c>
      <c r="G583" s="85" t="str">
        <f>IFERROR(VLOOKUP(CONCATENATE($B583,"_",G$3),materiali!$C:$K,6,0),"")</f>
        <v/>
      </c>
      <c r="H583" s="86"/>
      <c r="I583" s="84" t="str">
        <f>IFERROR(VLOOKUP(CONCATENATE($B583,"_",I$3),materiali!$C:$K,5,0),"")</f>
        <v/>
      </c>
      <c r="J583" s="85" t="str">
        <f>IFERROR(VLOOKUP(CONCATENATE($B583,"_",J$3),materiali!$C:$K,6,0),"")</f>
        <v/>
      </c>
      <c r="K583" s="86"/>
      <c r="L583" s="84" t="str">
        <f>IFERROR(VLOOKUP(CONCATENATE($B583,"_",L$3),materiali!$C:$K,5,0),"")</f>
        <v/>
      </c>
      <c r="M583" s="85" t="str">
        <f>IFERROR(VLOOKUP(CONCATENATE($B583,"_",M$3),materiali!$C:$K,6,0),"")</f>
        <v/>
      </c>
      <c r="N583" s="86"/>
      <c r="O583" s="84" t="str">
        <f>IFERROR(VLOOKUP(CONCATENATE($B583,"_",O$3),materiali!$C:$K,5,0),"")</f>
        <v/>
      </c>
      <c r="P583" s="85" t="str">
        <f>IFERROR(VLOOKUP(CONCATENATE($B583,"_",P$3),materiali!$C:$K,6,0),"")</f>
        <v/>
      </c>
      <c r="Q583" s="86"/>
      <c r="R583" s="84" t="str">
        <f>IFERROR(VLOOKUP(CONCATENATE($B583,"_",R$3),materiali!$C:$K,5,0),"")</f>
        <v/>
      </c>
      <c r="S583" s="85" t="str">
        <f>IFERROR(VLOOKUP(CONCATENATE($B583,"_",S$3),materiali!$C:$K,6,0),"")</f>
        <v/>
      </c>
      <c r="T583" s="86"/>
      <c r="U583" s="31"/>
      <c r="AD583" s="97"/>
    </row>
    <row r="584" spans="1:30" ht="35.1" hidden="1" customHeight="1" x14ac:dyDescent="0.25">
      <c r="A584" s="83"/>
      <c r="B584" s="7"/>
      <c r="C584" s="8"/>
      <c r="D584" s="8"/>
      <c r="E584" s="60"/>
      <c r="F584" s="84" t="str">
        <f>IFERROR(VLOOKUP(CONCATENATE($B584,"_",F$3),materiali!$C:$K,5,0),"")</f>
        <v/>
      </c>
      <c r="G584" s="85" t="str">
        <f>IFERROR(VLOOKUP(CONCATENATE($B584,"_",G$3),materiali!$C:$K,6,0),"")</f>
        <v/>
      </c>
      <c r="H584" s="86"/>
      <c r="I584" s="84" t="str">
        <f>IFERROR(VLOOKUP(CONCATENATE($B584,"_",I$3),materiali!$C:$K,5,0),"")</f>
        <v/>
      </c>
      <c r="J584" s="85" t="str">
        <f>IFERROR(VLOOKUP(CONCATENATE($B584,"_",J$3),materiali!$C:$K,6,0),"")</f>
        <v/>
      </c>
      <c r="K584" s="86"/>
      <c r="L584" s="84" t="str">
        <f>IFERROR(VLOOKUP(CONCATENATE($B584,"_",L$3),materiali!$C:$K,5,0),"")</f>
        <v/>
      </c>
      <c r="M584" s="85" t="str">
        <f>IFERROR(VLOOKUP(CONCATENATE($B584,"_",M$3),materiali!$C:$K,6,0),"")</f>
        <v/>
      </c>
      <c r="N584" s="86"/>
      <c r="O584" s="84" t="str">
        <f>IFERROR(VLOOKUP(CONCATENATE($B584,"_",O$3),materiali!$C:$K,5,0),"")</f>
        <v/>
      </c>
      <c r="P584" s="85" t="str">
        <f>IFERROR(VLOOKUP(CONCATENATE($B584,"_",P$3),materiali!$C:$K,6,0),"")</f>
        <v/>
      </c>
      <c r="Q584" s="86"/>
      <c r="R584" s="84" t="str">
        <f>IFERROR(VLOOKUP(CONCATENATE($B584,"_",R$3),materiali!$C:$K,5,0),"")</f>
        <v/>
      </c>
      <c r="S584" s="85" t="str">
        <f>IFERROR(VLOOKUP(CONCATENATE($B584,"_",S$3),materiali!$C:$K,6,0),"")</f>
        <v/>
      </c>
      <c r="T584" s="86"/>
      <c r="U584" s="31"/>
      <c r="AD584" s="97"/>
    </row>
    <row r="585" spans="1:30" ht="35.1" hidden="1" customHeight="1" x14ac:dyDescent="0.25">
      <c r="A585" s="83"/>
      <c r="B585" s="7"/>
      <c r="C585" s="8"/>
      <c r="D585" s="8"/>
      <c r="E585" s="60"/>
      <c r="F585" s="84" t="str">
        <f>IFERROR(VLOOKUP(CONCATENATE($B585,"_",F$3),materiali!$C:$K,5,0),"")</f>
        <v/>
      </c>
      <c r="G585" s="85" t="str">
        <f>IFERROR(VLOOKUP(CONCATENATE($B585,"_",G$3),materiali!$C:$K,6,0),"")</f>
        <v/>
      </c>
      <c r="H585" s="86"/>
      <c r="I585" s="84" t="str">
        <f>IFERROR(VLOOKUP(CONCATENATE($B585,"_",I$3),materiali!$C:$K,5,0),"")</f>
        <v/>
      </c>
      <c r="J585" s="85" t="str">
        <f>IFERROR(VLOOKUP(CONCATENATE($B585,"_",J$3),materiali!$C:$K,6,0),"")</f>
        <v/>
      </c>
      <c r="K585" s="86"/>
      <c r="L585" s="84" t="str">
        <f>IFERROR(VLOOKUP(CONCATENATE($B585,"_",L$3),materiali!$C:$K,5,0),"")</f>
        <v/>
      </c>
      <c r="M585" s="85" t="str">
        <f>IFERROR(VLOOKUP(CONCATENATE($B585,"_",M$3),materiali!$C:$K,6,0),"")</f>
        <v/>
      </c>
      <c r="N585" s="86"/>
      <c r="O585" s="84" t="str">
        <f>IFERROR(VLOOKUP(CONCATENATE($B585,"_",O$3),materiali!$C:$K,5,0),"")</f>
        <v/>
      </c>
      <c r="P585" s="85" t="str">
        <f>IFERROR(VLOOKUP(CONCATENATE($B585,"_",P$3),materiali!$C:$K,6,0),"")</f>
        <v/>
      </c>
      <c r="Q585" s="86"/>
      <c r="R585" s="84" t="str">
        <f>IFERROR(VLOOKUP(CONCATENATE($B585,"_",R$3),materiali!$C:$K,5,0),"")</f>
        <v/>
      </c>
      <c r="S585" s="85" t="str">
        <f>IFERROR(VLOOKUP(CONCATENATE($B585,"_",S$3),materiali!$C:$K,6,0),"")</f>
        <v/>
      </c>
      <c r="T585" s="86"/>
      <c r="U585" s="31"/>
      <c r="AD585" s="97"/>
    </row>
    <row r="586" spans="1:30" ht="35.1" hidden="1" customHeight="1" x14ac:dyDescent="0.25">
      <c r="A586" s="83"/>
      <c r="B586" s="7"/>
      <c r="C586" s="8"/>
      <c r="D586" s="8"/>
      <c r="E586" s="60"/>
      <c r="F586" s="84" t="str">
        <f>IFERROR(VLOOKUP(CONCATENATE($B586,"_",F$3),materiali!$C:$K,5,0),"")</f>
        <v/>
      </c>
      <c r="G586" s="85" t="str">
        <f>IFERROR(VLOOKUP(CONCATENATE($B586,"_",G$3),materiali!$C:$K,6,0),"")</f>
        <v/>
      </c>
      <c r="H586" s="86"/>
      <c r="I586" s="84" t="str">
        <f>IFERROR(VLOOKUP(CONCATENATE($B586,"_",I$3),materiali!$C:$K,5,0),"")</f>
        <v/>
      </c>
      <c r="J586" s="85" t="str">
        <f>IFERROR(VLOOKUP(CONCATENATE($B586,"_",J$3),materiali!$C:$K,6,0),"")</f>
        <v/>
      </c>
      <c r="K586" s="86"/>
      <c r="L586" s="84" t="str">
        <f>IFERROR(VLOOKUP(CONCATENATE($B586,"_",L$3),materiali!$C:$K,5,0),"")</f>
        <v/>
      </c>
      <c r="M586" s="85" t="str">
        <f>IFERROR(VLOOKUP(CONCATENATE($B586,"_",M$3),materiali!$C:$K,6,0),"")</f>
        <v/>
      </c>
      <c r="N586" s="86"/>
      <c r="O586" s="84" t="str">
        <f>IFERROR(VLOOKUP(CONCATENATE($B586,"_",O$3),materiali!$C:$K,5,0),"")</f>
        <v/>
      </c>
      <c r="P586" s="85" t="str">
        <f>IFERROR(VLOOKUP(CONCATENATE($B586,"_",P$3),materiali!$C:$K,6,0),"")</f>
        <v/>
      </c>
      <c r="Q586" s="86"/>
      <c r="R586" s="84" t="str">
        <f>IFERROR(VLOOKUP(CONCATENATE($B586,"_",R$3),materiali!$C:$K,5,0),"")</f>
        <v/>
      </c>
      <c r="S586" s="85" t="str">
        <f>IFERROR(VLOOKUP(CONCATENATE($B586,"_",S$3),materiali!$C:$K,6,0),"")</f>
        <v/>
      </c>
      <c r="T586" s="86"/>
      <c r="U586" s="31"/>
      <c r="AD586" s="97"/>
    </row>
    <row r="587" spans="1:30" ht="35.1" hidden="1" customHeight="1" x14ac:dyDescent="0.25">
      <c r="A587" s="83"/>
      <c r="B587" s="7"/>
      <c r="C587" s="8"/>
      <c r="D587" s="8"/>
      <c r="E587" s="60"/>
      <c r="F587" s="84" t="str">
        <f>IFERROR(VLOOKUP(CONCATENATE($B587,"_",F$3),materiali!$C:$K,5,0),"")</f>
        <v/>
      </c>
      <c r="G587" s="85" t="str">
        <f>IFERROR(VLOOKUP(CONCATENATE($B587,"_",G$3),materiali!$C:$K,6,0),"")</f>
        <v/>
      </c>
      <c r="H587" s="86"/>
      <c r="I587" s="84" t="str">
        <f>IFERROR(VLOOKUP(CONCATENATE($B587,"_",I$3),materiali!$C:$K,5,0),"")</f>
        <v/>
      </c>
      <c r="J587" s="85" t="str">
        <f>IFERROR(VLOOKUP(CONCATENATE($B587,"_",J$3),materiali!$C:$K,6,0),"")</f>
        <v/>
      </c>
      <c r="K587" s="86"/>
      <c r="L587" s="84" t="str">
        <f>IFERROR(VLOOKUP(CONCATENATE($B587,"_",L$3),materiali!$C:$K,5,0),"")</f>
        <v/>
      </c>
      <c r="M587" s="85" t="str">
        <f>IFERROR(VLOOKUP(CONCATENATE($B587,"_",M$3),materiali!$C:$K,6,0),"")</f>
        <v/>
      </c>
      <c r="N587" s="86"/>
      <c r="O587" s="84" t="str">
        <f>IFERROR(VLOOKUP(CONCATENATE($B587,"_",O$3),materiali!$C:$K,5,0),"")</f>
        <v/>
      </c>
      <c r="P587" s="85" t="str">
        <f>IFERROR(VLOOKUP(CONCATENATE($B587,"_",P$3),materiali!$C:$K,6,0),"")</f>
        <v/>
      </c>
      <c r="Q587" s="86"/>
      <c r="R587" s="84" t="str">
        <f>IFERROR(VLOOKUP(CONCATENATE($B587,"_",R$3),materiali!$C:$K,5,0),"")</f>
        <v/>
      </c>
      <c r="S587" s="85" t="str">
        <f>IFERROR(VLOOKUP(CONCATENATE($B587,"_",S$3),materiali!$C:$K,6,0),"")</f>
        <v/>
      </c>
      <c r="T587" s="86"/>
      <c r="U587" s="31"/>
      <c r="AD587" s="97"/>
    </row>
    <row r="588" spans="1:30" ht="35.1" hidden="1" customHeight="1" x14ac:dyDescent="0.25">
      <c r="A588" s="83"/>
      <c r="B588" s="7"/>
      <c r="C588" s="8"/>
      <c r="D588" s="8"/>
      <c r="E588" s="60"/>
      <c r="F588" s="84" t="str">
        <f>IFERROR(VLOOKUP(CONCATENATE($B588,"_",F$3),materiali!$C:$K,5,0),"")</f>
        <v/>
      </c>
      <c r="G588" s="85" t="str">
        <f>IFERROR(VLOOKUP(CONCATENATE($B588,"_",G$3),materiali!$C:$K,6,0),"")</f>
        <v/>
      </c>
      <c r="H588" s="86"/>
      <c r="I588" s="84" t="str">
        <f>IFERROR(VLOOKUP(CONCATENATE($B588,"_",I$3),materiali!$C:$K,5,0),"")</f>
        <v/>
      </c>
      <c r="J588" s="85" t="str">
        <f>IFERROR(VLOOKUP(CONCATENATE($B588,"_",J$3),materiali!$C:$K,6,0),"")</f>
        <v/>
      </c>
      <c r="K588" s="86"/>
      <c r="L588" s="84" t="str">
        <f>IFERROR(VLOOKUP(CONCATENATE($B588,"_",L$3),materiali!$C:$K,5,0),"")</f>
        <v/>
      </c>
      <c r="M588" s="85" t="str">
        <f>IFERROR(VLOOKUP(CONCATENATE($B588,"_",M$3),materiali!$C:$K,6,0),"")</f>
        <v/>
      </c>
      <c r="N588" s="86"/>
      <c r="O588" s="84" t="str">
        <f>IFERROR(VLOOKUP(CONCATENATE($B588,"_",O$3),materiali!$C:$K,5,0),"")</f>
        <v/>
      </c>
      <c r="P588" s="85" t="str">
        <f>IFERROR(VLOOKUP(CONCATENATE($B588,"_",P$3),materiali!$C:$K,6,0),"")</f>
        <v/>
      </c>
      <c r="Q588" s="86"/>
      <c r="R588" s="84" t="str">
        <f>IFERROR(VLOOKUP(CONCATENATE($B588,"_",R$3),materiali!$C:$K,5,0),"")</f>
        <v/>
      </c>
      <c r="S588" s="85" t="str">
        <f>IFERROR(VLOOKUP(CONCATENATE($B588,"_",S$3),materiali!$C:$K,6,0),"")</f>
        <v/>
      </c>
      <c r="T588" s="86"/>
      <c r="U588" s="31"/>
      <c r="AD588" s="97"/>
    </row>
    <row r="589" spans="1:30" ht="35.1" hidden="1" customHeight="1" x14ac:dyDescent="0.25">
      <c r="A589" s="83"/>
      <c r="B589" s="7"/>
      <c r="C589" s="8"/>
      <c r="D589" s="8"/>
      <c r="E589" s="60"/>
      <c r="F589" s="84" t="str">
        <f>IFERROR(VLOOKUP(CONCATENATE($B589,"_",F$3),materiali!$C:$K,5,0),"")</f>
        <v/>
      </c>
      <c r="G589" s="85" t="str">
        <f>IFERROR(VLOOKUP(CONCATENATE($B589,"_",G$3),materiali!$C:$K,6,0),"")</f>
        <v/>
      </c>
      <c r="H589" s="86"/>
      <c r="I589" s="84" t="str">
        <f>IFERROR(VLOOKUP(CONCATENATE($B589,"_",I$3),materiali!$C:$K,5,0),"")</f>
        <v/>
      </c>
      <c r="J589" s="85" t="str">
        <f>IFERROR(VLOOKUP(CONCATENATE($B589,"_",J$3),materiali!$C:$K,6,0),"")</f>
        <v/>
      </c>
      <c r="K589" s="86"/>
      <c r="L589" s="84" t="str">
        <f>IFERROR(VLOOKUP(CONCATENATE($B589,"_",L$3),materiali!$C:$K,5,0),"")</f>
        <v/>
      </c>
      <c r="M589" s="85" t="str">
        <f>IFERROR(VLOOKUP(CONCATENATE($B589,"_",M$3),materiali!$C:$K,6,0),"")</f>
        <v/>
      </c>
      <c r="N589" s="86"/>
      <c r="O589" s="84" t="str">
        <f>IFERROR(VLOOKUP(CONCATENATE($B589,"_",O$3),materiali!$C:$K,5,0),"")</f>
        <v/>
      </c>
      <c r="P589" s="85" t="str">
        <f>IFERROR(VLOOKUP(CONCATENATE($B589,"_",P$3),materiali!$C:$K,6,0),"")</f>
        <v/>
      </c>
      <c r="Q589" s="86"/>
      <c r="R589" s="84" t="str">
        <f>IFERROR(VLOOKUP(CONCATENATE($B589,"_",R$3),materiali!$C:$K,5,0),"")</f>
        <v/>
      </c>
      <c r="S589" s="85" t="str">
        <f>IFERROR(VLOOKUP(CONCATENATE($B589,"_",S$3),materiali!$C:$K,6,0),"")</f>
        <v/>
      </c>
      <c r="T589" s="86"/>
      <c r="U589" s="31"/>
      <c r="AD589" s="97"/>
    </row>
    <row r="590" spans="1:30" ht="35.1" hidden="1" customHeight="1" x14ac:dyDescent="0.25">
      <c r="A590" s="83"/>
      <c r="B590" s="7"/>
      <c r="C590" s="8"/>
      <c r="D590" s="8"/>
      <c r="E590" s="60"/>
      <c r="F590" s="84" t="str">
        <f>IFERROR(VLOOKUP(CONCATENATE($B590,"_",F$3),materiali!$C:$K,5,0),"")</f>
        <v/>
      </c>
      <c r="G590" s="85" t="str">
        <f>IFERROR(VLOOKUP(CONCATENATE($B590,"_",G$3),materiali!$C:$K,6,0),"")</f>
        <v/>
      </c>
      <c r="H590" s="86"/>
      <c r="I590" s="84" t="str">
        <f>IFERROR(VLOOKUP(CONCATENATE($B590,"_",I$3),materiali!$C:$K,5,0),"")</f>
        <v/>
      </c>
      <c r="J590" s="85" t="str">
        <f>IFERROR(VLOOKUP(CONCATENATE($B590,"_",J$3),materiali!$C:$K,6,0),"")</f>
        <v/>
      </c>
      <c r="K590" s="86"/>
      <c r="L590" s="84" t="str">
        <f>IFERROR(VLOOKUP(CONCATENATE($B590,"_",L$3),materiali!$C:$K,5,0),"")</f>
        <v/>
      </c>
      <c r="M590" s="85" t="str">
        <f>IFERROR(VLOOKUP(CONCATENATE($B590,"_",M$3),materiali!$C:$K,6,0),"")</f>
        <v/>
      </c>
      <c r="N590" s="86"/>
      <c r="O590" s="84" t="str">
        <f>IFERROR(VLOOKUP(CONCATENATE($B590,"_",O$3),materiali!$C:$K,5,0),"")</f>
        <v/>
      </c>
      <c r="P590" s="85" t="str">
        <f>IFERROR(VLOOKUP(CONCATENATE($B590,"_",P$3),materiali!$C:$K,6,0),"")</f>
        <v/>
      </c>
      <c r="Q590" s="86"/>
      <c r="R590" s="84" t="str">
        <f>IFERROR(VLOOKUP(CONCATENATE($B590,"_",R$3),materiali!$C:$K,5,0),"")</f>
        <v/>
      </c>
      <c r="S590" s="85" t="str">
        <f>IFERROR(VLOOKUP(CONCATENATE($B590,"_",S$3),materiali!$C:$K,6,0),"")</f>
        <v/>
      </c>
      <c r="T590" s="86"/>
      <c r="U590" s="31"/>
      <c r="AD590" s="97"/>
    </row>
    <row r="591" spans="1:30" ht="35.1" hidden="1" customHeight="1" x14ac:dyDescent="0.25">
      <c r="A591" s="83"/>
      <c r="B591" s="7"/>
      <c r="C591" s="8"/>
      <c r="D591" s="8"/>
      <c r="E591" s="60"/>
      <c r="F591" s="84" t="str">
        <f>IFERROR(VLOOKUP(CONCATENATE($B591,"_",F$3),materiali!$C:$K,5,0),"")</f>
        <v/>
      </c>
      <c r="G591" s="85" t="str">
        <f>IFERROR(VLOOKUP(CONCATENATE($B591,"_",G$3),materiali!$C:$K,6,0),"")</f>
        <v/>
      </c>
      <c r="H591" s="86"/>
      <c r="I591" s="84" t="str">
        <f>IFERROR(VLOOKUP(CONCATENATE($B591,"_",I$3),materiali!$C:$K,5,0),"")</f>
        <v/>
      </c>
      <c r="J591" s="85" t="str">
        <f>IFERROR(VLOOKUP(CONCATENATE($B591,"_",J$3),materiali!$C:$K,6,0),"")</f>
        <v/>
      </c>
      <c r="K591" s="86"/>
      <c r="L591" s="84" t="str">
        <f>IFERROR(VLOOKUP(CONCATENATE($B591,"_",L$3),materiali!$C:$K,5,0),"")</f>
        <v/>
      </c>
      <c r="M591" s="85" t="str">
        <f>IFERROR(VLOOKUP(CONCATENATE($B591,"_",M$3),materiali!$C:$K,6,0),"")</f>
        <v/>
      </c>
      <c r="N591" s="86"/>
      <c r="O591" s="84" t="str">
        <f>IFERROR(VLOOKUP(CONCATENATE($B591,"_",O$3),materiali!$C:$K,5,0),"")</f>
        <v/>
      </c>
      <c r="P591" s="85" t="str">
        <f>IFERROR(VLOOKUP(CONCATENATE($B591,"_",P$3),materiali!$C:$K,6,0),"")</f>
        <v/>
      </c>
      <c r="Q591" s="86"/>
      <c r="R591" s="84" t="str">
        <f>IFERROR(VLOOKUP(CONCATENATE($B591,"_",R$3),materiali!$C:$K,5,0),"")</f>
        <v/>
      </c>
      <c r="S591" s="85" t="str">
        <f>IFERROR(VLOOKUP(CONCATENATE($B591,"_",S$3),materiali!$C:$K,6,0),"")</f>
        <v/>
      </c>
      <c r="T591" s="86"/>
      <c r="U591" s="31"/>
      <c r="AD591" s="97"/>
    </row>
    <row r="592" spans="1:30" ht="35.1" hidden="1" customHeight="1" x14ac:dyDescent="0.25">
      <c r="A592" s="83"/>
      <c r="B592" s="7"/>
      <c r="C592" s="8"/>
      <c r="D592" s="8"/>
      <c r="E592" s="60"/>
      <c r="F592" s="84" t="str">
        <f>IFERROR(VLOOKUP(CONCATENATE($B592,"_",F$3),materiali!$C:$K,5,0),"")</f>
        <v/>
      </c>
      <c r="G592" s="85" t="str">
        <f>IFERROR(VLOOKUP(CONCATENATE($B592,"_",G$3),materiali!$C:$K,6,0),"")</f>
        <v/>
      </c>
      <c r="H592" s="86"/>
      <c r="I592" s="84" t="str">
        <f>IFERROR(VLOOKUP(CONCATENATE($B592,"_",I$3),materiali!$C:$K,5,0),"")</f>
        <v/>
      </c>
      <c r="J592" s="85" t="str">
        <f>IFERROR(VLOOKUP(CONCATENATE($B592,"_",J$3),materiali!$C:$K,6,0),"")</f>
        <v/>
      </c>
      <c r="K592" s="86"/>
      <c r="L592" s="84" t="str">
        <f>IFERROR(VLOOKUP(CONCATENATE($B592,"_",L$3),materiali!$C:$K,5,0),"")</f>
        <v/>
      </c>
      <c r="M592" s="85" t="str">
        <f>IFERROR(VLOOKUP(CONCATENATE($B592,"_",M$3),materiali!$C:$K,6,0),"")</f>
        <v/>
      </c>
      <c r="N592" s="86"/>
      <c r="O592" s="84" t="str">
        <f>IFERROR(VLOOKUP(CONCATENATE($B592,"_",O$3),materiali!$C:$K,5,0),"")</f>
        <v/>
      </c>
      <c r="P592" s="85" t="str">
        <f>IFERROR(VLOOKUP(CONCATENATE($B592,"_",P$3),materiali!$C:$K,6,0),"")</f>
        <v/>
      </c>
      <c r="Q592" s="86"/>
      <c r="R592" s="84" t="str">
        <f>IFERROR(VLOOKUP(CONCATENATE($B592,"_",R$3),materiali!$C:$K,5,0),"")</f>
        <v/>
      </c>
      <c r="S592" s="85" t="str">
        <f>IFERROR(VLOOKUP(CONCATENATE($B592,"_",S$3),materiali!$C:$K,6,0),"")</f>
        <v/>
      </c>
      <c r="T592" s="86"/>
      <c r="U592" s="31"/>
      <c r="AD592" s="97"/>
    </row>
    <row r="593" spans="1:30" ht="35.1" hidden="1" customHeight="1" x14ac:dyDescent="0.25">
      <c r="A593" s="83"/>
      <c r="B593" s="7"/>
      <c r="C593" s="8"/>
      <c r="D593" s="8"/>
      <c r="E593" s="60"/>
      <c r="F593" s="84" t="str">
        <f>IFERROR(VLOOKUP(CONCATENATE($B593,"_",F$3),materiali!$C:$K,5,0),"")</f>
        <v/>
      </c>
      <c r="G593" s="85" t="str">
        <f>IFERROR(VLOOKUP(CONCATENATE($B593,"_",G$3),materiali!$C:$K,6,0),"")</f>
        <v/>
      </c>
      <c r="H593" s="86"/>
      <c r="I593" s="84" t="str">
        <f>IFERROR(VLOOKUP(CONCATENATE($B593,"_",I$3),materiali!$C:$K,5,0),"")</f>
        <v/>
      </c>
      <c r="J593" s="85" t="str">
        <f>IFERROR(VLOOKUP(CONCATENATE($B593,"_",J$3),materiali!$C:$K,6,0),"")</f>
        <v/>
      </c>
      <c r="K593" s="86"/>
      <c r="L593" s="84" t="str">
        <f>IFERROR(VLOOKUP(CONCATENATE($B593,"_",L$3),materiali!$C:$K,5,0),"")</f>
        <v/>
      </c>
      <c r="M593" s="85" t="str">
        <f>IFERROR(VLOOKUP(CONCATENATE($B593,"_",M$3),materiali!$C:$K,6,0),"")</f>
        <v/>
      </c>
      <c r="N593" s="86"/>
      <c r="O593" s="84" t="str">
        <f>IFERROR(VLOOKUP(CONCATENATE($B593,"_",O$3),materiali!$C:$K,5,0),"")</f>
        <v/>
      </c>
      <c r="P593" s="85" t="str">
        <f>IFERROR(VLOOKUP(CONCATENATE($B593,"_",P$3),materiali!$C:$K,6,0),"")</f>
        <v/>
      </c>
      <c r="Q593" s="86"/>
      <c r="R593" s="84" t="str">
        <f>IFERROR(VLOOKUP(CONCATENATE($B593,"_",R$3),materiali!$C:$K,5,0),"")</f>
        <v/>
      </c>
      <c r="S593" s="85" t="str">
        <f>IFERROR(VLOOKUP(CONCATENATE($B593,"_",S$3),materiali!$C:$K,6,0),"")</f>
        <v/>
      </c>
      <c r="T593" s="86"/>
      <c r="U593" s="31"/>
      <c r="AD593" s="97"/>
    </row>
    <row r="594" spans="1:30" ht="35.1" hidden="1" customHeight="1" x14ac:dyDescent="0.25">
      <c r="A594" s="83"/>
      <c r="B594" s="7"/>
      <c r="C594" s="8"/>
      <c r="D594" s="8"/>
      <c r="E594" s="60"/>
      <c r="F594" s="84" t="str">
        <f>IFERROR(VLOOKUP(CONCATENATE($B594,"_",F$3),materiali!$C:$K,5,0),"")</f>
        <v/>
      </c>
      <c r="G594" s="85" t="str">
        <f>IFERROR(VLOOKUP(CONCATENATE($B594,"_",G$3),materiali!$C:$K,6,0),"")</f>
        <v/>
      </c>
      <c r="H594" s="86"/>
      <c r="I594" s="84" t="str">
        <f>IFERROR(VLOOKUP(CONCATENATE($B594,"_",I$3),materiali!$C:$K,5,0),"")</f>
        <v/>
      </c>
      <c r="J594" s="85" t="str">
        <f>IFERROR(VLOOKUP(CONCATENATE($B594,"_",J$3),materiali!$C:$K,6,0),"")</f>
        <v/>
      </c>
      <c r="K594" s="86"/>
      <c r="L594" s="84" t="str">
        <f>IFERROR(VLOOKUP(CONCATENATE($B594,"_",L$3),materiali!$C:$K,5,0),"")</f>
        <v/>
      </c>
      <c r="M594" s="85" t="str">
        <f>IFERROR(VLOOKUP(CONCATENATE($B594,"_",M$3),materiali!$C:$K,6,0),"")</f>
        <v/>
      </c>
      <c r="N594" s="86"/>
      <c r="O594" s="84" t="str">
        <f>IFERROR(VLOOKUP(CONCATENATE($B594,"_",O$3),materiali!$C:$K,5,0),"")</f>
        <v/>
      </c>
      <c r="P594" s="85" t="str">
        <f>IFERROR(VLOOKUP(CONCATENATE($B594,"_",P$3),materiali!$C:$K,6,0),"")</f>
        <v/>
      </c>
      <c r="Q594" s="86"/>
      <c r="R594" s="84" t="str">
        <f>IFERROR(VLOOKUP(CONCATENATE($B594,"_",R$3),materiali!$C:$K,5,0),"")</f>
        <v/>
      </c>
      <c r="S594" s="85" t="str">
        <f>IFERROR(VLOOKUP(CONCATENATE($B594,"_",S$3),materiali!$C:$K,6,0),"")</f>
        <v/>
      </c>
      <c r="T594" s="86"/>
      <c r="U594" s="31"/>
      <c r="AD594" s="97"/>
    </row>
    <row r="595" spans="1:30" ht="35.1" hidden="1" customHeight="1" x14ac:dyDescent="0.25">
      <c r="A595" s="83"/>
      <c r="B595" s="7"/>
      <c r="C595" s="8"/>
      <c r="D595" s="8"/>
      <c r="E595" s="60"/>
      <c r="F595" s="84" t="str">
        <f>IFERROR(VLOOKUP(CONCATENATE($B595,"_",F$3),materiali!$C:$K,5,0),"")</f>
        <v/>
      </c>
      <c r="G595" s="85" t="str">
        <f>IFERROR(VLOOKUP(CONCATENATE($B595,"_",G$3),materiali!$C:$K,6,0),"")</f>
        <v/>
      </c>
      <c r="H595" s="86"/>
      <c r="I595" s="84" t="str">
        <f>IFERROR(VLOOKUP(CONCATENATE($B595,"_",I$3),materiali!$C:$K,5,0),"")</f>
        <v/>
      </c>
      <c r="J595" s="85" t="str">
        <f>IFERROR(VLOOKUP(CONCATENATE($B595,"_",J$3),materiali!$C:$K,6,0),"")</f>
        <v/>
      </c>
      <c r="K595" s="86"/>
      <c r="L595" s="84" t="str">
        <f>IFERROR(VLOOKUP(CONCATENATE($B595,"_",L$3),materiali!$C:$K,5,0),"")</f>
        <v/>
      </c>
      <c r="M595" s="85" t="str">
        <f>IFERROR(VLOOKUP(CONCATENATE($B595,"_",M$3),materiali!$C:$K,6,0),"")</f>
        <v/>
      </c>
      <c r="N595" s="86"/>
      <c r="O595" s="84" t="str">
        <f>IFERROR(VLOOKUP(CONCATENATE($B595,"_",O$3),materiali!$C:$K,5,0),"")</f>
        <v/>
      </c>
      <c r="P595" s="85" t="str">
        <f>IFERROR(VLOOKUP(CONCATENATE($B595,"_",P$3),materiali!$C:$K,6,0),"")</f>
        <v/>
      </c>
      <c r="Q595" s="86"/>
      <c r="R595" s="84" t="str">
        <f>IFERROR(VLOOKUP(CONCATENATE($B595,"_",R$3),materiali!$C:$K,5,0),"")</f>
        <v/>
      </c>
      <c r="S595" s="85" t="str">
        <f>IFERROR(VLOOKUP(CONCATENATE($B595,"_",S$3),materiali!$C:$K,6,0),"")</f>
        <v/>
      </c>
      <c r="T595" s="86"/>
      <c r="U595" s="31"/>
      <c r="AD595" s="97"/>
    </row>
    <row r="596" spans="1:30" ht="35.1" hidden="1" customHeight="1" x14ac:dyDescent="0.25">
      <c r="A596" s="83"/>
      <c r="B596" s="7"/>
      <c r="C596" s="8"/>
      <c r="D596" s="8"/>
      <c r="E596" s="60"/>
      <c r="F596" s="84" t="str">
        <f>IFERROR(VLOOKUP(CONCATENATE($B596,"_",F$3),materiali!$C:$K,5,0),"")</f>
        <v/>
      </c>
      <c r="G596" s="85" t="str">
        <f>IFERROR(VLOOKUP(CONCATENATE($B596,"_",G$3),materiali!$C:$K,6,0),"")</f>
        <v/>
      </c>
      <c r="H596" s="86"/>
      <c r="I596" s="84" t="str">
        <f>IFERROR(VLOOKUP(CONCATENATE($B596,"_",I$3),materiali!$C:$K,5,0),"")</f>
        <v/>
      </c>
      <c r="J596" s="85" t="str">
        <f>IFERROR(VLOOKUP(CONCATENATE($B596,"_",J$3),materiali!$C:$K,6,0),"")</f>
        <v/>
      </c>
      <c r="K596" s="86"/>
      <c r="L596" s="84" t="str">
        <f>IFERROR(VLOOKUP(CONCATENATE($B596,"_",L$3),materiali!$C:$K,5,0),"")</f>
        <v/>
      </c>
      <c r="M596" s="85" t="str">
        <f>IFERROR(VLOOKUP(CONCATENATE($B596,"_",M$3),materiali!$C:$K,6,0),"")</f>
        <v/>
      </c>
      <c r="N596" s="86"/>
      <c r="O596" s="84" t="str">
        <f>IFERROR(VLOOKUP(CONCATENATE($B596,"_",O$3),materiali!$C:$K,5,0),"")</f>
        <v/>
      </c>
      <c r="P596" s="85" t="str">
        <f>IFERROR(VLOOKUP(CONCATENATE($B596,"_",P$3),materiali!$C:$K,6,0),"")</f>
        <v/>
      </c>
      <c r="Q596" s="86"/>
      <c r="R596" s="84" t="str">
        <f>IFERROR(VLOOKUP(CONCATENATE($B596,"_",R$3),materiali!$C:$K,5,0),"")</f>
        <v/>
      </c>
      <c r="S596" s="85" t="str">
        <f>IFERROR(VLOOKUP(CONCATENATE($B596,"_",S$3),materiali!$C:$K,6,0),"")</f>
        <v/>
      </c>
      <c r="T596" s="86"/>
      <c r="U596" s="31"/>
      <c r="AD596" s="97"/>
    </row>
    <row r="597" spans="1:30" ht="35.1" hidden="1" customHeight="1" x14ac:dyDescent="0.25">
      <c r="A597" s="83"/>
      <c r="B597" s="7"/>
      <c r="C597" s="8"/>
      <c r="D597" s="8"/>
      <c r="E597" s="60"/>
      <c r="F597" s="84" t="str">
        <f>IFERROR(VLOOKUP(CONCATENATE($B597,"_",F$3),materiali!$C:$K,5,0),"")</f>
        <v/>
      </c>
      <c r="G597" s="85" t="str">
        <f>IFERROR(VLOOKUP(CONCATENATE($B597,"_",G$3),materiali!$C:$K,6,0),"")</f>
        <v/>
      </c>
      <c r="H597" s="86"/>
      <c r="I597" s="84" t="str">
        <f>IFERROR(VLOOKUP(CONCATENATE($B597,"_",I$3),materiali!$C:$K,5,0),"")</f>
        <v/>
      </c>
      <c r="J597" s="85" t="str">
        <f>IFERROR(VLOOKUP(CONCATENATE($B597,"_",J$3),materiali!$C:$K,6,0),"")</f>
        <v/>
      </c>
      <c r="K597" s="86"/>
      <c r="L597" s="84" t="str">
        <f>IFERROR(VLOOKUP(CONCATENATE($B597,"_",L$3),materiali!$C:$K,5,0),"")</f>
        <v/>
      </c>
      <c r="M597" s="85" t="str">
        <f>IFERROR(VLOOKUP(CONCATENATE($B597,"_",M$3),materiali!$C:$K,6,0),"")</f>
        <v/>
      </c>
      <c r="N597" s="86"/>
      <c r="O597" s="84" t="str">
        <f>IFERROR(VLOOKUP(CONCATENATE($B597,"_",O$3),materiali!$C:$K,5,0),"")</f>
        <v/>
      </c>
      <c r="P597" s="85" t="str">
        <f>IFERROR(VLOOKUP(CONCATENATE($B597,"_",P$3),materiali!$C:$K,6,0),"")</f>
        <v/>
      </c>
      <c r="Q597" s="86"/>
      <c r="R597" s="84" t="str">
        <f>IFERROR(VLOOKUP(CONCATENATE($B597,"_",R$3),materiali!$C:$K,5,0),"")</f>
        <v/>
      </c>
      <c r="S597" s="85" t="str">
        <f>IFERROR(VLOOKUP(CONCATENATE($B597,"_",S$3),materiali!$C:$K,6,0),"")</f>
        <v/>
      </c>
      <c r="T597" s="86"/>
      <c r="U597" s="31"/>
      <c r="AD597" s="97"/>
    </row>
    <row r="598" spans="1:30" ht="35.1" hidden="1" customHeight="1" x14ac:dyDescent="0.25">
      <c r="A598" s="83"/>
      <c r="B598" s="7"/>
      <c r="C598" s="8"/>
      <c r="D598" s="8"/>
      <c r="E598" s="60"/>
      <c r="F598" s="84" t="str">
        <f>IFERROR(VLOOKUP(CONCATENATE($B598,"_",F$3),materiali!$C:$K,5,0),"")</f>
        <v/>
      </c>
      <c r="G598" s="85" t="str">
        <f>IFERROR(VLOOKUP(CONCATENATE($B598,"_",G$3),materiali!$C:$K,6,0),"")</f>
        <v/>
      </c>
      <c r="H598" s="86"/>
      <c r="I598" s="84" t="str">
        <f>IFERROR(VLOOKUP(CONCATENATE($B598,"_",I$3),materiali!$C:$K,5,0),"")</f>
        <v/>
      </c>
      <c r="J598" s="85" t="str">
        <f>IFERROR(VLOOKUP(CONCATENATE($B598,"_",J$3),materiali!$C:$K,6,0),"")</f>
        <v/>
      </c>
      <c r="K598" s="86"/>
      <c r="L598" s="84" t="str">
        <f>IFERROR(VLOOKUP(CONCATENATE($B598,"_",L$3),materiali!$C:$K,5,0),"")</f>
        <v/>
      </c>
      <c r="M598" s="85" t="str">
        <f>IFERROR(VLOOKUP(CONCATENATE($B598,"_",M$3),materiali!$C:$K,6,0),"")</f>
        <v/>
      </c>
      <c r="N598" s="86"/>
      <c r="O598" s="84" t="str">
        <f>IFERROR(VLOOKUP(CONCATENATE($B598,"_",O$3),materiali!$C:$K,5,0),"")</f>
        <v/>
      </c>
      <c r="P598" s="85" t="str">
        <f>IFERROR(VLOOKUP(CONCATENATE($B598,"_",P$3),materiali!$C:$K,6,0),"")</f>
        <v/>
      </c>
      <c r="Q598" s="86"/>
      <c r="R598" s="84" t="str">
        <f>IFERROR(VLOOKUP(CONCATENATE($B598,"_",R$3),materiali!$C:$K,5,0),"")</f>
        <v/>
      </c>
      <c r="S598" s="85" t="str">
        <f>IFERROR(VLOOKUP(CONCATENATE($B598,"_",S$3),materiali!$C:$K,6,0),"")</f>
        <v/>
      </c>
      <c r="T598" s="86"/>
      <c r="U598" s="31"/>
      <c r="AD598" s="97"/>
    </row>
    <row r="599" spans="1:30" ht="35.1" hidden="1" customHeight="1" x14ac:dyDescent="0.25">
      <c r="A599" s="83"/>
      <c r="B599" s="7"/>
      <c r="C599" s="8"/>
      <c r="D599" s="8"/>
      <c r="E599" s="60"/>
      <c r="F599" s="84" t="str">
        <f>IFERROR(VLOOKUP(CONCATENATE($B599,"_",F$3),materiali!$C:$K,5,0),"")</f>
        <v/>
      </c>
      <c r="G599" s="85" t="str">
        <f>IFERROR(VLOOKUP(CONCATENATE($B599,"_",G$3),materiali!$C:$K,6,0),"")</f>
        <v/>
      </c>
      <c r="H599" s="86"/>
      <c r="I599" s="84" t="str">
        <f>IFERROR(VLOOKUP(CONCATENATE($B599,"_",I$3),materiali!$C:$K,5,0),"")</f>
        <v/>
      </c>
      <c r="J599" s="85" t="str">
        <f>IFERROR(VLOOKUP(CONCATENATE($B599,"_",J$3),materiali!$C:$K,6,0),"")</f>
        <v/>
      </c>
      <c r="K599" s="86"/>
      <c r="L599" s="84" t="str">
        <f>IFERROR(VLOOKUP(CONCATENATE($B599,"_",L$3),materiali!$C:$K,5,0),"")</f>
        <v/>
      </c>
      <c r="M599" s="85" t="str">
        <f>IFERROR(VLOOKUP(CONCATENATE($B599,"_",M$3),materiali!$C:$K,6,0),"")</f>
        <v/>
      </c>
      <c r="N599" s="86"/>
      <c r="O599" s="84" t="str">
        <f>IFERROR(VLOOKUP(CONCATENATE($B599,"_",O$3),materiali!$C:$K,5,0),"")</f>
        <v/>
      </c>
      <c r="P599" s="85" t="str">
        <f>IFERROR(VLOOKUP(CONCATENATE($B599,"_",P$3),materiali!$C:$K,6,0),"")</f>
        <v/>
      </c>
      <c r="Q599" s="86"/>
      <c r="R599" s="84" t="str">
        <f>IFERROR(VLOOKUP(CONCATENATE($B599,"_",R$3),materiali!$C:$K,5,0),"")</f>
        <v/>
      </c>
      <c r="S599" s="85" t="str">
        <f>IFERROR(VLOOKUP(CONCATENATE($B599,"_",S$3),materiali!$C:$K,6,0),"")</f>
        <v/>
      </c>
      <c r="T599" s="86"/>
      <c r="U599" s="31"/>
      <c r="AD599" s="97"/>
    </row>
    <row r="600" spans="1:30" ht="35.1" hidden="1" customHeight="1" x14ac:dyDescent="0.25">
      <c r="A600" s="83"/>
      <c r="B600" s="7"/>
      <c r="C600" s="8"/>
      <c r="D600" s="8"/>
      <c r="E600" s="60"/>
      <c r="F600" s="84" t="str">
        <f>IFERROR(VLOOKUP(CONCATENATE($B600,"_",F$3),materiali!$C:$K,5,0),"")</f>
        <v/>
      </c>
      <c r="G600" s="85" t="str">
        <f>IFERROR(VLOOKUP(CONCATENATE($B600,"_",G$3),materiali!$C:$K,6,0),"")</f>
        <v/>
      </c>
      <c r="H600" s="86"/>
      <c r="I600" s="84" t="str">
        <f>IFERROR(VLOOKUP(CONCATENATE($B600,"_",I$3),materiali!$C:$K,5,0),"")</f>
        <v/>
      </c>
      <c r="J600" s="85" t="str">
        <f>IFERROR(VLOOKUP(CONCATENATE($B600,"_",J$3),materiali!$C:$K,6,0),"")</f>
        <v/>
      </c>
      <c r="K600" s="86"/>
      <c r="L600" s="84" t="str">
        <f>IFERROR(VLOOKUP(CONCATENATE($B600,"_",L$3),materiali!$C:$K,5,0),"")</f>
        <v/>
      </c>
      <c r="M600" s="85" t="str">
        <f>IFERROR(VLOOKUP(CONCATENATE($B600,"_",M$3),materiali!$C:$K,6,0),"")</f>
        <v/>
      </c>
      <c r="N600" s="86"/>
      <c r="O600" s="84" t="str">
        <f>IFERROR(VLOOKUP(CONCATENATE($B600,"_",O$3),materiali!$C:$K,5,0),"")</f>
        <v/>
      </c>
      <c r="P600" s="85" t="str">
        <f>IFERROR(VLOOKUP(CONCATENATE($B600,"_",P$3),materiali!$C:$K,6,0),"")</f>
        <v/>
      </c>
      <c r="Q600" s="86"/>
      <c r="R600" s="84" t="str">
        <f>IFERROR(VLOOKUP(CONCATENATE($B600,"_",R$3),materiali!$C:$K,5,0),"")</f>
        <v/>
      </c>
      <c r="S600" s="85" t="str">
        <f>IFERROR(VLOOKUP(CONCATENATE($B600,"_",S$3),materiali!$C:$K,6,0),"")</f>
        <v/>
      </c>
      <c r="T600" s="86"/>
      <c r="U600" s="31"/>
      <c r="AD600" s="97"/>
    </row>
    <row r="601" spans="1:30" ht="35.1" hidden="1" customHeight="1" x14ac:dyDescent="0.25">
      <c r="A601" s="83"/>
      <c r="B601" s="7"/>
      <c r="C601" s="8"/>
      <c r="D601" s="8"/>
      <c r="E601" s="60"/>
      <c r="F601" s="84" t="str">
        <f>IFERROR(VLOOKUP(CONCATENATE($B601,"_",F$3),materiali!$C:$K,5,0),"")</f>
        <v/>
      </c>
      <c r="G601" s="85" t="str">
        <f>IFERROR(VLOOKUP(CONCATENATE($B601,"_",G$3),materiali!$C:$K,6,0),"")</f>
        <v/>
      </c>
      <c r="H601" s="86"/>
      <c r="I601" s="84" t="str">
        <f>IFERROR(VLOOKUP(CONCATENATE($B601,"_",I$3),materiali!$C:$K,5,0),"")</f>
        <v/>
      </c>
      <c r="J601" s="85" t="str">
        <f>IFERROR(VLOOKUP(CONCATENATE($B601,"_",J$3),materiali!$C:$K,6,0),"")</f>
        <v/>
      </c>
      <c r="K601" s="86"/>
      <c r="L601" s="84" t="str">
        <f>IFERROR(VLOOKUP(CONCATENATE($B601,"_",L$3),materiali!$C:$K,5,0),"")</f>
        <v/>
      </c>
      <c r="M601" s="85" t="str">
        <f>IFERROR(VLOOKUP(CONCATENATE($B601,"_",M$3),materiali!$C:$K,6,0),"")</f>
        <v/>
      </c>
      <c r="N601" s="86"/>
      <c r="O601" s="84" t="str">
        <f>IFERROR(VLOOKUP(CONCATENATE($B601,"_",O$3),materiali!$C:$K,5,0),"")</f>
        <v/>
      </c>
      <c r="P601" s="85" t="str">
        <f>IFERROR(VLOOKUP(CONCATENATE($B601,"_",P$3),materiali!$C:$K,6,0),"")</f>
        <v/>
      </c>
      <c r="Q601" s="86"/>
      <c r="R601" s="84" t="str">
        <f>IFERROR(VLOOKUP(CONCATENATE($B601,"_",R$3),materiali!$C:$K,5,0),"")</f>
        <v/>
      </c>
      <c r="S601" s="85" t="str">
        <f>IFERROR(VLOOKUP(CONCATENATE($B601,"_",S$3),materiali!$C:$K,6,0),"")</f>
        <v/>
      </c>
      <c r="T601" s="86"/>
      <c r="U601" s="31"/>
      <c r="AD601" s="97"/>
    </row>
    <row r="602" spans="1:30" ht="35.1" hidden="1" customHeight="1" x14ac:dyDescent="0.25">
      <c r="A602" s="83"/>
      <c r="B602" s="7"/>
      <c r="C602" s="8"/>
      <c r="D602" s="8"/>
      <c r="E602" s="60"/>
      <c r="F602" s="84" t="str">
        <f>IFERROR(VLOOKUP(CONCATENATE($B602,"_",F$3),materiali!$C:$K,5,0),"")</f>
        <v/>
      </c>
      <c r="G602" s="85" t="str">
        <f>IFERROR(VLOOKUP(CONCATENATE($B602,"_",G$3),materiali!$C:$K,6,0),"")</f>
        <v/>
      </c>
      <c r="H602" s="86"/>
      <c r="I602" s="84" t="str">
        <f>IFERROR(VLOOKUP(CONCATENATE($B602,"_",I$3),materiali!$C:$K,5,0),"")</f>
        <v/>
      </c>
      <c r="J602" s="85" t="str">
        <f>IFERROR(VLOOKUP(CONCATENATE($B602,"_",J$3),materiali!$C:$K,6,0),"")</f>
        <v/>
      </c>
      <c r="K602" s="86"/>
      <c r="L602" s="84" t="str">
        <f>IFERROR(VLOOKUP(CONCATENATE($B602,"_",L$3),materiali!$C:$K,5,0),"")</f>
        <v/>
      </c>
      <c r="M602" s="85" t="str">
        <f>IFERROR(VLOOKUP(CONCATENATE($B602,"_",M$3),materiali!$C:$K,6,0),"")</f>
        <v/>
      </c>
      <c r="N602" s="86"/>
      <c r="O602" s="84" t="str">
        <f>IFERROR(VLOOKUP(CONCATENATE($B602,"_",O$3),materiali!$C:$K,5,0),"")</f>
        <v/>
      </c>
      <c r="P602" s="85" t="str">
        <f>IFERROR(VLOOKUP(CONCATENATE($B602,"_",P$3),materiali!$C:$K,6,0),"")</f>
        <v/>
      </c>
      <c r="Q602" s="86"/>
      <c r="R602" s="84" t="str">
        <f>IFERROR(VLOOKUP(CONCATENATE($B602,"_",R$3),materiali!$C:$K,5,0),"")</f>
        <v/>
      </c>
      <c r="S602" s="85" t="str">
        <f>IFERROR(VLOOKUP(CONCATENATE($B602,"_",S$3),materiali!$C:$K,6,0),"")</f>
        <v/>
      </c>
      <c r="T602" s="86"/>
      <c r="U602" s="31"/>
      <c r="AD602" s="97"/>
    </row>
    <row r="603" spans="1:30" ht="35.1" hidden="1" customHeight="1" x14ac:dyDescent="0.25">
      <c r="A603" s="83"/>
      <c r="B603" s="7"/>
      <c r="C603" s="8"/>
      <c r="D603" s="8"/>
      <c r="E603" s="60"/>
      <c r="F603" s="84" t="str">
        <f>IFERROR(VLOOKUP(CONCATENATE($B603,"_",F$3),materiali!$C:$K,5,0),"")</f>
        <v/>
      </c>
      <c r="G603" s="85" t="str">
        <f>IFERROR(VLOOKUP(CONCATENATE($B603,"_",G$3),materiali!$C:$K,6,0),"")</f>
        <v/>
      </c>
      <c r="H603" s="86"/>
      <c r="I603" s="84" t="str">
        <f>IFERROR(VLOOKUP(CONCATENATE($B603,"_",I$3),materiali!$C:$K,5,0),"")</f>
        <v/>
      </c>
      <c r="J603" s="85" t="str">
        <f>IFERROR(VLOOKUP(CONCATENATE($B603,"_",J$3),materiali!$C:$K,6,0),"")</f>
        <v/>
      </c>
      <c r="K603" s="86"/>
      <c r="L603" s="84" t="str">
        <f>IFERROR(VLOOKUP(CONCATENATE($B603,"_",L$3),materiali!$C:$K,5,0),"")</f>
        <v/>
      </c>
      <c r="M603" s="85" t="str">
        <f>IFERROR(VLOOKUP(CONCATENATE($B603,"_",M$3),materiali!$C:$K,6,0),"")</f>
        <v/>
      </c>
      <c r="N603" s="86"/>
      <c r="O603" s="84" t="str">
        <f>IFERROR(VLOOKUP(CONCATENATE($B603,"_",O$3),materiali!$C:$K,5,0),"")</f>
        <v/>
      </c>
      <c r="P603" s="85" t="str">
        <f>IFERROR(VLOOKUP(CONCATENATE($B603,"_",P$3),materiali!$C:$K,6,0),"")</f>
        <v/>
      </c>
      <c r="Q603" s="86"/>
      <c r="R603" s="84" t="str">
        <f>IFERROR(VLOOKUP(CONCATENATE($B603,"_",R$3),materiali!$C:$K,5,0),"")</f>
        <v/>
      </c>
      <c r="S603" s="85" t="str">
        <f>IFERROR(VLOOKUP(CONCATENATE($B603,"_",S$3),materiali!$C:$K,6,0),"")</f>
        <v/>
      </c>
      <c r="T603" s="86"/>
      <c r="U603" s="31"/>
      <c r="AD603" s="97"/>
    </row>
    <row r="604" spans="1:30" ht="35.1" hidden="1" customHeight="1" x14ac:dyDescent="0.25">
      <c r="A604" s="83"/>
      <c r="B604" s="7"/>
      <c r="C604" s="8"/>
      <c r="D604" s="8"/>
      <c r="E604" s="60"/>
      <c r="F604" s="84" t="str">
        <f>IFERROR(VLOOKUP(CONCATENATE($B604,"_",F$3),materiali!$C:$K,5,0),"")</f>
        <v/>
      </c>
      <c r="G604" s="85" t="str">
        <f>IFERROR(VLOOKUP(CONCATENATE($B604,"_",G$3),materiali!$C:$K,6,0),"")</f>
        <v/>
      </c>
      <c r="H604" s="86"/>
      <c r="I604" s="84" t="str">
        <f>IFERROR(VLOOKUP(CONCATENATE($B604,"_",I$3),materiali!$C:$K,5,0),"")</f>
        <v/>
      </c>
      <c r="J604" s="85" t="str">
        <f>IFERROR(VLOOKUP(CONCATENATE($B604,"_",J$3),materiali!$C:$K,6,0),"")</f>
        <v/>
      </c>
      <c r="K604" s="86"/>
      <c r="L604" s="84" t="str">
        <f>IFERROR(VLOOKUP(CONCATENATE($B604,"_",L$3),materiali!$C:$K,5,0),"")</f>
        <v/>
      </c>
      <c r="M604" s="85" t="str">
        <f>IFERROR(VLOOKUP(CONCATENATE($B604,"_",M$3),materiali!$C:$K,6,0),"")</f>
        <v/>
      </c>
      <c r="N604" s="86"/>
      <c r="O604" s="84" t="str">
        <f>IFERROR(VLOOKUP(CONCATENATE($B604,"_",O$3),materiali!$C:$K,5,0),"")</f>
        <v/>
      </c>
      <c r="P604" s="85" t="str">
        <f>IFERROR(VLOOKUP(CONCATENATE($B604,"_",P$3),materiali!$C:$K,6,0),"")</f>
        <v/>
      </c>
      <c r="Q604" s="86"/>
      <c r="R604" s="84" t="str">
        <f>IFERROR(VLOOKUP(CONCATENATE($B604,"_",R$3),materiali!$C:$K,5,0),"")</f>
        <v/>
      </c>
      <c r="S604" s="85" t="str">
        <f>IFERROR(VLOOKUP(CONCATENATE($B604,"_",S$3),materiali!$C:$K,6,0),"")</f>
        <v/>
      </c>
      <c r="T604" s="86"/>
      <c r="U604" s="31"/>
      <c r="AD604" s="97"/>
    </row>
    <row r="605" spans="1:30" ht="35.1" hidden="1" customHeight="1" x14ac:dyDescent="0.25">
      <c r="A605" s="83"/>
      <c r="B605" s="7"/>
      <c r="C605" s="8"/>
      <c r="D605" s="8"/>
      <c r="E605" s="60"/>
      <c r="F605" s="84" t="str">
        <f>IFERROR(VLOOKUP(CONCATENATE($B605,"_",F$3),materiali!$C:$K,5,0),"")</f>
        <v/>
      </c>
      <c r="G605" s="85" t="str">
        <f>IFERROR(VLOOKUP(CONCATENATE($B605,"_",G$3),materiali!$C:$K,6,0),"")</f>
        <v/>
      </c>
      <c r="H605" s="86"/>
      <c r="I605" s="84" t="str">
        <f>IFERROR(VLOOKUP(CONCATENATE($B605,"_",I$3),materiali!$C:$K,5,0),"")</f>
        <v/>
      </c>
      <c r="J605" s="85" t="str">
        <f>IFERROR(VLOOKUP(CONCATENATE($B605,"_",J$3),materiali!$C:$K,6,0),"")</f>
        <v/>
      </c>
      <c r="K605" s="86"/>
      <c r="L605" s="84" t="str">
        <f>IFERROR(VLOOKUP(CONCATENATE($B605,"_",L$3),materiali!$C:$K,5,0),"")</f>
        <v/>
      </c>
      <c r="M605" s="85" t="str">
        <f>IFERROR(VLOOKUP(CONCATENATE($B605,"_",M$3),materiali!$C:$K,6,0),"")</f>
        <v/>
      </c>
      <c r="N605" s="86"/>
      <c r="O605" s="84" t="str">
        <f>IFERROR(VLOOKUP(CONCATENATE($B605,"_",O$3),materiali!$C:$K,5,0),"")</f>
        <v/>
      </c>
      <c r="P605" s="85" t="str">
        <f>IFERROR(VLOOKUP(CONCATENATE($B605,"_",P$3),materiali!$C:$K,6,0),"")</f>
        <v/>
      </c>
      <c r="Q605" s="86"/>
      <c r="R605" s="84" t="str">
        <f>IFERROR(VLOOKUP(CONCATENATE($B605,"_",R$3),materiali!$C:$K,5,0),"")</f>
        <v/>
      </c>
      <c r="S605" s="85" t="str">
        <f>IFERROR(VLOOKUP(CONCATENATE($B605,"_",S$3),materiali!$C:$K,6,0),"")</f>
        <v/>
      </c>
      <c r="T605" s="86"/>
      <c r="U605" s="31"/>
      <c r="AD605" s="97"/>
    </row>
    <row r="606" spans="1:30" ht="35.1" hidden="1" customHeight="1" x14ac:dyDescent="0.25">
      <c r="A606" s="83"/>
      <c r="B606" s="7"/>
      <c r="C606" s="8"/>
      <c r="D606" s="8"/>
      <c r="E606" s="60"/>
      <c r="F606" s="84" t="str">
        <f>IFERROR(VLOOKUP(CONCATENATE($B606,"_",F$3),materiali!$C:$K,5,0),"")</f>
        <v/>
      </c>
      <c r="G606" s="85" t="str">
        <f>IFERROR(VLOOKUP(CONCATENATE($B606,"_",G$3),materiali!$C:$K,6,0),"")</f>
        <v/>
      </c>
      <c r="H606" s="86"/>
      <c r="I606" s="84" t="str">
        <f>IFERROR(VLOOKUP(CONCATENATE($B606,"_",I$3),materiali!$C:$K,5,0),"")</f>
        <v/>
      </c>
      <c r="J606" s="85" t="str">
        <f>IFERROR(VLOOKUP(CONCATENATE($B606,"_",J$3),materiali!$C:$K,6,0),"")</f>
        <v/>
      </c>
      <c r="K606" s="86"/>
      <c r="L606" s="84" t="str">
        <f>IFERROR(VLOOKUP(CONCATENATE($B606,"_",L$3),materiali!$C:$K,5,0),"")</f>
        <v/>
      </c>
      <c r="M606" s="85" t="str">
        <f>IFERROR(VLOOKUP(CONCATENATE($B606,"_",M$3),materiali!$C:$K,6,0),"")</f>
        <v/>
      </c>
      <c r="N606" s="86"/>
      <c r="O606" s="84" t="str">
        <f>IFERROR(VLOOKUP(CONCATENATE($B606,"_",O$3),materiali!$C:$K,5,0),"")</f>
        <v/>
      </c>
      <c r="P606" s="85" t="str">
        <f>IFERROR(VLOOKUP(CONCATENATE($B606,"_",P$3),materiali!$C:$K,6,0),"")</f>
        <v/>
      </c>
      <c r="Q606" s="86"/>
      <c r="R606" s="84" t="str">
        <f>IFERROR(VLOOKUP(CONCATENATE($B606,"_",R$3),materiali!$C:$K,5,0),"")</f>
        <v/>
      </c>
      <c r="S606" s="85" t="str">
        <f>IFERROR(VLOOKUP(CONCATENATE($B606,"_",S$3),materiali!$C:$K,6,0),"")</f>
        <v/>
      </c>
      <c r="T606" s="86"/>
      <c r="U606" s="31"/>
      <c r="AD606" s="97"/>
    </row>
    <row r="607" spans="1:30" ht="35.1" hidden="1" customHeight="1" x14ac:dyDescent="0.25">
      <c r="A607" s="83"/>
      <c r="B607" s="7"/>
      <c r="C607" s="8"/>
      <c r="D607" s="8"/>
      <c r="E607" s="60"/>
      <c r="F607" s="84" t="str">
        <f>IFERROR(VLOOKUP(CONCATENATE($B607,"_",F$3),materiali!$C:$K,5,0),"")</f>
        <v/>
      </c>
      <c r="G607" s="85" t="str">
        <f>IFERROR(VLOOKUP(CONCATENATE($B607,"_",G$3),materiali!$C:$K,6,0),"")</f>
        <v/>
      </c>
      <c r="H607" s="86"/>
      <c r="I607" s="84" t="str">
        <f>IFERROR(VLOOKUP(CONCATENATE($B607,"_",I$3),materiali!$C:$K,5,0),"")</f>
        <v/>
      </c>
      <c r="J607" s="85" t="str">
        <f>IFERROR(VLOOKUP(CONCATENATE($B607,"_",J$3),materiali!$C:$K,6,0),"")</f>
        <v/>
      </c>
      <c r="K607" s="86"/>
      <c r="L607" s="84" t="str">
        <f>IFERROR(VLOOKUP(CONCATENATE($B607,"_",L$3),materiali!$C:$K,5,0),"")</f>
        <v/>
      </c>
      <c r="M607" s="85" t="str">
        <f>IFERROR(VLOOKUP(CONCATENATE($B607,"_",M$3),materiali!$C:$K,6,0),"")</f>
        <v/>
      </c>
      <c r="N607" s="86"/>
      <c r="O607" s="84" t="str">
        <f>IFERROR(VLOOKUP(CONCATENATE($B607,"_",O$3),materiali!$C:$K,5,0),"")</f>
        <v/>
      </c>
      <c r="P607" s="85" t="str">
        <f>IFERROR(VLOOKUP(CONCATENATE($B607,"_",P$3),materiali!$C:$K,6,0),"")</f>
        <v/>
      </c>
      <c r="Q607" s="86"/>
      <c r="R607" s="84" t="str">
        <f>IFERROR(VLOOKUP(CONCATENATE($B607,"_",R$3),materiali!$C:$K,5,0),"")</f>
        <v/>
      </c>
      <c r="S607" s="85" t="str">
        <f>IFERROR(VLOOKUP(CONCATENATE($B607,"_",S$3),materiali!$C:$K,6,0),"")</f>
        <v/>
      </c>
      <c r="T607" s="86"/>
      <c r="U607" s="31"/>
      <c r="AD607" s="97"/>
    </row>
    <row r="608" spans="1:30" ht="35.1" hidden="1" customHeight="1" x14ac:dyDescent="0.25">
      <c r="A608" s="83"/>
      <c r="B608" s="7"/>
      <c r="C608" s="8"/>
      <c r="D608" s="8"/>
      <c r="E608" s="60"/>
      <c r="F608" s="84" t="str">
        <f>IFERROR(VLOOKUP(CONCATENATE($B608,"_",F$3),materiali!$C:$K,5,0),"")</f>
        <v/>
      </c>
      <c r="G608" s="85" t="str">
        <f>IFERROR(VLOOKUP(CONCATENATE($B608,"_",G$3),materiali!$C:$K,6,0),"")</f>
        <v/>
      </c>
      <c r="H608" s="86"/>
      <c r="I608" s="84" t="str">
        <f>IFERROR(VLOOKUP(CONCATENATE($B608,"_",I$3),materiali!$C:$K,5,0),"")</f>
        <v/>
      </c>
      <c r="J608" s="85" t="str">
        <f>IFERROR(VLOOKUP(CONCATENATE($B608,"_",J$3),materiali!$C:$K,6,0),"")</f>
        <v/>
      </c>
      <c r="K608" s="86"/>
      <c r="L608" s="84" t="str">
        <f>IFERROR(VLOOKUP(CONCATENATE($B608,"_",L$3),materiali!$C:$K,5,0),"")</f>
        <v/>
      </c>
      <c r="M608" s="85" t="str">
        <f>IFERROR(VLOOKUP(CONCATENATE($B608,"_",M$3),materiali!$C:$K,6,0),"")</f>
        <v/>
      </c>
      <c r="N608" s="86"/>
      <c r="O608" s="84" t="str">
        <f>IFERROR(VLOOKUP(CONCATENATE($B608,"_",O$3),materiali!$C:$K,5,0),"")</f>
        <v/>
      </c>
      <c r="P608" s="85" t="str">
        <f>IFERROR(VLOOKUP(CONCATENATE($B608,"_",P$3),materiali!$C:$K,6,0),"")</f>
        <v/>
      </c>
      <c r="Q608" s="86"/>
      <c r="R608" s="84" t="str">
        <f>IFERROR(VLOOKUP(CONCATENATE($B608,"_",R$3),materiali!$C:$K,5,0),"")</f>
        <v/>
      </c>
      <c r="S608" s="85" t="str">
        <f>IFERROR(VLOOKUP(CONCATENATE($B608,"_",S$3),materiali!$C:$K,6,0),"")</f>
        <v/>
      </c>
      <c r="T608" s="86"/>
      <c r="U608" s="31"/>
      <c r="AD608" s="97"/>
    </row>
    <row r="609" spans="1:30" ht="35.1" hidden="1" customHeight="1" x14ac:dyDescent="0.25">
      <c r="A609" s="83"/>
      <c r="B609" s="7"/>
      <c r="C609" s="8"/>
      <c r="D609" s="8"/>
      <c r="E609" s="60"/>
      <c r="F609" s="84" t="str">
        <f>IFERROR(VLOOKUP(CONCATENATE($B609,"_",F$3),materiali!$C:$K,5,0),"")</f>
        <v/>
      </c>
      <c r="G609" s="85" t="str">
        <f>IFERROR(VLOOKUP(CONCATENATE($B609,"_",G$3),materiali!$C:$K,6,0),"")</f>
        <v/>
      </c>
      <c r="H609" s="86"/>
      <c r="I609" s="84" t="str">
        <f>IFERROR(VLOOKUP(CONCATENATE($B609,"_",I$3),materiali!$C:$K,5,0),"")</f>
        <v/>
      </c>
      <c r="J609" s="85" t="str">
        <f>IFERROR(VLOOKUP(CONCATENATE($B609,"_",J$3),materiali!$C:$K,6,0),"")</f>
        <v/>
      </c>
      <c r="K609" s="86"/>
      <c r="L609" s="84" t="str">
        <f>IFERROR(VLOOKUP(CONCATENATE($B609,"_",L$3),materiali!$C:$K,5,0),"")</f>
        <v/>
      </c>
      <c r="M609" s="85" t="str">
        <f>IFERROR(VLOOKUP(CONCATENATE($B609,"_",M$3),materiali!$C:$K,6,0),"")</f>
        <v/>
      </c>
      <c r="N609" s="86"/>
      <c r="O609" s="84" t="str">
        <f>IFERROR(VLOOKUP(CONCATENATE($B609,"_",O$3),materiali!$C:$K,5,0),"")</f>
        <v/>
      </c>
      <c r="P609" s="85" t="str">
        <f>IFERROR(VLOOKUP(CONCATENATE($B609,"_",P$3),materiali!$C:$K,6,0),"")</f>
        <v/>
      </c>
      <c r="Q609" s="86"/>
      <c r="R609" s="84" t="str">
        <f>IFERROR(VLOOKUP(CONCATENATE($B609,"_",R$3),materiali!$C:$K,5,0),"")</f>
        <v/>
      </c>
      <c r="S609" s="85" t="str">
        <f>IFERROR(VLOOKUP(CONCATENATE($B609,"_",S$3),materiali!$C:$K,6,0),"")</f>
        <v/>
      </c>
      <c r="T609" s="86"/>
      <c r="U609" s="31"/>
      <c r="AD609" s="97"/>
    </row>
    <row r="610" spans="1:30" ht="35.1" hidden="1" customHeight="1" x14ac:dyDescent="0.25">
      <c r="A610" s="83"/>
      <c r="B610" s="7"/>
      <c r="C610" s="8"/>
      <c r="D610" s="8"/>
      <c r="E610" s="60"/>
      <c r="F610" s="84" t="str">
        <f>IFERROR(VLOOKUP(CONCATENATE($B610,"_",F$3),materiali!$C:$K,5,0),"")</f>
        <v/>
      </c>
      <c r="G610" s="85" t="str">
        <f>IFERROR(VLOOKUP(CONCATENATE($B610,"_",G$3),materiali!$C:$K,6,0),"")</f>
        <v/>
      </c>
      <c r="H610" s="86"/>
      <c r="I610" s="84" t="str">
        <f>IFERROR(VLOOKUP(CONCATENATE($B610,"_",I$3),materiali!$C:$K,5,0),"")</f>
        <v/>
      </c>
      <c r="J610" s="85" t="str">
        <f>IFERROR(VLOOKUP(CONCATENATE($B610,"_",J$3),materiali!$C:$K,6,0),"")</f>
        <v/>
      </c>
      <c r="K610" s="86"/>
      <c r="L610" s="84" t="str">
        <f>IFERROR(VLOOKUP(CONCATENATE($B610,"_",L$3),materiali!$C:$K,5,0),"")</f>
        <v/>
      </c>
      <c r="M610" s="85" t="str">
        <f>IFERROR(VLOOKUP(CONCATENATE($B610,"_",M$3),materiali!$C:$K,6,0),"")</f>
        <v/>
      </c>
      <c r="N610" s="86"/>
      <c r="O610" s="84" t="str">
        <f>IFERROR(VLOOKUP(CONCATENATE($B610,"_",O$3),materiali!$C:$K,5,0),"")</f>
        <v/>
      </c>
      <c r="P610" s="85" t="str">
        <f>IFERROR(VLOOKUP(CONCATENATE($B610,"_",P$3),materiali!$C:$K,6,0),"")</f>
        <v/>
      </c>
      <c r="Q610" s="86"/>
      <c r="R610" s="84" t="str">
        <f>IFERROR(VLOOKUP(CONCATENATE($B610,"_",R$3),materiali!$C:$K,5,0),"")</f>
        <v/>
      </c>
      <c r="S610" s="85" t="str">
        <f>IFERROR(VLOOKUP(CONCATENATE($B610,"_",S$3),materiali!$C:$K,6,0),"")</f>
        <v/>
      </c>
      <c r="T610" s="86"/>
      <c r="U610" s="31"/>
      <c r="AD610" s="97"/>
    </row>
    <row r="611" spans="1:30" ht="35.1" hidden="1" customHeight="1" x14ac:dyDescent="0.25">
      <c r="A611" s="83"/>
      <c r="B611" s="7"/>
      <c r="C611" s="8"/>
      <c r="D611" s="8"/>
      <c r="E611" s="60"/>
      <c r="F611" s="84" t="str">
        <f>IFERROR(VLOOKUP(CONCATENATE($B611,"_",F$3),materiali!$C:$K,5,0),"")</f>
        <v/>
      </c>
      <c r="G611" s="85" t="str">
        <f>IFERROR(VLOOKUP(CONCATENATE($B611,"_",G$3),materiali!$C:$K,6,0),"")</f>
        <v/>
      </c>
      <c r="H611" s="86"/>
      <c r="I611" s="84" t="str">
        <f>IFERROR(VLOOKUP(CONCATENATE($B611,"_",I$3),materiali!$C:$K,5,0),"")</f>
        <v/>
      </c>
      <c r="J611" s="85" t="str">
        <f>IFERROR(VLOOKUP(CONCATENATE($B611,"_",J$3),materiali!$C:$K,6,0),"")</f>
        <v/>
      </c>
      <c r="K611" s="86"/>
      <c r="L611" s="84" t="str">
        <f>IFERROR(VLOOKUP(CONCATENATE($B611,"_",L$3),materiali!$C:$K,5,0),"")</f>
        <v/>
      </c>
      <c r="M611" s="85" t="str">
        <f>IFERROR(VLOOKUP(CONCATENATE($B611,"_",M$3),materiali!$C:$K,6,0),"")</f>
        <v/>
      </c>
      <c r="N611" s="86"/>
      <c r="O611" s="84" t="str">
        <f>IFERROR(VLOOKUP(CONCATENATE($B611,"_",O$3),materiali!$C:$K,5,0),"")</f>
        <v/>
      </c>
      <c r="P611" s="85" t="str">
        <f>IFERROR(VLOOKUP(CONCATENATE($B611,"_",P$3),materiali!$C:$K,6,0),"")</f>
        <v/>
      </c>
      <c r="Q611" s="86"/>
      <c r="R611" s="84" t="str">
        <f>IFERROR(VLOOKUP(CONCATENATE($B611,"_",R$3),materiali!$C:$K,5,0),"")</f>
        <v/>
      </c>
      <c r="S611" s="85" t="str">
        <f>IFERROR(VLOOKUP(CONCATENATE($B611,"_",S$3),materiali!$C:$K,6,0),"")</f>
        <v/>
      </c>
      <c r="T611" s="86"/>
      <c r="U611" s="31"/>
      <c r="AD611" s="97"/>
    </row>
    <row r="612" spans="1:30" ht="35.1" hidden="1" customHeight="1" x14ac:dyDescent="0.25">
      <c r="A612" s="83"/>
      <c r="B612" s="7"/>
      <c r="C612" s="8"/>
      <c r="D612" s="8"/>
      <c r="E612" s="60"/>
      <c r="F612" s="84" t="str">
        <f>IFERROR(VLOOKUP(CONCATENATE($B612,"_",F$3),materiali!$C:$K,5,0),"")</f>
        <v/>
      </c>
      <c r="G612" s="85" t="str">
        <f>IFERROR(VLOOKUP(CONCATENATE($B612,"_",G$3),materiali!$C:$K,6,0),"")</f>
        <v/>
      </c>
      <c r="H612" s="86"/>
      <c r="I612" s="84" t="str">
        <f>IFERROR(VLOOKUP(CONCATENATE($B612,"_",I$3),materiali!$C:$K,5,0),"")</f>
        <v/>
      </c>
      <c r="J612" s="85" t="str">
        <f>IFERROR(VLOOKUP(CONCATENATE($B612,"_",J$3),materiali!$C:$K,6,0),"")</f>
        <v/>
      </c>
      <c r="K612" s="86"/>
      <c r="L612" s="84" t="str">
        <f>IFERROR(VLOOKUP(CONCATENATE($B612,"_",L$3),materiali!$C:$K,5,0),"")</f>
        <v/>
      </c>
      <c r="M612" s="85" t="str">
        <f>IFERROR(VLOOKUP(CONCATENATE($B612,"_",M$3),materiali!$C:$K,6,0),"")</f>
        <v/>
      </c>
      <c r="N612" s="86"/>
      <c r="O612" s="84" t="str">
        <f>IFERROR(VLOOKUP(CONCATENATE($B612,"_",O$3),materiali!$C:$K,5,0),"")</f>
        <v/>
      </c>
      <c r="P612" s="85" t="str">
        <f>IFERROR(VLOOKUP(CONCATENATE($B612,"_",P$3),materiali!$C:$K,6,0),"")</f>
        <v/>
      </c>
      <c r="Q612" s="86"/>
      <c r="R612" s="84" t="str">
        <f>IFERROR(VLOOKUP(CONCATENATE($B612,"_",R$3),materiali!$C:$K,5,0),"")</f>
        <v/>
      </c>
      <c r="S612" s="85" t="str">
        <f>IFERROR(VLOOKUP(CONCATENATE($B612,"_",S$3),materiali!$C:$K,6,0),"")</f>
        <v/>
      </c>
      <c r="T612" s="86"/>
      <c r="U612" s="31"/>
      <c r="AD612" s="97"/>
    </row>
    <row r="613" spans="1:30" ht="35.1" hidden="1" customHeight="1" x14ac:dyDescent="0.25">
      <c r="A613" s="83"/>
      <c r="B613" s="7"/>
      <c r="C613" s="8"/>
      <c r="D613" s="8"/>
      <c r="E613" s="60"/>
      <c r="F613" s="84" t="str">
        <f>IFERROR(VLOOKUP(CONCATENATE($B613,"_",F$3),materiali!$C:$K,5,0),"")</f>
        <v/>
      </c>
      <c r="G613" s="85" t="str">
        <f>IFERROR(VLOOKUP(CONCATENATE($B613,"_",G$3),materiali!$C:$K,6,0),"")</f>
        <v/>
      </c>
      <c r="H613" s="86"/>
      <c r="I613" s="84" t="str">
        <f>IFERROR(VLOOKUP(CONCATENATE($B613,"_",I$3),materiali!$C:$K,5,0),"")</f>
        <v/>
      </c>
      <c r="J613" s="85" t="str">
        <f>IFERROR(VLOOKUP(CONCATENATE($B613,"_",J$3),materiali!$C:$K,6,0),"")</f>
        <v/>
      </c>
      <c r="K613" s="86"/>
      <c r="L613" s="84" t="str">
        <f>IFERROR(VLOOKUP(CONCATENATE($B613,"_",L$3),materiali!$C:$K,5,0),"")</f>
        <v/>
      </c>
      <c r="M613" s="85" t="str">
        <f>IFERROR(VLOOKUP(CONCATENATE($B613,"_",M$3),materiali!$C:$K,6,0),"")</f>
        <v/>
      </c>
      <c r="N613" s="86"/>
      <c r="O613" s="84" t="str">
        <f>IFERROR(VLOOKUP(CONCATENATE($B613,"_",O$3),materiali!$C:$K,5,0),"")</f>
        <v/>
      </c>
      <c r="P613" s="85" t="str">
        <f>IFERROR(VLOOKUP(CONCATENATE($B613,"_",P$3),materiali!$C:$K,6,0),"")</f>
        <v/>
      </c>
      <c r="Q613" s="86"/>
      <c r="R613" s="84" t="str">
        <f>IFERROR(VLOOKUP(CONCATENATE($B613,"_",R$3),materiali!$C:$K,5,0),"")</f>
        <v/>
      </c>
      <c r="S613" s="85" t="str">
        <f>IFERROR(VLOOKUP(CONCATENATE($B613,"_",S$3),materiali!$C:$K,6,0),"")</f>
        <v/>
      </c>
      <c r="T613" s="86"/>
      <c r="U613" s="31"/>
      <c r="AD613" s="97"/>
    </row>
    <row r="614" spans="1:30" ht="35.1" hidden="1" customHeight="1" x14ac:dyDescent="0.25">
      <c r="A614" s="83"/>
      <c r="B614" s="7"/>
      <c r="C614" s="8"/>
      <c r="D614" s="8"/>
      <c r="E614" s="60"/>
      <c r="F614" s="84" t="str">
        <f>IFERROR(VLOOKUP(CONCATENATE($B614,"_",F$3),materiali!$C:$K,5,0),"")</f>
        <v/>
      </c>
      <c r="G614" s="85" t="str">
        <f>IFERROR(VLOOKUP(CONCATENATE($B614,"_",G$3),materiali!$C:$K,6,0),"")</f>
        <v/>
      </c>
      <c r="H614" s="86"/>
      <c r="I614" s="84" t="str">
        <f>IFERROR(VLOOKUP(CONCATENATE($B614,"_",I$3),materiali!$C:$K,5,0),"")</f>
        <v/>
      </c>
      <c r="J614" s="85" t="str">
        <f>IFERROR(VLOOKUP(CONCATENATE($B614,"_",J$3),materiali!$C:$K,6,0),"")</f>
        <v/>
      </c>
      <c r="K614" s="86"/>
      <c r="L614" s="84" t="str">
        <f>IFERROR(VLOOKUP(CONCATENATE($B614,"_",L$3),materiali!$C:$K,5,0),"")</f>
        <v/>
      </c>
      <c r="M614" s="85" t="str">
        <f>IFERROR(VLOOKUP(CONCATENATE($B614,"_",M$3),materiali!$C:$K,6,0),"")</f>
        <v/>
      </c>
      <c r="N614" s="86"/>
      <c r="O614" s="84" t="str">
        <f>IFERROR(VLOOKUP(CONCATENATE($B614,"_",O$3),materiali!$C:$K,5,0),"")</f>
        <v/>
      </c>
      <c r="P614" s="85" t="str">
        <f>IFERROR(VLOOKUP(CONCATENATE($B614,"_",P$3),materiali!$C:$K,6,0),"")</f>
        <v/>
      </c>
      <c r="Q614" s="86"/>
      <c r="R614" s="84" t="str">
        <f>IFERROR(VLOOKUP(CONCATENATE($B614,"_",R$3),materiali!$C:$K,5,0),"")</f>
        <v/>
      </c>
      <c r="S614" s="85" t="str">
        <f>IFERROR(VLOOKUP(CONCATENATE($B614,"_",S$3),materiali!$C:$K,6,0),"")</f>
        <v/>
      </c>
      <c r="T614" s="86"/>
      <c r="U614" s="31"/>
      <c r="AD614" s="97"/>
    </row>
    <row r="615" spans="1:30" ht="35.1" hidden="1" customHeight="1" x14ac:dyDescent="0.25">
      <c r="A615" s="83"/>
      <c r="B615" s="7"/>
      <c r="C615" s="8"/>
      <c r="D615" s="8"/>
      <c r="E615" s="60"/>
      <c r="F615" s="84" t="str">
        <f>IFERROR(VLOOKUP(CONCATENATE($B615,"_",F$3),materiali!$C:$K,5,0),"")</f>
        <v/>
      </c>
      <c r="G615" s="85" t="str">
        <f>IFERROR(VLOOKUP(CONCATENATE($B615,"_",G$3),materiali!$C:$K,6,0),"")</f>
        <v/>
      </c>
      <c r="H615" s="86"/>
      <c r="I615" s="84" t="str">
        <f>IFERROR(VLOOKUP(CONCATENATE($B615,"_",I$3),materiali!$C:$K,5,0),"")</f>
        <v/>
      </c>
      <c r="J615" s="85" t="str">
        <f>IFERROR(VLOOKUP(CONCATENATE($B615,"_",J$3),materiali!$C:$K,6,0),"")</f>
        <v/>
      </c>
      <c r="K615" s="86"/>
      <c r="L615" s="84" t="str">
        <f>IFERROR(VLOOKUP(CONCATENATE($B615,"_",L$3),materiali!$C:$K,5,0),"")</f>
        <v/>
      </c>
      <c r="M615" s="85" t="str">
        <f>IFERROR(VLOOKUP(CONCATENATE($B615,"_",M$3),materiali!$C:$K,6,0),"")</f>
        <v/>
      </c>
      <c r="N615" s="86"/>
      <c r="O615" s="84" t="str">
        <f>IFERROR(VLOOKUP(CONCATENATE($B615,"_",O$3),materiali!$C:$K,5,0),"")</f>
        <v/>
      </c>
      <c r="P615" s="85" t="str">
        <f>IFERROR(VLOOKUP(CONCATENATE($B615,"_",P$3),materiali!$C:$K,6,0),"")</f>
        <v/>
      </c>
      <c r="Q615" s="86"/>
      <c r="R615" s="84" t="str">
        <f>IFERROR(VLOOKUP(CONCATENATE($B615,"_",R$3),materiali!$C:$K,5,0),"")</f>
        <v/>
      </c>
      <c r="S615" s="85" t="str">
        <f>IFERROR(VLOOKUP(CONCATENATE($B615,"_",S$3),materiali!$C:$K,6,0),"")</f>
        <v/>
      </c>
      <c r="T615" s="86"/>
      <c r="U615" s="31"/>
      <c r="AD615" s="97"/>
    </row>
    <row r="616" spans="1:30" ht="35.1" hidden="1" customHeight="1" x14ac:dyDescent="0.25">
      <c r="A616" s="83"/>
      <c r="B616" s="7"/>
      <c r="C616" s="8"/>
      <c r="D616" s="8"/>
      <c r="E616" s="60"/>
      <c r="F616" s="84" t="str">
        <f>IFERROR(VLOOKUP(CONCATENATE($B616,"_",F$3),materiali!$C:$K,5,0),"")</f>
        <v/>
      </c>
      <c r="G616" s="85" t="str">
        <f>IFERROR(VLOOKUP(CONCATENATE($B616,"_",G$3),materiali!$C:$K,6,0),"")</f>
        <v/>
      </c>
      <c r="H616" s="86"/>
      <c r="I616" s="84" t="str">
        <f>IFERROR(VLOOKUP(CONCATENATE($B616,"_",I$3),materiali!$C:$K,5,0),"")</f>
        <v/>
      </c>
      <c r="J616" s="85" t="str">
        <f>IFERROR(VLOOKUP(CONCATENATE($B616,"_",J$3),materiali!$C:$K,6,0),"")</f>
        <v/>
      </c>
      <c r="K616" s="86"/>
      <c r="L616" s="84" t="str">
        <f>IFERROR(VLOOKUP(CONCATENATE($B616,"_",L$3),materiali!$C:$K,5,0),"")</f>
        <v/>
      </c>
      <c r="M616" s="85" t="str">
        <f>IFERROR(VLOOKUP(CONCATENATE($B616,"_",M$3),materiali!$C:$K,6,0),"")</f>
        <v/>
      </c>
      <c r="N616" s="86"/>
      <c r="O616" s="84" t="str">
        <f>IFERROR(VLOOKUP(CONCATENATE($B616,"_",O$3),materiali!$C:$K,5,0),"")</f>
        <v/>
      </c>
      <c r="P616" s="85" t="str">
        <f>IFERROR(VLOOKUP(CONCATENATE($B616,"_",P$3),materiali!$C:$K,6,0),"")</f>
        <v/>
      </c>
      <c r="Q616" s="86"/>
      <c r="R616" s="84" t="str">
        <f>IFERROR(VLOOKUP(CONCATENATE($B616,"_",R$3),materiali!$C:$K,5,0),"")</f>
        <v/>
      </c>
      <c r="S616" s="85" t="str">
        <f>IFERROR(VLOOKUP(CONCATENATE($B616,"_",S$3),materiali!$C:$K,6,0),"")</f>
        <v/>
      </c>
      <c r="T616" s="86"/>
      <c r="U616" s="31"/>
      <c r="AD616" s="97"/>
    </row>
    <row r="617" spans="1:30" ht="35.1" hidden="1" customHeight="1" x14ac:dyDescent="0.25">
      <c r="A617" s="83"/>
      <c r="B617" s="7"/>
      <c r="C617" s="8"/>
      <c r="D617" s="8"/>
      <c r="E617" s="60"/>
      <c r="F617" s="84" t="str">
        <f>IFERROR(VLOOKUP(CONCATENATE($B617,"_",F$3),materiali!$C:$K,5,0),"")</f>
        <v/>
      </c>
      <c r="G617" s="85" t="str">
        <f>IFERROR(VLOOKUP(CONCATENATE($B617,"_",G$3),materiali!$C:$K,6,0),"")</f>
        <v/>
      </c>
      <c r="H617" s="86"/>
      <c r="I617" s="84" t="str">
        <f>IFERROR(VLOOKUP(CONCATENATE($B617,"_",I$3),materiali!$C:$K,5,0),"")</f>
        <v/>
      </c>
      <c r="J617" s="85" t="str">
        <f>IFERROR(VLOOKUP(CONCATENATE($B617,"_",J$3),materiali!$C:$K,6,0),"")</f>
        <v/>
      </c>
      <c r="K617" s="86"/>
      <c r="L617" s="84" t="str">
        <f>IFERROR(VLOOKUP(CONCATENATE($B617,"_",L$3),materiali!$C:$K,5,0),"")</f>
        <v/>
      </c>
      <c r="M617" s="85" t="str">
        <f>IFERROR(VLOOKUP(CONCATENATE($B617,"_",M$3),materiali!$C:$K,6,0),"")</f>
        <v/>
      </c>
      <c r="N617" s="86"/>
      <c r="O617" s="84" t="str">
        <f>IFERROR(VLOOKUP(CONCATENATE($B617,"_",O$3),materiali!$C:$K,5,0),"")</f>
        <v/>
      </c>
      <c r="P617" s="85" t="str">
        <f>IFERROR(VLOOKUP(CONCATENATE($B617,"_",P$3),materiali!$C:$K,6,0),"")</f>
        <v/>
      </c>
      <c r="Q617" s="86"/>
      <c r="R617" s="84" t="str">
        <f>IFERROR(VLOOKUP(CONCATENATE($B617,"_",R$3),materiali!$C:$K,5,0),"")</f>
        <v/>
      </c>
      <c r="S617" s="85" t="str">
        <f>IFERROR(VLOOKUP(CONCATENATE($B617,"_",S$3),materiali!$C:$K,6,0),"")</f>
        <v/>
      </c>
      <c r="T617" s="86"/>
      <c r="U617" s="31"/>
      <c r="AD617" s="97"/>
    </row>
    <row r="618" spans="1:30" ht="35.1" hidden="1" customHeight="1" x14ac:dyDescent="0.25">
      <c r="A618" s="83"/>
      <c r="B618" s="7"/>
      <c r="C618" s="8"/>
      <c r="D618" s="8"/>
      <c r="E618" s="60"/>
      <c r="F618" s="84" t="str">
        <f>IFERROR(VLOOKUP(CONCATENATE($B618,"_",F$3),materiali!$C:$K,5,0),"")</f>
        <v/>
      </c>
      <c r="G618" s="85" t="str">
        <f>IFERROR(VLOOKUP(CONCATENATE($B618,"_",G$3),materiali!$C:$K,6,0),"")</f>
        <v/>
      </c>
      <c r="H618" s="86"/>
      <c r="I618" s="84" t="str">
        <f>IFERROR(VLOOKUP(CONCATENATE($B618,"_",I$3),materiali!$C:$K,5,0),"")</f>
        <v/>
      </c>
      <c r="J618" s="85" t="str">
        <f>IFERROR(VLOOKUP(CONCATENATE($B618,"_",J$3),materiali!$C:$K,6,0),"")</f>
        <v/>
      </c>
      <c r="K618" s="86"/>
      <c r="L618" s="84" t="str">
        <f>IFERROR(VLOOKUP(CONCATENATE($B618,"_",L$3),materiali!$C:$K,5,0),"")</f>
        <v/>
      </c>
      <c r="M618" s="85" t="str">
        <f>IFERROR(VLOOKUP(CONCATENATE($B618,"_",M$3),materiali!$C:$K,6,0),"")</f>
        <v/>
      </c>
      <c r="N618" s="86"/>
      <c r="O618" s="84" t="str">
        <f>IFERROR(VLOOKUP(CONCATENATE($B618,"_",O$3),materiali!$C:$K,5,0),"")</f>
        <v/>
      </c>
      <c r="P618" s="85" t="str">
        <f>IFERROR(VLOOKUP(CONCATENATE($B618,"_",P$3),materiali!$C:$K,6,0),"")</f>
        <v/>
      </c>
      <c r="Q618" s="86"/>
      <c r="R618" s="84" t="str">
        <f>IFERROR(VLOOKUP(CONCATENATE($B618,"_",R$3),materiali!$C:$K,5,0),"")</f>
        <v/>
      </c>
      <c r="S618" s="85" t="str">
        <f>IFERROR(VLOOKUP(CONCATENATE($B618,"_",S$3),materiali!$C:$K,6,0),"")</f>
        <v/>
      </c>
      <c r="T618" s="86"/>
      <c r="U618" s="31"/>
      <c r="AD618" s="97"/>
    </row>
    <row r="619" spans="1:30" ht="35.1" hidden="1" customHeight="1" x14ac:dyDescent="0.25">
      <c r="A619" s="83"/>
      <c r="B619" s="7"/>
      <c r="C619" s="8"/>
      <c r="D619" s="8"/>
      <c r="E619" s="60"/>
      <c r="F619" s="84" t="str">
        <f>IFERROR(VLOOKUP(CONCATENATE($B619,"_",F$3),materiali!$C:$K,5,0),"")</f>
        <v/>
      </c>
      <c r="G619" s="85" t="str">
        <f>IFERROR(VLOOKUP(CONCATENATE($B619,"_",G$3),materiali!$C:$K,6,0),"")</f>
        <v/>
      </c>
      <c r="H619" s="86"/>
      <c r="I619" s="84" t="str">
        <f>IFERROR(VLOOKUP(CONCATENATE($B619,"_",I$3),materiali!$C:$K,5,0),"")</f>
        <v/>
      </c>
      <c r="J619" s="85" t="str">
        <f>IFERROR(VLOOKUP(CONCATENATE($B619,"_",J$3),materiali!$C:$K,6,0),"")</f>
        <v/>
      </c>
      <c r="K619" s="86"/>
      <c r="L619" s="84" t="str">
        <f>IFERROR(VLOOKUP(CONCATENATE($B619,"_",L$3),materiali!$C:$K,5,0),"")</f>
        <v/>
      </c>
      <c r="M619" s="85" t="str">
        <f>IFERROR(VLOOKUP(CONCATENATE($B619,"_",M$3),materiali!$C:$K,6,0),"")</f>
        <v/>
      </c>
      <c r="N619" s="86"/>
      <c r="O619" s="84" t="str">
        <f>IFERROR(VLOOKUP(CONCATENATE($B619,"_",O$3),materiali!$C:$K,5,0),"")</f>
        <v/>
      </c>
      <c r="P619" s="85" t="str">
        <f>IFERROR(VLOOKUP(CONCATENATE($B619,"_",P$3),materiali!$C:$K,6,0),"")</f>
        <v/>
      </c>
      <c r="Q619" s="86"/>
      <c r="R619" s="84" t="str">
        <f>IFERROR(VLOOKUP(CONCATENATE($B619,"_",R$3),materiali!$C:$K,5,0),"")</f>
        <v/>
      </c>
      <c r="S619" s="85" t="str">
        <f>IFERROR(VLOOKUP(CONCATENATE($B619,"_",S$3),materiali!$C:$K,6,0),"")</f>
        <v/>
      </c>
      <c r="T619" s="86"/>
      <c r="U619" s="31"/>
      <c r="AD619" s="97"/>
    </row>
    <row r="620" spans="1:30" ht="35.1" hidden="1" customHeight="1" x14ac:dyDescent="0.25">
      <c r="A620" s="83"/>
      <c r="B620" s="7"/>
      <c r="C620" s="8"/>
      <c r="D620" s="8"/>
      <c r="E620" s="60"/>
      <c r="F620" s="84" t="str">
        <f>IFERROR(VLOOKUP(CONCATENATE($B620,"_",F$3),materiali!$C:$K,5,0),"")</f>
        <v/>
      </c>
      <c r="G620" s="85" t="str">
        <f>IFERROR(VLOOKUP(CONCATENATE($B620,"_",G$3),materiali!$C:$K,6,0),"")</f>
        <v/>
      </c>
      <c r="H620" s="86"/>
      <c r="I620" s="84" t="str">
        <f>IFERROR(VLOOKUP(CONCATENATE($B620,"_",I$3),materiali!$C:$K,5,0),"")</f>
        <v/>
      </c>
      <c r="J620" s="85" t="str">
        <f>IFERROR(VLOOKUP(CONCATENATE($B620,"_",J$3),materiali!$C:$K,6,0),"")</f>
        <v/>
      </c>
      <c r="K620" s="86"/>
      <c r="L620" s="84" t="str">
        <f>IFERROR(VLOOKUP(CONCATENATE($B620,"_",L$3),materiali!$C:$K,5,0),"")</f>
        <v/>
      </c>
      <c r="M620" s="85" t="str">
        <f>IFERROR(VLOOKUP(CONCATENATE($B620,"_",M$3),materiali!$C:$K,6,0),"")</f>
        <v/>
      </c>
      <c r="N620" s="86"/>
      <c r="O620" s="84" t="str">
        <f>IFERROR(VLOOKUP(CONCATENATE($B620,"_",O$3),materiali!$C:$K,5,0),"")</f>
        <v/>
      </c>
      <c r="P620" s="85" t="str">
        <f>IFERROR(VLOOKUP(CONCATENATE($B620,"_",P$3),materiali!$C:$K,6,0),"")</f>
        <v/>
      </c>
      <c r="Q620" s="86"/>
      <c r="R620" s="84" t="str">
        <f>IFERROR(VLOOKUP(CONCATENATE($B620,"_",R$3),materiali!$C:$K,5,0),"")</f>
        <v/>
      </c>
      <c r="S620" s="85" t="str">
        <f>IFERROR(VLOOKUP(CONCATENATE($B620,"_",S$3),materiali!$C:$K,6,0),"")</f>
        <v/>
      </c>
      <c r="T620" s="86"/>
      <c r="U620" s="31"/>
      <c r="AD620" s="97"/>
    </row>
    <row r="621" spans="1:30" ht="35.1" hidden="1" customHeight="1" x14ac:dyDescent="0.25">
      <c r="A621" s="83"/>
      <c r="B621" s="7"/>
      <c r="C621" s="8"/>
      <c r="D621" s="8"/>
      <c r="E621" s="60"/>
      <c r="F621" s="84" t="str">
        <f>IFERROR(VLOOKUP(CONCATENATE($B621,"_",F$3),materiali!$C:$K,5,0),"")</f>
        <v/>
      </c>
      <c r="G621" s="85" t="str">
        <f>IFERROR(VLOOKUP(CONCATENATE($B621,"_",G$3),materiali!$C:$K,6,0),"")</f>
        <v/>
      </c>
      <c r="H621" s="86"/>
      <c r="I621" s="84" t="str">
        <f>IFERROR(VLOOKUP(CONCATENATE($B621,"_",I$3),materiali!$C:$K,5,0),"")</f>
        <v/>
      </c>
      <c r="J621" s="85" t="str">
        <f>IFERROR(VLOOKUP(CONCATENATE($B621,"_",J$3),materiali!$C:$K,6,0),"")</f>
        <v/>
      </c>
      <c r="K621" s="86"/>
      <c r="L621" s="84" t="str">
        <f>IFERROR(VLOOKUP(CONCATENATE($B621,"_",L$3),materiali!$C:$K,5,0),"")</f>
        <v/>
      </c>
      <c r="M621" s="85" t="str">
        <f>IFERROR(VLOOKUP(CONCATENATE($B621,"_",M$3),materiali!$C:$K,6,0),"")</f>
        <v/>
      </c>
      <c r="N621" s="86"/>
      <c r="O621" s="84" t="str">
        <f>IFERROR(VLOOKUP(CONCATENATE($B621,"_",O$3),materiali!$C:$K,5,0),"")</f>
        <v/>
      </c>
      <c r="P621" s="85" t="str">
        <f>IFERROR(VLOOKUP(CONCATENATE($B621,"_",P$3),materiali!$C:$K,6,0),"")</f>
        <v/>
      </c>
      <c r="Q621" s="86"/>
      <c r="R621" s="84" t="str">
        <f>IFERROR(VLOOKUP(CONCATENATE($B621,"_",R$3),materiali!$C:$K,5,0),"")</f>
        <v/>
      </c>
      <c r="S621" s="85" t="str">
        <f>IFERROR(VLOOKUP(CONCATENATE($B621,"_",S$3),materiali!$C:$K,6,0),"")</f>
        <v/>
      </c>
      <c r="T621" s="86"/>
      <c r="U621" s="31"/>
      <c r="AD621" s="97"/>
    </row>
    <row r="622" spans="1:30" ht="35.1" hidden="1" customHeight="1" x14ac:dyDescent="0.25">
      <c r="A622" s="83"/>
      <c r="B622" s="7"/>
      <c r="C622" s="8"/>
      <c r="D622" s="8"/>
      <c r="E622" s="60"/>
      <c r="F622" s="84" t="str">
        <f>IFERROR(VLOOKUP(CONCATENATE($B622,"_",F$3),materiali!$C:$K,5,0),"")</f>
        <v/>
      </c>
      <c r="G622" s="85" t="str">
        <f>IFERROR(VLOOKUP(CONCATENATE($B622,"_",G$3),materiali!$C:$K,6,0),"")</f>
        <v/>
      </c>
      <c r="H622" s="86"/>
      <c r="I622" s="84" t="str">
        <f>IFERROR(VLOOKUP(CONCATENATE($B622,"_",I$3),materiali!$C:$K,5,0),"")</f>
        <v/>
      </c>
      <c r="J622" s="85" t="str">
        <f>IFERROR(VLOOKUP(CONCATENATE($B622,"_",J$3),materiali!$C:$K,6,0),"")</f>
        <v/>
      </c>
      <c r="K622" s="86"/>
      <c r="L622" s="84" t="str">
        <f>IFERROR(VLOOKUP(CONCATENATE($B622,"_",L$3),materiali!$C:$K,5,0),"")</f>
        <v/>
      </c>
      <c r="M622" s="85" t="str">
        <f>IFERROR(VLOOKUP(CONCATENATE($B622,"_",M$3),materiali!$C:$K,6,0),"")</f>
        <v/>
      </c>
      <c r="N622" s="86"/>
      <c r="O622" s="84" t="str">
        <f>IFERROR(VLOOKUP(CONCATENATE($B622,"_",O$3),materiali!$C:$K,5,0),"")</f>
        <v/>
      </c>
      <c r="P622" s="85" t="str">
        <f>IFERROR(VLOOKUP(CONCATENATE($B622,"_",P$3),materiali!$C:$K,6,0),"")</f>
        <v/>
      </c>
      <c r="Q622" s="86"/>
      <c r="R622" s="84" t="str">
        <f>IFERROR(VLOOKUP(CONCATENATE($B622,"_",R$3),materiali!$C:$K,5,0),"")</f>
        <v/>
      </c>
      <c r="S622" s="85" t="str">
        <f>IFERROR(VLOOKUP(CONCATENATE($B622,"_",S$3),materiali!$C:$K,6,0),"")</f>
        <v/>
      </c>
      <c r="T622" s="86"/>
      <c r="U622" s="31"/>
      <c r="AD622" s="97"/>
    </row>
    <row r="623" spans="1:30" ht="35.1" hidden="1" customHeight="1" x14ac:dyDescent="0.25">
      <c r="A623" s="83"/>
      <c r="B623" s="7"/>
      <c r="C623" s="8"/>
      <c r="D623" s="8"/>
      <c r="E623" s="60"/>
      <c r="F623" s="84" t="str">
        <f>IFERROR(VLOOKUP(CONCATENATE($B623,"_",F$3),materiali!$C:$K,5,0),"")</f>
        <v/>
      </c>
      <c r="G623" s="85" t="str">
        <f>IFERROR(VLOOKUP(CONCATENATE($B623,"_",G$3),materiali!$C:$K,6,0),"")</f>
        <v/>
      </c>
      <c r="H623" s="86"/>
      <c r="I623" s="84" t="str">
        <f>IFERROR(VLOOKUP(CONCATENATE($B623,"_",I$3),materiali!$C:$K,5,0),"")</f>
        <v/>
      </c>
      <c r="J623" s="85" t="str">
        <f>IFERROR(VLOOKUP(CONCATENATE($B623,"_",J$3),materiali!$C:$K,6,0),"")</f>
        <v/>
      </c>
      <c r="K623" s="86"/>
      <c r="L623" s="84" t="str">
        <f>IFERROR(VLOOKUP(CONCATENATE($B623,"_",L$3),materiali!$C:$K,5,0),"")</f>
        <v/>
      </c>
      <c r="M623" s="85" t="str">
        <f>IFERROR(VLOOKUP(CONCATENATE($B623,"_",M$3),materiali!$C:$K,6,0),"")</f>
        <v/>
      </c>
      <c r="N623" s="86"/>
      <c r="O623" s="84" t="str">
        <f>IFERROR(VLOOKUP(CONCATENATE($B623,"_",O$3),materiali!$C:$K,5,0),"")</f>
        <v/>
      </c>
      <c r="P623" s="85" t="str">
        <f>IFERROR(VLOOKUP(CONCATENATE($B623,"_",P$3),materiali!$C:$K,6,0),"")</f>
        <v/>
      </c>
      <c r="Q623" s="86"/>
      <c r="R623" s="84" t="str">
        <f>IFERROR(VLOOKUP(CONCATENATE($B623,"_",R$3),materiali!$C:$K,5,0),"")</f>
        <v/>
      </c>
      <c r="S623" s="85" t="str">
        <f>IFERROR(VLOOKUP(CONCATENATE($B623,"_",S$3),materiali!$C:$K,6,0),"")</f>
        <v/>
      </c>
      <c r="T623" s="86"/>
      <c r="U623" s="31"/>
      <c r="AD623" s="97"/>
    </row>
    <row r="624" spans="1:30" ht="35.1" hidden="1" customHeight="1" x14ac:dyDescent="0.25">
      <c r="A624" s="83"/>
      <c r="B624" s="7"/>
      <c r="C624" s="8"/>
      <c r="D624" s="8"/>
      <c r="E624" s="60"/>
      <c r="F624" s="84" t="str">
        <f>IFERROR(VLOOKUP(CONCATENATE($B624,"_",F$3),materiali!$C:$K,5,0),"")</f>
        <v/>
      </c>
      <c r="G624" s="85" t="str">
        <f>IFERROR(VLOOKUP(CONCATENATE($B624,"_",G$3),materiali!$C:$K,6,0),"")</f>
        <v/>
      </c>
      <c r="H624" s="86"/>
      <c r="I624" s="84" t="str">
        <f>IFERROR(VLOOKUP(CONCATENATE($B624,"_",I$3),materiali!$C:$K,5,0),"")</f>
        <v/>
      </c>
      <c r="J624" s="85" t="str">
        <f>IFERROR(VLOOKUP(CONCATENATE($B624,"_",J$3),materiali!$C:$K,6,0),"")</f>
        <v/>
      </c>
      <c r="K624" s="86"/>
      <c r="L624" s="84" t="str">
        <f>IFERROR(VLOOKUP(CONCATENATE($B624,"_",L$3),materiali!$C:$K,5,0),"")</f>
        <v/>
      </c>
      <c r="M624" s="85" t="str">
        <f>IFERROR(VLOOKUP(CONCATENATE($B624,"_",M$3),materiali!$C:$K,6,0),"")</f>
        <v/>
      </c>
      <c r="N624" s="86"/>
      <c r="O624" s="84" t="str">
        <f>IFERROR(VLOOKUP(CONCATENATE($B624,"_",O$3),materiali!$C:$K,5,0),"")</f>
        <v/>
      </c>
      <c r="P624" s="85" t="str">
        <f>IFERROR(VLOOKUP(CONCATENATE($B624,"_",P$3),materiali!$C:$K,6,0),"")</f>
        <v/>
      </c>
      <c r="Q624" s="86"/>
      <c r="R624" s="84" t="str">
        <f>IFERROR(VLOOKUP(CONCATENATE($B624,"_",R$3),materiali!$C:$K,5,0),"")</f>
        <v/>
      </c>
      <c r="S624" s="85" t="str">
        <f>IFERROR(VLOOKUP(CONCATENATE($B624,"_",S$3),materiali!$C:$K,6,0),"")</f>
        <v/>
      </c>
      <c r="T624" s="86"/>
      <c r="U624" s="31"/>
      <c r="AD624" s="97"/>
    </row>
    <row r="625" spans="1:30" ht="35.1" hidden="1" customHeight="1" x14ac:dyDescent="0.25">
      <c r="A625" s="83"/>
      <c r="B625" s="7"/>
      <c r="C625" s="8"/>
      <c r="D625" s="8"/>
      <c r="E625" s="60"/>
      <c r="F625" s="84" t="str">
        <f>IFERROR(VLOOKUP(CONCATENATE($B625,"_",F$3),materiali!$C:$K,5,0),"")</f>
        <v/>
      </c>
      <c r="G625" s="85" t="str">
        <f>IFERROR(VLOOKUP(CONCATENATE($B625,"_",G$3),materiali!$C:$K,6,0),"")</f>
        <v/>
      </c>
      <c r="H625" s="86"/>
      <c r="I625" s="84" t="str">
        <f>IFERROR(VLOOKUP(CONCATENATE($B625,"_",I$3),materiali!$C:$K,5,0),"")</f>
        <v/>
      </c>
      <c r="J625" s="85" t="str">
        <f>IFERROR(VLOOKUP(CONCATENATE($B625,"_",J$3),materiali!$C:$K,6,0),"")</f>
        <v/>
      </c>
      <c r="K625" s="86"/>
      <c r="L625" s="84" t="str">
        <f>IFERROR(VLOOKUP(CONCATENATE($B625,"_",L$3),materiali!$C:$K,5,0),"")</f>
        <v/>
      </c>
      <c r="M625" s="85" t="str">
        <f>IFERROR(VLOOKUP(CONCATENATE($B625,"_",M$3),materiali!$C:$K,6,0),"")</f>
        <v/>
      </c>
      <c r="N625" s="86"/>
      <c r="O625" s="84" t="str">
        <f>IFERROR(VLOOKUP(CONCATENATE($B625,"_",O$3),materiali!$C:$K,5,0),"")</f>
        <v/>
      </c>
      <c r="P625" s="85" t="str">
        <f>IFERROR(VLOOKUP(CONCATENATE($B625,"_",P$3),materiali!$C:$K,6,0),"")</f>
        <v/>
      </c>
      <c r="Q625" s="86"/>
      <c r="R625" s="84" t="str">
        <f>IFERROR(VLOOKUP(CONCATENATE($B625,"_",R$3),materiali!$C:$K,5,0),"")</f>
        <v/>
      </c>
      <c r="S625" s="85" t="str">
        <f>IFERROR(VLOOKUP(CONCATENATE($B625,"_",S$3),materiali!$C:$K,6,0),"")</f>
        <v/>
      </c>
      <c r="T625" s="86"/>
      <c r="U625" s="31"/>
      <c r="AD625" s="97"/>
    </row>
    <row r="626" spans="1:30" ht="35.1" hidden="1" customHeight="1" x14ac:dyDescent="0.25">
      <c r="A626" s="83"/>
      <c r="B626" s="7"/>
      <c r="C626" s="8"/>
      <c r="D626" s="8"/>
      <c r="E626" s="60"/>
      <c r="F626" s="84" t="str">
        <f>IFERROR(VLOOKUP(CONCATENATE($B626,"_",F$3),materiali!$C:$K,5,0),"")</f>
        <v/>
      </c>
      <c r="G626" s="85" t="str">
        <f>IFERROR(VLOOKUP(CONCATENATE($B626,"_",G$3),materiali!$C:$K,6,0),"")</f>
        <v/>
      </c>
      <c r="H626" s="86"/>
      <c r="I626" s="84" t="str">
        <f>IFERROR(VLOOKUP(CONCATENATE($B626,"_",I$3),materiali!$C:$K,5,0),"")</f>
        <v/>
      </c>
      <c r="J626" s="85" t="str">
        <f>IFERROR(VLOOKUP(CONCATENATE($B626,"_",J$3),materiali!$C:$K,6,0),"")</f>
        <v/>
      </c>
      <c r="K626" s="86"/>
      <c r="L626" s="84" t="str">
        <f>IFERROR(VLOOKUP(CONCATENATE($B626,"_",L$3),materiali!$C:$K,5,0),"")</f>
        <v/>
      </c>
      <c r="M626" s="85" t="str">
        <f>IFERROR(VLOOKUP(CONCATENATE($B626,"_",M$3),materiali!$C:$K,6,0),"")</f>
        <v/>
      </c>
      <c r="N626" s="86"/>
      <c r="O626" s="84" t="str">
        <f>IFERROR(VLOOKUP(CONCATENATE($B626,"_",O$3),materiali!$C:$K,5,0),"")</f>
        <v/>
      </c>
      <c r="P626" s="85" t="str">
        <f>IFERROR(VLOOKUP(CONCATENATE($B626,"_",P$3),materiali!$C:$K,6,0),"")</f>
        <v/>
      </c>
      <c r="Q626" s="86"/>
      <c r="R626" s="84" t="str">
        <f>IFERROR(VLOOKUP(CONCATENATE($B626,"_",R$3),materiali!$C:$K,5,0),"")</f>
        <v/>
      </c>
      <c r="S626" s="85" t="str">
        <f>IFERROR(VLOOKUP(CONCATENATE($B626,"_",S$3),materiali!$C:$K,6,0),"")</f>
        <v/>
      </c>
      <c r="T626" s="86"/>
      <c r="U626" s="31"/>
      <c r="AD626" s="97"/>
    </row>
    <row r="627" spans="1:30" ht="35.1" hidden="1" customHeight="1" x14ac:dyDescent="0.25">
      <c r="A627" s="83"/>
      <c r="B627" s="7"/>
      <c r="C627" s="8"/>
      <c r="D627" s="8"/>
      <c r="E627" s="60"/>
      <c r="F627" s="84" t="str">
        <f>IFERROR(VLOOKUP(CONCATENATE($B627,"_",F$3),materiali!$C:$K,5,0),"")</f>
        <v/>
      </c>
      <c r="G627" s="85" t="str">
        <f>IFERROR(VLOOKUP(CONCATENATE($B627,"_",G$3),materiali!$C:$K,6,0),"")</f>
        <v/>
      </c>
      <c r="H627" s="86"/>
      <c r="I627" s="84" t="str">
        <f>IFERROR(VLOOKUP(CONCATENATE($B627,"_",I$3),materiali!$C:$K,5,0),"")</f>
        <v/>
      </c>
      <c r="J627" s="85" t="str">
        <f>IFERROR(VLOOKUP(CONCATENATE($B627,"_",J$3),materiali!$C:$K,6,0),"")</f>
        <v/>
      </c>
      <c r="K627" s="86"/>
      <c r="L627" s="84" t="str">
        <f>IFERROR(VLOOKUP(CONCATENATE($B627,"_",L$3),materiali!$C:$K,5,0),"")</f>
        <v/>
      </c>
      <c r="M627" s="85" t="str">
        <f>IFERROR(VLOOKUP(CONCATENATE($B627,"_",M$3),materiali!$C:$K,6,0),"")</f>
        <v/>
      </c>
      <c r="N627" s="86"/>
      <c r="O627" s="84" t="str">
        <f>IFERROR(VLOOKUP(CONCATENATE($B627,"_",O$3),materiali!$C:$K,5,0),"")</f>
        <v/>
      </c>
      <c r="P627" s="85" t="str">
        <f>IFERROR(VLOOKUP(CONCATENATE($B627,"_",P$3),materiali!$C:$K,6,0),"")</f>
        <v/>
      </c>
      <c r="Q627" s="86"/>
      <c r="R627" s="84" t="str">
        <f>IFERROR(VLOOKUP(CONCATENATE($B627,"_",R$3),materiali!$C:$K,5,0),"")</f>
        <v/>
      </c>
      <c r="S627" s="85" t="str">
        <f>IFERROR(VLOOKUP(CONCATENATE($B627,"_",S$3),materiali!$C:$K,6,0),"")</f>
        <v/>
      </c>
      <c r="T627" s="86"/>
      <c r="U627" s="31"/>
      <c r="AD627" s="97"/>
    </row>
    <row r="628" spans="1:30" ht="35.1" hidden="1" customHeight="1" x14ac:dyDescent="0.25">
      <c r="A628" s="83"/>
      <c r="B628" s="7"/>
      <c r="C628" s="8"/>
      <c r="D628" s="8"/>
      <c r="E628" s="60"/>
      <c r="F628" s="84" t="str">
        <f>IFERROR(VLOOKUP(CONCATENATE($B628,"_",F$3),materiali!$C:$K,5,0),"")</f>
        <v/>
      </c>
      <c r="G628" s="85" t="str">
        <f>IFERROR(VLOOKUP(CONCATENATE($B628,"_",G$3),materiali!$C:$K,6,0),"")</f>
        <v/>
      </c>
      <c r="H628" s="86"/>
      <c r="I628" s="84" t="str">
        <f>IFERROR(VLOOKUP(CONCATENATE($B628,"_",I$3),materiali!$C:$K,5,0),"")</f>
        <v/>
      </c>
      <c r="J628" s="85" t="str">
        <f>IFERROR(VLOOKUP(CONCATENATE($B628,"_",J$3),materiali!$C:$K,6,0),"")</f>
        <v/>
      </c>
      <c r="K628" s="86"/>
      <c r="L628" s="84" t="str">
        <f>IFERROR(VLOOKUP(CONCATENATE($B628,"_",L$3),materiali!$C:$K,5,0),"")</f>
        <v/>
      </c>
      <c r="M628" s="85" t="str">
        <f>IFERROR(VLOOKUP(CONCATENATE($B628,"_",M$3),materiali!$C:$K,6,0),"")</f>
        <v/>
      </c>
      <c r="N628" s="86"/>
      <c r="O628" s="84" t="str">
        <f>IFERROR(VLOOKUP(CONCATENATE($B628,"_",O$3),materiali!$C:$K,5,0),"")</f>
        <v/>
      </c>
      <c r="P628" s="85" t="str">
        <f>IFERROR(VLOOKUP(CONCATENATE($B628,"_",P$3),materiali!$C:$K,6,0),"")</f>
        <v/>
      </c>
      <c r="Q628" s="86"/>
      <c r="R628" s="84" t="str">
        <f>IFERROR(VLOOKUP(CONCATENATE($B628,"_",R$3),materiali!$C:$K,5,0),"")</f>
        <v/>
      </c>
      <c r="S628" s="85" t="str">
        <f>IFERROR(VLOOKUP(CONCATENATE($B628,"_",S$3),materiali!$C:$K,6,0),"")</f>
        <v/>
      </c>
      <c r="T628" s="86"/>
      <c r="U628" s="31"/>
      <c r="AD628" s="97"/>
    </row>
    <row r="629" spans="1:30" ht="35.1" hidden="1" customHeight="1" x14ac:dyDescent="0.25">
      <c r="A629" s="83"/>
      <c r="B629" s="7"/>
      <c r="C629" s="8"/>
      <c r="D629" s="8"/>
      <c r="E629" s="60"/>
      <c r="F629" s="84" t="str">
        <f>IFERROR(VLOOKUP(CONCATENATE($B629,"_",F$3),materiali!$C:$K,5,0),"")</f>
        <v/>
      </c>
      <c r="G629" s="85" t="str">
        <f>IFERROR(VLOOKUP(CONCATENATE($B629,"_",G$3),materiali!$C:$K,6,0),"")</f>
        <v/>
      </c>
      <c r="H629" s="86"/>
      <c r="I629" s="84" t="str">
        <f>IFERROR(VLOOKUP(CONCATENATE($B629,"_",I$3),materiali!$C:$K,5,0),"")</f>
        <v/>
      </c>
      <c r="J629" s="85" t="str">
        <f>IFERROR(VLOOKUP(CONCATENATE($B629,"_",J$3),materiali!$C:$K,6,0),"")</f>
        <v/>
      </c>
      <c r="K629" s="86"/>
      <c r="L629" s="84" t="str">
        <f>IFERROR(VLOOKUP(CONCATENATE($B629,"_",L$3),materiali!$C:$K,5,0),"")</f>
        <v/>
      </c>
      <c r="M629" s="85" t="str">
        <f>IFERROR(VLOOKUP(CONCATENATE($B629,"_",M$3),materiali!$C:$K,6,0),"")</f>
        <v/>
      </c>
      <c r="N629" s="86"/>
      <c r="O629" s="84" t="str">
        <f>IFERROR(VLOOKUP(CONCATENATE($B629,"_",O$3),materiali!$C:$K,5,0),"")</f>
        <v/>
      </c>
      <c r="P629" s="85" t="str">
        <f>IFERROR(VLOOKUP(CONCATENATE($B629,"_",P$3),materiali!$C:$K,6,0),"")</f>
        <v/>
      </c>
      <c r="Q629" s="86"/>
      <c r="R629" s="84" t="str">
        <f>IFERROR(VLOOKUP(CONCATENATE($B629,"_",R$3),materiali!$C:$K,5,0),"")</f>
        <v/>
      </c>
      <c r="S629" s="85" t="str">
        <f>IFERROR(VLOOKUP(CONCATENATE($B629,"_",S$3),materiali!$C:$K,6,0),"")</f>
        <v/>
      </c>
      <c r="T629" s="86"/>
      <c r="U629" s="31"/>
      <c r="AD629" s="97"/>
    </row>
    <row r="630" spans="1:30" ht="35.1" hidden="1" customHeight="1" x14ac:dyDescent="0.25">
      <c r="A630" s="83"/>
      <c r="B630" s="7"/>
      <c r="C630" s="8"/>
      <c r="D630" s="8"/>
      <c r="E630" s="60"/>
      <c r="F630" s="84" t="str">
        <f>IFERROR(VLOOKUP(CONCATENATE($B630,"_",F$3),materiali!$C:$K,5,0),"")</f>
        <v/>
      </c>
      <c r="G630" s="85" t="str">
        <f>IFERROR(VLOOKUP(CONCATENATE($B630,"_",G$3),materiali!$C:$K,6,0),"")</f>
        <v/>
      </c>
      <c r="H630" s="86"/>
      <c r="I630" s="84" t="str">
        <f>IFERROR(VLOOKUP(CONCATENATE($B630,"_",I$3),materiali!$C:$K,5,0),"")</f>
        <v/>
      </c>
      <c r="J630" s="85" t="str">
        <f>IFERROR(VLOOKUP(CONCATENATE($B630,"_",J$3),materiali!$C:$K,6,0),"")</f>
        <v/>
      </c>
      <c r="K630" s="86"/>
      <c r="L630" s="84" t="str">
        <f>IFERROR(VLOOKUP(CONCATENATE($B630,"_",L$3),materiali!$C:$K,5,0),"")</f>
        <v/>
      </c>
      <c r="M630" s="85" t="str">
        <f>IFERROR(VLOOKUP(CONCATENATE($B630,"_",M$3),materiali!$C:$K,6,0),"")</f>
        <v/>
      </c>
      <c r="N630" s="86"/>
      <c r="O630" s="84" t="str">
        <f>IFERROR(VLOOKUP(CONCATENATE($B630,"_",O$3),materiali!$C:$K,5,0),"")</f>
        <v/>
      </c>
      <c r="P630" s="85" t="str">
        <f>IFERROR(VLOOKUP(CONCATENATE($B630,"_",P$3),materiali!$C:$K,6,0),"")</f>
        <v/>
      </c>
      <c r="Q630" s="86"/>
      <c r="R630" s="84" t="str">
        <f>IFERROR(VLOOKUP(CONCATENATE($B630,"_",R$3),materiali!$C:$K,5,0),"")</f>
        <v/>
      </c>
      <c r="S630" s="85" t="str">
        <f>IFERROR(VLOOKUP(CONCATENATE($B630,"_",S$3),materiali!$C:$K,6,0),"")</f>
        <v/>
      </c>
      <c r="T630" s="86"/>
      <c r="U630" s="31"/>
      <c r="AD630" s="97"/>
    </row>
    <row r="631" spans="1:30" ht="35.1" hidden="1" customHeight="1" x14ac:dyDescent="0.25">
      <c r="A631" s="83"/>
      <c r="B631" s="7"/>
      <c r="C631" s="8"/>
      <c r="D631" s="8"/>
      <c r="E631" s="60"/>
      <c r="F631" s="84" t="str">
        <f>IFERROR(VLOOKUP(CONCATENATE($B631,"_",F$3),materiali!$C:$K,5,0),"")</f>
        <v/>
      </c>
      <c r="G631" s="85" t="str">
        <f>IFERROR(VLOOKUP(CONCATENATE($B631,"_",G$3),materiali!$C:$K,6,0),"")</f>
        <v/>
      </c>
      <c r="H631" s="86"/>
      <c r="I631" s="84" t="str">
        <f>IFERROR(VLOOKUP(CONCATENATE($B631,"_",I$3),materiali!$C:$K,5,0),"")</f>
        <v/>
      </c>
      <c r="J631" s="85" t="str">
        <f>IFERROR(VLOOKUP(CONCATENATE($B631,"_",J$3),materiali!$C:$K,6,0),"")</f>
        <v/>
      </c>
      <c r="K631" s="86"/>
      <c r="L631" s="84" t="str">
        <f>IFERROR(VLOOKUP(CONCATENATE($B631,"_",L$3),materiali!$C:$K,5,0),"")</f>
        <v/>
      </c>
      <c r="M631" s="85" t="str">
        <f>IFERROR(VLOOKUP(CONCATENATE($B631,"_",M$3),materiali!$C:$K,6,0),"")</f>
        <v/>
      </c>
      <c r="N631" s="86"/>
      <c r="O631" s="84" t="str">
        <f>IFERROR(VLOOKUP(CONCATENATE($B631,"_",O$3),materiali!$C:$K,5,0),"")</f>
        <v/>
      </c>
      <c r="P631" s="85" t="str">
        <f>IFERROR(VLOOKUP(CONCATENATE($B631,"_",P$3),materiali!$C:$K,6,0),"")</f>
        <v/>
      </c>
      <c r="Q631" s="86"/>
      <c r="R631" s="84" t="str">
        <f>IFERROR(VLOOKUP(CONCATENATE($B631,"_",R$3),materiali!$C:$K,5,0),"")</f>
        <v/>
      </c>
      <c r="S631" s="85" t="str">
        <f>IFERROR(VLOOKUP(CONCATENATE($B631,"_",S$3),materiali!$C:$K,6,0),"")</f>
        <v/>
      </c>
      <c r="T631" s="86"/>
      <c r="U631" s="31"/>
      <c r="AD631" s="97"/>
    </row>
    <row r="632" spans="1:30" ht="35.1" hidden="1" customHeight="1" x14ac:dyDescent="0.25">
      <c r="A632" s="83"/>
      <c r="B632" s="7"/>
      <c r="C632" s="8"/>
      <c r="D632" s="8"/>
      <c r="E632" s="60"/>
      <c r="F632" s="84" t="str">
        <f>IFERROR(VLOOKUP(CONCATENATE($B632,"_",F$3),materiali!$C:$K,5,0),"")</f>
        <v/>
      </c>
      <c r="G632" s="85" t="str">
        <f>IFERROR(VLOOKUP(CONCATENATE($B632,"_",G$3),materiali!$C:$K,6,0),"")</f>
        <v/>
      </c>
      <c r="H632" s="86"/>
      <c r="I632" s="84" t="str">
        <f>IFERROR(VLOOKUP(CONCATENATE($B632,"_",I$3),materiali!$C:$K,5,0),"")</f>
        <v/>
      </c>
      <c r="J632" s="85" t="str">
        <f>IFERROR(VLOOKUP(CONCATENATE($B632,"_",J$3),materiali!$C:$K,6,0),"")</f>
        <v/>
      </c>
      <c r="K632" s="86"/>
      <c r="L632" s="84" t="str">
        <f>IFERROR(VLOOKUP(CONCATENATE($B632,"_",L$3),materiali!$C:$K,5,0),"")</f>
        <v/>
      </c>
      <c r="M632" s="85" t="str">
        <f>IFERROR(VLOOKUP(CONCATENATE($B632,"_",M$3),materiali!$C:$K,6,0),"")</f>
        <v/>
      </c>
      <c r="N632" s="86"/>
      <c r="O632" s="84" t="str">
        <f>IFERROR(VLOOKUP(CONCATENATE($B632,"_",O$3),materiali!$C:$K,5,0),"")</f>
        <v/>
      </c>
      <c r="P632" s="85" t="str">
        <f>IFERROR(VLOOKUP(CONCATENATE($B632,"_",P$3),materiali!$C:$K,6,0),"")</f>
        <v/>
      </c>
      <c r="Q632" s="86"/>
      <c r="R632" s="84" t="str">
        <f>IFERROR(VLOOKUP(CONCATENATE($B632,"_",R$3),materiali!$C:$K,5,0),"")</f>
        <v/>
      </c>
      <c r="S632" s="85" t="str">
        <f>IFERROR(VLOOKUP(CONCATENATE($B632,"_",S$3),materiali!$C:$K,6,0),"")</f>
        <v/>
      </c>
      <c r="T632" s="86"/>
      <c r="U632" s="31"/>
      <c r="AD632" s="97"/>
    </row>
    <row r="633" spans="1:30" ht="35.1" hidden="1" customHeight="1" x14ac:dyDescent="0.25">
      <c r="A633" s="83"/>
      <c r="B633" s="7"/>
      <c r="C633" s="8"/>
      <c r="D633" s="8"/>
      <c r="E633" s="60"/>
      <c r="F633" s="84" t="str">
        <f>IFERROR(VLOOKUP(CONCATENATE($B633,"_",F$3),materiali!$C:$K,5,0),"")</f>
        <v/>
      </c>
      <c r="G633" s="85" t="str">
        <f>IFERROR(VLOOKUP(CONCATENATE($B633,"_",G$3),materiali!$C:$K,6,0),"")</f>
        <v/>
      </c>
      <c r="H633" s="86"/>
      <c r="I633" s="84" t="str">
        <f>IFERROR(VLOOKUP(CONCATENATE($B633,"_",I$3),materiali!$C:$K,5,0),"")</f>
        <v/>
      </c>
      <c r="J633" s="85" t="str">
        <f>IFERROR(VLOOKUP(CONCATENATE($B633,"_",J$3),materiali!$C:$K,6,0),"")</f>
        <v/>
      </c>
      <c r="K633" s="86"/>
      <c r="L633" s="84" t="str">
        <f>IFERROR(VLOOKUP(CONCATENATE($B633,"_",L$3),materiali!$C:$K,5,0),"")</f>
        <v/>
      </c>
      <c r="M633" s="85" t="str">
        <f>IFERROR(VLOOKUP(CONCATENATE($B633,"_",M$3),materiali!$C:$K,6,0),"")</f>
        <v/>
      </c>
      <c r="N633" s="86"/>
      <c r="O633" s="84" t="str">
        <f>IFERROR(VLOOKUP(CONCATENATE($B633,"_",O$3),materiali!$C:$K,5,0),"")</f>
        <v/>
      </c>
      <c r="P633" s="85" t="str">
        <f>IFERROR(VLOOKUP(CONCATENATE($B633,"_",P$3),materiali!$C:$K,6,0),"")</f>
        <v/>
      </c>
      <c r="Q633" s="86"/>
      <c r="R633" s="84" t="str">
        <f>IFERROR(VLOOKUP(CONCATENATE($B633,"_",R$3),materiali!$C:$K,5,0),"")</f>
        <v/>
      </c>
      <c r="S633" s="85" t="str">
        <f>IFERROR(VLOOKUP(CONCATENATE($B633,"_",S$3),materiali!$C:$K,6,0),"")</f>
        <v/>
      </c>
      <c r="T633" s="86"/>
      <c r="U633" s="31"/>
      <c r="AD633" s="97"/>
    </row>
    <row r="634" spans="1:30" ht="35.1" hidden="1" customHeight="1" x14ac:dyDescent="0.25">
      <c r="A634" s="83"/>
      <c r="B634" s="7"/>
      <c r="C634" s="8"/>
      <c r="D634" s="8"/>
      <c r="E634" s="60"/>
      <c r="F634" s="84" t="str">
        <f>IFERROR(VLOOKUP(CONCATENATE($B634,"_",F$3),materiali!$C:$K,5,0),"")</f>
        <v/>
      </c>
      <c r="G634" s="85" t="str">
        <f>IFERROR(VLOOKUP(CONCATENATE($B634,"_",G$3),materiali!$C:$K,6,0),"")</f>
        <v/>
      </c>
      <c r="H634" s="86"/>
      <c r="I634" s="84" t="str">
        <f>IFERROR(VLOOKUP(CONCATENATE($B634,"_",I$3),materiali!$C:$K,5,0),"")</f>
        <v/>
      </c>
      <c r="J634" s="85" t="str">
        <f>IFERROR(VLOOKUP(CONCATENATE($B634,"_",J$3),materiali!$C:$K,6,0),"")</f>
        <v/>
      </c>
      <c r="K634" s="86"/>
      <c r="L634" s="84" t="str">
        <f>IFERROR(VLOOKUP(CONCATENATE($B634,"_",L$3),materiali!$C:$K,5,0),"")</f>
        <v/>
      </c>
      <c r="M634" s="85" t="str">
        <f>IFERROR(VLOOKUP(CONCATENATE($B634,"_",M$3),materiali!$C:$K,6,0),"")</f>
        <v/>
      </c>
      <c r="N634" s="86"/>
      <c r="O634" s="84" t="str">
        <f>IFERROR(VLOOKUP(CONCATENATE($B634,"_",O$3),materiali!$C:$K,5,0),"")</f>
        <v/>
      </c>
      <c r="P634" s="85" t="str">
        <f>IFERROR(VLOOKUP(CONCATENATE($B634,"_",P$3),materiali!$C:$K,6,0),"")</f>
        <v/>
      </c>
      <c r="Q634" s="86"/>
      <c r="R634" s="84" t="str">
        <f>IFERROR(VLOOKUP(CONCATENATE($B634,"_",R$3),materiali!$C:$K,5,0),"")</f>
        <v/>
      </c>
      <c r="S634" s="85" t="str">
        <f>IFERROR(VLOOKUP(CONCATENATE($B634,"_",S$3),materiali!$C:$K,6,0),"")</f>
        <v/>
      </c>
      <c r="T634" s="86"/>
      <c r="U634" s="31"/>
      <c r="AD634" s="97"/>
    </row>
    <row r="635" spans="1:30" ht="35.1" hidden="1" customHeight="1" x14ac:dyDescent="0.25">
      <c r="A635" s="83"/>
      <c r="B635" s="7"/>
      <c r="C635" s="8"/>
      <c r="D635" s="8"/>
      <c r="E635" s="60"/>
      <c r="F635" s="84" t="str">
        <f>IFERROR(VLOOKUP(CONCATENATE($B635,"_",F$3),materiali!$C:$K,5,0),"")</f>
        <v/>
      </c>
      <c r="G635" s="85" t="str">
        <f>IFERROR(VLOOKUP(CONCATENATE($B635,"_",G$3),materiali!$C:$K,6,0),"")</f>
        <v/>
      </c>
      <c r="H635" s="86"/>
      <c r="I635" s="84" t="str">
        <f>IFERROR(VLOOKUP(CONCATENATE($B635,"_",I$3),materiali!$C:$K,5,0),"")</f>
        <v/>
      </c>
      <c r="J635" s="85" t="str">
        <f>IFERROR(VLOOKUP(CONCATENATE($B635,"_",J$3),materiali!$C:$K,6,0),"")</f>
        <v/>
      </c>
      <c r="K635" s="86"/>
      <c r="L635" s="84" t="str">
        <f>IFERROR(VLOOKUP(CONCATENATE($B635,"_",L$3),materiali!$C:$K,5,0),"")</f>
        <v/>
      </c>
      <c r="M635" s="85" t="str">
        <f>IFERROR(VLOOKUP(CONCATENATE($B635,"_",M$3),materiali!$C:$K,6,0),"")</f>
        <v/>
      </c>
      <c r="N635" s="86"/>
      <c r="O635" s="84" t="str">
        <f>IFERROR(VLOOKUP(CONCATENATE($B635,"_",O$3),materiali!$C:$K,5,0),"")</f>
        <v/>
      </c>
      <c r="P635" s="85" t="str">
        <f>IFERROR(VLOOKUP(CONCATENATE($B635,"_",P$3),materiali!$C:$K,6,0),"")</f>
        <v/>
      </c>
      <c r="Q635" s="86"/>
      <c r="R635" s="84" t="str">
        <f>IFERROR(VLOOKUP(CONCATENATE($B635,"_",R$3),materiali!$C:$K,5,0),"")</f>
        <v/>
      </c>
      <c r="S635" s="85" t="str">
        <f>IFERROR(VLOOKUP(CONCATENATE($B635,"_",S$3),materiali!$C:$K,6,0),"")</f>
        <v/>
      </c>
      <c r="T635" s="86"/>
      <c r="U635" s="31"/>
      <c r="AD635" s="97"/>
    </row>
    <row r="636" spans="1:30" ht="35.1" hidden="1" customHeight="1" x14ac:dyDescent="0.25">
      <c r="A636" s="83"/>
      <c r="B636" s="7"/>
      <c r="C636" s="8"/>
      <c r="D636" s="8"/>
      <c r="E636" s="60"/>
      <c r="F636" s="84" t="str">
        <f>IFERROR(VLOOKUP(CONCATENATE($B636,"_",F$3),materiali!$C:$K,5,0),"")</f>
        <v/>
      </c>
      <c r="G636" s="85" t="str">
        <f>IFERROR(VLOOKUP(CONCATENATE($B636,"_",G$3),materiali!$C:$K,6,0),"")</f>
        <v/>
      </c>
      <c r="H636" s="86"/>
      <c r="I636" s="84" t="str">
        <f>IFERROR(VLOOKUP(CONCATENATE($B636,"_",I$3),materiali!$C:$K,5,0),"")</f>
        <v/>
      </c>
      <c r="J636" s="85" t="str">
        <f>IFERROR(VLOOKUP(CONCATENATE($B636,"_",J$3),materiali!$C:$K,6,0),"")</f>
        <v/>
      </c>
      <c r="K636" s="86"/>
      <c r="L636" s="84" t="str">
        <f>IFERROR(VLOOKUP(CONCATENATE($B636,"_",L$3),materiali!$C:$K,5,0),"")</f>
        <v/>
      </c>
      <c r="M636" s="85" t="str">
        <f>IFERROR(VLOOKUP(CONCATENATE($B636,"_",M$3),materiali!$C:$K,6,0),"")</f>
        <v/>
      </c>
      <c r="N636" s="86"/>
      <c r="O636" s="84" t="str">
        <f>IFERROR(VLOOKUP(CONCATENATE($B636,"_",O$3),materiali!$C:$K,5,0),"")</f>
        <v/>
      </c>
      <c r="P636" s="85" t="str">
        <f>IFERROR(VLOOKUP(CONCATENATE($B636,"_",P$3),materiali!$C:$K,6,0),"")</f>
        <v/>
      </c>
      <c r="Q636" s="86"/>
      <c r="R636" s="84" t="str">
        <f>IFERROR(VLOOKUP(CONCATENATE($B636,"_",R$3),materiali!$C:$K,5,0),"")</f>
        <v/>
      </c>
      <c r="S636" s="85" t="str">
        <f>IFERROR(VLOOKUP(CONCATENATE($B636,"_",S$3),materiali!$C:$K,6,0),"")</f>
        <v/>
      </c>
      <c r="T636" s="86"/>
      <c r="U636" s="31"/>
      <c r="AD636" s="97"/>
    </row>
    <row r="637" spans="1:30" ht="35.1" hidden="1" customHeight="1" x14ac:dyDescent="0.25">
      <c r="A637" s="83"/>
      <c r="B637" s="7"/>
      <c r="C637" s="8"/>
      <c r="D637" s="8"/>
      <c r="E637" s="60"/>
      <c r="F637" s="84" t="str">
        <f>IFERROR(VLOOKUP(CONCATENATE($B637,"_",F$3),materiali!$C:$K,5,0),"")</f>
        <v/>
      </c>
      <c r="G637" s="85" t="str">
        <f>IFERROR(VLOOKUP(CONCATENATE($B637,"_",G$3),materiali!$C:$K,6,0),"")</f>
        <v/>
      </c>
      <c r="H637" s="86"/>
      <c r="I637" s="84" t="str">
        <f>IFERROR(VLOOKUP(CONCATENATE($B637,"_",I$3),materiali!$C:$K,5,0),"")</f>
        <v/>
      </c>
      <c r="J637" s="85" t="str">
        <f>IFERROR(VLOOKUP(CONCATENATE($B637,"_",J$3),materiali!$C:$K,6,0),"")</f>
        <v/>
      </c>
      <c r="K637" s="86"/>
      <c r="L637" s="84" t="str">
        <f>IFERROR(VLOOKUP(CONCATENATE($B637,"_",L$3),materiali!$C:$K,5,0),"")</f>
        <v/>
      </c>
      <c r="M637" s="85" t="str">
        <f>IFERROR(VLOOKUP(CONCATENATE($B637,"_",M$3),materiali!$C:$K,6,0),"")</f>
        <v/>
      </c>
      <c r="N637" s="86"/>
      <c r="O637" s="84" t="str">
        <f>IFERROR(VLOOKUP(CONCATENATE($B637,"_",O$3),materiali!$C:$K,5,0),"")</f>
        <v/>
      </c>
      <c r="P637" s="85" t="str">
        <f>IFERROR(VLOOKUP(CONCATENATE($B637,"_",P$3),materiali!$C:$K,6,0),"")</f>
        <v/>
      </c>
      <c r="Q637" s="86"/>
      <c r="R637" s="84" t="str">
        <f>IFERROR(VLOOKUP(CONCATENATE($B637,"_",R$3),materiali!$C:$K,5,0),"")</f>
        <v/>
      </c>
      <c r="S637" s="85" t="str">
        <f>IFERROR(VLOOKUP(CONCATENATE($B637,"_",S$3),materiali!$C:$K,6,0),"")</f>
        <v/>
      </c>
      <c r="T637" s="86"/>
      <c r="U637" s="31"/>
      <c r="AD637" s="97"/>
    </row>
    <row r="638" spans="1:30" ht="35.1" hidden="1" customHeight="1" x14ac:dyDescent="0.25">
      <c r="A638" s="83"/>
      <c r="B638" s="7"/>
      <c r="C638" s="8"/>
      <c r="D638" s="8"/>
      <c r="E638" s="60"/>
      <c r="F638" s="84" t="str">
        <f>IFERROR(VLOOKUP(CONCATENATE($B638,"_",F$3),materiali!$C:$K,5,0),"")</f>
        <v/>
      </c>
      <c r="G638" s="85" t="str">
        <f>IFERROR(VLOOKUP(CONCATENATE($B638,"_",G$3),materiali!$C:$K,6,0),"")</f>
        <v/>
      </c>
      <c r="H638" s="86"/>
      <c r="I638" s="84" t="str">
        <f>IFERROR(VLOOKUP(CONCATENATE($B638,"_",I$3),materiali!$C:$K,5,0),"")</f>
        <v/>
      </c>
      <c r="J638" s="85" t="str">
        <f>IFERROR(VLOOKUP(CONCATENATE($B638,"_",J$3),materiali!$C:$K,6,0),"")</f>
        <v/>
      </c>
      <c r="K638" s="86"/>
      <c r="L638" s="84" t="str">
        <f>IFERROR(VLOOKUP(CONCATENATE($B638,"_",L$3),materiali!$C:$K,5,0),"")</f>
        <v/>
      </c>
      <c r="M638" s="85" t="str">
        <f>IFERROR(VLOOKUP(CONCATENATE($B638,"_",M$3),materiali!$C:$K,6,0),"")</f>
        <v/>
      </c>
      <c r="N638" s="86"/>
      <c r="O638" s="84" t="str">
        <f>IFERROR(VLOOKUP(CONCATENATE($B638,"_",O$3),materiali!$C:$K,5,0),"")</f>
        <v/>
      </c>
      <c r="P638" s="85" t="str">
        <f>IFERROR(VLOOKUP(CONCATENATE($B638,"_",P$3),materiali!$C:$K,6,0),"")</f>
        <v/>
      </c>
      <c r="Q638" s="86"/>
      <c r="R638" s="84" t="str">
        <f>IFERROR(VLOOKUP(CONCATENATE($B638,"_",R$3),materiali!$C:$K,5,0),"")</f>
        <v/>
      </c>
      <c r="S638" s="85" t="str">
        <f>IFERROR(VLOOKUP(CONCATENATE($B638,"_",S$3),materiali!$C:$K,6,0),"")</f>
        <v/>
      </c>
      <c r="T638" s="86"/>
      <c r="U638" s="31"/>
      <c r="AD638" s="97"/>
    </row>
    <row r="639" spans="1:30" ht="35.1" hidden="1" customHeight="1" x14ac:dyDescent="0.25">
      <c r="A639" s="83"/>
      <c r="B639" s="7"/>
      <c r="C639" s="8"/>
      <c r="D639" s="8"/>
      <c r="E639" s="60"/>
      <c r="F639" s="84" t="str">
        <f>IFERROR(VLOOKUP(CONCATENATE($B639,"_",F$3),materiali!$C:$K,5,0),"")</f>
        <v/>
      </c>
      <c r="G639" s="85" t="str">
        <f>IFERROR(VLOOKUP(CONCATENATE($B639,"_",G$3),materiali!$C:$K,6,0),"")</f>
        <v/>
      </c>
      <c r="H639" s="86"/>
      <c r="I639" s="84" t="str">
        <f>IFERROR(VLOOKUP(CONCATENATE($B639,"_",I$3),materiali!$C:$K,5,0),"")</f>
        <v/>
      </c>
      <c r="J639" s="85" t="str">
        <f>IFERROR(VLOOKUP(CONCATENATE($B639,"_",J$3),materiali!$C:$K,6,0),"")</f>
        <v/>
      </c>
      <c r="K639" s="86"/>
      <c r="L639" s="84" t="str">
        <f>IFERROR(VLOOKUP(CONCATENATE($B639,"_",L$3),materiali!$C:$K,5,0),"")</f>
        <v/>
      </c>
      <c r="M639" s="85" t="str">
        <f>IFERROR(VLOOKUP(CONCATENATE($B639,"_",M$3),materiali!$C:$K,6,0),"")</f>
        <v/>
      </c>
      <c r="N639" s="86"/>
      <c r="O639" s="84" t="str">
        <f>IFERROR(VLOOKUP(CONCATENATE($B639,"_",O$3),materiali!$C:$K,5,0),"")</f>
        <v/>
      </c>
      <c r="P639" s="85" t="str">
        <f>IFERROR(VLOOKUP(CONCATENATE($B639,"_",P$3),materiali!$C:$K,6,0),"")</f>
        <v/>
      </c>
      <c r="Q639" s="86"/>
      <c r="R639" s="84" t="str">
        <f>IFERROR(VLOOKUP(CONCATENATE($B639,"_",R$3),materiali!$C:$K,5,0),"")</f>
        <v/>
      </c>
      <c r="S639" s="85" t="str">
        <f>IFERROR(VLOOKUP(CONCATENATE($B639,"_",S$3),materiali!$C:$K,6,0),"")</f>
        <v/>
      </c>
      <c r="T639" s="86"/>
      <c r="U639" s="31"/>
      <c r="AD639" s="97"/>
    </row>
    <row r="640" spans="1:30" ht="35.1" hidden="1" customHeight="1" x14ac:dyDescent="0.25">
      <c r="A640" s="83"/>
      <c r="B640" s="7"/>
      <c r="C640" s="8"/>
      <c r="D640" s="8"/>
      <c r="E640" s="60"/>
      <c r="F640" s="84" t="str">
        <f>IFERROR(VLOOKUP(CONCATENATE($B640,"_",F$3),materiali!$C:$K,5,0),"")</f>
        <v/>
      </c>
      <c r="G640" s="85" t="str">
        <f>IFERROR(VLOOKUP(CONCATENATE($B640,"_",G$3),materiali!$C:$K,6,0),"")</f>
        <v/>
      </c>
      <c r="H640" s="86"/>
      <c r="I640" s="84" t="str">
        <f>IFERROR(VLOOKUP(CONCATENATE($B640,"_",I$3),materiali!$C:$K,5,0),"")</f>
        <v/>
      </c>
      <c r="J640" s="85" t="str">
        <f>IFERROR(VLOOKUP(CONCATENATE($B640,"_",J$3),materiali!$C:$K,6,0),"")</f>
        <v/>
      </c>
      <c r="K640" s="86"/>
      <c r="L640" s="84" t="str">
        <f>IFERROR(VLOOKUP(CONCATENATE($B640,"_",L$3),materiali!$C:$K,5,0),"")</f>
        <v/>
      </c>
      <c r="M640" s="85" t="str">
        <f>IFERROR(VLOOKUP(CONCATENATE($B640,"_",M$3),materiali!$C:$K,6,0),"")</f>
        <v/>
      </c>
      <c r="N640" s="86"/>
      <c r="O640" s="84" t="str">
        <f>IFERROR(VLOOKUP(CONCATENATE($B640,"_",O$3),materiali!$C:$K,5,0),"")</f>
        <v/>
      </c>
      <c r="P640" s="85" t="str">
        <f>IFERROR(VLOOKUP(CONCATENATE($B640,"_",P$3),materiali!$C:$K,6,0),"")</f>
        <v/>
      </c>
      <c r="Q640" s="86"/>
      <c r="R640" s="84" t="str">
        <f>IFERROR(VLOOKUP(CONCATENATE($B640,"_",R$3),materiali!$C:$K,5,0),"")</f>
        <v/>
      </c>
      <c r="S640" s="85" t="str">
        <f>IFERROR(VLOOKUP(CONCATENATE($B640,"_",S$3),materiali!$C:$K,6,0),"")</f>
        <v/>
      </c>
      <c r="T640" s="86"/>
      <c r="U640" s="31"/>
      <c r="AD640" s="97"/>
    </row>
    <row r="641" spans="1:30" ht="35.1" hidden="1" customHeight="1" x14ac:dyDescent="0.25">
      <c r="A641" s="83"/>
      <c r="B641" s="7"/>
      <c r="C641" s="8"/>
      <c r="D641" s="8"/>
      <c r="E641" s="60"/>
      <c r="F641" s="84" t="str">
        <f>IFERROR(VLOOKUP(CONCATENATE($B641,"_",F$3),materiali!$C:$K,5,0),"")</f>
        <v/>
      </c>
      <c r="G641" s="85" t="str">
        <f>IFERROR(VLOOKUP(CONCATENATE($B641,"_",G$3),materiali!$C:$K,6,0),"")</f>
        <v/>
      </c>
      <c r="H641" s="86"/>
      <c r="I641" s="84" t="str">
        <f>IFERROR(VLOOKUP(CONCATENATE($B641,"_",I$3),materiali!$C:$K,5,0),"")</f>
        <v/>
      </c>
      <c r="J641" s="85" t="str">
        <f>IFERROR(VLOOKUP(CONCATENATE($B641,"_",J$3),materiali!$C:$K,6,0),"")</f>
        <v/>
      </c>
      <c r="K641" s="86"/>
      <c r="L641" s="84" t="str">
        <f>IFERROR(VLOOKUP(CONCATENATE($B641,"_",L$3),materiali!$C:$K,5,0),"")</f>
        <v/>
      </c>
      <c r="M641" s="85" t="str">
        <f>IFERROR(VLOOKUP(CONCATENATE($B641,"_",M$3),materiali!$C:$K,6,0),"")</f>
        <v/>
      </c>
      <c r="N641" s="86"/>
      <c r="O641" s="84" t="str">
        <f>IFERROR(VLOOKUP(CONCATENATE($B641,"_",O$3),materiali!$C:$K,5,0),"")</f>
        <v/>
      </c>
      <c r="P641" s="85" t="str">
        <f>IFERROR(VLOOKUP(CONCATENATE($B641,"_",P$3),materiali!$C:$K,6,0),"")</f>
        <v/>
      </c>
      <c r="Q641" s="86"/>
      <c r="R641" s="84" t="str">
        <f>IFERROR(VLOOKUP(CONCATENATE($B641,"_",R$3),materiali!$C:$K,5,0),"")</f>
        <v/>
      </c>
      <c r="S641" s="85" t="str">
        <f>IFERROR(VLOOKUP(CONCATENATE($B641,"_",S$3),materiali!$C:$K,6,0),"")</f>
        <v/>
      </c>
      <c r="T641" s="86"/>
      <c r="U641" s="31"/>
      <c r="AD641" s="97"/>
    </row>
    <row r="642" spans="1:30" ht="35.1" hidden="1" customHeight="1" x14ac:dyDescent="0.25">
      <c r="A642" s="83"/>
      <c r="B642" s="7"/>
      <c r="C642" s="8"/>
      <c r="D642" s="8"/>
      <c r="E642" s="60"/>
      <c r="F642" s="84" t="str">
        <f>IFERROR(VLOOKUP(CONCATENATE($B642,"_",F$3),materiali!$C:$K,5,0),"")</f>
        <v/>
      </c>
      <c r="G642" s="85" t="str">
        <f>IFERROR(VLOOKUP(CONCATENATE($B642,"_",G$3),materiali!$C:$K,6,0),"")</f>
        <v/>
      </c>
      <c r="H642" s="86"/>
      <c r="I642" s="84" t="str">
        <f>IFERROR(VLOOKUP(CONCATENATE($B642,"_",I$3),materiali!$C:$K,5,0),"")</f>
        <v/>
      </c>
      <c r="J642" s="85" t="str">
        <f>IFERROR(VLOOKUP(CONCATENATE($B642,"_",J$3),materiali!$C:$K,6,0),"")</f>
        <v/>
      </c>
      <c r="K642" s="86"/>
      <c r="L642" s="84" t="str">
        <f>IFERROR(VLOOKUP(CONCATENATE($B642,"_",L$3),materiali!$C:$K,5,0),"")</f>
        <v/>
      </c>
      <c r="M642" s="85" t="str">
        <f>IFERROR(VLOOKUP(CONCATENATE($B642,"_",M$3),materiali!$C:$K,6,0),"")</f>
        <v/>
      </c>
      <c r="N642" s="86"/>
      <c r="O642" s="84" t="str">
        <f>IFERROR(VLOOKUP(CONCATENATE($B642,"_",O$3),materiali!$C:$K,5,0),"")</f>
        <v/>
      </c>
      <c r="P642" s="85" t="str">
        <f>IFERROR(VLOOKUP(CONCATENATE($B642,"_",P$3),materiali!$C:$K,6,0),"")</f>
        <v/>
      </c>
      <c r="Q642" s="86"/>
      <c r="R642" s="84" t="str">
        <f>IFERROR(VLOOKUP(CONCATENATE($B642,"_",R$3),materiali!$C:$K,5,0),"")</f>
        <v/>
      </c>
      <c r="S642" s="85" t="str">
        <f>IFERROR(VLOOKUP(CONCATENATE($B642,"_",S$3),materiali!$C:$K,6,0),"")</f>
        <v/>
      </c>
      <c r="T642" s="86"/>
      <c r="U642" s="31"/>
      <c r="AD642" s="97"/>
    </row>
    <row r="643" spans="1:30" ht="35.1" hidden="1" customHeight="1" x14ac:dyDescent="0.25">
      <c r="A643" s="83"/>
      <c r="B643" s="7"/>
      <c r="C643" s="8"/>
      <c r="D643" s="8"/>
      <c r="E643" s="60"/>
      <c r="F643" s="84" t="str">
        <f>IFERROR(VLOOKUP(CONCATENATE($B643,"_",F$3),materiali!$C:$K,5,0),"")</f>
        <v/>
      </c>
      <c r="G643" s="85" t="str">
        <f>IFERROR(VLOOKUP(CONCATENATE($B643,"_",G$3),materiali!$C:$K,6,0),"")</f>
        <v/>
      </c>
      <c r="H643" s="86"/>
      <c r="I643" s="84" t="str">
        <f>IFERROR(VLOOKUP(CONCATENATE($B643,"_",I$3),materiali!$C:$K,5,0),"")</f>
        <v/>
      </c>
      <c r="J643" s="85" t="str">
        <f>IFERROR(VLOOKUP(CONCATENATE($B643,"_",J$3),materiali!$C:$K,6,0),"")</f>
        <v/>
      </c>
      <c r="K643" s="86"/>
      <c r="L643" s="84" t="str">
        <f>IFERROR(VLOOKUP(CONCATENATE($B643,"_",L$3),materiali!$C:$K,5,0),"")</f>
        <v/>
      </c>
      <c r="M643" s="85" t="str">
        <f>IFERROR(VLOOKUP(CONCATENATE($B643,"_",M$3),materiali!$C:$K,6,0),"")</f>
        <v/>
      </c>
      <c r="N643" s="86"/>
      <c r="O643" s="84" t="str">
        <f>IFERROR(VLOOKUP(CONCATENATE($B643,"_",O$3),materiali!$C:$K,5,0),"")</f>
        <v/>
      </c>
      <c r="P643" s="85" t="str">
        <f>IFERROR(VLOOKUP(CONCATENATE($B643,"_",P$3),materiali!$C:$K,6,0),"")</f>
        <v/>
      </c>
      <c r="Q643" s="86"/>
      <c r="R643" s="84" t="str">
        <f>IFERROR(VLOOKUP(CONCATENATE($B643,"_",R$3),materiali!$C:$K,5,0),"")</f>
        <v/>
      </c>
      <c r="S643" s="85" t="str">
        <f>IFERROR(VLOOKUP(CONCATENATE($B643,"_",S$3),materiali!$C:$K,6,0),"")</f>
        <v/>
      </c>
      <c r="T643" s="86"/>
      <c r="U643" s="31"/>
      <c r="AD643" s="97"/>
    </row>
    <row r="644" spans="1:30" ht="35.1" hidden="1" customHeight="1" x14ac:dyDescent="0.25">
      <c r="A644" s="83"/>
      <c r="B644" s="7"/>
      <c r="C644" s="8"/>
      <c r="D644" s="8"/>
      <c r="E644" s="60"/>
      <c r="F644" s="84" t="str">
        <f>IFERROR(VLOOKUP(CONCATENATE($B644,"_",F$3),materiali!$C:$K,5,0),"")</f>
        <v/>
      </c>
      <c r="G644" s="85" t="str">
        <f>IFERROR(VLOOKUP(CONCATENATE($B644,"_",G$3),materiali!$C:$K,6,0),"")</f>
        <v/>
      </c>
      <c r="H644" s="86"/>
      <c r="I644" s="84" t="str">
        <f>IFERROR(VLOOKUP(CONCATENATE($B644,"_",I$3),materiali!$C:$K,5,0),"")</f>
        <v/>
      </c>
      <c r="J644" s="85" t="str">
        <f>IFERROR(VLOOKUP(CONCATENATE($B644,"_",J$3),materiali!$C:$K,6,0),"")</f>
        <v/>
      </c>
      <c r="K644" s="86"/>
      <c r="L644" s="84" t="str">
        <f>IFERROR(VLOOKUP(CONCATENATE($B644,"_",L$3),materiali!$C:$K,5,0),"")</f>
        <v/>
      </c>
      <c r="M644" s="85" t="str">
        <f>IFERROR(VLOOKUP(CONCATENATE($B644,"_",M$3),materiali!$C:$K,6,0),"")</f>
        <v/>
      </c>
      <c r="N644" s="86"/>
      <c r="O644" s="84" t="str">
        <f>IFERROR(VLOOKUP(CONCATENATE($B644,"_",O$3),materiali!$C:$K,5,0),"")</f>
        <v/>
      </c>
      <c r="P644" s="85" t="str">
        <f>IFERROR(VLOOKUP(CONCATENATE($B644,"_",P$3),materiali!$C:$K,6,0),"")</f>
        <v/>
      </c>
      <c r="Q644" s="86"/>
      <c r="R644" s="84" t="str">
        <f>IFERROR(VLOOKUP(CONCATENATE($B644,"_",R$3),materiali!$C:$K,5,0),"")</f>
        <v/>
      </c>
      <c r="S644" s="85" t="str">
        <f>IFERROR(VLOOKUP(CONCATENATE($B644,"_",S$3),materiali!$C:$K,6,0),"")</f>
        <v/>
      </c>
      <c r="T644" s="86"/>
      <c r="U644" s="31"/>
      <c r="AD644" s="97"/>
    </row>
    <row r="645" spans="1:30" ht="35.1" hidden="1" customHeight="1" x14ac:dyDescent="0.25">
      <c r="A645" s="83"/>
      <c r="B645" s="7"/>
      <c r="C645" s="8"/>
      <c r="D645" s="8"/>
      <c r="E645" s="60"/>
      <c r="F645" s="84" t="str">
        <f>IFERROR(VLOOKUP(CONCATENATE($B645,"_",F$3),materiali!$C:$K,5,0),"")</f>
        <v/>
      </c>
      <c r="G645" s="85" t="str">
        <f>IFERROR(VLOOKUP(CONCATENATE($B645,"_",G$3),materiali!$C:$K,6,0),"")</f>
        <v/>
      </c>
      <c r="H645" s="86"/>
      <c r="I645" s="84" t="str">
        <f>IFERROR(VLOOKUP(CONCATENATE($B645,"_",I$3),materiali!$C:$K,5,0),"")</f>
        <v/>
      </c>
      <c r="J645" s="85" t="str">
        <f>IFERROR(VLOOKUP(CONCATENATE($B645,"_",J$3),materiali!$C:$K,6,0),"")</f>
        <v/>
      </c>
      <c r="K645" s="86"/>
      <c r="L645" s="84" t="str">
        <f>IFERROR(VLOOKUP(CONCATENATE($B645,"_",L$3),materiali!$C:$K,5,0),"")</f>
        <v/>
      </c>
      <c r="M645" s="85" t="str">
        <f>IFERROR(VLOOKUP(CONCATENATE($B645,"_",M$3),materiali!$C:$K,6,0),"")</f>
        <v/>
      </c>
      <c r="N645" s="86"/>
      <c r="O645" s="84" t="str">
        <f>IFERROR(VLOOKUP(CONCATENATE($B645,"_",O$3),materiali!$C:$K,5,0),"")</f>
        <v/>
      </c>
      <c r="P645" s="85" t="str">
        <f>IFERROR(VLOOKUP(CONCATENATE($B645,"_",P$3),materiali!$C:$K,6,0),"")</f>
        <v/>
      </c>
      <c r="Q645" s="86"/>
      <c r="R645" s="84" t="str">
        <f>IFERROR(VLOOKUP(CONCATENATE($B645,"_",R$3),materiali!$C:$K,5,0),"")</f>
        <v/>
      </c>
      <c r="S645" s="85" t="str">
        <f>IFERROR(VLOOKUP(CONCATENATE($B645,"_",S$3),materiali!$C:$K,6,0),"")</f>
        <v/>
      </c>
      <c r="T645" s="86"/>
      <c r="U645" s="31"/>
      <c r="AD645" s="97"/>
    </row>
    <row r="646" spans="1:30" ht="35.1" hidden="1" customHeight="1" x14ac:dyDescent="0.25">
      <c r="A646" s="83"/>
      <c r="B646" s="7"/>
      <c r="C646" s="8"/>
      <c r="D646" s="8"/>
      <c r="E646" s="60"/>
      <c r="F646" s="84" t="str">
        <f>IFERROR(VLOOKUP(CONCATENATE($B646,"_",F$3),materiali!$C:$K,5,0),"")</f>
        <v/>
      </c>
      <c r="G646" s="85" t="str">
        <f>IFERROR(VLOOKUP(CONCATENATE($B646,"_",G$3),materiali!$C:$K,6,0),"")</f>
        <v/>
      </c>
      <c r="H646" s="86"/>
      <c r="I646" s="84" t="str">
        <f>IFERROR(VLOOKUP(CONCATENATE($B646,"_",I$3),materiali!$C:$K,5,0),"")</f>
        <v/>
      </c>
      <c r="J646" s="85" t="str">
        <f>IFERROR(VLOOKUP(CONCATENATE($B646,"_",J$3),materiali!$C:$K,6,0),"")</f>
        <v/>
      </c>
      <c r="K646" s="86"/>
      <c r="L646" s="84" t="str">
        <f>IFERROR(VLOOKUP(CONCATENATE($B646,"_",L$3),materiali!$C:$K,5,0),"")</f>
        <v/>
      </c>
      <c r="M646" s="85" t="str">
        <f>IFERROR(VLOOKUP(CONCATENATE($B646,"_",M$3),materiali!$C:$K,6,0),"")</f>
        <v/>
      </c>
      <c r="N646" s="86"/>
      <c r="O646" s="84" t="str">
        <f>IFERROR(VLOOKUP(CONCATENATE($B646,"_",O$3),materiali!$C:$K,5,0),"")</f>
        <v/>
      </c>
      <c r="P646" s="85" t="str">
        <f>IFERROR(VLOOKUP(CONCATENATE($B646,"_",P$3),materiali!$C:$K,6,0),"")</f>
        <v/>
      </c>
      <c r="Q646" s="86"/>
      <c r="R646" s="84" t="str">
        <f>IFERROR(VLOOKUP(CONCATENATE($B646,"_",R$3),materiali!$C:$K,5,0),"")</f>
        <v/>
      </c>
      <c r="S646" s="85" t="str">
        <f>IFERROR(VLOOKUP(CONCATENATE($B646,"_",S$3),materiali!$C:$K,6,0),"")</f>
        <v/>
      </c>
      <c r="T646" s="86"/>
      <c r="U646" s="31"/>
      <c r="AD646" s="97"/>
    </row>
    <row r="647" spans="1:30" ht="35.1" hidden="1" customHeight="1" x14ac:dyDescent="0.25">
      <c r="A647" s="83"/>
      <c r="B647" s="7"/>
      <c r="C647" s="8"/>
      <c r="D647" s="8"/>
      <c r="E647" s="60"/>
      <c r="F647" s="84" t="str">
        <f>IFERROR(VLOOKUP(CONCATENATE($B647,"_",F$3),materiali!$C:$K,5,0),"")</f>
        <v/>
      </c>
      <c r="G647" s="85" t="str">
        <f>IFERROR(VLOOKUP(CONCATENATE($B647,"_",G$3),materiali!$C:$K,6,0),"")</f>
        <v/>
      </c>
      <c r="H647" s="86"/>
      <c r="I647" s="84" t="str">
        <f>IFERROR(VLOOKUP(CONCATENATE($B647,"_",I$3),materiali!$C:$K,5,0),"")</f>
        <v/>
      </c>
      <c r="J647" s="85" t="str">
        <f>IFERROR(VLOOKUP(CONCATENATE($B647,"_",J$3),materiali!$C:$K,6,0),"")</f>
        <v/>
      </c>
      <c r="K647" s="86"/>
      <c r="L647" s="84" t="str">
        <f>IFERROR(VLOOKUP(CONCATENATE($B647,"_",L$3),materiali!$C:$K,5,0),"")</f>
        <v/>
      </c>
      <c r="M647" s="85" t="str">
        <f>IFERROR(VLOOKUP(CONCATENATE($B647,"_",M$3),materiali!$C:$K,6,0),"")</f>
        <v/>
      </c>
      <c r="N647" s="86"/>
      <c r="O647" s="84" t="str">
        <f>IFERROR(VLOOKUP(CONCATENATE($B647,"_",O$3),materiali!$C:$K,5,0),"")</f>
        <v/>
      </c>
      <c r="P647" s="85" t="str">
        <f>IFERROR(VLOOKUP(CONCATENATE($B647,"_",P$3),materiali!$C:$K,6,0),"")</f>
        <v/>
      </c>
      <c r="Q647" s="86"/>
      <c r="R647" s="84" t="str">
        <f>IFERROR(VLOOKUP(CONCATENATE($B647,"_",R$3),materiali!$C:$K,5,0),"")</f>
        <v/>
      </c>
      <c r="S647" s="85" t="str">
        <f>IFERROR(VLOOKUP(CONCATENATE($B647,"_",S$3),materiali!$C:$K,6,0),"")</f>
        <v/>
      </c>
      <c r="T647" s="86"/>
      <c r="U647" s="31"/>
      <c r="AD647" s="97"/>
    </row>
    <row r="648" spans="1:30" ht="35.1" hidden="1" customHeight="1" x14ac:dyDescent="0.25">
      <c r="A648" s="83"/>
      <c r="B648" s="7"/>
      <c r="C648" s="8"/>
      <c r="D648" s="8"/>
      <c r="E648" s="60"/>
      <c r="F648" s="84" t="str">
        <f>IFERROR(VLOOKUP(CONCATENATE($B648,"_",F$3),materiali!$C:$K,5,0),"")</f>
        <v/>
      </c>
      <c r="G648" s="85" t="str">
        <f>IFERROR(VLOOKUP(CONCATENATE($B648,"_",G$3),materiali!$C:$K,6,0),"")</f>
        <v/>
      </c>
      <c r="H648" s="86"/>
      <c r="I648" s="84" t="str">
        <f>IFERROR(VLOOKUP(CONCATENATE($B648,"_",I$3),materiali!$C:$K,5,0),"")</f>
        <v/>
      </c>
      <c r="J648" s="85" t="str">
        <f>IFERROR(VLOOKUP(CONCATENATE($B648,"_",J$3),materiali!$C:$K,6,0),"")</f>
        <v/>
      </c>
      <c r="K648" s="86"/>
      <c r="L648" s="84" t="str">
        <f>IFERROR(VLOOKUP(CONCATENATE($B648,"_",L$3),materiali!$C:$K,5,0),"")</f>
        <v/>
      </c>
      <c r="M648" s="85" t="str">
        <f>IFERROR(VLOOKUP(CONCATENATE($B648,"_",M$3),materiali!$C:$K,6,0),"")</f>
        <v/>
      </c>
      <c r="N648" s="86"/>
      <c r="O648" s="84" t="str">
        <f>IFERROR(VLOOKUP(CONCATENATE($B648,"_",O$3),materiali!$C:$K,5,0),"")</f>
        <v/>
      </c>
      <c r="P648" s="85" t="str">
        <f>IFERROR(VLOOKUP(CONCATENATE($B648,"_",P$3),materiali!$C:$K,6,0),"")</f>
        <v/>
      </c>
      <c r="Q648" s="86"/>
      <c r="R648" s="84" t="str">
        <f>IFERROR(VLOOKUP(CONCATENATE($B648,"_",R$3),materiali!$C:$K,5,0),"")</f>
        <v/>
      </c>
      <c r="S648" s="85" t="str">
        <f>IFERROR(VLOOKUP(CONCATENATE($B648,"_",S$3),materiali!$C:$K,6,0),"")</f>
        <v/>
      </c>
      <c r="T648" s="86"/>
      <c r="U648" s="31"/>
      <c r="AD648" s="97"/>
    </row>
    <row r="649" spans="1:30" ht="35.1" hidden="1" customHeight="1" x14ac:dyDescent="0.25">
      <c r="A649" s="83"/>
      <c r="B649" s="7"/>
      <c r="C649" s="8"/>
      <c r="D649" s="8"/>
      <c r="E649" s="60"/>
      <c r="F649" s="84" t="str">
        <f>IFERROR(VLOOKUP(CONCATENATE($B649,"_",F$3),materiali!$C:$K,5,0),"")</f>
        <v/>
      </c>
      <c r="G649" s="85" t="str">
        <f>IFERROR(VLOOKUP(CONCATENATE($B649,"_",G$3),materiali!$C:$K,6,0),"")</f>
        <v/>
      </c>
      <c r="H649" s="86"/>
      <c r="I649" s="84" t="str">
        <f>IFERROR(VLOOKUP(CONCATENATE($B649,"_",I$3),materiali!$C:$K,5,0),"")</f>
        <v/>
      </c>
      <c r="J649" s="85" t="str">
        <f>IFERROR(VLOOKUP(CONCATENATE($B649,"_",J$3),materiali!$C:$K,6,0),"")</f>
        <v/>
      </c>
      <c r="K649" s="86"/>
      <c r="L649" s="84" t="str">
        <f>IFERROR(VLOOKUP(CONCATENATE($B649,"_",L$3),materiali!$C:$K,5,0),"")</f>
        <v/>
      </c>
      <c r="M649" s="85" t="str">
        <f>IFERROR(VLOOKUP(CONCATENATE($B649,"_",M$3),materiali!$C:$K,6,0),"")</f>
        <v/>
      </c>
      <c r="N649" s="86"/>
      <c r="O649" s="84" t="str">
        <f>IFERROR(VLOOKUP(CONCATENATE($B649,"_",O$3),materiali!$C:$K,5,0),"")</f>
        <v/>
      </c>
      <c r="P649" s="85" t="str">
        <f>IFERROR(VLOOKUP(CONCATENATE($B649,"_",P$3),materiali!$C:$K,6,0),"")</f>
        <v/>
      </c>
      <c r="Q649" s="86"/>
      <c r="R649" s="84" t="str">
        <f>IFERROR(VLOOKUP(CONCATENATE($B649,"_",R$3),materiali!$C:$K,5,0),"")</f>
        <v/>
      </c>
      <c r="S649" s="85" t="str">
        <f>IFERROR(VLOOKUP(CONCATENATE($B649,"_",S$3),materiali!$C:$K,6,0),"")</f>
        <v/>
      </c>
      <c r="T649" s="86"/>
      <c r="U649" s="31"/>
      <c r="AD649" s="97"/>
    </row>
    <row r="650" spans="1:30" ht="35.1" hidden="1" customHeight="1" x14ac:dyDescent="0.25">
      <c r="A650" s="83"/>
      <c r="B650" s="7"/>
      <c r="C650" s="8"/>
      <c r="D650" s="8"/>
      <c r="E650" s="60"/>
      <c r="F650" s="84" t="str">
        <f>IFERROR(VLOOKUP(CONCATENATE($B650,"_",F$3),materiali!$C:$K,5,0),"")</f>
        <v/>
      </c>
      <c r="G650" s="85" t="str">
        <f>IFERROR(VLOOKUP(CONCATENATE($B650,"_",G$3),materiali!$C:$K,6,0),"")</f>
        <v/>
      </c>
      <c r="H650" s="86"/>
      <c r="I650" s="84" t="str">
        <f>IFERROR(VLOOKUP(CONCATENATE($B650,"_",I$3),materiali!$C:$K,5,0),"")</f>
        <v/>
      </c>
      <c r="J650" s="85" t="str">
        <f>IFERROR(VLOOKUP(CONCATENATE($B650,"_",J$3),materiali!$C:$K,6,0),"")</f>
        <v/>
      </c>
      <c r="K650" s="86"/>
      <c r="L650" s="84" t="str">
        <f>IFERROR(VLOOKUP(CONCATENATE($B650,"_",L$3),materiali!$C:$K,5,0),"")</f>
        <v/>
      </c>
      <c r="M650" s="85" t="str">
        <f>IFERROR(VLOOKUP(CONCATENATE($B650,"_",M$3),materiali!$C:$K,6,0),"")</f>
        <v/>
      </c>
      <c r="N650" s="86"/>
      <c r="O650" s="84" t="str">
        <f>IFERROR(VLOOKUP(CONCATENATE($B650,"_",O$3),materiali!$C:$K,5,0),"")</f>
        <v/>
      </c>
      <c r="P650" s="85" t="str">
        <f>IFERROR(VLOOKUP(CONCATENATE($B650,"_",P$3),materiali!$C:$K,6,0),"")</f>
        <v/>
      </c>
      <c r="Q650" s="86"/>
      <c r="R650" s="84" t="str">
        <f>IFERROR(VLOOKUP(CONCATENATE($B650,"_",R$3),materiali!$C:$K,5,0),"")</f>
        <v/>
      </c>
      <c r="S650" s="85" t="str">
        <f>IFERROR(VLOOKUP(CONCATENATE($B650,"_",S$3),materiali!$C:$K,6,0),"")</f>
        <v/>
      </c>
      <c r="T650" s="86"/>
      <c r="U650" s="31"/>
      <c r="AD650" s="97"/>
    </row>
    <row r="651" spans="1:30" ht="35.1" hidden="1" customHeight="1" x14ac:dyDescent="0.25">
      <c r="A651" s="83"/>
      <c r="B651" s="7"/>
      <c r="C651" s="8"/>
      <c r="D651" s="8"/>
      <c r="E651" s="60"/>
      <c r="F651" s="84" t="str">
        <f>IFERROR(VLOOKUP(CONCATENATE($B651,"_",F$3),materiali!$C:$K,5,0),"")</f>
        <v/>
      </c>
      <c r="G651" s="85" t="str">
        <f>IFERROR(VLOOKUP(CONCATENATE($B651,"_",G$3),materiali!$C:$K,6,0),"")</f>
        <v/>
      </c>
      <c r="H651" s="86"/>
      <c r="I651" s="84" t="str">
        <f>IFERROR(VLOOKUP(CONCATENATE($B651,"_",I$3),materiali!$C:$K,5,0),"")</f>
        <v/>
      </c>
      <c r="J651" s="85" t="str">
        <f>IFERROR(VLOOKUP(CONCATENATE($B651,"_",J$3),materiali!$C:$K,6,0),"")</f>
        <v/>
      </c>
      <c r="K651" s="86"/>
      <c r="L651" s="84" t="str">
        <f>IFERROR(VLOOKUP(CONCATENATE($B651,"_",L$3),materiali!$C:$K,5,0),"")</f>
        <v/>
      </c>
      <c r="M651" s="85" t="str">
        <f>IFERROR(VLOOKUP(CONCATENATE($B651,"_",M$3),materiali!$C:$K,6,0),"")</f>
        <v/>
      </c>
      <c r="N651" s="86"/>
      <c r="O651" s="84" t="str">
        <f>IFERROR(VLOOKUP(CONCATENATE($B651,"_",O$3),materiali!$C:$K,5,0),"")</f>
        <v/>
      </c>
      <c r="P651" s="85" t="str">
        <f>IFERROR(VLOOKUP(CONCATENATE($B651,"_",P$3),materiali!$C:$K,6,0),"")</f>
        <v/>
      </c>
      <c r="Q651" s="86"/>
      <c r="R651" s="84" t="str">
        <f>IFERROR(VLOOKUP(CONCATENATE($B651,"_",R$3),materiali!$C:$K,5,0),"")</f>
        <v/>
      </c>
      <c r="S651" s="85" t="str">
        <f>IFERROR(VLOOKUP(CONCATENATE($B651,"_",S$3),materiali!$C:$K,6,0),"")</f>
        <v/>
      </c>
      <c r="T651" s="86"/>
      <c r="U651" s="31"/>
      <c r="AD651" s="97"/>
    </row>
    <row r="652" spans="1:30" ht="35.1" hidden="1" customHeight="1" x14ac:dyDescent="0.25">
      <c r="A652" s="83"/>
      <c r="B652" s="7"/>
      <c r="C652" s="8"/>
      <c r="D652" s="8"/>
      <c r="E652" s="60"/>
      <c r="F652" s="84" t="str">
        <f>IFERROR(VLOOKUP(CONCATENATE($B652,"_",F$3),materiali!$C:$K,5,0),"")</f>
        <v/>
      </c>
      <c r="G652" s="85" t="str">
        <f>IFERROR(VLOOKUP(CONCATENATE($B652,"_",G$3),materiali!$C:$K,6,0),"")</f>
        <v/>
      </c>
      <c r="H652" s="86"/>
      <c r="I652" s="84" t="str">
        <f>IFERROR(VLOOKUP(CONCATENATE($B652,"_",I$3),materiali!$C:$K,5,0),"")</f>
        <v/>
      </c>
      <c r="J652" s="85" t="str">
        <f>IFERROR(VLOOKUP(CONCATENATE($B652,"_",J$3),materiali!$C:$K,6,0),"")</f>
        <v/>
      </c>
      <c r="K652" s="86"/>
      <c r="L652" s="84" t="str">
        <f>IFERROR(VLOOKUP(CONCATENATE($B652,"_",L$3),materiali!$C:$K,5,0),"")</f>
        <v/>
      </c>
      <c r="M652" s="85" t="str">
        <f>IFERROR(VLOOKUP(CONCATENATE($B652,"_",M$3),materiali!$C:$K,6,0),"")</f>
        <v/>
      </c>
      <c r="N652" s="86"/>
      <c r="O652" s="84" t="str">
        <f>IFERROR(VLOOKUP(CONCATENATE($B652,"_",O$3),materiali!$C:$K,5,0),"")</f>
        <v/>
      </c>
      <c r="P652" s="85" t="str">
        <f>IFERROR(VLOOKUP(CONCATENATE($B652,"_",P$3),materiali!$C:$K,6,0),"")</f>
        <v/>
      </c>
      <c r="Q652" s="86"/>
      <c r="R652" s="84" t="str">
        <f>IFERROR(VLOOKUP(CONCATENATE($B652,"_",R$3),materiali!$C:$K,5,0),"")</f>
        <v/>
      </c>
      <c r="S652" s="85" t="str">
        <f>IFERROR(VLOOKUP(CONCATENATE($B652,"_",S$3),materiali!$C:$K,6,0),"")</f>
        <v/>
      </c>
      <c r="T652" s="86"/>
      <c r="U652" s="31"/>
      <c r="AD652" s="97"/>
    </row>
    <row r="653" spans="1:30" ht="35.1" hidden="1" customHeight="1" x14ac:dyDescent="0.25">
      <c r="A653" s="83"/>
      <c r="B653" s="7"/>
      <c r="C653" s="8"/>
      <c r="D653" s="8"/>
      <c r="E653" s="60"/>
      <c r="F653" s="84" t="str">
        <f>IFERROR(VLOOKUP(CONCATENATE($B653,"_",F$3),materiali!$C:$K,5,0),"")</f>
        <v/>
      </c>
      <c r="G653" s="85" t="str">
        <f>IFERROR(VLOOKUP(CONCATENATE($B653,"_",G$3),materiali!$C:$K,6,0),"")</f>
        <v/>
      </c>
      <c r="H653" s="86"/>
      <c r="I653" s="84" t="str">
        <f>IFERROR(VLOOKUP(CONCATENATE($B653,"_",I$3),materiali!$C:$K,5,0),"")</f>
        <v/>
      </c>
      <c r="J653" s="85" t="str">
        <f>IFERROR(VLOOKUP(CONCATENATE($B653,"_",J$3),materiali!$C:$K,6,0),"")</f>
        <v/>
      </c>
      <c r="K653" s="86"/>
      <c r="L653" s="84" t="str">
        <f>IFERROR(VLOOKUP(CONCATENATE($B653,"_",L$3),materiali!$C:$K,5,0),"")</f>
        <v/>
      </c>
      <c r="M653" s="85" t="str">
        <f>IFERROR(VLOOKUP(CONCATENATE($B653,"_",M$3),materiali!$C:$K,6,0),"")</f>
        <v/>
      </c>
      <c r="N653" s="86"/>
      <c r="O653" s="84" t="str">
        <f>IFERROR(VLOOKUP(CONCATENATE($B653,"_",O$3),materiali!$C:$K,5,0),"")</f>
        <v/>
      </c>
      <c r="P653" s="85" t="str">
        <f>IFERROR(VLOOKUP(CONCATENATE($B653,"_",P$3),materiali!$C:$K,6,0),"")</f>
        <v/>
      </c>
      <c r="Q653" s="86"/>
      <c r="R653" s="84" t="str">
        <f>IFERROR(VLOOKUP(CONCATENATE($B653,"_",R$3),materiali!$C:$K,5,0),"")</f>
        <v/>
      </c>
      <c r="S653" s="85" t="str">
        <f>IFERROR(VLOOKUP(CONCATENATE($B653,"_",S$3),materiali!$C:$K,6,0),"")</f>
        <v/>
      </c>
      <c r="T653" s="86"/>
      <c r="U653" s="31"/>
      <c r="AD653" s="97"/>
    </row>
    <row r="654" spans="1:30" ht="35.1" hidden="1" customHeight="1" x14ac:dyDescent="0.25">
      <c r="A654" s="83"/>
      <c r="B654" s="7"/>
      <c r="C654" s="8"/>
      <c r="D654" s="8"/>
      <c r="E654" s="60"/>
      <c r="F654" s="84" t="str">
        <f>IFERROR(VLOOKUP(CONCATENATE($B654,"_",F$3),materiali!$C:$K,5,0),"")</f>
        <v/>
      </c>
      <c r="G654" s="85" t="str">
        <f>IFERROR(VLOOKUP(CONCATENATE($B654,"_",G$3),materiali!$C:$K,6,0),"")</f>
        <v/>
      </c>
      <c r="H654" s="86"/>
      <c r="I654" s="84" t="str">
        <f>IFERROR(VLOOKUP(CONCATENATE($B654,"_",I$3),materiali!$C:$K,5,0),"")</f>
        <v/>
      </c>
      <c r="J654" s="85" t="str">
        <f>IFERROR(VLOOKUP(CONCATENATE($B654,"_",J$3),materiali!$C:$K,6,0),"")</f>
        <v/>
      </c>
      <c r="K654" s="86"/>
      <c r="L654" s="84" t="str">
        <f>IFERROR(VLOOKUP(CONCATENATE($B654,"_",L$3),materiali!$C:$K,5,0),"")</f>
        <v/>
      </c>
      <c r="M654" s="85" t="str">
        <f>IFERROR(VLOOKUP(CONCATENATE($B654,"_",M$3),materiali!$C:$K,6,0),"")</f>
        <v/>
      </c>
      <c r="N654" s="86"/>
      <c r="O654" s="84" t="str">
        <f>IFERROR(VLOOKUP(CONCATENATE($B654,"_",O$3),materiali!$C:$K,5,0),"")</f>
        <v/>
      </c>
      <c r="P654" s="85" t="str">
        <f>IFERROR(VLOOKUP(CONCATENATE($B654,"_",P$3),materiali!$C:$K,6,0),"")</f>
        <v/>
      </c>
      <c r="Q654" s="86"/>
      <c r="R654" s="84" t="str">
        <f>IFERROR(VLOOKUP(CONCATENATE($B654,"_",R$3),materiali!$C:$K,5,0),"")</f>
        <v/>
      </c>
      <c r="S654" s="85" t="str">
        <f>IFERROR(VLOOKUP(CONCATENATE($B654,"_",S$3),materiali!$C:$K,6,0),"")</f>
        <v/>
      </c>
      <c r="T654" s="86"/>
      <c r="U654" s="31"/>
      <c r="AD654" s="97"/>
    </row>
    <row r="655" spans="1:30" ht="35.1" hidden="1" customHeight="1" x14ac:dyDescent="0.25">
      <c r="A655" s="83"/>
      <c r="B655" s="7"/>
      <c r="C655" s="8"/>
      <c r="D655" s="8"/>
      <c r="E655" s="60"/>
      <c r="F655" s="84" t="str">
        <f>IFERROR(VLOOKUP(CONCATENATE($B655,"_",F$3),materiali!$C:$K,5,0),"")</f>
        <v/>
      </c>
      <c r="G655" s="85" t="str">
        <f>IFERROR(VLOOKUP(CONCATENATE($B655,"_",G$3),materiali!$C:$K,6,0),"")</f>
        <v/>
      </c>
      <c r="H655" s="86"/>
      <c r="I655" s="84" t="str">
        <f>IFERROR(VLOOKUP(CONCATENATE($B655,"_",I$3),materiali!$C:$K,5,0),"")</f>
        <v/>
      </c>
      <c r="J655" s="85" t="str">
        <f>IFERROR(VLOOKUP(CONCATENATE($B655,"_",J$3),materiali!$C:$K,6,0),"")</f>
        <v/>
      </c>
      <c r="K655" s="86"/>
      <c r="L655" s="84" t="str">
        <f>IFERROR(VLOOKUP(CONCATENATE($B655,"_",L$3),materiali!$C:$K,5,0),"")</f>
        <v/>
      </c>
      <c r="M655" s="85" t="str">
        <f>IFERROR(VLOOKUP(CONCATENATE($B655,"_",M$3),materiali!$C:$K,6,0),"")</f>
        <v/>
      </c>
      <c r="N655" s="86"/>
      <c r="O655" s="84" t="str">
        <f>IFERROR(VLOOKUP(CONCATENATE($B655,"_",O$3),materiali!$C:$K,5,0),"")</f>
        <v/>
      </c>
      <c r="P655" s="85" t="str">
        <f>IFERROR(VLOOKUP(CONCATENATE($B655,"_",P$3),materiali!$C:$K,6,0),"")</f>
        <v/>
      </c>
      <c r="Q655" s="86"/>
      <c r="R655" s="84" t="str">
        <f>IFERROR(VLOOKUP(CONCATENATE($B655,"_",R$3),materiali!$C:$K,5,0),"")</f>
        <v/>
      </c>
      <c r="S655" s="85" t="str">
        <f>IFERROR(VLOOKUP(CONCATENATE($B655,"_",S$3),materiali!$C:$K,6,0),"")</f>
        <v/>
      </c>
      <c r="T655" s="86"/>
      <c r="U655" s="31"/>
      <c r="AD655" s="97"/>
    </row>
    <row r="656" spans="1:30" ht="35.1" hidden="1" customHeight="1" x14ac:dyDescent="0.25">
      <c r="A656" s="83"/>
      <c r="B656" s="7"/>
      <c r="C656" s="8"/>
      <c r="D656" s="8"/>
      <c r="E656" s="60"/>
      <c r="F656" s="84" t="str">
        <f>IFERROR(VLOOKUP(CONCATENATE($B656,"_",F$3),materiali!$C:$K,5,0),"")</f>
        <v/>
      </c>
      <c r="G656" s="85" t="str">
        <f>IFERROR(VLOOKUP(CONCATENATE($B656,"_",G$3),materiali!$C:$K,6,0),"")</f>
        <v/>
      </c>
      <c r="H656" s="86"/>
      <c r="I656" s="84" t="str">
        <f>IFERROR(VLOOKUP(CONCATENATE($B656,"_",I$3),materiali!$C:$K,5,0),"")</f>
        <v/>
      </c>
      <c r="J656" s="85" t="str">
        <f>IFERROR(VLOOKUP(CONCATENATE($B656,"_",J$3),materiali!$C:$K,6,0),"")</f>
        <v/>
      </c>
      <c r="K656" s="86"/>
      <c r="L656" s="84" t="str">
        <f>IFERROR(VLOOKUP(CONCATENATE($B656,"_",L$3),materiali!$C:$K,5,0),"")</f>
        <v/>
      </c>
      <c r="M656" s="85" t="str">
        <f>IFERROR(VLOOKUP(CONCATENATE($B656,"_",M$3),materiali!$C:$K,6,0),"")</f>
        <v/>
      </c>
      <c r="N656" s="86"/>
      <c r="O656" s="84" t="str">
        <f>IFERROR(VLOOKUP(CONCATENATE($B656,"_",O$3),materiali!$C:$K,5,0),"")</f>
        <v/>
      </c>
      <c r="P656" s="85" t="str">
        <f>IFERROR(VLOOKUP(CONCATENATE($B656,"_",P$3),materiali!$C:$K,6,0),"")</f>
        <v/>
      </c>
      <c r="Q656" s="86"/>
      <c r="R656" s="84" t="str">
        <f>IFERROR(VLOOKUP(CONCATENATE($B656,"_",R$3),materiali!$C:$K,5,0),"")</f>
        <v/>
      </c>
      <c r="S656" s="85" t="str">
        <f>IFERROR(VLOOKUP(CONCATENATE($B656,"_",S$3),materiali!$C:$K,6,0),"")</f>
        <v/>
      </c>
      <c r="T656" s="86"/>
      <c r="U656" s="31"/>
      <c r="AD656" s="97"/>
    </row>
    <row r="657" spans="1:30" ht="35.1" hidden="1" customHeight="1" x14ac:dyDescent="0.25">
      <c r="A657" s="83"/>
      <c r="B657" s="7"/>
      <c r="C657" s="8"/>
      <c r="D657" s="8"/>
      <c r="E657" s="60"/>
      <c r="F657" s="84" t="str">
        <f>IFERROR(VLOOKUP(CONCATENATE($B657,"_",F$3),materiali!$C:$K,5,0),"")</f>
        <v/>
      </c>
      <c r="G657" s="85" t="str">
        <f>IFERROR(VLOOKUP(CONCATENATE($B657,"_",G$3),materiali!$C:$K,6,0),"")</f>
        <v/>
      </c>
      <c r="H657" s="86"/>
      <c r="I657" s="84" t="str">
        <f>IFERROR(VLOOKUP(CONCATENATE($B657,"_",I$3),materiali!$C:$K,5,0),"")</f>
        <v/>
      </c>
      <c r="J657" s="85" t="str">
        <f>IFERROR(VLOOKUP(CONCATENATE($B657,"_",J$3),materiali!$C:$K,6,0),"")</f>
        <v/>
      </c>
      <c r="K657" s="86"/>
      <c r="L657" s="84" t="str">
        <f>IFERROR(VLOOKUP(CONCATENATE($B657,"_",L$3),materiali!$C:$K,5,0),"")</f>
        <v/>
      </c>
      <c r="M657" s="85" t="str">
        <f>IFERROR(VLOOKUP(CONCATENATE($B657,"_",M$3),materiali!$C:$K,6,0),"")</f>
        <v/>
      </c>
      <c r="N657" s="86"/>
      <c r="O657" s="84" t="str">
        <f>IFERROR(VLOOKUP(CONCATENATE($B657,"_",O$3),materiali!$C:$K,5,0),"")</f>
        <v/>
      </c>
      <c r="P657" s="85" t="str">
        <f>IFERROR(VLOOKUP(CONCATENATE($B657,"_",P$3),materiali!$C:$K,6,0),"")</f>
        <v/>
      </c>
      <c r="Q657" s="86"/>
      <c r="R657" s="84" t="str">
        <f>IFERROR(VLOOKUP(CONCATENATE($B657,"_",R$3),materiali!$C:$K,5,0),"")</f>
        <v/>
      </c>
      <c r="S657" s="85" t="str">
        <f>IFERROR(VLOOKUP(CONCATENATE($B657,"_",S$3),materiali!$C:$K,6,0),"")</f>
        <v/>
      </c>
      <c r="T657" s="86"/>
      <c r="U657" s="31"/>
      <c r="AD657" s="97"/>
    </row>
    <row r="658" spans="1:30" ht="35.1" hidden="1" customHeight="1" x14ac:dyDescent="0.25">
      <c r="A658" s="83"/>
      <c r="B658" s="7"/>
      <c r="C658" s="8"/>
      <c r="D658" s="8"/>
      <c r="E658" s="60"/>
      <c r="F658" s="84" t="str">
        <f>IFERROR(VLOOKUP(CONCATENATE($B658,"_",F$3),materiali!$C:$K,5,0),"")</f>
        <v/>
      </c>
      <c r="G658" s="85" t="str">
        <f>IFERROR(VLOOKUP(CONCATENATE($B658,"_",G$3),materiali!$C:$K,6,0),"")</f>
        <v/>
      </c>
      <c r="H658" s="86"/>
      <c r="I658" s="84" t="str">
        <f>IFERROR(VLOOKUP(CONCATENATE($B658,"_",I$3),materiali!$C:$K,5,0),"")</f>
        <v/>
      </c>
      <c r="J658" s="85" t="str">
        <f>IFERROR(VLOOKUP(CONCATENATE($B658,"_",J$3),materiali!$C:$K,6,0),"")</f>
        <v/>
      </c>
      <c r="K658" s="86"/>
      <c r="L658" s="84" t="str">
        <f>IFERROR(VLOOKUP(CONCATENATE($B658,"_",L$3),materiali!$C:$K,5,0),"")</f>
        <v/>
      </c>
      <c r="M658" s="85" t="str">
        <f>IFERROR(VLOOKUP(CONCATENATE($B658,"_",M$3),materiali!$C:$K,6,0),"")</f>
        <v/>
      </c>
      <c r="N658" s="86"/>
      <c r="O658" s="84" t="str">
        <f>IFERROR(VLOOKUP(CONCATENATE($B658,"_",O$3),materiali!$C:$K,5,0),"")</f>
        <v/>
      </c>
      <c r="P658" s="85" t="str">
        <f>IFERROR(VLOOKUP(CONCATENATE($B658,"_",P$3),materiali!$C:$K,6,0),"")</f>
        <v/>
      </c>
      <c r="Q658" s="86"/>
      <c r="R658" s="84" t="str">
        <f>IFERROR(VLOOKUP(CONCATENATE($B658,"_",R$3),materiali!$C:$K,5,0),"")</f>
        <v/>
      </c>
      <c r="S658" s="85" t="str">
        <f>IFERROR(VLOOKUP(CONCATENATE($B658,"_",S$3),materiali!$C:$K,6,0),"")</f>
        <v/>
      </c>
      <c r="T658" s="86"/>
      <c r="U658" s="31"/>
      <c r="AD658" s="97"/>
    </row>
    <row r="659" spans="1:30" ht="35.1" hidden="1" customHeight="1" x14ac:dyDescent="0.25">
      <c r="A659" s="83"/>
      <c r="B659" s="7"/>
      <c r="C659" s="8"/>
      <c r="D659" s="8"/>
      <c r="E659" s="60"/>
      <c r="F659" s="84" t="str">
        <f>IFERROR(VLOOKUP(CONCATENATE($B659,"_",F$3),materiali!$C:$K,5,0),"")</f>
        <v/>
      </c>
      <c r="G659" s="85" t="str">
        <f>IFERROR(VLOOKUP(CONCATENATE($B659,"_",G$3),materiali!$C:$K,6,0),"")</f>
        <v/>
      </c>
      <c r="H659" s="86"/>
      <c r="I659" s="84" t="str">
        <f>IFERROR(VLOOKUP(CONCATENATE($B659,"_",I$3),materiali!$C:$K,5,0),"")</f>
        <v/>
      </c>
      <c r="J659" s="85" t="str">
        <f>IFERROR(VLOOKUP(CONCATENATE($B659,"_",J$3),materiali!$C:$K,6,0),"")</f>
        <v/>
      </c>
      <c r="K659" s="86"/>
      <c r="L659" s="84" t="str">
        <f>IFERROR(VLOOKUP(CONCATENATE($B659,"_",L$3),materiali!$C:$K,5,0),"")</f>
        <v/>
      </c>
      <c r="M659" s="85" t="str">
        <f>IFERROR(VLOOKUP(CONCATENATE($B659,"_",M$3),materiali!$C:$K,6,0),"")</f>
        <v/>
      </c>
      <c r="N659" s="86"/>
      <c r="O659" s="84" t="str">
        <f>IFERROR(VLOOKUP(CONCATENATE($B659,"_",O$3),materiali!$C:$K,5,0),"")</f>
        <v/>
      </c>
      <c r="P659" s="85" t="str">
        <f>IFERROR(VLOOKUP(CONCATENATE($B659,"_",P$3),materiali!$C:$K,6,0),"")</f>
        <v/>
      </c>
      <c r="Q659" s="86"/>
      <c r="R659" s="84" t="str">
        <f>IFERROR(VLOOKUP(CONCATENATE($B659,"_",R$3),materiali!$C:$K,5,0),"")</f>
        <v/>
      </c>
      <c r="S659" s="85" t="str">
        <f>IFERROR(VLOOKUP(CONCATENATE($B659,"_",S$3),materiali!$C:$K,6,0),"")</f>
        <v/>
      </c>
      <c r="T659" s="86"/>
      <c r="U659" s="31"/>
      <c r="AD659" s="97"/>
    </row>
    <row r="660" spans="1:30" ht="35.1" hidden="1" customHeight="1" x14ac:dyDescent="0.25">
      <c r="A660" s="83"/>
      <c r="B660" s="7"/>
      <c r="C660" s="8"/>
      <c r="D660" s="8"/>
      <c r="E660" s="60"/>
      <c r="F660" s="84" t="str">
        <f>IFERROR(VLOOKUP(CONCATENATE($B660,"_",F$3),materiali!$C:$K,5,0),"")</f>
        <v/>
      </c>
      <c r="G660" s="85" t="str">
        <f>IFERROR(VLOOKUP(CONCATENATE($B660,"_",G$3),materiali!$C:$K,6,0),"")</f>
        <v/>
      </c>
      <c r="H660" s="86"/>
      <c r="I660" s="84" t="str">
        <f>IFERROR(VLOOKUP(CONCATENATE($B660,"_",I$3),materiali!$C:$K,5,0),"")</f>
        <v/>
      </c>
      <c r="J660" s="85" t="str">
        <f>IFERROR(VLOOKUP(CONCATENATE($B660,"_",J$3),materiali!$C:$K,6,0),"")</f>
        <v/>
      </c>
      <c r="K660" s="86"/>
      <c r="L660" s="84" t="str">
        <f>IFERROR(VLOOKUP(CONCATENATE($B660,"_",L$3),materiali!$C:$K,5,0),"")</f>
        <v/>
      </c>
      <c r="M660" s="85" t="str">
        <f>IFERROR(VLOOKUP(CONCATENATE($B660,"_",M$3),materiali!$C:$K,6,0),"")</f>
        <v/>
      </c>
      <c r="N660" s="86"/>
      <c r="O660" s="84" t="str">
        <f>IFERROR(VLOOKUP(CONCATENATE($B660,"_",O$3),materiali!$C:$K,5,0),"")</f>
        <v/>
      </c>
      <c r="P660" s="85" t="str">
        <f>IFERROR(VLOOKUP(CONCATENATE($B660,"_",P$3),materiali!$C:$K,6,0),"")</f>
        <v/>
      </c>
      <c r="Q660" s="86"/>
      <c r="R660" s="84" t="str">
        <f>IFERROR(VLOOKUP(CONCATENATE($B660,"_",R$3),materiali!$C:$K,5,0),"")</f>
        <v/>
      </c>
      <c r="S660" s="85" t="str">
        <f>IFERROR(VLOOKUP(CONCATENATE($B660,"_",S$3),materiali!$C:$K,6,0),"")</f>
        <v/>
      </c>
      <c r="T660" s="86"/>
      <c r="U660" s="31"/>
      <c r="AD660" s="97"/>
    </row>
    <row r="661" spans="1:30" ht="35.1" hidden="1" customHeight="1" x14ac:dyDescent="0.25">
      <c r="A661" s="83"/>
      <c r="B661" s="7"/>
      <c r="C661" s="8"/>
      <c r="D661" s="8"/>
      <c r="E661" s="60"/>
      <c r="F661" s="84" t="str">
        <f>IFERROR(VLOOKUP(CONCATENATE($B661,"_",F$3),materiali!$C:$K,5,0),"")</f>
        <v/>
      </c>
      <c r="G661" s="85" t="str">
        <f>IFERROR(VLOOKUP(CONCATENATE($B661,"_",G$3),materiali!$C:$K,6,0),"")</f>
        <v/>
      </c>
      <c r="H661" s="86"/>
      <c r="I661" s="84" t="str">
        <f>IFERROR(VLOOKUP(CONCATENATE($B661,"_",I$3),materiali!$C:$K,5,0),"")</f>
        <v/>
      </c>
      <c r="J661" s="85" t="str">
        <f>IFERROR(VLOOKUP(CONCATENATE($B661,"_",J$3),materiali!$C:$K,6,0),"")</f>
        <v/>
      </c>
      <c r="K661" s="86"/>
      <c r="L661" s="84" t="str">
        <f>IFERROR(VLOOKUP(CONCATENATE($B661,"_",L$3),materiali!$C:$K,5,0),"")</f>
        <v/>
      </c>
      <c r="M661" s="85" t="str">
        <f>IFERROR(VLOOKUP(CONCATENATE($B661,"_",M$3),materiali!$C:$K,6,0),"")</f>
        <v/>
      </c>
      <c r="N661" s="86"/>
      <c r="O661" s="84" t="str">
        <f>IFERROR(VLOOKUP(CONCATENATE($B661,"_",O$3),materiali!$C:$K,5,0),"")</f>
        <v/>
      </c>
      <c r="P661" s="85" t="str">
        <f>IFERROR(VLOOKUP(CONCATENATE($B661,"_",P$3),materiali!$C:$K,6,0),"")</f>
        <v/>
      </c>
      <c r="Q661" s="86"/>
      <c r="R661" s="84" t="str">
        <f>IFERROR(VLOOKUP(CONCATENATE($B661,"_",R$3),materiali!$C:$K,5,0),"")</f>
        <v/>
      </c>
      <c r="S661" s="85" t="str">
        <f>IFERROR(VLOOKUP(CONCATENATE($B661,"_",S$3),materiali!$C:$K,6,0),"")</f>
        <v/>
      </c>
      <c r="T661" s="86"/>
      <c r="U661" s="31"/>
      <c r="AD661" s="97"/>
    </row>
    <row r="662" spans="1:30" ht="35.1" hidden="1" customHeight="1" x14ac:dyDescent="0.25">
      <c r="A662" s="83"/>
      <c r="B662" s="7"/>
      <c r="C662" s="8"/>
      <c r="D662" s="8"/>
      <c r="E662" s="60"/>
      <c r="F662" s="84" t="str">
        <f>IFERROR(VLOOKUP(CONCATENATE($B662,"_",F$3),materiali!$C:$K,5,0),"")</f>
        <v/>
      </c>
      <c r="G662" s="85" t="str">
        <f>IFERROR(VLOOKUP(CONCATENATE($B662,"_",G$3),materiali!$C:$K,6,0),"")</f>
        <v/>
      </c>
      <c r="H662" s="86"/>
      <c r="I662" s="84" t="str">
        <f>IFERROR(VLOOKUP(CONCATENATE($B662,"_",I$3),materiali!$C:$K,5,0),"")</f>
        <v/>
      </c>
      <c r="J662" s="85" t="str">
        <f>IFERROR(VLOOKUP(CONCATENATE($B662,"_",J$3),materiali!$C:$K,6,0),"")</f>
        <v/>
      </c>
      <c r="K662" s="86"/>
      <c r="L662" s="84" t="str">
        <f>IFERROR(VLOOKUP(CONCATENATE($B662,"_",L$3),materiali!$C:$K,5,0),"")</f>
        <v/>
      </c>
      <c r="M662" s="85" t="str">
        <f>IFERROR(VLOOKUP(CONCATENATE($B662,"_",M$3),materiali!$C:$K,6,0),"")</f>
        <v/>
      </c>
      <c r="N662" s="86"/>
      <c r="O662" s="84" t="str">
        <f>IFERROR(VLOOKUP(CONCATENATE($B662,"_",O$3),materiali!$C:$K,5,0),"")</f>
        <v/>
      </c>
      <c r="P662" s="85" t="str">
        <f>IFERROR(VLOOKUP(CONCATENATE($B662,"_",P$3),materiali!$C:$K,6,0),"")</f>
        <v/>
      </c>
      <c r="Q662" s="86"/>
      <c r="R662" s="84" t="str">
        <f>IFERROR(VLOOKUP(CONCATENATE($B662,"_",R$3),materiali!$C:$K,5,0),"")</f>
        <v/>
      </c>
      <c r="S662" s="85" t="str">
        <f>IFERROR(VLOOKUP(CONCATENATE($B662,"_",S$3),materiali!$C:$K,6,0),"")</f>
        <v/>
      </c>
      <c r="T662" s="86"/>
      <c r="U662" s="31"/>
      <c r="AD662" s="97"/>
    </row>
    <row r="663" spans="1:30" ht="35.1" hidden="1" customHeight="1" x14ac:dyDescent="0.25">
      <c r="A663" s="83"/>
      <c r="B663" s="7"/>
      <c r="C663" s="8"/>
      <c r="D663" s="8"/>
      <c r="E663" s="60"/>
      <c r="F663" s="84" t="str">
        <f>IFERROR(VLOOKUP(CONCATENATE($B663,"_",F$3),materiali!$C:$K,5,0),"")</f>
        <v/>
      </c>
      <c r="G663" s="85" t="str">
        <f>IFERROR(VLOOKUP(CONCATENATE($B663,"_",G$3),materiali!$C:$K,6,0),"")</f>
        <v/>
      </c>
      <c r="H663" s="86"/>
      <c r="I663" s="84" t="str">
        <f>IFERROR(VLOOKUP(CONCATENATE($B663,"_",I$3),materiali!$C:$K,5,0),"")</f>
        <v/>
      </c>
      <c r="J663" s="85" t="str">
        <f>IFERROR(VLOOKUP(CONCATENATE($B663,"_",J$3),materiali!$C:$K,6,0),"")</f>
        <v/>
      </c>
      <c r="K663" s="86"/>
      <c r="L663" s="84" t="str">
        <f>IFERROR(VLOOKUP(CONCATENATE($B663,"_",L$3),materiali!$C:$K,5,0),"")</f>
        <v/>
      </c>
      <c r="M663" s="85" t="str">
        <f>IFERROR(VLOOKUP(CONCATENATE($B663,"_",M$3),materiali!$C:$K,6,0),"")</f>
        <v/>
      </c>
      <c r="N663" s="86"/>
      <c r="O663" s="84" t="str">
        <f>IFERROR(VLOOKUP(CONCATENATE($B663,"_",O$3),materiali!$C:$K,5,0),"")</f>
        <v/>
      </c>
      <c r="P663" s="85" t="str">
        <f>IFERROR(VLOOKUP(CONCATENATE($B663,"_",P$3),materiali!$C:$K,6,0),"")</f>
        <v/>
      </c>
      <c r="Q663" s="86"/>
      <c r="R663" s="84" t="str">
        <f>IFERROR(VLOOKUP(CONCATENATE($B663,"_",R$3),materiali!$C:$K,5,0),"")</f>
        <v/>
      </c>
      <c r="S663" s="85" t="str">
        <f>IFERROR(VLOOKUP(CONCATENATE($B663,"_",S$3),materiali!$C:$K,6,0),"")</f>
        <v/>
      </c>
      <c r="T663" s="86"/>
      <c r="U663" s="31"/>
      <c r="AD663" s="97"/>
    </row>
    <row r="664" spans="1:30" ht="35.1" hidden="1" customHeight="1" x14ac:dyDescent="0.25">
      <c r="A664" s="83"/>
      <c r="B664" s="7"/>
      <c r="C664" s="8"/>
      <c r="D664" s="8"/>
      <c r="E664" s="60"/>
      <c r="F664" s="84" t="str">
        <f>IFERROR(VLOOKUP(CONCATENATE($B664,"_",F$3),materiali!$C:$K,5,0),"")</f>
        <v/>
      </c>
      <c r="G664" s="85" t="str">
        <f>IFERROR(VLOOKUP(CONCATENATE($B664,"_",G$3),materiali!$C:$K,6,0),"")</f>
        <v/>
      </c>
      <c r="H664" s="86"/>
      <c r="I664" s="84" t="str">
        <f>IFERROR(VLOOKUP(CONCATENATE($B664,"_",I$3),materiali!$C:$K,5,0),"")</f>
        <v/>
      </c>
      <c r="J664" s="85" t="str">
        <f>IFERROR(VLOOKUP(CONCATENATE($B664,"_",J$3),materiali!$C:$K,6,0),"")</f>
        <v/>
      </c>
      <c r="K664" s="86"/>
      <c r="L664" s="84" t="str">
        <f>IFERROR(VLOOKUP(CONCATENATE($B664,"_",L$3),materiali!$C:$K,5,0),"")</f>
        <v/>
      </c>
      <c r="M664" s="85" t="str">
        <f>IFERROR(VLOOKUP(CONCATENATE($B664,"_",M$3),materiali!$C:$K,6,0),"")</f>
        <v/>
      </c>
      <c r="N664" s="86"/>
      <c r="O664" s="84" t="str">
        <f>IFERROR(VLOOKUP(CONCATENATE($B664,"_",O$3),materiali!$C:$K,5,0),"")</f>
        <v/>
      </c>
      <c r="P664" s="85" t="str">
        <f>IFERROR(VLOOKUP(CONCATENATE($B664,"_",P$3),materiali!$C:$K,6,0),"")</f>
        <v/>
      </c>
      <c r="Q664" s="86"/>
      <c r="R664" s="84" t="str">
        <f>IFERROR(VLOOKUP(CONCATENATE($B664,"_",R$3),materiali!$C:$K,5,0),"")</f>
        <v/>
      </c>
      <c r="S664" s="85" t="str">
        <f>IFERROR(VLOOKUP(CONCATENATE($B664,"_",S$3),materiali!$C:$K,6,0),"")</f>
        <v/>
      </c>
      <c r="T664" s="86"/>
      <c r="U664" s="31"/>
      <c r="AD664" s="97"/>
    </row>
    <row r="665" spans="1:30" ht="35.1" hidden="1" customHeight="1" x14ac:dyDescent="0.25">
      <c r="A665" s="83"/>
      <c r="B665" s="7"/>
      <c r="C665" s="8"/>
      <c r="D665" s="8"/>
      <c r="E665" s="60"/>
      <c r="F665" s="84" t="str">
        <f>IFERROR(VLOOKUP(CONCATENATE($B665,"_",F$3),materiali!$C:$K,5,0),"")</f>
        <v/>
      </c>
      <c r="G665" s="85" t="str">
        <f>IFERROR(VLOOKUP(CONCATENATE($B665,"_",G$3),materiali!$C:$K,6,0),"")</f>
        <v/>
      </c>
      <c r="H665" s="86"/>
      <c r="I665" s="84" t="str">
        <f>IFERROR(VLOOKUP(CONCATENATE($B665,"_",I$3),materiali!$C:$K,5,0),"")</f>
        <v/>
      </c>
      <c r="J665" s="85" t="str">
        <f>IFERROR(VLOOKUP(CONCATENATE($B665,"_",J$3),materiali!$C:$K,6,0),"")</f>
        <v/>
      </c>
      <c r="K665" s="86"/>
      <c r="L665" s="84" t="str">
        <f>IFERROR(VLOOKUP(CONCATENATE($B665,"_",L$3),materiali!$C:$K,5,0),"")</f>
        <v/>
      </c>
      <c r="M665" s="85" t="str">
        <f>IFERROR(VLOOKUP(CONCATENATE($B665,"_",M$3),materiali!$C:$K,6,0),"")</f>
        <v/>
      </c>
      <c r="N665" s="86"/>
      <c r="O665" s="84" t="str">
        <f>IFERROR(VLOOKUP(CONCATENATE($B665,"_",O$3),materiali!$C:$K,5,0),"")</f>
        <v/>
      </c>
      <c r="P665" s="85" t="str">
        <f>IFERROR(VLOOKUP(CONCATENATE($B665,"_",P$3),materiali!$C:$K,6,0),"")</f>
        <v/>
      </c>
      <c r="Q665" s="86"/>
      <c r="R665" s="84" t="str">
        <f>IFERROR(VLOOKUP(CONCATENATE($B665,"_",R$3),materiali!$C:$K,5,0),"")</f>
        <v/>
      </c>
      <c r="S665" s="85" t="str">
        <f>IFERROR(VLOOKUP(CONCATENATE($B665,"_",S$3),materiali!$C:$K,6,0),"")</f>
        <v/>
      </c>
      <c r="T665" s="86"/>
      <c r="U665" s="31"/>
      <c r="AD665" s="97"/>
    </row>
    <row r="666" spans="1:30" ht="35.1" hidden="1" customHeight="1" x14ac:dyDescent="0.25">
      <c r="A666" s="83"/>
      <c r="B666" s="7"/>
      <c r="C666" s="8"/>
      <c r="D666" s="8"/>
      <c r="E666" s="60"/>
      <c r="F666" s="84" t="str">
        <f>IFERROR(VLOOKUP(CONCATENATE($B666,"_",F$3),materiali!$C:$K,5,0),"")</f>
        <v/>
      </c>
      <c r="G666" s="85" t="str">
        <f>IFERROR(VLOOKUP(CONCATENATE($B666,"_",G$3),materiali!$C:$K,6,0),"")</f>
        <v/>
      </c>
      <c r="H666" s="86"/>
      <c r="I666" s="84" t="str">
        <f>IFERROR(VLOOKUP(CONCATENATE($B666,"_",I$3),materiali!$C:$K,5,0),"")</f>
        <v/>
      </c>
      <c r="J666" s="85" t="str">
        <f>IFERROR(VLOOKUP(CONCATENATE($B666,"_",J$3),materiali!$C:$K,6,0),"")</f>
        <v/>
      </c>
      <c r="K666" s="86"/>
      <c r="L666" s="84" t="str">
        <f>IFERROR(VLOOKUP(CONCATENATE($B666,"_",L$3),materiali!$C:$K,5,0),"")</f>
        <v/>
      </c>
      <c r="M666" s="85" t="str">
        <f>IFERROR(VLOOKUP(CONCATENATE($B666,"_",M$3),materiali!$C:$K,6,0),"")</f>
        <v/>
      </c>
      <c r="N666" s="86"/>
      <c r="O666" s="84" t="str">
        <f>IFERROR(VLOOKUP(CONCATENATE($B666,"_",O$3),materiali!$C:$K,5,0),"")</f>
        <v/>
      </c>
      <c r="P666" s="85" t="str">
        <f>IFERROR(VLOOKUP(CONCATENATE($B666,"_",P$3),materiali!$C:$K,6,0),"")</f>
        <v/>
      </c>
      <c r="Q666" s="86"/>
      <c r="R666" s="84" t="str">
        <f>IFERROR(VLOOKUP(CONCATENATE($B666,"_",R$3),materiali!$C:$K,5,0),"")</f>
        <v/>
      </c>
      <c r="S666" s="85" t="str">
        <f>IFERROR(VLOOKUP(CONCATENATE($B666,"_",S$3),materiali!$C:$K,6,0),"")</f>
        <v/>
      </c>
      <c r="T666" s="86"/>
      <c r="U666" s="31"/>
      <c r="AD666" s="97"/>
    </row>
    <row r="667" spans="1:30" ht="35.1" hidden="1" customHeight="1" x14ac:dyDescent="0.25">
      <c r="A667" s="83"/>
      <c r="B667" s="7"/>
      <c r="C667" s="8"/>
      <c r="D667" s="8"/>
      <c r="E667" s="60"/>
      <c r="F667" s="84" t="str">
        <f>IFERROR(VLOOKUP(CONCATENATE($B667,"_",F$3),materiali!$C:$K,5,0),"")</f>
        <v/>
      </c>
      <c r="G667" s="85" t="str">
        <f>IFERROR(VLOOKUP(CONCATENATE($B667,"_",G$3),materiali!$C:$K,6,0),"")</f>
        <v/>
      </c>
      <c r="H667" s="86"/>
      <c r="I667" s="84" t="str">
        <f>IFERROR(VLOOKUP(CONCATENATE($B667,"_",I$3),materiali!$C:$K,5,0),"")</f>
        <v/>
      </c>
      <c r="J667" s="85" t="str">
        <f>IFERROR(VLOOKUP(CONCATENATE($B667,"_",J$3),materiali!$C:$K,6,0),"")</f>
        <v/>
      </c>
      <c r="K667" s="86"/>
      <c r="L667" s="84" t="str">
        <f>IFERROR(VLOOKUP(CONCATENATE($B667,"_",L$3),materiali!$C:$K,5,0),"")</f>
        <v/>
      </c>
      <c r="M667" s="85" t="str">
        <f>IFERROR(VLOOKUP(CONCATENATE($B667,"_",M$3),materiali!$C:$K,6,0),"")</f>
        <v/>
      </c>
      <c r="N667" s="86"/>
      <c r="O667" s="84" t="str">
        <f>IFERROR(VLOOKUP(CONCATENATE($B667,"_",O$3),materiali!$C:$K,5,0),"")</f>
        <v/>
      </c>
      <c r="P667" s="85" t="str">
        <f>IFERROR(VLOOKUP(CONCATENATE($B667,"_",P$3),materiali!$C:$K,6,0),"")</f>
        <v/>
      </c>
      <c r="Q667" s="86"/>
      <c r="R667" s="84" t="str">
        <f>IFERROR(VLOOKUP(CONCATENATE($B667,"_",R$3),materiali!$C:$K,5,0),"")</f>
        <v/>
      </c>
      <c r="S667" s="85" t="str">
        <f>IFERROR(VLOOKUP(CONCATENATE($B667,"_",S$3),materiali!$C:$K,6,0),"")</f>
        <v/>
      </c>
      <c r="T667" s="86"/>
      <c r="U667" s="31"/>
      <c r="AD667" s="97"/>
    </row>
    <row r="668" spans="1:30" ht="35.1" hidden="1" customHeight="1" x14ac:dyDescent="0.25">
      <c r="A668" s="83"/>
      <c r="B668" s="7"/>
      <c r="C668" s="8"/>
      <c r="D668" s="8"/>
      <c r="E668" s="60"/>
      <c r="F668" s="84" t="str">
        <f>IFERROR(VLOOKUP(CONCATENATE($B668,"_",F$3),materiali!$C:$K,5,0),"")</f>
        <v/>
      </c>
      <c r="G668" s="85" t="str">
        <f>IFERROR(VLOOKUP(CONCATENATE($B668,"_",G$3),materiali!$C:$K,6,0),"")</f>
        <v/>
      </c>
      <c r="H668" s="86"/>
      <c r="I668" s="84" t="str">
        <f>IFERROR(VLOOKUP(CONCATENATE($B668,"_",I$3),materiali!$C:$K,5,0),"")</f>
        <v/>
      </c>
      <c r="J668" s="85" t="str">
        <f>IFERROR(VLOOKUP(CONCATENATE($B668,"_",J$3),materiali!$C:$K,6,0),"")</f>
        <v/>
      </c>
      <c r="K668" s="86"/>
      <c r="L668" s="84" t="str">
        <f>IFERROR(VLOOKUP(CONCATENATE($B668,"_",L$3),materiali!$C:$K,5,0),"")</f>
        <v/>
      </c>
      <c r="M668" s="85" t="str">
        <f>IFERROR(VLOOKUP(CONCATENATE($B668,"_",M$3),materiali!$C:$K,6,0),"")</f>
        <v/>
      </c>
      <c r="N668" s="86"/>
      <c r="O668" s="84" t="str">
        <f>IFERROR(VLOOKUP(CONCATENATE($B668,"_",O$3),materiali!$C:$K,5,0),"")</f>
        <v/>
      </c>
      <c r="P668" s="85" t="str">
        <f>IFERROR(VLOOKUP(CONCATENATE($B668,"_",P$3),materiali!$C:$K,6,0),"")</f>
        <v/>
      </c>
      <c r="Q668" s="86"/>
      <c r="R668" s="84" t="str">
        <f>IFERROR(VLOOKUP(CONCATENATE($B668,"_",R$3),materiali!$C:$K,5,0),"")</f>
        <v/>
      </c>
      <c r="S668" s="85" t="str">
        <f>IFERROR(VLOOKUP(CONCATENATE($B668,"_",S$3),materiali!$C:$K,6,0),"")</f>
        <v/>
      </c>
      <c r="T668" s="86"/>
      <c r="U668" s="31"/>
      <c r="AD668" s="97"/>
    </row>
    <row r="669" spans="1:30" ht="35.1" hidden="1" customHeight="1" x14ac:dyDescent="0.25">
      <c r="A669" s="83"/>
      <c r="B669" s="7"/>
      <c r="C669" s="8"/>
      <c r="D669" s="8"/>
      <c r="E669" s="60"/>
      <c r="F669" s="84" t="str">
        <f>IFERROR(VLOOKUP(CONCATENATE($B669,"_",F$3),materiali!$C:$K,5,0),"")</f>
        <v/>
      </c>
      <c r="G669" s="85" t="str">
        <f>IFERROR(VLOOKUP(CONCATENATE($B669,"_",G$3),materiali!$C:$K,6,0),"")</f>
        <v/>
      </c>
      <c r="H669" s="86"/>
      <c r="I669" s="84" t="str">
        <f>IFERROR(VLOOKUP(CONCATENATE($B669,"_",I$3),materiali!$C:$K,5,0),"")</f>
        <v/>
      </c>
      <c r="J669" s="85" t="str">
        <f>IFERROR(VLOOKUP(CONCATENATE($B669,"_",J$3),materiali!$C:$K,6,0),"")</f>
        <v/>
      </c>
      <c r="K669" s="86"/>
      <c r="L669" s="84" t="str">
        <f>IFERROR(VLOOKUP(CONCATENATE($B669,"_",L$3),materiali!$C:$K,5,0),"")</f>
        <v/>
      </c>
      <c r="M669" s="85" t="str">
        <f>IFERROR(VLOOKUP(CONCATENATE($B669,"_",M$3),materiali!$C:$K,6,0),"")</f>
        <v/>
      </c>
      <c r="N669" s="86"/>
      <c r="O669" s="84" t="str">
        <f>IFERROR(VLOOKUP(CONCATENATE($B669,"_",O$3),materiali!$C:$K,5,0),"")</f>
        <v/>
      </c>
      <c r="P669" s="85" t="str">
        <f>IFERROR(VLOOKUP(CONCATENATE($B669,"_",P$3),materiali!$C:$K,6,0),"")</f>
        <v/>
      </c>
      <c r="Q669" s="86"/>
      <c r="R669" s="84" t="str">
        <f>IFERROR(VLOOKUP(CONCATENATE($B669,"_",R$3),materiali!$C:$K,5,0),"")</f>
        <v/>
      </c>
      <c r="S669" s="85" t="str">
        <f>IFERROR(VLOOKUP(CONCATENATE($B669,"_",S$3),materiali!$C:$K,6,0),"")</f>
        <v/>
      </c>
      <c r="T669" s="86"/>
      <c r="U669" s="31"/>
      <c r="AD669" s="97"/>
    </row>
    <row r="670" spans="1:30" ht="35.1" hidden="1" customHeight="1" x14ac:dyDescent="0.25">
      <c r="A670" s="83"/>
      <c r="B670" s="7"/>
      <c r="C670" s="8"/>
      <c r="D670" s="8"/>
      <c r="E670" s="60"/>
      <c r="F670" s="84" t="str">
        <f>IFERROR(VLOOKUP(CONCATENATE($B670,"_",F$3),materiali!$C:$K,5,0),"")</f>
        <v/>
      </c>
      <c r="G670" s="85" t="str">
        <f>IFERROR(VLOOKUP(CONCATENATE($B670,"_",G$3),materiali!$C:$K,6,0),"")</f>
        <v/>
      </c>
      <c r="H670" s="86"/>
      <c r="I670" s="84" t="str">
        <f>IFERROR(VLOOKUP(CONCATENATE($B670,"_",I$3),materiali!$C:$K,5,0),"")</f>
        <v/>
      </c>
      <c r="J670" s="85" t="str">
        <f>IFERROR(VLOOKUP(CONCATENATE($B670,"_",J$3),materiali!$C:$K,6,0),"")</f>
        <v/>
      </c>
      <c r="K670" s="86"/>
      <c r="L670" s="84" t="str">
        <f>IFERROR(VLOOKUP(CONCATENATE($B670,"_",L$3),materiali!$C:$K,5,0),"")</f>
        <v/>
      </c>
      <c r="M670" s="85" t="str">
        <f>IFERROR(VLOOKUP(CONCATENATE($B670,"_",M$3),materiali!$C:$K,6,0),"")</f>
        <v/>
      </c>
      <c r="N670" s="86"/>
      <c r="O670" s="84" t="str">
        <f>IFERROR(VLOOKUP(CONCATENATE($B670,"_",O$3),materiali!$C:$K,5,0),"")</f>
        <v/>
      </c>
      <c r="P670" s="85" t="str">
        <f>IFERROR(VLOOKUP(CONCATENATE($B670,"_",P$3),materiali!$C:$K,6,0),"")</f>
        <v/>
      </c>
      <c r="Q670" s="86"/>
      <c r="R670" s="84" t="str">
        <f>IFERROR(VLOOKUP(CONCATENATE($B670,"_",R$3),materiali!$C:$K,5,0),"")</f>
        <v/>
      </c>
      <c r="S670" s="85" t="str">
        <f>IFERROR(VLOOKUP(CONCATENATE($B670,"_",S$3),materiali!$C:$K,6,0),"")</f>
        <v/>
      </c>
      <c r="T670" s="86"/>
      <c r="U670" s="31"/>
      <c r="AD670" s="97"/>
    </row>
    <row r="671" spans="1:30" ht="35.1" hidden="1" customHeight="1" x14ac:dyDescent="0.25">
      <c r="A671" s="83"/>
      <c r="B671" s="7"/>
      <c r="C671" s="8"/>
      <c r="D671" s="8"/>
      <c r="E671" s="60"/>
      <c r="F671" s="84" t="str">
        <f>IFERROR(VLOOKUP(CONCATENATE($B671,"_",F$3),materiali!$C:$K,5,0),"")</f>
        <v/>
      </c>
      <c r="G671" s="85" t="str">
        <f>IFERROR(VLOOKUP(CONCATENATE($B671,"_",G$3),materiali!$C:$K,6,0),"")</f>
        <v/>
      </c>
      <c r="H671" s="86"/>
      <c r="I671" s="84" t="str">
        <f>IFERROR(VLOOKUP(CONCATENATE($B671,"_",I$3),materiali!$C:$K,5,0),"")</f>
        <v/>
      </c>
      <c r="J671" s="85" t="str">
        <f>IFERROR(VLOOKUP(CONCATENATE($B671,"_",J$3),materiali!$C:$K,6,0),"")</f>
        <v/>
      </c>
      <c r="K671" s="86"/>
      <c r="L671" s="84" t="str">
        <f>IFERROR(VLOOKUP(CONCATENATE($B671,"_",L$3),materiali!$C:$K,5,0),"")</f>
        <v/>
      </c>
      <c r="M671" s="85" t="str">
        <f>IFERROR(VLOOKUP(CONCATENATE($B671,"_",M$3),materiali!$C:$K,6,0),"")</f>
        <v/>
      </c>
      <c r="N671" s="86"/>
      <c r="O671" s="84" t="str">
        <f>IFERROR(VLOOKUP(CONCATENATE($B671,"_",O$3),materiali!$C:$K,5,0),"")</f>
        <v/>
      </c>
      <c r="P671" s="85" t="str">
        <f>IFERROR(VLOOKUP(CONCATENATE($B671,"_",P$3),materiali!$C:$K,6,0),"")</f>
        <v/>
      </c>
      <c r="Q671" s="86"/>
      <c r="R671" s="84" t="str">
        <f>IFERROR(VLOOKUP(CONCATENATE($B671,"_",R$3),materiali!$C:$K,5,0),"")</f>
        <v/>
      </c>
      <c r="S671" s="85" t="str">
        <f>IFERROR(VLOOKUP(CONCATENATE($B671,"_",S$3),materiali!$C:$K,6,0),"")</f>
        <v/>
      </c>
      <c r="T671" s="86"/>
      <c r="U671" s="31"/>
      <c r="AD671" s="97"/>
    </row>
    <row r="672" spans="1:30" ht="35.1" hidden="1" customHeight="1" x14ac:dyDescent="0.25">
      <c r="A672" s="83"/>
      <c r="B672" s="7"/>
      <c r="C672" s="8"/>
      <c r="D672" s="8"/>
      <c r="E672" s="60"/>
      <c r="F672" s="84" t="str">
        <f>IFERROR(VLOOKUP(CONCATENATE($B672,"_",F$3),materiali!$C:$K,5,0),"")</f>
        <v/>
      </c>
      <c r="G672" s="85" t="str">
        <f>IFERROR(VLOOKUP(CONCATENATE($B672,"_",G$3),materiali!$C:$K,6,0),"")</f>
        <v/>
      </c>
      <c r="H672" s="86"/>
      <c r="I672" s="84" t="str">
        <f>IFERROR(VLOOKUP(CONCATENATE($B672,"_",I$3),materiali!$C:$K,5,0),"")</f>
        <v/>
      </c>
      <c r="J672" s="85" t="str">
        <f>IFERROR(VLOOKUP(CONCATENATE($B672,"_",J$3),materiali!$C:$K,6,0),"")</f>
        <v/>
      </c>
      <c r="K672" s="86"/>
      <c r="L672" s="84" t="str">
        <f>IFERROR(VLOOKUP(CONCATENATE($B672,"_",L$3),materiali!$C:$K,5,0),"")</f>
        <v/>
      </c>
      <c r="M672" s="85" t="str">
        <f>IFERROR(VLOOKUP(CONCATENATE($B672,"_",M$3),materiali!$C:$K,6,0),"")</f>
        <v/>
      </c>
      <c r="N672" s="86"/>
      <c r="O672" s="84" t="str">
        <f>IFERROR(VLOOKUP(CONCATENATE($B672,"_",O$3),materiali!$C:$K,5,0),"")</f>
        <v/>
      </c>
      <c r="P672" s="85" t="str">
        <f>IFERROR(VLOOKUP(CONCATENATE($B672,"_",P$3),materiali!$C:$K,6,0),"")</f>
        <v/>
      </c>
      <c r="Q672" s="86"/>
      <c r="R672" s="84" t="str">
        <f>IFERROR(VLOOKUP(CONCATENATE($B672,"_",R$3),materiali!$C:$K,5,0),"")</f>
        <v/>
      </c>
      <c r="S672" s="85" t="str">
        <f>IFERROR(VLOOKUP(CONCATENATE($B672,"_",S$3),materiali!$C:$K,6,0),"")</f>
        <v/>
      </c>
      <c r="T672" s="86"/>
      <c r="U672" s="31"/>
      <c r="AD672" s="97"/>
    </row>
    <row r="673" spans="1:30" ht="35.1" hidden="1" customHeight="1" x14ac:dyDescent="0.25">
      <c r="A673" s="83"/>
      <c r="B673" s="7"/>
      <c r="C673" s="8"/>
      <c r="D673" s="8"/>
      <c r="E673" s="60"/>
      <c r="F673" s="84" t="str">
        <f>IFERROR(VLOOKUP(CONCATENATE($B673,"_",F$3),materiali!$C:$K,5,0),"")</f>
        <v/>
      </c>
      <c r="G673" s="85" t="str">
        <f>IFERROR(VLOOKUP(CONCATENATE($B673,"_",G$3),materiali!$C:$K,6,0),"")</f>
        <v/>
      </c>
      <c r="H673" s="86"/>
      <c r="I673" s="84" t="str">
        <f>IFERROR(VLOOKUP(CONCATENATE($B673,"_",I$3),materiali!$C:$K,5,0),"")</f>
        <v/>
      </c>
      <c r="J673" s="85" t="str">
        <f>IFERROR(VLOOKUP(CONCATENATE($B673,"_",J$3),materiali!$C:$K,6,0),"")</f>
        <v/>
      </c>
      <c r="K673" s="86"/>
      <c r="L673" s="84" t="str">
        <f>IFERROR(VLOOKUP(CONCATENATE($B673,"_",L$3),materiali!$C:$K,5,0),"")</f>
        <v/>
      </c>
      <c r="M673" s="85" t="str">
        <f>IFERROR(VLOOKUP(CONCATENATE($B673,"_",M$3),materiali!$C:$K,6,0),"")</f>
        <v/>
      </c>
      <c r="N673" s="86"/>
      <c r="O673" s="84" t="str">
        <f>IFERROR(VLOOKUP(CONCATENATE($B673,"_",O$3),materiali!$C:$K,5,0),"")</f>
        <v/>
      </c>
      <c r="P673" s="85" t="str">
        <f>IFERROR(VLOOKUP(CONCATENATE($B673,"_",P$3),materiali!$C:$K,6,0),"")</f>
        <v/>
      </c>
      <c r="Q673" s="86"/>
      <c r="R673" s="84" t="str">
        <f>IFERROR(VLOOKUP(CONCATENATE($B673,"_",R$3),materiali!$C:$K,5,0),"")</f>
        <v/>
      </c>
      <c r="S673" s="85" t="str">
        <f>IFERROR(VLOOKUP(CONCATENATE($B673,"_",S$3),materiali!$C:$K,6,0),"")</f>
        <v/>
      </c>
      <c r="T673" s="86"/>
      <c r="U673" s="31"/>
      <c r="AD673" s="97"/>
    </row>
    <row r="674" spans="1:30" ht="35.1" hidden="1" customHeight="1" x14ac:dyDescent="0.25">
      <c r="A674" s="83"/>
      <c r="B674" s="7"/>
      <c r="C674" s="8"/>
      <c r="D674" s="8"/>
      <c r="E674" s="60"/>
      <c r="F674" s="84" t="str">
        <f>IFERROR(VLOOKUP(CONCATENATE($B674,"_",F$3),materiali!$C:$K,5,0),"")</f>
        <v/>
      </c>
      <c r="G674" s="85" t="str">
        <f>IFERROR(VLOOKUP(CONCATENATE($B674,"_",G$3),materiali!$C:$K,6,0),"")</f>
        <v/>
      </c>
      <c r="H674" s="86"/>
      <c r="I674" s="84" t="str">
        <f>IFERROR(VLOOKUP(CONCATENATE($B674,"_",I$3),materiali!$C:$K,5,0),"")</f>
        <v/>
      </c>
      <c r="J674" s="85" t="str">
        <f>IFERROR(VLOOKUP(CONCATENATE($B674,"_",J$3),materiali!$C:$K,6,0),"")</f>
        <v/>
      </c>
      <c r="K674" s="86"/>
      <c r="L674" s="84" t="str">
        <f>IFERROR(VLOOKUP(CONCATENATE($B674,"_",L$3),materiali!$C:$K,5,0),"")</f>
        <v/>
      </c>
      <c r="M674" s="85" t="str">
        <f>IFERROR(VLOOKUP(CONCATENATE($B674,"_",M$3),materiali!$C:$K,6,0),"")</f>
        <v/>
      </c>
      <c r="N674" s="86"/>
      <c r="O674" s="84" t="str">
        <f>IFERROR(VLOOKUP(CONCATENATE($B674,"_",O$3),materiali!$C:$K,5,0),"")</f>
        <v/>
      </c>
      <c r="P674" s="85" t="str">
        <f>IFERROR(VLOOKUP(CONCATENATE($B674,"_",P$3),materiali!$C:$K,6,0),"")</f>
        <v/>
      </c>
      <c r="Q674" s="86"/>
      <c r="R674" s="84" t="str">
        <f>IFERROR(VLOOKUP(CONCATENATE($B674,"_",R$3),materiali!$C:$K,5,0),"")</f>
        <v/>
      </c>
      <c r="S674" s="85" t="str">
        <f>IFERROR(VLOOKUP(CONCATENATE($B674,"_",S$3),materiali!$C:$K,6,0),"")</f>
        <v/>
      </c>
      <c r="T674" s="86"/>
      <c r="U674" s="31"/>
      <c r="AD674" s="97"/>
    </row>
    <row r="675" spans="1:30" ht="35.1" hidden="1" customHeight="1" x14ac:dyDescent="0.25">
      <c r="A675" s="83"/>
      <c r="B675" s="7"/>
      <c r="C675" s="8"/>
      <c r="D675" s="8"/>
      <c r="E675" s="60"/>
      <c r="F675" s="84" t="str">
        <f>IFERROR(VLOOKUP(CONCATENATE($B675,"_",F$3),materiali!$C:$K,5,0),"")</f>
        <v/>
      </c>
      <c r="G675" s="85" t="str">
        <f>IFERROR(VLOOKUP(CONCATENATE($B675,"_",G$3),materiali!$C:$K,6,0),"")</f>
        <v/>
      </c>
      <c r="H675" s="86"/>
      <c r="I675" s="84" t="str">
        <f>IFERROR(VLOOKUP(CONCATENATE($B675,"_",I$3),materiali!$C:$K,5,0),"")</f>
        <v/>
      </c>
      <c r="J675" s="85" t="str">
        <f>IFERROR(VLOOKUP(CONCATENATE($B675,"_",J$3),materiali!$C:$K,6,0),"")</f>
        <v/>
      </c>
      <c r="K675" s="86"/>
      <c r="L675" s="84" t="str">
        <f>IFERROR(VLOOKUP(CONCATENATE($B675,"_",L$3),materiali!$C:$K,5,0),"")</f>
        <v/>
      </c>
      <c r="M675" s="85" t="str">
        <f>IFERROR(VLOOKUP(CONCATENATE($B675,"_",M$3),materiali!$C:$K,6,0),"")</f>
        <v/>
      </c>
      <c r="N675" s="86"/>
      <c r="O675" s="84" t="str">
        <f>IFERROR(VLOOKUP(CONCATENATE($B675,"_",O$3),materiali!$C:$K,5,0),"")</f>
        <v/>
      </c>
      <c r="P675" s="85" t="str">
        <f>IFERROR(VLOOKUP(CONCATENATE($B675,"_",P$3),materiali!$C:$K,6,0),"")</f>
        <v/>
      </c>
      <c r="Q675" s="86"/>
      <c r="R675" s="84" t="str">
        <f>IFERROR(VLOOKUP(CONCATENATE($B675,"_",R$3),materiali!$C:$K,5,0),"")</f>
        <v/>
      </c>
      <c r="S675" s="85" t="str">
        <f>IFERROR(VLOOKUP(CONCATENATE($B675,"_",S$3),materiali!$C:$K,6,0),"")</f>
        <v/>
      </c>
      <c r="T675" s="86"/>
      <c r="U675" s="31"/>
      <c r="AD675" s="97"/>
    </row>
    <row r="676" spans="1:30" ht="35.1" hidden="1" customHeight="1" x14ac:dyDescent="0.25">
      <c r="A676" s="83"/>
      <c r="B676" s="7"/>
      <c r="C676" s="8"/>
      <c r="D676" s="8"/>
      <c r="E676" s="60"/>
      <c r="F676" s="84" t="str">
        <f>IFERROR(VLOOKUP(CONCATENATE($B676,"_",F$3),materiali!$C:$K,5,0),"")</f>
        <v/>
      </c>
      <c r="G676" s="85" t="str">
        <f>IFERROR(VLOOKUP(CONCATENATE($B676,"_",G$3),materiali!$C:$K,6,0),"")</f>
        <v/>
      </c>
      <c r="H676" s="86"/>
      <c r="I676" s="84" t="str">
        <f>IFERROR(VLOOKUP(CONCATENATE($B676,"_",I$3),materiali!$C:$K,5,0),"")</f>
        <v/>
      </c>
      <c r="J676" s="85" t="str">
        <f>IFERROR(VLOOKUP(CONCATENATE($B676,"_",J$3),materiali!$C:$K,6,0),"")</f>
        <v/>
      </c>
      <c r="K676" s="86"/>
      <c r="L676" s="84" t="str">
        <f>IFERROR(VLOOKUP(CONCATENATE($B676,"_",L$3),materiali!$C:$K,5,0),"")</f>
        <v/>
      </c>
      <c r="M676" s="85" t="str">
        <f>IFERROR(VLOOKUP(CONCATENATE($B676,"_",M$3),materiali!$C:$K,6,0),"")</f>
        <v/>
      </c>
      <c r="N676" s="86"/>
      <c r="O676" s="84" t="str">
        <f>IFERROR(VLOOKUP(CONCATENATE($B676,"_",O$3),materiali!$C:$K,5,0),"")</f>
        <v/>
      </c>
      <c r="P676" s="85" t="str">
        <f>IFERROR(VLOOKUP(CONCATENATE($B676,"_",P$3),materiali!$C:$K,6,0),"")</f>
        <v/>
      </c>
      <c r="Q676" s="86"/>
      <c r="R676" s="84" t="str">
        <f>IFERROR(VLOOKUP(CONCATENATE($B676,"_",R$3),materiali!$C:$K,5,0),"")</f>
        <v/>
      </c>
      <c r="S676" s="85" t="str">
        <f>IFERROR(VLOOKUP(CONCATENATE($B676,"_",S$3),materiali!$C:$K,6,0),"")</f>
        <v/>
      </c>
      <c r="T676" s="86"/>
      <c r="U676" s="31"/>
      <c r="AD676" s="97"/>
    </row>
    <row r="677" spans="1:30" ht="35.1" hidden="1" customHeight="1" x14ac:dyDescent="0.25">
      <c r="A677" s="83"/>
      <c r="B677" s="7"/>
      <c r="C677" s="8"/>
      <c r="D677" s="8"/>
      <c r="E677" s="60"/>
      <c r="F677" s="84" t="str">
        <f>IFERROR(VLOOKUP(CONCATENATE($B677,"_",F$3),materiali!$C:$K,5,0),"")</f>
        <v/>
      </c>
      <c r="G677" s="85" t="str">
        <f>IFERROR(VLOOKUP(CONCATENATE($B677,"_",G$3),materiali!$C:$K,6,0),"")</f>
        <v/>
      </c>
      <c r="H677" s="86"/>
      <c r="I677" s="84" t="str">
        <f>IFERROR(VLOOKUP(CONCATENATE($B677,"_",I$3),materiali!$C:$K,5,0),"")</f>
        <v/>
      </c>
      <c r="J677" s="85" t="str">
        <f>IFERROR(VLOOKUP(CONCATENATE($B677,"_",J$3),materiali!$C:$K,6,0),"")</f>
        <v/>
      </c>
      <c r="K677" s="86"/>
      <c r="L677" s="84" t="str">
        <f>IFERROR(VLOOKUP(CONCATENATE($B677,"_",L$3),materiali!$C:$K,5,0),"")</f>
        <v/>
      </c>
      <c r="M677" s="85" t="str">
        <f>IFERROR(VLOOKUP(CONCATENATE($B677,"_",M$3),materiali!$C:$K,6,0),"")</f>
        <v/>
      </c>
      <c r="N677" s="86"/>
      <c r="O677" s="84" t="str">
        <f>IFERROR(VLOOKUP(CONCATENATE($B677,"_",O$3),materiali!$C:$K,5,0),"")</f>
        <v/>
      </c>
      <c r="P677" s="85" t="str">
        <f>IFERROR(VLOOKUP(CONCATENATE($B677,"_",P$3),materiali!$C:$K,6,0),"")</f>
        <v/>
      </c>
      <c r="Q677" s="86"/>
      <c r="R677" s="84" t="str">
        <f>IFERROR(VLOOKUP(CONCATENATE($B677,"_",R$3),materiali!$C:$K,5,0),"")</f>
        <v/>
      </c>
      <c r="S677" s="85" t="str">
        <f>IFERROR(VLOOKUP(CONCATENATE($B677,"_",S$3),materiali!$C:$K,6,0),"")</f>
        <v/>
      </c>
      <c r="T677" s="86"/>
      <c r="U677" s="31"/>
      <c r="AD677" s="97"/>
    </row>
    <row r="678" spans="1:30" ht="35.1" hidden="1" customHeight="1" x14ac:dyDescent="0.25">
      <c r="A678" s="83"/>
      <c r="B678" s="7"/>
      <c r="C678" s="8"/>
      <c r="D678" s="8"/>
      <c r="E678" s="60"/>
      <c r="F678" s="84" t="str">
        <f>IFERROR(VLOOKUP(CONCATENATE($B678,"_",F$3),materiali!$C:$K,5,0),"")</f>
        <v/>
      </c>
      <c r="G678" s="85" t="str">
        <f>IFERROR(VLOOKUP(CONCATENATE($B678,"_",G$3),materiali!$C:$K,6,0),"")</f>
        <v/>
      </c>
      <c r="H678" s="86"/>
      <c r="I678" s="84" t="str">
        <f>IFERROR(VLOOKUP(CONCATENATE($B678,"_",I$3),materiali!$C:$K,5,0),"")</f>
        <v/>
      </c>
      <c r="J678" s="85" t="str">
        <f>IFERROR(VLOOKUP(CONCATENATE($B678,"_",J$3),materiali!$C:$K,6,0),"")</f>
        <v/>
      </c>
      <c r="K678" s="86"/>
      <c r="L678" s="84" t="str">
        <f>IFERROR(VLOOKUP(CONCATENATE($B678,"_",L$3),materiali!$C:$K,5,0),"")</f>
        <v/>
      </c>
      <c r="M678" s="85" t="str">
        <f>IFERROR(VLOOKUP(CONCATENATE($B678,"_",M$3),materiali!$C:$K,6,0),"")</f>
        <v/>
      </c>
      <c r="N678" s="86"/>
      <c r="O678" s="84" t="str">
        <f>IFERROR(VLOOKUP(CONCATENATE($B678,"_",O$3),materiali!$C:$K,5,0),"")</f>
        <v/>
      </c>
      <c r="P678" s="85" t="str">
        <f>IFERROR(VLOOKUP(CONCATENATE($B678,"_",P$3),materiali!$C:$K,6,0),"")</f>
        <v/>
      </c>
      <c r="Q678" s="86"/>
      <c r="R678" s="84" t="str">
        <f>IFERROR(VLOOKUP(CONCATENATE($B678,"_",R$3),materiali!$C:$K,5,0),"")</f>
        <v/>
      </c>
      <c r="S678" s="85" t="str">
        <f>IFERROR(VLOOKUP(CONCATENATE($B678,"_",S$3),materiali!$C:$K,6,0),"")</f>
        <v/>
      </c>
      <c r="T678" s="86"/>
      <c r="U678" s="31"/>
      <c r="AD678" s="97"/>
    </row>
    <row r="679" spans="1:30" ht="35.1" hidden="1" customHeight="1" x14ac:dyDescent="0.25">
      <c r="A679" s="83"/>
      <c r="B679" s="7"/>
      <c r="C679" s="8"/>
      <c r="D679" s="8"/>
      <c r="E679" s="60"/>
      <c r="F679" s="84" t="str">
        <f>IFERROR(VLOOKUP(CONCATENATE($B679,"_",F$3),materiali!$C:$K,5,0),"")</f>
        <v/>
      </c>
      <c r="G679" s="85" t="str">
        <f>IFERROR(VLOOKUP(CONCATENATE($B679,"_",G$3),materiali!$C:$K,6,0),"")</f>
        <v/>
      </c>
      <c r="H679" s="86"/>
      <c r="I679" s="84" t="str">
        <f>IFERROR(VLOOKUP(CONCATENATE($B679,"_",I$3),materiali!$C:$K,5,0),"")</f>
        <v/>
      </c>
      <c r="J679" s="85" t="str">
        <f>IFERROR(VLOOKUP(CONCATENATE($B679,"_",J$3),materiali!$C:$K,6,0),"")</f>
        <v/>
      </c>
      <c r="K679" s="86"/>
      <c r="L679" s="84" t="str">
        <f>IFERROR(VLOOKUP(CONCATENATE($B679,"_",L$3),materiali!$C:$K,5,0),"")</f>
        <v/>
      </c>
      <c r="M679" s="85" t="str">
        <f>IFERROR(VLOOKUP(CONCATENATE($B679,"_",M$3),materiali!$C:$K,6,0),"")</f>
        <v/>
      </c>
      <c r="N679" s="86"/>
      <c r="O679" s="84" t="str">
        <f>IFERROR(VLOOKUP(CONCATENATE($B679,"_",O$3),materiali!$C:$K,5,0),"")</f>
        <v/>
      </c>
      <c r="P679" s="85" t="str">
        <f>IFERROR(VLOOKUP(CONCATENATE($B679,"_",P$3),materiali!$C:$K,6,0),"")</f>
        <v/>
      </c>
      <c r="Q679" s="86"/>
      <c r="R679" s="84" t="str">
        <f>IFERROR(VLOOKUP(CONCATENATE($B679,"_",R$3),materiali!$C:$K,5,0),"")</f>
        <v/>
      </c>
      <c r="S679" s="85" t="str">
        <f>IFERROR(VLOOKUP(CONCATENATE($B679,"_",S$3),materiali!$C:$K,6,0),"")</f>
        <v/>
      </c>
      <c r="T679" s="86"/>
      <c r="U679" s="31"/>
      <c r="AD679" s="97"/>
    </row>
    <row r="680" spans="1:30" ht="35.1" hidden="1" customHeight="1" x14ac:dyDescent="0.25">
      <c r="A680" s="83"/>
      <c r="B680" s="7"/>
      <c r="C680" s="8"/>
      <c r="D680" s="8"/>
      <c r="E680" s="60"/>
      <c r="F680" s="84" t="str">
        <f>IFERROR(VLOOKUP(CONCATENATE($B680,"_",F$3),materiali!$C:$K,5,0),"")</f>
        <v/>
      </c>
      <c r="G680" s="85" t="str">
        <f>IFERROR(VLOOKUP(CONCATENATE($B680,"_",G$3),materiali!$C:$K,6,0),"")</f>
        <v/>
      </c>
      <c r="H680" s="86"/>
      <c r="I680" s="84" t="str">
        <f>IFERROR(VLOOKUP(CONCATENATE($B680,"_",I$3),materiali!$C:$K,5,0),"")</f>
        <v/>
      </c>
      <c r="J680" s="85" t="str">
        <f>IFERROR(VLOOKUP(CONCATENATE($B680,"_",J$3),materiali!$C:$K,6,0),"")</f>
        <v/>
      </c>
      <c r="K680" s="86"/>
      <c r="L680" s="84" t="str">
        <f>IFERROR(VLOOKUP(CONCATENATE($B680,"_",L$3),materiali!$C:$K,5,0),"")</f>
        <v/>
      </c>
      <c r="M680" s="85" t="str">
        <f>IFERROR(VLOOKUP(CONCATENATE($B680,"_",M$3),materiali!$C:$K,6,0),"")</f>
        <v/>
      </c>
      <c r="N680" s="86"/>
      <c r="O680" s="84" t="str">
        <f>IFERROR(VLOOKUP(CONCATENATE($B680,"_",O$3),materiali!$C:$K,5,0),"")</f>
        <v/>
      </c>
      <c r="P680" s="85" t="str">
        <f>IFERROR(VLOOKUP(CONCATENATE($B680,"_",P$3),materiali!$C:$K,6,0),"")</f>
        <v/>
      </c>
      <c r="Q680" s="86"/>
      <c r="R680" s="84" t="str">
        <f>IFERROR(VLOOKUP(CONCATENATE($B680,"_",R$3),materiali!$C:$K,5,0),"")</f>
        <v/>
      </c>
      <c r="S680" s="85" t="str">
        <f>IFERROR(VLOOKUP(CONCATENATE($B680,"_",S$3),materiali!$C:$K,6,0),"")</f>
        <v/>
      </c>
      <c r="T680" s="86"/>
      <c r="U680" s="31"/>
      <c r="AD680" s="97"/>
    </row>
    <row r="681" spans="1:30" ht="35.1" hidden="1" customHeight="1" x14ac:dyDescent="0.25">
      <c r="A681" s="83"/>
      <c r="B681" s="7"/>
      <c r="C681" s="8"/>
      <c r="D681" s="8"/>
      <c r="E681" s="60"/>
      <c r="F681" s="84" t="str">
        <f>IFERROR(VLOOKUP(CONCATENATE($B681,"_",F$3),materiali!$C:$K,5,0),"")</f>
        <v/>
      </c>
      <c r="G681" s="85" t="str">
        <f>IFERROR(VLOOKUP(CONCATENATE($B681,"_",G$3),materiali!$C:$K,6,0),"")</f>
        <v/>
      </c>
      <c r="H681" s="86"/>
      <c r="I681" s="84" t="str">
        <f>IFERROR(VLOOKUP(CONCATENATE($B681,"_",I$3),materiali!$C:$K,5,0),"")</f>
        <v/>
      </c>
      <c r="J681" s="85" t="str">
        <f>IFERROR(VLOOKUP(CONCATENATE($B681,"_",J$3),materiali!$C:$K,6,0),"")</f>
        <v/>
      </c>
      <c r="K681" s="86"/>
      <c r="L681" s="84" t="str">
        <f>IFERROR(VLOOKUP(CONCATENATE($B681,"_",L$3),materiali!$C:$K,5,0),"")</f>
        <v/>
      </c>
      <c r="M681" s="85" t="str">
        <f>IFERROR(VLOOKUP(CONCATENATE($B681,"_",M$3),materiali!$C:$K,6,0),"")</f>
        <v/>
      </c>
      <c r="N681" s="86"/>
      <c r="O681" s="84" t="str">
        <f>IFERROR(VLOOKUP(CONCATENATE($B681,"_",O$3),materiali!$C:$K,5,0),"")</f>
        <v/>
      </c>
      <c r="P681" s="85" t="str">
        <f>IFERROR(VLOOKUP(CONCATENATE($B681,"_",P$3),materiali!$C:$K,6,0),"")</f>
        <v/>
      </c>
      <c r="Q681" s="86"/>
      <c r="R681" s="84" t="str">
        <f>IFERROR(VLOOKUP(CONCATENATE($B681,"_",R$3),materiali!$C:$K,5,0),"")</f>
        <v/>
      </c>
      <c r="S681" s="85" t="str">
        <f>IFERROR(VLOOKUP(CONCATENATE($B681,"_",S$3),materiali!$C:$K,6,0),"")</f>
        <v/>
      </c>
      <c r="T681" s="86"/>
      <c r="U681" s="31"/>
      <c r="AD681" s="97"/>
    </row>
    <row r="682" spans="1:30" ht="35.1" hidden="1" customHeight="1" x14ac:dyDescent="0.25">
      <c r="A682" s="83"/>
      <c r="B682" s="7"/>
      <c r="C682" s="8"/>
      <c r="D682" s="8"/>
      <c r="E682" s="60"/>
      <c r="F682" s="84" t="str">
        <f>IFERROR(VLOOKUP(CONCATENATE($B682,"_",F$3),materiali!$C:$K,5,0),"")</f>
        <v/>
      </c>
      <c r="G682" s="85" t="str">
        <f>IFERROR(VLOOKUP(CONCATENATE($B682,"_",G$3),materiali!$C:$K,6,0),"")</f>
        <v/>
      </c>
      <c r="H682" s="86"/>
      <c r="I682" s="84" t="str">
        <f>IFERROR(VLOOKUP(CONCATENATE($B682,"_",I$3),materiali!$C:$K,5,0),"")</f>
        <v/>
      </c>
      <c r="J682" s="85" t="str">
        <f>IFERROR(VLOOKUP(CONCATENATE($B682,"_",J$3),materiali!$C:$K,6,0),"")</f>
        <v/>
      </c>
      <c r="K682" s="86"/>
      <c r="L682" s="84" t="str">
        <f>IFERROR(VLOOKUP(CONCATENATE($B682,"_",L$3),materiali!$C:$K,5,0),"")</f>
        <v/>
      </c>
      <c r="M682" s="85" t="str">
        <f>IFERROR(VLOOKUP(CONCATENATE($B682,"_",M$3),materiali!$C:$K,6,0),"")</f>
        <v/>
      </c>
      <c r="N682" s="86"/>
      <c r="O682" s="84" t="str">
        <f>IFERROR(VLOOKUP(CONCATENATE($B682,"_",O$3),materiali!$C:$K,5,0),"")</f>
        <v/>
      </c>
      <c r="P682" s="85" t="str">
        <f>IFERROR(VLOOKUP(CONCATENATE($B682,"_",P$3),materiali!$C:$K,6,0),"")</f>
        <v/>
      </c>
      <c r="Q682" s="86"/>
      <c r="R682" s="84" t="str">
        <f>IFERROR(VLOOKUP(CONCATENATE($B682,"_",R$3),materiali!$C:$K,5,0),"")</f>
        <v/>
      </c>
      <c r="S682" s="85" t="str">
        <f>IFERROR(VLOOKUP(CONCATENATE($B682,"_",S$3),materiali!$C:$K,6,0),"")</f>
        <v/>
      </c>
      <c r="T682" s="86"/>
      <c r="U682" s="31"/>
      <c r="AD682" s="97"/>
    </row>
    <row r="683" spans="1:30" ht="35.1" hidden="1" customHeight="1" x14ac:dyDescent="0.25">
      <c r="A683" s="83"/>
      <c r="B683" s="7"/>
      <c r="C683" s="8"/>
      <c r="D683" s="8"/>
      <c r="E683" s="60"/>
      <c r="F683" s="84" t="str">
        <f>IFERROR(VLOOKUP(CONCATENATE($B683,"_",F$3),materiali!$C:$K,5,0),"")</f>
        <v/>
      </c>
      <c r="G683" s="85" t="str">
        <f>IFERROR(VLOOKUP(CONCATENATE($B683,"_",G$3),materiali!$C:$K,6,0),"")</f>
        <v/>
      </c>
      <c r="H683" s="86"/>
      <c r="I683" s="84" t="str">
        <f>IFERROR(VLOOKUP(CONCATENATE($B683,"_",I$3),materiali!$C:$K,5,0),"")</f>
        <v/>
      </c>
      <c r="J683" s="85" t="str">
        <f>IFERROR(VLOOKUP(CONCATENATE($B683,"_",J$3),materiali!$C:$K,6,0),"")</f>
        <v/>
      </c>
      <c r="K683" s="86"/>
      <c r="L683" s="84" t="str">
        <f>IFERROR(VLOOKUP(CONCATENATE($B683,"_",L$3),materiali!$C:$K,5,0),"")</f>
        <v/>
      </c>
      <c r="M683" s="85" t="str">
        <f>IFERROR(VLOOKUP(CONCATENATE($B683,"_",M$3),materiali!$C:$K,6,0),"")</f>
        <v/>
      </c>
      <c r="N683" s="86"/>
      <c r="O683" s="84" t="str">
        <f>IFERROR(VLOOKUP(CONCATENATE($B683,"_",O$3),materiali!$C:$K,5,0),"")</f>
        <v/>
      </c>
      <c r="P683" s="85" t="str">
        <f>IFERROR(VLOOKUP(CONCATENATE($B683,"_",P$3),materiali!$C:$K,6,0),"")</f>
        <v/>
      </c>
      <c r="Q683" s="86"/>
      <c r="R683" s="84" t="str">
        <f>IFERROR(VLOOKUP(CONCATENATE($B683,"_",R$3),materiali!$C:$K,5,0),"")</f>
        <v/>
      </c>
      <c r="S683" s="85" t="str">
        <f>IFERROR(VLOOKUP(CONCATENATE($B683,"_",S$3),materiali!$C:$K,6,0),"")</f>
        <v/>
      </c>
      <c r="T683" s="86"/>
      <c r="U683" s="31"/>
      <c r="AD683" s="97"/>
    </row>
    <row r="684" spans="1:30" ht="35.1" hidden="1" customHeight="1" x14ac:dyDescent="0.25">
      <c r="A684" s="83"/>
      <c r="B684" s="7"/>
      <c r="C684" s="8"/>
      <c r="D684" s="8"/>
      <c r="E684" s="60"/>
      <c r="F684" s="84" t="str">
        <f>IFERROR(VLOOKUP(CONCATENATE($B684,"_",F$3),materiali!$C:$K,5,0),"")</f>
        <v/>
      </c>
      <c r="G684" s="85" t="str">
        <f>IFERROR(VLOOKUP(CONCATENATE($B684,"_",G$3),materiali!$C:$K,6,0),"")</f>
        <v/>
      </c>
      <c r="H684" s="86"/>
      <c r="I684" s="84" t="str">
        <f>IFERROR(VLOOKUP(CONCATENATE($B684,"_",I$3),materiali!$C:$K,5,0),"")</f>
        <v/>
      </c>
      <c r="J684" s="85" t="str">
        <f>IFERROR(VLOOKUP(CONCATENATE($B684,"_",J$3),materiali!$C:$K,6,0),"")</f>
        <v/>
      </c>
      <c r="K684" s="86"/>
      <c r="L684" s="84" t="str">
        <f>IFERROR(VLOOKUP(CONCATENATE($B684,"_",L$3),materiali!$C:$K,5,0),"")</f>
        <v/>
      </c>
      <c r="M684" s="85" t="str">
        <f>IFERROR(VLOOKUP(CONCATENATE($B684,"_",M$3),materiali!$C:$K,6,0),"")</f>
        <v/>
      </c>
      <c r="N684" s="86"/>
      <c r="O684" s="84" t="str">
        <f>IFERROR(VLOOKUP(CONCATENATE($B684,"_",O$3),materiali!$C:$K,5,0),"")</f>
        <v/>
      </c>
      <c r="P684" s="85" t="str">
        <f>IFERROR(VLOOKUP(CONCATENATE($B684,"_",P$3),materiali!$C:$K,6,0),"")</f>
        <v/>
      </c>
      <c r="Q684" s="86"/>
      <c r="R684" s="84" t="str">
        <f>IFERROR(VLOOKUP(CONCATENATE($B684,"_",R$3),materiali!$C:$K,5,0),"")</f>
        <v/>
      </c>
      <c r="S684" s="85" t="str">
        <f>IFERROR(VLOOKUP(CONCATENATE($B684,"_",S$3),materiali!$C:$K,6,0),"")</f>
        <v/>
      </c>
      <c r="T684" s="86"/>
      <c r="U684" s="31"/>
      <c r="AD684" s="97"/>
    </row>
    <row r="685" spans="1:30" ht="35.1" hidden="1" customHeight="1" x14ac:dyDescent="0.25">
      <c r="A685" s="83"/>
      <c r="B685" s="7"/>
      <c r="C685" s="8"/>
      <c r="D685" s="8"/>
      <c r="E685" s="60"/>
      <c r="F685" s="84" t="str">
        <f>IFERROR(VLOOKUP(CONCATENATE($B685,"_",F$3),materiali!$C:$K,5,0),"")</f>
        <v/>
      </c>
      <c r="G685" s="85" t="str">
        <f>IFERROR(VLOOKUP(CONCATENATE($B685,"_",G$3),materiali!$C:$K,6,0),"")</f>
        <v/>
      </c>
      <c r="H685" s="86"/>
      <c r="I685" s="84" t="str">
        <f>IFERROR(VLOOKUP(CONCATENATE($B685,"_",I$3),materiali!$C:$K,5,0),"")</f>
        <v/>
      </c>
      <c r="J685" s="85" t="str">
        <f>IFERROR(VLOOKUP(CONCATENATE($B685,"_",J$3),materiali!$C:$K,6,0),"")</f>
        <v/>
      </c>
      <c r="K685" s="86"/>
      <c r="L685" s="84" t="str">
        <f>IFERROR(VLOOKUP(CONCATENATE($B685,"_",L$3),materiali!$C:$K,5,0),"")</f>
        <v/>
      </c>
      <c r="M685" s="85" t="str">
        <f>IFERROR(VLOOKUP(CONCATENATE($B685,"_",M$3),materiali!$C:$K,6,0),"")</f>
        <v/>
      </c>
      <c r="N685" s="86"/>
      <c r="O685" s="84" t="str">
        <f>IFERROR(VLOOKUP(CONCATENATE($B685,"_",O$3),materiali!$C:$K,5,0),"")</f>
        <v/>
      </c>
      <c r="P685" s="85" t="str">
        <f>IFERROR(VLOOKUP(CONCATENATE($B685,"_",P$3),materiali!$C:$K,6,0),"")</f>
        <v/>
      </c>
      <c r="Q685" s="86"/>
      <c r="R685" s="84" t="str">
        <f>IFERROR(VLOOKUP(CONCATENATE($B685,"_",R$3),materiali!$C:$K,5,0),"")</f>
        <v/>
      </c>
      <c r="S685" s="85" t="str">
        <f>IFERROR(VLOOKUP(CONCATENATE($B685,"_",S$3),materiali!$C:$K,6,0),"")</f>
        <v/>
      </c>
      <c r="T685" s="86"/>
      <c r="U685" s="31"/>
      <c r="AD685" s="97"/>
    </row>
    <row r="686" spans="1:30" ht="35.1" hidden="1" customHeight="1" x14ac:dyDescent="0.25">
      <c r="A686" s="83"/>
      <c r="B686" s="7"/>
      <c r="C686" s="8"/>
      <c r="D686" s="8"/>
      <c r="E686" s="60"/>
      <c r="F686" s="84" t="str">
        <f>IFERROR(VLOOKUP(CONCATENATE($B686,"_",F$3),materiali!$C:$K,5,0),"")</f>
        <v/>
      </c>
      <c r="G686" s="85" t="str">
        <f>IFERROR(VLOOKUP(CONCATENATE($B686,"_",G$3),materiali!$C:$K,6,0),"")</f>
        <v/>
      </c>
      <c r="H686" s="86"/>
      <c r="I686" s="84" t="str">
        <f>IFERROR(VLOOKUP(CONCATENATE($B686,"_",I$3),materiali!$C:$K,5,0),"")</f>
        <v/>
      </c>
      <c r="J686" s="85" t="str">
        <f>IFERROR(VLOOKUP(CONCATENATE($B686,"_",J$3),materiali!$C:$K,6,0),"")</f>
        <v/>
      </c>
      <c r="K686" s="86"/>
      <c r="L686" s="84" t="str">
        <f>IFERROR(VLOOKUP(CONCATENATE($B686,"_",L$3),materiali!$C:$K,5,0),"")</f>
        <v/>
      </c>
      <c r="M686" s="85" t="str">
        <f>IFERROR(VLOOKUP(CONCATENATE($B686,"_",M$3),materiali!$C:$K,6,0),"")</f>
        <v/>
      </c>
      <c r="N686" s="86"/>
      <c r="O686" s="84" t="str">
        <f>IFERROR(VLOOKUP(CONCATENATE($B686,"_",O$3),materiali!$C:$K,5,0),"")</f>
        <v/>
      </c>
      <c r="P686" s="85" t="str">
        <f>IFERROR(VLOOKUP(CONCATENATE($B686,"_",P$3),materiali!$C:$K,6,0),"")</f>
        <v/>
      </c>
      <c r="Q686" s="86"/>
      <c r="R686" s="84" t="str">
        <f>IFERROR(VLOOKUP(CONCATENATE($B686,"_",R$3),materiali!$C:$K,5,0),"")</f>
        <v/>
      </c>
      <c r="S686" s="85" t="str">
        <f>IFERROR(VLOOKUP(CONCATENATE($B686,"_",S$3),materiali!$C:$K,6,0),"")</f>
        <v/>
      </c>
      <c r="T686" s="86"/>
      <c r="U686" s="31"/>
      <c r="AD686" s="97"/>
    </row>
    <row r="687" spans="1:30" ht="35.1" hidden="1" customHeight="1" x14ac:dyDescent="0.25">
      <c r="A687" s="83"/>
      <c r="B687" s="7"/>
      <c r="C687" s="8"/>
      <c r="D687" s="8"/>
      <c r="E687" s="60"/>
      <c r="F687" s="84" t="str">
        <f>IFERROR(VLOOKUP(CONCATENATE($B687,"_",F$3),materiali!$C:$K,5,0),"")</f>
        <v/>
      </c>
      <c r="G687" s="85" t="str">
        <f>IFERROR(VLOOKUP(CONCATENATE($B687,"_",G$3),materiali!$C:$K,6,0),"")</f>
        <v/>
      </c>
      <c r="H687" s="86"/>
      <c r="I687" s="84" t="str">
        <f>IFERROR(VLOOKUP(CONCATENATE($B687,"_",I$3),materiali!$C:$K,5,0),"")</f>
        <v/>
      </c>
      <c r="J687" s="85" t="str">
        <f>IFERROR(VLOOKUP(CONCATENATE($B687,"_",J$3),materiali!$C:$K,6,0),"")</f>
        <v/>
      </c>
      <c r="K687" s="86"/>
      <c r="L687" s="84" t="str">
        <f>IFERROR(VLOOKUP(CONCATENATE($B687,"_",L$3),materiali!$C:$K,5,0),"")</f>
        <v/>
      </c>
      <c r="M687" s="85" t="str">
        <f>IFERROR(VLOOKUP(CONCATENATE($B687,"_",M$3),materiali!$C:$K,6,0),"")</f>
        <v/>
      </c>
      <c r="N687" s="86"/>
      <c r="O687" s="84" t="str">
        <f>IFERROR(VLOOKUP(CONCATENATE($B687,"_",O$3),materiali!$C:$K,5,0),"")</f>
        <v/>
      </c>
      <c r="P687" s="85" t="str">
        <f>IFERROR(VLOOKUP(CONCATENATE($B687,"_",P$3),materiali!$C:$K,6,0),"")</f>
        <v/>
      </c>
      <c r="Q687" s="86"/>
      <c r="R687" s="84" t="str">
        <f>IFERROR(VLOOKUP(CONCATENATE($B687,"_",R$3),materiali!$C:$K,5,0),"")</f>
        <v/>
      </c>
      <c r="S687" s="85" t="str">
        <f>IFERROR(VLOOKUP(CONCATENATE($B687,"_",S$3),materiali!$C:$K,6,0),"")</f>
        <v/>
      </c>
      <c r="T687" s="86"/>
      <c r="U687" s="31"/>
      <c r="AD687" s="97"/>
    </row>
    <row r="688" spans="1:30" ht="35.1" hidden="1" customHeight="1" x14ac:dyDescent="0.25">
      <c r="A688" s="83"/>
      <c r="B688" s="7"/>
      <c r="C688" s="8"/>
      <c r="D688" s="8"/>
      <c r="E688" s="60"/>
      <c r="F688" s="84" t="str">
        <f>IFERROR(VLOOKUP(CONCATENATE($B688,"_",F$3),materiali!$C:$K,5,0),"")</f>
        <v/>
      </c>
      <c r="G688" s="85" t="str">
        <f>IFERROR(VLOOKUP(CONCATENATE($B688,"_",G$3),materiali!$C:$K,6,0),"")</f>
        <v/>
      </c>
      <c r="H688" s="86"/>
      <c r="I688" s="84" t="str">
        <f>IFERROR(VLOOKUP(CONCATENATE($B688,"_",I$3),materiali!$C:$K,5,0),"")</f>
        <v/>
      </c>
      <c r="J688" s="85" t="str">
        <f>IFERROR(VLOOKUP(CONCATENATE($B688,"_",J$3),materiali!$C:$K,6,0),"")</f>
        <v/>
      </c>
      <c r="K688" s="86"/>
      <c r="L688" s="84" t="str">
        <f>IFERROR(VLOOKUP(CONCATENATE($B688,"_",L$3),materiali!$C:$K,5,0),"")</f>
        <v/>
      </c>
      <c r="M688" s="85" t="str">
        <f>IFERROR(VLOOKUP(CONCATENATE($B688,"_",M$3),materiali!$C:$K,6,0),"")</f>
        <v/>
      </c>
      <c r="N688" s="86"/>
      <c r="O688" s="84" t="str">
        <f>IFERROR(VLOOKUP(CONCATENATE($B688,"_",O$3),materiali!$C:$K,5,0),"")</f>
        <v/>
      </c>
      <c r="P688" s="85" t="str">
        <f>IFERROR(VLOOKUP(CONCATENATE($B688,"_",P$3),materiali!$C:$K,6,0),"")</f>
        <v/>
      </c>
      <c r="Q688" s="86"/>
      <c r="R688" s="84" t="str">
        <f>IFERROR(VLOOKUP(CONCATENATE($B688,"_",R$3),materiali!$C:$K,5,0),"")</f>
        <v/>
      </c>
      <c r="S688" s="85" t="str">
        <f>IFERROR(VLOOKUP(CONCATENATE($B688,"_",S$3),materiali!$C:$K,6,0),"")</f>
        <v/>
      </c>
      <c r="T688" s="86"/>
      <c r="U688" s="31"/>
      <c r="AD688" s="97"/>
    </row>
    <row r="689" spans="1:30" ht="35.1" hidden="1" customHeight="1" x14ac:dyDescent="0.25">
      <c r="A689" s="83"/>
      <c r="B689" s="7"/>
      <c r="C689" s="8"/>
      <c r="D689" s="8"/>
      <c r="E689" s="60"/>
      <c r="F689" s="84" t="str">
        <f>IFERROR(VLOOKUP(CONCATENATE($B689,"_",F$3),materiali!$C:$K,5,0),"")</f>
        <v/>
      </c>
      <c r="G689" s="85" t="str">
        <f>IFERROR(VLOOKUP(CONCATENATE($B689,"_",G$3),materiali!$C:$K,6,0),"")</f>
        <v/>
      </c>
      <c r="H689" s="86"/>
      <c r="I689" s="84" t="str">
        <f>IFERROR(VLOOKUP(CONCATENATE($B689,"_",I$3),materiali!$C:$K,5,0),"")</f>
        <v/>
      </c>
      <c r="J689" s="85" t="str">
        <f>IFERROR(VLOOKUP(CONCATENATE($B689,"_",J$3),materiali!$C:$K,6,0),"")</f>
        <v/>
      </c>
      <c r="K689" s="86"/>
      <c r="L689" s="84" t="str">
        <f>IFERROR(VLOOKUP(CONCATENATE($B689,"_",L$3),materiali!$C:$K,5,0),"")</f>
        <v/>
      </c>
      <c r="M689" s="85" t="str">
        <f>IFERROR(VLOOKUP(CONCATENATE($B689,"_",M$3),materiali!$C:$K,6,0),"")</f>
        <v/>
      </c>
      <c r="N689" s="86"/>
      <c r="O689" s="84" t="str">
        <f>IFERROR(VLOOKUP(CONCATENATE($B689,"_",O$3),materiali!$C:$K,5,0),"")</f>
        <v/>
      </c>
      <c r="P689" s="85" t="str">
        <f>IFERROR(VLOOKUP(CONCATENATE($B689,"_",P$3),materiali!$C:$K,6,0),"")</f>
        <v/>
      </c>
      <c r="Q689" s="86"/>
      <c r="R689" s="84" t="str">
        <f>IFERROR(VLOOKUP(CONCATENATE($B689,"_",R$3),materiali!$C:$K,5,0),"")</f>
        <v/>
      </c>
      <c r="S689" s="85" t="str">
        <f>IFERROR(VLOOKUP(CONCATENATE($B689,"_",S$3),materiali!$C:$K,6,0),"")</f>
        <v/>
      </c>
      <c r="T689" s="86"/>
      <c r="U689" s="31"/>
      <c r="AD689" s="97"/>
    </row>
    <row r="690" spans="1:30" ht="35.1" hidden="1" customHeight="1" x14ac:dyDescent="0.25">
      <c r="A690" s="83"/>
      <c r="B690" s="7"/>
      <c r="C690" s="8"/>
      <c r="D690" s="8"/>
      <c r="E690" s="60"/>
      <c r="F690" s="84" t="str">
        <f>IFERROR(VLOOKUP(CONCATENATE($B690,"_",F$3),materiali!$C:$K,5,0),"")</f>
        <v/>
      </c>
      <c r="G690" s="85" t="str">
        <f>IFERROR(VLOOKUP(CONCATENATE($B690,"_",G$3),materiali!$C:$K,6,0),"")</f>
        <v/>
      </c>
      <c r="H690" s="86"/>
      <c r="I690" s="84" t="str">
        <f>IFERROR(VLOOKUP(CONCATENATE($B690,"_",I$3),materiali!$C:$K,5,0),"")</f>
        <v/>
      </c>
      <c r="J690" s="85" t="str">
        <f>IFERROR(VLOOKUP(CONCATENATE($B690,"_",J$3),materiali!$C:$K,6,0),"")</f>
        <v/>
      </c>
      <c r="K690" s="86"/>
      <c r="L690" s="84" t="str">
        <f>IFERROR(VLOOKUP(CONCATENATE($B690,"_",L$3),materiali!$C:$K,5,0),"")</f>
        <v/>
      </c>
      <c r="M690" s="85" t="str">
        <f>IFERROR(VLOOKUP(CONCATENATE($B690,"_",M$3),materiali!$C:$K,6,0),"")</f>
        <v/>
      </c>
      <c r="N690" s="86"/>
      <c r="O690" s="84" t="str">
        <f>IFERROR(VLOOKUP(CONCATENATE($B690,"_",O$3),materiali!$C:$K,5,0),"")</f>
        <v/>
      </c>
      <c r="P690" s="85" t="str">
        <f>IFERROR(VLOOKUP(CONCATENATE($B690,"_",P$3),materiali!$C:$K,6,0),"")</f>
        <v/>
      </c>
      <c r="Q690" s="86"/>
      <c r="R690" s="84" t="str">
        <f>IFERROR(VLOOKUP(CONCATENATE($B690,"_",R$3),materiali!$C:$K,5,0),"")</f>
        <v/>
      </c>
      <c r="S690" s="85" t="str">
        <f>IFERROR(VLOOKUP(CONCATENATE($B690,"_",S$3),materiali!$C:$K,6,0),"")</f>
        <v/>
      </c>
      <c r="T690" s="86"/>
      <c r="U690" s="31"/>
      <c r="AD690" s="97"/>
    </row>
    <row r="691" spans="1:30" ht="35.1" hidden="1" customHeight="1" x14ac:dyDescent="0.25">
      <c r="A691" s="83"/>
      <c r="B691" s="7"/>
      <c r="C691" s="8"/>
      <c r="D691" s="8"/>
      <c r="E691" s="60"/>
      <c r="F691" s="84" t="str">
        <f>IFERROR(VLOOKUP(CONCATENATE($B691,"_",F$3),materiali!$C:$K,5,0),"")</f>
        <v/>
      </c>
      <c r="G691" s="85" t="str">
        <f>IFERROR(VLOOKUP(CONCATENATE($B691,"_",G$3),materiali!$C:$K,6,0),"")</f>
        <v/>
      </c>
      <c r="H691" s="86"/>
      <c r="I691" s="84" t="str">
        <f>IFERROR(VLOOKUP(CONCATENATE($B691,"_",I$3),materiali!$C:$K,5,0),"")</f>
        <v/>
      </c>
      <c r="J691" s="85" t="str">
        <f>IFERROR(VLOOKUP(CONCATENATE($B691,"_",J$3),materiali!$C:$K,6,0),"")</f>
        <v/>
      </c>
      <c r="K691" s="86"/>
      <c r="L691" s="84" t="str">
        <f>IFERROR(VLOOKUP(CONCATENATE($B691,"_",L$3),materiali!$C:$K,5,0),"")</f>
        <v/>
      </c>
      <c r="M691" s="85" t="str">
        <f>IFERROR(VLOOKUP(CONCATENATE($B691,"_",M$3),materiali!$C:$K,6,0),"")</f>
        <v/>
      </c>
      <c r="N691" s="86"/>
      <c r="O691" s="84" t="str">
        <f>IFERROR(VLOOKUP(CONCATENATE($B691,"_",O$3),materiali!$C:$K,5,0),"")</f>
        <v/>
      </c>
      <c r="P691" s="85" t="str">
        <f>IFERROR(VLOOKUP(CONCATENATE($B691,"_",P$3),materiali!$C:$K,6,0),"")</f>
        <v/>
      </c>
      <c r="Q691" s="86"/>
      <c r="R691" s="84" t="str">
        <f>IFERROR(VLOOKUP(CONCATENATE($B691,"_",R$3),materiali!$C:$K,5,0),"")</f>
        <v/>
      </c>
      <c r="S691" s="85" t="str">
        <f>IFERROR(VLOOKUP(CONCATENATE($B691,"_",S$3),materiali!$C:$K,6,0),"")</f>
        <v/>
      </c>
      <c r="T691" s="86"/>
      <c r="U691" s="31"/>
      <c r="AD691" s="97"/>
    </row>
    <row r="692" spans="1:30" ht="35.1" hidden="1" customHeight="1" x14ac:dyDescent="0.25">
      <c r="A692" s="83"/>
      <c r="B692" s="7"/>
      <c r="C692" s="8"/>
      <c r="D692" s="8"/>
      <c r="E692" s="60"/>
      <c r="F692" s="84" t="str">
        <f>IFERROR(VLOOKUP(CONCATENATE($B692,"_",F$3),materiali!$C:$K,5,0),"")</f>
        <v/>
      </c>
      <c r="G692" s="85" t="str">
        <f>IFERROR(VLOOKUP(CONCATENATE($B692,"_",G$3),materiali!$C:$K,6,0),"")</f>
        <v/>
      </c>
      <c r="H692" s="86"/>
      <c r="I692" s="84" t="str">
        <f>IFERROR(VLOOKUP(CONCATENATE($B692,"_",I$3),materiali!$C:$K,5,0),"")</f>
        <v/>
      </c>
      <c r="J692" s="85" t="str">
        <f>IFERROR(VLOOKUP(CONCATENATE($B692,"_",J$3),materiali!$C:$K,6,0),"")</f>
        <v/>
      </c>
      <c r="K692" s="86"/>
      <c r="L692" s="84" t="str">
        <f>IFERROR(VLOOKUP(CONCATENATE($B692,"_",L$3),materiali!$C:$K,5,0),"")</f>
        <v/>
      </c>
      <c r="M692" s="85" t="str">
        <f>IFERROR(VLOOKUP(CONCATENATE($B692,"_",M$3),materiali!$C:$K,6,0),"")</f>
        <v/>
      </c>
      <c r="N692" s="86"/>
      <c r="O692" s="84" t="str">
        <f>IFERROR(VLOOKUP(CONCATENATE($B692,"_",O$3),materiali!$C:$K,5,0),"")</f>
        <v/>
      </c>
      <c r="P692" s="85" t="str">
        <f>IFERROR(VLOOKUP(CONCATENATE($B692,"_",P$3),materiali!$C:$K,6,0),"")</f>
        <v/>
      </c>
      <c r="Q692" s="86"/>
      <c r="R692" s="84" t="str">
        <f>IFERROR(VLOOKUP(CONCATENATE($B692,"_",R$3),materiali!$C:$K,5,0),"")</f>
        <v/>
      </c>
      <c r="S692" s="85" t="str">
        <f>IFERROR(VLOOKUP(CONCATENATE($B692,"_",S$3),materiali!$C:$K,6,0),"")</f>
        <v/>
      </c>
      <c r="T692" s="86"/>
      <c r="U692" s="31"/>
      <c r="AD692" s="97"/>
    </row>
    <row r="693" spans="1:30" ht="35.1" hidden="1" customHeight="1" x14ac:dyDescent="0.25">
      <c r="A693" s="83"/>
      <c r="B693" s="7"/>
      <c r="C693" s="8"/>
      <c r="D693" s="8"/>
      <c r="E693" s="60"/>
      <c r="F693" s="84" t="str">
        <f>IFERROR(VLOOKUP(CONCATENATE($B693,"_",F$3),materiali!$C:$K,5,0),"")</f>
        <v/>
      </c>
      <c r="G693" s="85" t="str">
        <f>IFERROR(VLOOKUP(CONCATENATE($B693,"_",G$3),materiali!$C:$K,6,0),"")</f>
        <v/>
      </c>
      <c r="H693" s="86"/>
      <c r="I693" s="84" t="str">
        <f>IFERROR(VLOOKUP(CONCATENATE($B693,"_",I$3),materiali!$C:$K,5,0),"")</f>
        <v/>
      </c>
      <c r="J693" s="85" t="str">
        <f>IFERROR(VLOOKUP(CONCATENATE($B693,"_",J$3),materiali!$C:$K,6,0),"")</f>
        <v/>
      </c>
      <c r="K693" s="86"/>
      <c r="L693" s="84" t="str">
        <f>IFERROR(VLOOKUP(CONCATENATE($B693,"_",L$3),materiali!$C:$K,5,0),"")</f>
        <v/>
      </c>
      <c r="M693" s="85" t="str">
        <f>IFERROR(VLOOKUP(CONCATENATE($B693,"_",M$3),materiali!$C:$K,6,0),"")</f>
        <v/>
      </c>
      <c r="N693" s="86"/>
      <c r="O693" s="84" t="str">
        <f>IFERROR(VLOOKUP(CONCATENATE($B693,"_",O$3),materiali!$C:$K,5,0),"")</f>
        <v/>
      </c>
      <c r="P693" s="85" t="str">
        <f>IFERROR(VLOOKUP(CONCATENATE($B693,"_",P$3),materiali!$C:$K,6,0),"")</f>
        <v/>
      </c>
      <c r="Q693" s="86"/>
      <c r="R693" s="84" t="str">
        <f>IFERROR(VLOOKUP(CONCATENATE($B693,"_",R$3),materiali!$C:$K,5,0),"")</f>
        <v/>
      </c>
      <c r="S693" s="85" t="str">
        <f>IFERROR(VLOOKUP(CONCATENATE($B693,"_",S$3),materiali!$C:$K,6,0),"")</f>
        <v/>
      </c>
      <c r="T693" s="86"/>
      <c r="U693" s="31"/>
      <c r="AD693" s="97"/>
    </row>
    <row r="694" spans="1:30" ht="35.1" hidden="1" customHeight="1" x14ac:dyDescent="0.25">
      <c r="A694" s="83"/>
      <c r="B694" s="7"/>
      <c r="C694" s="8"/>
      <c r="D694" s="8"/>
      <c r="E694" s="60"/>
      <c r="F694" s="84" t="str">
        <f>IFERROR(VLOOKUP(CONCATENATE($B694,"_",F$3),materiali!$C:$K,5,0),"")</f>
        <v/>
      </c>
      <c r="G694" s="85" t="str">
        <f>IFERROR(VLOOKUP(CONCATENATE($B694,"_",G$3),materiali!$C:$K,6,0),"")</f>
        <v/>
      </c>
      <c r="H694" s="86"/>
      <c r="I694" s="84" t="str">
        <f>IFERROR(VLOOKUP(CONCATENATE($B694,"_",I$3),materiali!$C:$K,5,0),"")</f>
        <v/>
      </c>
      <c r="J694" s="85" t="str">
        <f>IFERROR(VLOOKUP(CONCATENATE($B694,"_",J$3),materiali!$C:$K,6,0),"")</f>
        <v/>
      </c>
      <c r="K694" s="86"/>
      <c r="L694" s="84" t="str">
        <f>IFERROR(VLOOKUP(CONCATENATE($B694,"_",L$3),materiali!$C:$K,5,0),"")</f>
        <v/>
      </c>
      <c r="M694" s="85" t="str">
        <f>IFERROR(VLOOKUP(CONCATENATE($B694,"_",M$3),materiali!$C:$K,6,0),"")</f>
        <v/>
      </c>
      <c r="N694" s="86"/>
      <c r="O694" s="84" t="str">
        <f>IFERROR(VLOOKUP(CONCATENATE($B694,"_",O$3),materiali!$C:$K,5,0),"")</f>
        <v/>
      </c>
      <c r="P694" s="85" t="str">
        <f>IFERROR(VLOOKUP(CONCATENATE($B694,"_",P$3),materiali!$C:$K,6,0),"")</f>
        <v/>
      </c>
      <c r="Q694" s="86"/>
      <c r="R694" s="84" t="str">
        <f>IFERROR(VLOOKUP(CONCATENATE($B694,"_",R$3),materiali!$C:$K,5,0),"")</f>
        <v/>
      </c>
      <c r="S694" s="85" t="str">
        <f>IFERROR(VLOOKUP(CONCATENATE($B694,"_",S$3),materiali!$C:$K,6,0),"")</f>
        <v/>
      </c>
      <c r="T694" s="86"/>
      <c r="U694" s="31"/>
      <c r="AD694" s="97"/>
    </row>
    <row r="695" spans="1:30" ht="35.1" hidden="1" customHeight="1" x14ac:dyDescent="0.25">
      <c r="A695" s="83"/>
      <c r="B695" s="7"/>
      <c r="C695" s="8"/>
      <c r="D695" s="8"/>
      <c r="E695" s="60"/>
      <c r="F695" s="84" t="str">
        <f>IFERROR(VLOOKUP(CONCATENATE($B695,"_",F$3),materiali!$C:$K,5,0),"")</f>
        <v/>
      </c>
      <c r="G695" s="85" t="str">
        <f>IFERROR(VLOOKUP(CONCATENATE($B695,"_",G$3),materiali!$C:$K,6,0),"")</f>
        <v/>
      </c>
      <c r="H695" s="86"/>
      <c r="I695" s="84" t="str">
        <f>IFERROR(VLOOKUP(CONCATENATE($B695,"_",I$3),materiali!$C:$K,5,0),"")</f>
        <v/>
      </c>
      <c r="J695" s="85" t="str">
        <f>IFERROR(VLOOKUP(CONCATENATE($B695,"_",J$3),materiali!$C:$K,6,0),"")</f>
        <v/>
      </c>
      <c r="K695" s="86"/>
      <c r="L695" s="84" t="str">
        <f>IFERROR(VLOOKUP(CONCATENATE($B695,"_",L$3),materiali!$C:$K,5,0),"")</f>
        <v/>
      </c>
      <c r="M695" s="85" t="str">
        <f>IFERROR(VLOOKUP(CONCATENATE($B695,"_",M$3),materiali!$C:$K,6,0),"")</f>
        <v/>
      </c>
      <c r="N695" s="86"/>
      <c r="O695" s="84" t="str">
        <f>IFERROR(VLOOKUP(CONCATENATE($B695,"_",O$3),materiali!$C:$K,5,0),"")</f>
        <v/>
      </c>
      <c r="P695" s="85" t="str">
        <f>IFERROR(VLOOKUP(CONCATENATE($B695,"_",P$3),materiali!$C:$K,6,0),"")</f>
        <v/>
      </c>
      <c r="Q695" s="86"/>
      <c r="R695" s="84" t="str">
        <f>IFERROR(VLOOKUP(CONCATENATE($B695,"_",R$3),materiali!$C:$K,5,0),"")</f>
        <v/>
      </c>
      <c r="S695" s="85" t="str">
        <f>IFERROR(VLOOKUP(CONCATENATE($B695,"_",S$3),materiali!$C:$K,6,0),"")</f>
        <v/>
      </c>
      <c r="T695" s="86"/>
      <c r="U695" s="31"/>
      <c r="AD695" s="97"/>
    </row>
    <row r="696" spans="1:30" ht="35.1" hidden="1" customHeight="1" x14ac:dyDescent="0.25">
      <c r="A696" s="83"/>
      <c r="B696" s="7"/>
      <c r="C696" s="8"/>
      <c r="D696" s="8"/>
      <c r="E696" s="60"/>
      <c r="F696" s="84" t="str">
        <f>IFERROR(VLOOKUP(CONCATENATE($B696,"_",F$3),materiali!$C:$K,5,0),"")</f>
        <v/>
      </c>
      <c r="G696" s="85" t="str">
        <f>IFERROR(VLOOKUP(CONCATENATE($B696,"_",G$3),materiali!$C:$K,6,0),"")</f>
        <v/>
      </c>
      <c r="H696" s="86"/>
      <c r="I696" s="84" t="str">
        <f>IFERROR(VLOOKUP(CONCATENATE($B696,"_",I$3),materiali!$C:$K,5,0),"")</f>
        <v/>
      </c>
      <c r="J696" s="85" t="str">
        <f>IFERROR(VLOOKUP(CONCATENATE($B696,"_",J$3),materiali!$C:$K,6,0),"")</f>
        <v/>
      </c>
      <c r="K696" s="86"/>
      <c r="L696" s="84" t="str">
        <f>IFERROR(VLOOKUP(CONCATENATE($B696,"_",L$3),materiali!$C:$K,5,0),"")</f>
        <v/>
      </c>
      <c r="M696" s="85" t="str">
        <f>IFERROR(VLOOKUP(CONCATENATE($B696,"_",M$3),materiali!$C:$K,6,0),"")</f>
        <v/>
      </c>
      <c r="N696" s="86"/>
      <c r="O696" s="84" t="str">
        <f>IFERROR(VLOOKUP(CONCATENATE($B696,"_",O$3),materiali!$C:$K,5,0),"")</f>
        <v/>
      </c>
      <c r="P696" s="85" t="str">
        <f>IFERROR(VLOOKUP(CONCATENATE($B696,"_",P$3),materiali!$C:$K,6,0),"")</f>
        <v/>
      </c>
      <c r="Q696" s="86"/>
      <c r="R696" s="84" t="str">
        <f>IFERROR(VLOOKUP(CONCATENATE($B696,"_",R$3),materiali!$C:$K,5,0),"")</f>
        <v/>
      </c>
      <c r="S696" s="85" t="str">
        <f>IFERROR(VLOOKUP(CONCATENATE($B696,"_",S$3),materiali!$C:$K,6,0),"")</f>
        <v/>
      </c>
      <c r="T696" s="86"/>
      <c r="U696" s="31"/>
      <c r="AD696" s="97"/>
    </row>
    <row r="697" spans="1:30" ht="35.1" hidden="1" customHeight="1" x14ac:dyDescent="0.25">
      <c r="A697" s="83"/>
      <c r="B697" s="7"/>
      <c r="C697" s="8"/>
      <c r="D697" s="8"/>
      <c r="E697" s="60"/>
      <c r="F697" s="84" t="str">
        <f>IFERROR(VLOOKUP(CONCATENATE($B697,"_",F$3),materiali!$C:$K,5,0),"")</f>
        <v/>
      </c>
      <c r="G697" s="85" t="str">
        <f>IFERROR(VLOOKUP(CONCATENATE($B697,"_",G$3),materiali!$C:$K,6,0),"")</f>
        <v/>
      </c>
      <c r="H697" s="86"/>
      <c r="I697" s="84" t="str">
        <f>IFERROR(VLOOKUP(CONCATENATE($B697,"_",I$3),materiali!$C:$K,5,0),"")</f>
        <v/>
      </c>
      <c r="J697" s="85" t="str">
        <f>IFERROR(VLOOKUP(CONCATENATE($B697,"_",J$3),materiali!$C:$K,6,0),"")</f>
        <v/>
      </c>
      <c r="K697" s="86"/>
      <c r="L697" s="84" t="str">
        <f>IFERROR(VLOOKUP(CONCATENATE($B697,"_",L$3),materiali!$C:$K,5,0),"")</f>
        <v/>
      </c>
      <c r="M697" s="85" t="str">
        <f>IFERROR(VLOOKUP(CONCATENATE($B697,"_",M$3),materiali!$C:$K,6,0),"")</f>
        <v/>
      </c>
      <c r="N697" s="86"/>
      <c r="O697" s="84" t="str">
        <f>IFERROR(VLOOKUP(CONCATENATE($B697,"_",O$3),materiali!$C:$K,5,0),"")</f>
        <v/>
      </c>
      <c r="P697" s="85" t="str">
        <f>IFERROR(VLOOKUP(CONCATENATE($B697,"_",P$3),materiali!$C:$K,6,0),"")</f>
        <v/>
      </c>
      <c r="Q697" s="86"/>
      <c r="R697" s="84" t="str">
        <f>IFERROR(VLOOKUP(CONCATENATE($B697,"_",R$3),materiali!$C:$K,5,0),"")</f>
        <v/>
      </c>
      <c r="S697" s="85" t="str">
        <f>IFERROR(VLOOKUP(CONCATENATE($B697,"_",S$3),materiali!$C:$K,6,0),"")</f>
        <v/>
      </c>
      <c r="T697" s="86"/>
      <c r="U697" s="31"/>
      <c r="AD697" s="97"/>
    </row>
    <row r="698" spans="1:30" ht="35.1" hidden="1" customHeight="1" x14ac:dyDescent="0.25">
      <c r="A698" s="83"/>
      <c r="B698" s="7"/>
      <c r="C698" s="8"/>
      <c r="D698" s="8"/>
      <c r="E698" s="60"/>
      <c r="F698" s="84" t="str">
        <f>IFERROR(VLOOKUP(CONCATENATE($B698,"_",F$3),materiali!$C:$K,5,0),"")</f>
        <v/>
      </c>
      <c r="G698" s="85" t="str">
        <f>IFERROR(VLOOKUP(CONCATENATE($B698,"_",G$3),materiali!$C:$K,6,0),"")</f>
        <v/>
      </c>
      <c r="H698" s="86"/>
      <c r="I698" s="84" t="str">
        <f>IFERROR(VLOOKUP(CONCATENATE($B698,"_",I$3),materiali!$C:$K,5,0),"")</f>
        <v/>
      </c>
      <c r="J698" s="85" t="str">
        <f>IFERROR(VLOOKUP(CONCATENATE($B698,"_",J$3),materiali!$C:$K,6,0),"")</f>
        <v/>
      </c>
      <c r="K698" s="86"/>
      <c r="L698" s="84" t="str">
        <f>IFERROR(VLOOKUP(CONCATENATE($B698,"_",L$3),materiali!$C:$K,5,0),"")</f>
        <v/>
      </c>
      <c r="M698" s="85" t="str">
        <f>IFERROR(VLOOKUP(CONCATENATE($B698,"_",M$3),materiali!$C:$K,6,0),"")</f>
        <v/>
      </c>
      <c r="N698" s="86"/>
      <c r="O698" s="84" t="str">
        <f>IFERROR(VLOOKUP(CONCATENATE($B698,"_",O$3),materiali!$C:$K,5,0),"")</f>
        <v/>
      </c>
      <c r="P698" s="85" t="str">
        <f>IFERROR(VLOOKUP(CONCATENATE($B698,"_",P$3),materiali!$C:$K,6,0),"")</f>
        <v/>
      </c>
      <c r="Q698" s="86"/>
      <c r="R698" s="84" t="str">
        <f>IFERROR(VLOOKUP(CONCATENATE($B698,"_",R$3),materiali!$C:$K,5,0),"")</f>
        <v/>
      </c>
      <c r="S698" s="85" t="str">
        <f>IFERROR(VLOOKUP(CONCATENATE($B698,"_",S$3),materiali!$C:$K,6,0),"")</f>
        <v/>
      </c>
      <c r="T698" s="86"/>
      <c r="U698" s="31"/>
      <c r="AD698" s="97"/>
    </row>
    <row r="699" spans="1:30" ht="35.1" hidden="1" customHeight="1" x14ac:dyDescent="0.25">
      <c r="A699" s="83"/>
      <c r="B699" s="7"/>
      <c r="C699" s="8"/>
      <c r="D699" s="8"/>
      <c r="E699" s="60"/>
      <c r="F699" s="84" t="str">
        <f>IFERROR(VLOOKUP(CONCATENATE($B699,"_",F$3),materiali!$C:$K,5,0),"")</f>
        <v/>
      </c>
      <c r="G699" s="85" t="str">
        <f>IFERROR(VLOOKUP(CONCATENATE($B699,"_",G$3),materiali!$C:$K,6,0),"")</f>
        <v/>
      </c>
      <c r="H699" s="86"/>
      <c r="I699" s="84" t="str">
        <f>IFERROR(VLOOKUP(CONCATENATE($B699,"_",I$3),materiali!$C:$K,5,0),"")</f>
        <v/>
      </c>
      <c r="J699" s="85" t="str">
        <f>IFERROR(VLOOKUP(CONCATENATE($B699,"_",J$3),materiali!$C:$K,6,0),"")</f>
        <v/>
      </c>
      <c r="K699" s="86"/>
      <c r="L699" s="84" t="str">
        <f>IFERROR(VLOOKUP(CONCATENATE($B699,"_",L$3),materiali!$C:$K,5,0),"")</f>
        <v/>
      </c>
      <c r="M699" s="85" t="str">
        <f>IFERROR(VLOOKUP(CONCATENATE($B699,"_",M$3),materiali!$C:$K,6,0),"")</f>
        <v/>
      </c>
      <c r="N699" s="86"/>
      <c r="O699" s="84" t="str">
        <f>IFERROR(VLOOKUP(CONCATENATE($B699,"_",O$3),materiali!$C:$K,5,0),"")</f>
        <v/>
      </c>
      <c r="P699" s="85" t="str">
        <f>IFERROR(VLOOKUP(CONCATENATE($B699,"_",P$3),materiali!$C:$K,6,0),"")</f>
        <v/>
      </c>
      <c r="Q699" s="86"/>
      <c r="R699" s="84" t="str">
        <f>IFERROR(VLOOKUP(CONCATENATE($B699,"_",R$3),materiali!$C:$K,5,0),"")</f>
        <v/>
      </c>
      <c r="S699" s="85" t="str">
        <f>IFERROR(VLOOKUP(CONCATENATE($B699,"_",S$3),materiali!$C:$K,6,0),"")</f>
        <v/>
      </c>
      <c r="T699" s="86"/>
      <c r="U699" s="31"/>
      <c r="AD699" s="97"/>
    </row>
    <row r="700" spans="1:30" ht="35.1" hidden="1" customHeight="1" x14ac:dyDescent="0.25">
      <c r="A700" s="83"/>
      <c r="B700" s="7"/>
      <c r="C700" s="8"/>
      <c r="D700" s="8"/>
      <c r="E700" s="60"/>
      <c r="F700" s="84" t="str">
        <f>IFERROR(VLOOKUP(CONCATENATE($B700,"_",F$3),materiali!$C:$K,5,0),"")</f>
        <v/>
      </c>
      <c r="G700" s="85" t="str">
        <f>IFERROR(VLOOKUP(CONCATENATE($B700,"_",G$3),materiali!$C:$K,6,0),"")</f>
        <v/>
      </c>
      <c r="H700" s="86"/>
      <c r="I700" s="84" t="str">
        <f>IFERROR(VLOOKUP(CONCATENATE($B700,"_",I$3),materiali!$C:$K,5,0),"")</f>
        <v/>
      </c>
      <c r="J700" s="85" t="str">
        <f>IFERROR(VLOOKUP(CONCATENATE($B700,"_",J$3),materiali!$C:$K,6,0),"")</f>
        <v/>
      </c>
      <c r="K700" s="86"/>
      <c r="L700" s="84" t="str">
        <f>IFERROR(VLOOKUP(CONCATENATE($B700,"_",L$3),materiali!$C:$K,5,0),"")</f>
        <v/>
      </c>
      <c r="M700" s="85" t="str">
        <f>IFERROR(VLOOKUP(CONCATENATE($B700,"_",M$3),materiali!$C:$K,6,0),"")</f>
        <v/>
      </c>
      <c r="N700" s="86"/>
      <c r="O700" s="84" t="str">
        <f>IFERROR(VLOOKUP(CONCATENATE($B700,"_",O$3),materiali!$C:$K,5,0),"")</f>
        <v/>
      </c>
      <c r="P700" s="85" t="str">
        <f>IFERROR(VLOOKUP(CONCATENATE($B700,"_",P$3),materiali!$C:$K,6,0),"")</f>
        <v/>
      </c>
      <c r="Q700" s="86"/>
      <c r="R700" s="84" t="str">
        <f>IFERROR(VLOOKUP(CONCATENATE($B700,"_",R$3),materiali!$C:$K,5,0),"")</f>
        <v/>
      </c>
      <c r="S700" s="85" t="str">
        <f>IFERROR(VLOOKUP(CONCATENATE($B700,"_",S$3),materiali!$C:$K,6,0),"")</f>
        <v/>
      </c>
      <c r="T700" s="86"/>
      <c r="U700" s="31"/>
      <c r="AD700" s="97"/>
    </row>
    <row r="701" spans="1:30" ht="35.1" hidden="1" customHeight="1" x14ac:dyDescent="0.25">
      <c r="A701" s="83"/>
      <c r="B701" s="7"/>
      <c r="C701" s="8"/>
      <c r="D701" s="8"/>
      <c r="E701" s="60"/>
      <c r="F701" s="84" t="str">
        <f>IFERROR(VLOOKUP(CONCATENATE($B701,"_",F$3),materiali!$C:$K,5,0),"")</f>
        <v/>
      </c>
      <c r="G701" s="85" t="str">
        <f>IFERROR(VLOOKUP(CONCATENATE($B701,"_",G$3),materiali!$C:$K,6,0),"")</f>
        <v/>
      </c>
      <c r="H701" s="86"/>
      <c r="I701" s="84" t="str">
        <f>IFERROR(VLOOKUP(CONCATENATE($B701,"_",I$3),materiali!$C:$K,5,0),"")</f>
        <v/>
      </c>
      <c r="J701" s="85" t="str">
        <f>IFERROR(VLOOKUP(CONCATENATE($B701,"_",J$3),materiali!$C:$K,6,0),"")</f>
        <v/>
      </c>
      <c r="K701" s="86"/>
      <c r="L701" s="84" t="str">
        <f>IFERROR(VLOOKUP(CONCATENATE($B701,"_",L$3),materiali!$C:$K,5,0),"")</f>
        <v/>
      </c>
      <c r="M701" s="85" t="str">
        <f>IFERROR(VLOOKUP(CONCATENATE($B701,"_",M$3),materiali!$C:$K,6,0),"")</f>
        <v/>
      </c>
      <c r="N701" s="86"/>
      <c r="O701" s="84" t="str">
        <f>IFERROR(VLOOKUP(CONCATENATE($B701,"_",O$3),materiali!$C:$K,5,0),"")</f>
        <v/>
      </c>
      <c r="P701" s="85" t="str">
        <f>IFERROR(VLOOKUP(CONCATENATE($B701,"_",P$3),materiali!$C:$K,6,0),"")</f>
        <v/>
      </c>
      <c r="Q701" s="86"/>
      <c r="R701" s="84" t="str">
        <f>IFERROR(VLOOKUP(CONCATENATE($B701,"_",R$3),materiali!$C:$K,5,0),"")</f>
        <v/>
      </c>
      <c r="S701" s="85" t="str">
        <f>IFERROR(VLOOKUP(CONCATENATE($B701,"_",S$3),materiali!$C:$K,6,0),"")</f>
        <v/>
      </c>
      <c r="T701" s="86"/>
      <c r="U701" s="31"/>
      <c r="AD701" s="97"/>
    </row>
    <row r="702" spans="1:30" ht="35.1" hidden="1" customHeight="1" x14ac:dyDescent="0.25">
      <c r="A702" s="83"/>
      <c r="B702" s="7"/>
      <c r="C702" s="8"/>
      <c r="D702" s="8"/>
      <c r="E702" s="60"/>
      <c r="F702" s="84" t="str">
        <f>IFERROR(VLOOKUP(CONCATENATE($B702,"_",F$3),materiali!$C:$K,5,0),"")</f>
        <v/>
      </c>
      <c r="G702" s="85" t="str">
        <f>IFERROR(VLOOKUP(CONCATENATE($B702,"_",G$3),materiali!$C:$K,6,0),"")</f>
        <v/>
      </c>
      <c r="H702" s="86"/>
      <c r="I702" s="84" t="str">
        <f>IFERROR(VLOOKUP(CONCATENATE($B702,"_",I$3),materiali!$C:$K,5,0),"")</f>
        <v/>
      </c>
      <c r="J702" s="85" t="str">
        <f>IFERROR(VLOOKUP(CONCATENATE($B702,"_",J$3),materiali!$C:$K,6,0),"")</f>
        <v/>
      </c>
      <c r="K702" s="86"/>
      <c r="L702" s="84" t="str">
        <f>IFERROR(VLOOKUP(CONCATENATE($B702,"_",L$3),materiali!$C:$K,5,0),"")</f>
        <v/>
      </c>
      <c r="M702" s="85" t="str">
        <f>IFERROR(VLOOKUP(CONCATENATE($B702,"_",M$3),materiali!$C:$K,6,0),"")</f>
        <v/>
      </c>
      <c r="N702" s="86"/>
      <c r="O702" s="84" t="str">
        <f>IFERROR(VLOOKUP(CONCATENATE($B702,"_",O$3),materiali!$C:$K,5,0),"")</f>
        <v/>
      </c>
      <c r="P702" s="85" t="str">
        <f>IFERROR(VLOOKUP(CONCATENATE($B702,"_",P$3),materiali!$C:$K,6,0),"")</f>
        <v/>
      </c>
      <c r="Q702" s="86"/>
      <c r="R702" s="84" t="str">
        <f>IFERROR(VLOOKUP(CONCATENATE($B702,"_",R$3),materiali!$C:$K,5,0),"")</f>
        <v/>
      </c>
      <c r="S702" s="85" t="str">
        <f>IFERROR(VLOOKUP(CONCATENATE($B702,"_",S$3),materiali!$C:$K,6,0),"")</f>
        <v/>
      </c>
      <c r="T702" s="86"/>
      <c r="U702" s="31"/>
      <c r="AD702" s="97"/>
    </row>
    <row r="703" spans="1:30" ht="35.1" hidden="1" customHeight="1" x14ac:dyDescent="0.25">
      <c r="A703" s="83"/>
      <c r="B703" s="7"/>
      <c r="C703" s="8"/>
      <c r="D703" s="8"/>
      <c r="E703" s="60"/>
      <c r="F703" s="84" t="str">
        <f>IFERROR(VLOOKUP(CONCATENATE($B703,"_",F$3),materiali!$C:$K,5,0),"")</f>
        <v/>
      </c>
      <c r="G703" s="85" t="str">
        <f>IFERROR(VLOOKUP(CONCATENATE($B703,"_",G$3),materiali!$C:$K,6,0),"")</f>
        <v/>
      </c>
      <c r="H703" s="86"/>
      <c r="I703" s="84" t="str">
        <f>IFERROR(VLOOKUP(CONCATENATE($B703,"_",I$3),materiali!$C:$K,5,0),"")</f>
        <v/>
      </c>
      <c r="J703" s="85" t="str">
        <f>IFERROR(VLOOKUP(CONCATENATE($B703,"_",J$3),materiali!$C:$K,6,0),"")</f>
        <v/>
      </c>
      <c r="K703" s="86"/>
      <c r="L703" s="84" t="str">
        <f>IFERROR(VLOOKUP(CONCATENATE($B703,"_",L$3),materiali!$C:$K,5,0),"")</f>
        <v/>
      </c>
      <c r="M703" s="85" t="str">
        <f>IFERROR(VLOOKUP(CONCATENATE($B703,"_",M$3),materiali!$C:$K,6,0),"")</f>
        <v/>
      </c>
      <c r="N703" s="86"/>
      <c r="O703" s="84" t="str">
        <f>IFERROR(VLOOKUP(CONCATENATE($B703,"_",O$3),materiali!$C:$K,5,0),"")</f>
        <v/>
      </c>
      <c r="P703" s="85" t="str">
        <f>IFERROR(VLOOKUP(CONCATENATE($B703,"_",P$3),materiali!$C:$K,6,0),"")</f>
        <v/>
      </c>
      <c r="Q703" s="86"/>
      <c r="R703" s="84" t="str">
        <f>IFERROR(VLOOKUP(CONCATENATE($B703,"_",R$3),materiali!$C:$K,5,0),"")</f>
        <v/>
      </c>
      <c r="S703" s="85" t="str">
        <f>IFERROR(VLOOKUP(CONCATENATE($B703,"_",S$3),materiali!$C:$K,6,0),"")</f>
        <v/>
      </c>
      <c r="T703" s="86"/>
      <c r="U703" s="31"/>
      <c r="AD703" s="97"/>
    </row>
    <row r="704" spans="1:30" ht="35.1" hidden="1" customHeight="1" x14ac:dyDescent="0.25">
      <c r="A704" s="83"/>
      <c r="B704" s="7"/>
      <c r="C704" s="8"/>
      <c r="D704" s="8"/>
      <c r="E704" s="60"/>
      <c r="F704" s="84" t="str">
        <f>IFERROR(VLOOKUP(CONCATENATE($B704,"_",F$3),materiali!$C:$K,5,0),"")</f>
        <v/>
      </c>
      <c r="G704" s="85" t="str">
        <f>IFERROR(VLOOKUP(CONCATENATE($B704,"_",G$3),materiali!$C:$K,6,0),"")</f>
        <v/>
      </c>
      <c r="H704" s="86"/>
      <c r="I704" s="84" t="str">
        <f>IFERROR(VLOOKUP(CONCATENATE($B704,"_",I$3),materiali!$C:$K,5,0),"")</f>
        <v/>
      </c>
      <c r="J704" s="85" t="str">
        <f>IFERROR(VLOOKUP(CONCATENATE($B704,"_",J$3),materiali!$C:$K,6,0),"")</f>
        <v/>
      </c>
      <c r="K704" s="86"/>
      <c r="L704" s="84" t="str">
        <f>IFERROR(VLOOKUP(CONCATENATE($B704,"_",L$3),materiali!$C:$K,5,0),"")</f>
        <v/>
      </c>
      <c r="M704" s="85" t="str">
        <f>IFERROR(VLOOKUP(CONCATENATE($B704,"_",M$3),materiali!$C:$K,6,0),"")</f>
        <v/>
      </c>
      <c r="N704" s="86"/>
      <c r="O704" s="84" t="str">
        <f>IFERROR(VLOOKUP(CONCATENATE($B704,"_",O$3),materiali!$C:$K,5,0),"")</f>
        <v/>
      </c>
      <c r="P704" s="85" t="str">
        <f>IFERROR(VLOOKUP(CONCATENATE($B704,"_",P$3),materiali!$C:$K,6,0),"")</f>
        <v/>
      </c>
      <c r="Q704" s="86"/>
      <c r="R704" s="84" t="str">
        <f>IFERROR(VLOOKUP(CONCATENATE($B704,"_",R$3),materiali!$C:$K,5,0),"")</f>
        <v/>
      </c>
      <c r="S704" s="85" t="str">
        <f>IFERROR(VLOOKUP(CONCATENATE($B704,"_",S$3),materiali!$C:$K,6,0),"")</f>
        <v/>
      </c>
      <c r="T704" s="86"/>
      <c r="U704" s="31"/>
      <c r="AD704" s="97"/>
    </row>
    <row r="705" spans="1:30" ht="35.1" hidden="1" customHeight="1" x14ac:dyDescent="0.25">
      <c r="A705" s="83"/>
      <c r="B705" s="7"/>
      <c r="C705" s="8"/>
      <c r="D705" s="8"/>
      <c r="E705" s="60"/>
      <c r="F705" s="84" t="str">
        <f>IFERROR(VLOOKUP(CONCATENATE($B705,"_",F$3),materiali!$C:$K,5,0),"")</f>
        <v/>
      </c>
      <c r="G705" s="85" t="str">
        <f>IFERROR(VLOOKUP(CONCATENATE($B705,"_",G$3),materiali!$C:$K,6,0),"")</f>
        <v/>
      </c>
      <c r="H705" s="86"/>
      <c r="I705" s="84" t="str">
        <f>IFERROR(VLOOKUP(CONCATENATE($B705,"_",I$3),materiali!$C:$K,5,0),"")</f>
        <v/>
      </c>
      <c r="J705" s="85" t="str">
        <f>IFERROR(VLOOKUP(CONCATENATE($B705,"_",J$3),materiali!$C:$K,6,0),"")</f>
        <v/>
      </c>
      <c r="K705" s="86"/>
      <c r="L705" s="84" t="str">
        <f>IFERROR(VLOOKUP(CONCATENATE($B705,"_",L$3),materiali!$C:$K,5,0),"")</f>
        <v/>
      </c>
      <c r="M705" s="85" t="str">
        <f>IFERROR(VLOOKUP(CONCATENATE($B705,"_",M$3),materiali!$C:$K,6,0),"")</f>
        <v/>
      </c>
      <c r="N705" s="86"/>
      <c r="O705" s="84" t="str">
        <f>IFERROR(VLOOKUP(CONCATENATE($B705,"_",O$3),materiali!$C:$K,5,0),"")</f>
        <v/>
      </c>
      <c r="P705" s="85" t="str">
        <f>IFERROR(VLOOKUP(CONCATENATE($B705,"_",P$3),materiali!$C:$K,6,0),"")</f>
        <v/>
      </c>
      <c r="Q705" s="86"/>
      <c r="R705" s="84" t="str">
        <f>IFERROR(VLOOKUP(CONCATENATE($B705,"_",R$3),materiali!$C:$K,5,0),"")</f>
        <v/>
      </c>
      <c r="S705" s="85" t="str">
        <f>IFERROR(VLOOKUP(CONCATENATE($B705,"_",S$3),materiali!$C:$K,6,0),"")</f>
        <v/>
      </c>
      <c r="T705" s="86"/>
      <c r="U705" s="31"/>
      <c r="AD705" s="97"/>
    </row>
    <row r="706" spans="1:30" ht="35.1" hidden="1" customHeight="1" x14ac:dyDescent="0.25">
      <c r="A706" s="83"/>
      <c r="B706" s="7"/>
      <c r="C706" s="8"/>
      <c r="D706" s="8"/>
      <c r="E706" s="60"/>
      <c r="F706" s="84" t="str">
        <f>IFERROR(VLOOKUP(CONCATENATE($B706,"_",F$3),materiali!$C:$K,5,0),"")</f>
        <v/>
      </c>
      <c r="G706" s="85" t="str">
        <f>IFERROR(VLOOKUP(CONCATENATE($B706,"_",G$3),materiali!$C:$K,6,0),"")</f>
        <v/>
      </c>
      <c r="H706" s="86"/>
      <c r="I706" s="84" t="str">
        <f>IFERROR(VLOOKUP(CONCATENATE($B706,"_",I$3),materiali!$C:$K,5,0),"")</f>
        <v/>
      </c>
      <c r="J706" s="85" t="str">
        <f>IFERROR(VLOOKUP(CONCATENATE($B706,"_",J$3),materiali!$C:$K,6,0),"")</f>
        <v/>
      </c>
      <c r="K706" s="86"/>
      <c r="L706" s="84" t="str">
        <f>IFERROR(VLOOKUP(CONCATENATE($B706,"_",L$3),materiali!$C:$K,5,0),"")</f>
        <v/>
      </c>
      <c r="M706" s="85" t="str">
        <f>IFERROR(VLOOKUP(CONCATENATE($B706,"_",M$3),materiali!$C:$K,6,0),"")</f>
        <v/>
      </c>
      <c r="N706" s="86"/>
      <c r="O706" s="84" t="str">
        <f>IFERROR(VLOOKUP(CONCATENATE($B706,"_",O$3),materiali!$C:$K,5,0),"")</f>
        <v/>
      </c>
      <c r="P706" s="85" t="str">
        <f>IFERROR(VLOOKUP(CONCATENATE($B706,"_",P$3),materiali!$C:$K,6,0),"")</f>
        <v/>
      </c>
      <c r="Q706" s="86"/>
      <c r="R706" s="84" t="str">
        <f>IFERROR(VLOOKUP(CONCATENATE($B706,"_",R$3),materiali!$C:$K,5,0),"")</f>
        <v/>
      </c>
      <c r="S706" s="85" t="str">
        <f>IFERROR(VLOOKUP(CONCATENATE($B706,"_",S$3),materiali!$C:$K,6,0),"")</f>
        <v/>
      </c>
      <c r="T706" s="86"/>
      <c r="U706" s="31"/>
      <c r="AD706" s="97"/>
    </row>
    <row r="707" spans="1:30" ht="35.1" hidden="1" customHeight="1" x14ac:dyDescent="0.25">
      <c r="A707" s="83"/>
      <c r="B707" s="7"/>
      <c r="C707" s="8"/>
      <c r="D707" s="8"/>
      <c r="E707" s="60"/>
      <c r="F707" s="84" t="str">
        <f>IFERROR(VLOOKUP(CONCATENATE($B707,"_",F$3),materiali!$C:$K,5,0),"")</f>
        <v/>
      </c>
      <c r="G707" s="85" t="str">
        <f>IFERROR(VLOOKUP(CONCATENATE($B707,"_",G$3),materiali!$C:$K,6,0),"")</f>
        <v/>
      </c>
      <c r="H707" s="86"/>
      <c r="I707" s="84" t="str">
        <f>IFERROR(VLOOKUP(CONCATENATE($B707,"_",I$3),materiali!$C:$K,5,0),"")</f>
        <v/>
      </c>
      <c r="J707" s="85" t="str">
        <f>IFERROR(VLOOKUP(CONCATENATE($B707,"_",J$3),materiali!$C:$K,6,0),"")</f>
        <v/>
      </c>
      <c r="K707" s="86"/>
      <c r="L707" s="84" t="str">
        <f>IFERROR(VLOOKUP(CONCATENATE($B707,"_",L$3),materiali!$C:$K,5,0),"")</f>
        <v/>
      </c>
      <c r="M707" s="85" t="str">
        <f>IFERROR(VLOOKUP(CONCATENATE($B707,"_",M$3),materiali!$C:$K,6,0),"")</f>
        <v/>
      </c>
      <c r="N707" s="86"/>
      <c r="O707" s="84" t="str">
        <f>IFERROR(VLOOKUP(CONCATENATE($B707,"_",O$3),materiali!$C:$K,5,0),"")</f>
        <v/>
      </c>
      <c r="P707" s="85" t="str">
        <f>IFERROR(VLOOKUP(CONCATENATE($B707,"_",P$3),materiali!$C:$K,6,0),"")</f>
        <v/>
      </c>
      <c r="Q707" s="86"/>
      <c r="R707" s="84" t="str">
        <f>IFERROR(VLOOKUP(CONCATENATE($B707,"_",R$3),materiali!$C:$K,5,0),"")</f>
        <v/>
      </c>
      <c r="S707" s="85" t="str">
        <f>IFERROR(VLOOKUP(CONCATENATE($B707,"_",S$3),materiali!$C:$K,6,0),"")</f>
        <v/>
      </c>
      <c r="T707" s="86"/>
      <c r="U707" s="31"/>
      <c r="AD707" s="97"/>
    </row>
    <row r="708" spans="1:30" ht="35.1" hidden="1" customHeight="1" x14ac:dyDescent="0.25">
      <c r="A708" s="83"/>
      <c r="B708" s="7"/>
      <c r="C708" s="8"/>
      <c r="D708" s="8"/>
      <c r="E708" s="60"/>
      <c r="F708" s="84" t="str">
        <f>IFERROR(VLOOKUP(CONCATENATE($B708,"_",F$3),materiali!$C:$K,5,0),"")</f>
        <v/>
      </c>
      <c r="G708" s="85" t="str">
        <f>IFERROR(VLOOKUP(CONCATENATE($B708,"_",G$3),materiali!$C:$K,6,0),"")</f>
        <v/>
      </c>
      <c r="H708" s="86"/>
      <c r="I708" s="84" t="str">
        <f>IFERROR(VLOOKUP(CONCATENATE($B708,"_",I$3),materiali!$C:$K,5,0),"")</f>
        <v/>
      </c>
      <c r="J708" s="85" t="str">
        <f>IFERROR(VLOOKUP(CONCATENATE($B708,"_",J$3),materiali!$C:$K,6,0),"")</f>
        <v/>
      </c>
      <c r="K708" s="86"/>
      <c r="L708" s="84" t="str">
        <f>IFERROR(VLOOKUP(CONCATENATE($B708,"_",L$3),materiali!$C:$K,5,0),"")</f>
        <v/>
      </c>
      <c r="M708" s="85" t="str">
        <f>IFERROR(VLOOKUP(CONCATENATE($B708,"_",M$3),materiali!$C:$K,6,0),"")</f>
        <v/>
      </c>
      <c r="N708" s="86"/>
      <c r="O708" s="84" t="str">
        <f>IFERROR(VLOOKUP(CONCATENATE($B708,"_",O$3),materiali!$C:$K,5,0),"")</f>
        <v/>
      </c>
      <c r="P708" s="85" t="str">
        <f>IFERROR(VLOOKUP(CONCATENATE($B708,"_",P$3),materiali!$C:$K,6,0),"")</f>
        <v/>
      </c>
      <c r="Q708" s="86"/>
      <c r="R708" s="84" t="str">
        <f>IFERROR(VLOOKUP(CONCATENATE($B708,"_",R$3),materiali!$C:$K,5,0),"")</f>
        <v/>
      </c>
      <c r="S708" s="85" t="str">
        <f>IFERROR(VLOOKUP(CONCATENATE($B708,"_",S$3),materiali!$C:$K,6,0),"")</f>
        <v/>
      </c>
      <c r="T708" s="86"/>
      <c r="U708" s="31"/>
      <c r="AD708" s="97"/>
    </row>
    <row r="709" spans="1:30" ht="35.1" hidden="1" customHeight="1" x14ac:dyDescent="0.25">
      <c r="A709" s="83"/>
      <c r="B709" s="7"/>
      <c r="C709" s="8"/>
      <c r="D709" s="8"/>
      <c r="E709" s="60"/>
      <c r="F709" s="84" t="str">
        <f>IFERROR(VLOOKUP(CONCATENATE($B709,"_",F$3),materiali!$C:$K,5,0),"")</f>
        <v/>
      </c>
      <c r="G709" s="85" t="str">
        <f>IFERROR(VLOOKUP(CONCATENATE($B709,"_",G$3),materiali!$C:$K,6,0),"")</f>
        <v/>
      </c>
      <c r="H709" s="86"/>
      <c r="I709" s="84" t="str">
        <f>IFERROR(VLOOKUP(CONCATENATE($B709,"_",I$3),materiali!$C:$K,5,0),"")</f>
        <v/>
      </c>
      <c r="J709" s="85" t="str">
        <f>IFERROR(VLOOKUP(CONCATENATE($B709,"_",J$3),materiali!$C:$K,6,0),"")</f>
        <v/>
      </c>
      <c r="K709" s="86"/>
      <c r="L709" s="84" t="str">
        <f>IFERROR(VLOOKUP(CONCATENATE($B709,"_",L$3),materiali!$C:$K,5,0),"")</f>
        <v/>
      </c>
      <c r="M709" s="85" t="str">
        <f>IFERROR(VLOOKUP(CONCATENATE($B709,"_",M$3),materiali!$C:$K,6,0),"")</f>
        <v/>
      </c>
      <c r="N709" s="86"/>
      <c r="O709" s="84" t="str">
        <f>IFERROR(VLOOKUP(CONCATENATE($B709,"_",O$3),materiali!$C:$K,5,0),"")</f>
        <v/>
      </c>
      <c r="P709" s="85" t="str">
        <f>IFERROR(VLOOKUP(CONCATENATE($B709,"_",P$3),materiali!$C:$K,6,0),"")</f>
        <v/>
      </c>
      <c r="Q709" s="86"/>
      <c r="R709" s="84" t="str">
        <f>IFERROR(VLOOKUP(CONCATENATE($B709,"_",R$3),materiali!$C:$K,5,0),"")</f>
        <v/>
      </c>
      <c r="S709" s="85" t="str">
        <f>IFERROR(VLOOKUP(CONCATENATE($B709,"_",S$3),materiali!$C:$K,6,0),"")</f>
        <v/>
      </c>
      <c r="T709" s="86"/>
      <c r="U709" s="31"/>
      <c r="AD709" s="97"/>
    </row>
    <row r="710" spans="1:30" ht="35.1" hidden="1" customHeight="1" x14ac:dyDescent="0.25">
      <c r="A710" s="83"/>
      <c r="B710" s="7"/>
      <c r="C710" s="8"/>
      <c r="D710" s="8"/>
      <c r="E710" s="60"/>
      <c r="F710" s="84" t="str">
        <f>IFERROR(VLOOKUP(CONCATENATE($B710,"_",F$3),materiali!$C:$K,5,0),"")</f>
        <v/>
      </c>
      <c r="G710" s="85" t="str">
        <f>IFERROR(VLOOKUP(CONCATENATE($B710,"_",G$3),materiali!$C:$K,6,0),"")</f>
        <v/>
      </c>
      <c r="H710" s="86"/>
      <c r="I710" s="84" t="str">
        <f>IFERROR(VLOOKUP(CONCATENATE($B710,"_",I$3),materiali!$C:$K,5,0),"")</f>
        <v/>
      </c>
      <c r="J710" s="85" t="str">
        <f>IFERROR(VLOOKUP(CONCATENATE($B710,"_",J$3),materiali!$C:$K,6,0),"")</f>
        <v/>
      </c>
      <c r="K710" s="86"/>
      <c r="L710" s="84" t="str">
        <f>IFERROR(VLOOKUP(CONCATENATE($B710,"_",L$3),materiali!$C:$K,5,0),"")</f>
        <v/>
      </c>
      <c r="M710" s="85" t="str">
        <f>IFERROR(VLOOKUP(CONCATENATE($B710,"_",M$3),materiali!$C:$K,6,0),"")</f>
        <v/>
      </c>
      <c r="N710" s="86"/>
      <c r="O710" s="84" t="str">
        <f>IFERROR(VLOOKUP(CONCATENATE($B710,"_",O$3),materiali!$C:$K,5,0),"")</f>
        <v/>
      </c>
      <c r="P710" s="85" t="str">
        <f>IFERROR(VLOOKUP(CONCATENATE($B710,"_",P$3),materiali!$C:$K,6,0),"")</f>
        <v/>
      </c>
      <c r="Q710" s="86"/>
      <c r="R710" s="84" t="str">
        <f>IFERROR(VLOOKUP(CONCATENATE($B710,"_",R$3),materiali!$C:$K,5,0),"")</f>
        <v/>
      </c>
      <c r="S710" s="85" t="str">
        <f>IFERROR(VLOOKUP(CONCATENATE($B710,"_",S$3),materiali!$C:$K,6,0),"")</f>
        <v/>
      </c>
      <c r="T710" s="86"/>
      <c r="U710" s="31"/>
      <c r="AD710" s="97"/>
    </row>
    <row r="711" spans="1:30" ht="35.1" hidden="1" customHeight="1" x14ac:dyDescent="0.25">
      <c r="A711" s="83"/>
      <c r="B711" s="7"/>
      <c r="C711" s="8"/>
      <c r="D711" s="8"/>
      <c r="E711" s="60"/>
      <c r="F711" s="84" t="str">
        <f>IFERROR(VLOOKUP(CONCATENATE($B711,"_",F$3),materiali!$C:$K,5,0),"")</f>
        <v/>
      </c>
      <c r="G711" s="85" t="str">
        <f>IFERROR(VLOOKUP(CONCATENATE($B711,"_",G$3),materiali!$C:$K,6,0),"")</f>
        <v/>
      </c>
      <c r="H711" s="86"/>
      <c r="I711" s="84" t="str">
        <f>IFERROR(VLOOKUP(CONCATENATE($B711,"_",I$3),materiali!$C:$K,5,0),"")</f>
        <v/>
      </c>
      <c r="J711" s="85" t="str">
        <f>IFERROR(VLOOKUP(CONCATENATE($B711,"_",J$3),materiali!$C:$K,6,0),"")</f>
        <v/>
      </c>
      <c r="K711" s="86"/>
      <c r="L711" s="84" t="str">
        <f>IFERROR(VLOOKUP(CONCATENATE($B711,"_",L$3),materiali!$C:$K,5,0),"")</f>
        <v/>
      </c>
      <c r="M711" s="85" t="str">
        <f>IFERROR(VLOOKUP(CONCATENATE($B711,"_",M$3),materiali!$C:$K,6,0),"")</f>
        <v/>
      </c>
      <c r="N711" s="86"/>
      <c r="O711" s="84" t="str">
        <f>IFERROR(VLOOKUP(CONCATENATE($B711,"_",O$3),materiali!$C:$K,5,0),"")</f>
        <v/>
      </c>
      <c r="P711" s="85" t="str">
        <f>IFERROR(VLOOKUP(CONCATENATE($B711,"_",P$3),materiali!$C:$K,6,0),"")</f>
        <v/>
      </c>
      <c r="Q711" s="86"/>
      <c r="R711" s="84" t="str">
        <f>IFERROR(VLOOKUP(CONCATENATE($B711,"_",R$3),materiali!$C:$K,5,0),"")</f>
        <v/>
      </c>
      <c r="S711" s="85" t="str">
        <f>IFERROR(VLOOKUP(CONCATENATE($B711,"_",S$3),materiali!$C:$K,6,0),"")</f>
        <v/>
      </c>
      <c r="T711" s="86"/>
      <c r="U711" s="31"/>
      <c r="AD711" s="97"/>
    </row>
    <row r="712" spans="1:30" ht="35.1" hidden="1" customHeight="1" x14ac:dyDescent="0.25">
      <c r="A712" s="83"/>
      <c r="B712" s="7"/>
      <c r="C712" s="8"/>
      <c r="D712" s="8"/>
      <c r="E712" s="60"/>
      <c r="F712" s="84" t="str">
        <f>IFERROR(VLOOKUP(CONCATENATE($B712,"_",F$3),materiali!$C:$K,5,0),"")</f>
        <v/>
      </c>
      <c r="G712" s="85" t="str">
        <f>IFERROR(VLOOKUP(CONCATENATE($B712,"_",G$3),materiali!$C:$K,6,0),"")</f>
        <v/>
      </c>
      <c r="H712" s="86"/>
      <c r="I712" s="84" t="str">
        <f>IFERROR(VLOOKUP(CONCATENATE($B712,"_",I$3),materiali!$C:$K,5,0),"")</f>
        <v/>
      </c>
      <c r="J712" s="85" t="str">
        <f>IFERROR(VLOOKUP(CONCATENATE($B712,"_",J$3),materiali!$C:$K,6,0),"")</f>
        <v/>
      </c>
      <c r="K712" s="86"/>
      <c r="L712" s="84" t="str">
        <f>IFERROR(VLOOKUP(CONCATENATE($B712,"_",L$3),materiali!$C:$K,5,0),"")</f>
        <v/>
      </c>
      <c r="M712" s="85" t="str">
        <f>IFERROR(VLOOKUP(CONCATENATE($B712,"_",M$3),materiali!$C:$K,6,0),"")</f>
        <v/>
      </c>
      <c r="N712" s="86"/>
      <c r="O712" s="84" t="str">
        <f>IFERROR(VLOOKUP(CONCATENATE($B712,"_",O$3),materiali!$C:$K,5,0),"")</f>
        <v/>
      </c>
      <c r="P712" s="85" t="str">
        <f>IFERROR(VLOOKUP(CONCATENATE($B712,"_",P$3),materiali!$C:$K,6,0),"")</f>
        <v/>
      </c>
      <c r="Q712" s="86"/>
      <c r="R712" s="84" t="str">
        <f>IFERROR(VLOOKUP(CONCATENATE($B712,"_",R$3),materiali!$C:$K,5,0),"")</f>
        <v/>
      </c>
      <c r="S712" s="85" t="str">
        <f>IFERROR(VLOOKUP(CONCATENATE($B712,"_",S$3),materiali!$C:$K,6,0),"")</f>
        <v/>
      </c>
      <c r="T712" s="86"/>
      <c r="U712" s="31"/>
      <c r="AD712" s="97"/>
    </row>
    <row r="713" spans="1:30" ht="35.1" hidden="1" customHeight="1" x14ac:dyDescent="0.25">
      <c r="A713" s="83"/>
      <c r="B713" s="7"/>
      <c r="C713" s="8"/>
      <c r="D713" s="8"/>
      <c r="E713" s="60"/>
      <c r="F713" s="84" t="str">
        <f>IFERROR(VLOOKUP(CONCATENATE($B713,"_",F$3),materiali!$C:$K,5,0),"")</f>
        <v/>
      </c>
      <c r="G713" s="85" t="str">
        <f>IFERROR(VLOOKUP(CONCATENATE($B713,"_",G$3),materiali!$C:$K,6,0),"")</f>
        <v/>
      </c>
      <c r="H713" s="86"/>
      <c r="I713" s="84" t="str">
        <f>IFERROR(VLOOKUP(CONCATENATE($B713,"_",I$3),materiali!$C:$K,5,0),"")</f>
        <v/>
      </c>
      <c r="J713" s="85" t="str">
        <f>IFERROR(VLOOKUP(CONCATENATE($B713,"_",J$3),materiali!$C:$K,6,0),"")</f>
        <v/>
      </c>
      <c r="K713" s="86"/>
      <c r="L713" s="84" t="str">
        <f>IFERROR(VLOOKUP(CONCATENATE($B713,"_",L$3),materiali!$C:$K,5,0),"")</f>
        <v/>
      </c>
      <c r="M713" s="85" t="str">
        <f>IFERROR(VLOOKUP(CONCATENATE($B713,"_",M$3),materiali!$C:$K,6,0),"")</f>
        <v/>
      </c>
      <c r="N713" s="86"/>
      <c r="O713" s="84" t="str">
        <f>IFERROR(VLOOKUP(CONCATENATE($B713,"_",O$3),materiali!$C:$K,5,0),"")</f>
        <v/>
      </c>
      <c r="P713" s="85" t="str">
        <f>IFERROR(VLOOKUP(CONCATENATE($B713,"_",P$3),materiali!$C:$K,6,0),"")</f>
        <v/>
      </c>
      <c r="Q713" s="86"/>
      <c r="R713" s="84" t="str">
        <f>IFERROR(VLOOKUP(CONCATENATE($B713,"_",R$3),materiali!$C:$K,5,0),"")</f>
        <v/>
      </c>
      <c r="S713" s="85" t="str">
        <f>IFERROR(VLOOKUP(CONCATENATE($B713,"_",S$3),materiali!$C:$K,6,0),"")</f>
        <v/>
      </c>
      <c r="T713" s="86"/>
      <c r="U713" s="31"/>
      <c r="AD713" s="97"/>
    </row>
    <row r="714" spans="1:30" ht="35.1" hidden="1" customHeight="1" x14ac:dyDescent="0.25">
      <c r="A714" s="83"/>
      <c r="B714" s="7"/>
      <c r="C714" s="8"/>
      <c r="D714" s="8"/>
      <c r="E714" s="60"/>
      <c r="F714" s="84" t="str">
        <f>IFERROR(VLOOKUP(CONCATENATE($B714,"_",F$3),materiali!$C:$K,5,0),"")</f>
        <v/>
      </c>
      <c r="G714" s="85" t="str">
        <f>IFERROR(VLOOKUP(CONCATENATE($B714,"_",G$3),materiali!$C:$K,6,0),"")</f>
        <v/>
      </c>
      <c r="H714" s="86"/>
      <c r="I714" s="84" t="str">
        <f>IFERROR(VLOOKUP(CONCATENATE($B714,"_",I$3),materiali!$C:$K,5,0),"")</f>
        <v/>
      </c>
      <c r="J714" s="85" t="str">
        <f>IFERROR(VLOOKUP(CONCATENATE($B714,"_",J$3),materiali!$C:$K,6,0),"")</f>
        <v/>
      </c>
      <c r="K714" s="86"/>
      <c r="L714" s="84" t="str">
        <f>IFERROR(VLOOKUP(CONCATENATE($B714,"_",L$3),materiali!$C:$K,5,0),"")</f>
        <v/>
      </c>
      <c r="M714" s="85" t="str">
        <f>IFERROR(VLOOKUP(CONCATENATE($B714,"_",M$3),materiali!$C:$K,6,0),"")</f>
        <v/>
      </c>
      <c r="N714" s="86"/>
      <c r="O714" s="84" t="str">
        <f>IFERROR(VLOOKUP(CONCATENATE($B714,"_",O$3),materiali!$C:$K,5,0),"")</f>
        <v/>
      </c>
      <c r="P714" s="85" t="str">
        <f>IFERROR(VLOOKUP(CONCATENATE($B714,"_",P$3),materiali!$C:$K,6,0),"")</f>
        <v/>
      </c>
      <c r="Q714" s="86"/>
      <c r="R714" s="84" t="str">
        <f>IFERROR(VLOOKUP(CONCATENATE($B714,"_",R$3),materiali!$C:$K,5,0),"")</f>
        <v/>
      </c>
      <c r="S714" s="85" t="str">
        <f>IFERROR(VLOOKUP(CONCATENATE($B714,"_",S$3),materiali!$C:$K,6,0),"")</f>
        <v/>
      </c>
      <c r="T714" s="86"/>
      <c r="U714" s="31"/>
      <c r="AD714" s="97"/>
    </row>
    <row r="715" spans="1:30" ht="35.1" hidden="1" customHeight="1" x14ac:dyDescent="0.25">
      <c r="A715" s="83"/>
      <c r="B715" s="7"/>
      <c r="C715" s="8"/>
      <c r="D715" s="8"/>
      <c r="E715" s="60"/>
      <c r="F715" s="84" t="str">
        <f>IFERROR(VLOOKUP(CONCATENATE($B715,"_",F$3),materiali!$C:$K,5,0),"")</f>
        <v/>
      </c>
      <c r="G715" s="85" t="str">
        <f>IFERROR(VLOOKUP(CONCATENATE($B715,"_",G$3),materiali!$C:$K,6,0),"")</f>
        <v/>
      </c>
      <c r="H715" s="86"/>
      <c r="I715" s="84" t="str">
        <f>IFERROR(VLOOKUP(CONCATENATE($B715,"_",I$3),materiali!$C:$K,5,0),"")</f>
        <v/>
      </c>
      <c r="J715" s="85" t="str">
        <f>IFERROR(VLOOKUP(CONCATENATE($B715,"_",J$3),materiali!$C:$K,6,0),"")</f>
        <v/>
      </c>
      <c r="K715" s="86"/>
      <c r="L715" s="84" t="str">
        <f>IFERROR(VLOOKUP(CONCATENATE($B715,"_",L$3),materiali!$C:$K,5,0),"")</f>
        <v/>
      </c>
      <c r="M715" s="85" t="str">
        <f>IFERROR(VLOOKUP(CONCATENATE($B715,"_",M$3),materiali!$C:$K,6,0),"")</f>
        <v/>
      </c>
      <c r="N715" s="86"/>
      <c r="O715" s="84" t="str">
        <f>IFERROR(VLOOKUP(CONCATENATE($B715,"_",O$3),materiali!$C:$K,5,0),"")</f>
        <v/>
      </c>
      <c r="P715" s="85" t="str">
        <f>IFERROR(VLOOKUP(CONCATENATE($B715,"_",P$3),materiali!$C:$K,6,0),"")</f>
        <v/>
      </c>
      <c r="Q715" s="86"/>
      <c r="R715" s="84" t="str">
        <f>IFERROR(VLOOKUP(CONCATENATE($B715,"_",R$3),materiali!$C:$K,5,0),"")</f>
        <v/>
      </c>
      <c r="S715" s="85" t="str">
        <f>IFERROR(VLOOKUP(CONCATENATE($B715,"_",S$3),materiali!$C:$K,6,0),"")</f>
        <v/>
      </c>
      <c r="T715" s="86"/>
      <c r="U715" s="31"/>
      <c r="AD715" s="97"/>
    </row>
    <row r="716" spans="1:30" ht="35.1" hidden="1" customHeight="1" x14ac:dyDescent="0.25">
      <c r="A716" s="83"/>
      <c r="B716" s="7"/>
      <c r="C716" s="8"/>
      <c r="D716" s="8"/>
      <c r="E716" s="60"/>
      <c r="F716" s="84" t="str">
        <f>IFERROR(VLOOKUP(CONCATENATE($B716,"_",F$3),materiali!$C:$K,5,0),"")</f>
        <v/>
      </c>
      <c r="G716" s="85" t="str">
        <f>IFERROR(VLOOKUP(CONCATENATE($B716,"_",G$3),materiali!$C:$K,6,0),"")</f>
        <v/>
      </c>
      <c r="H716" s="86"/>
      <c r="I716" s="84" t="str">
        <f>IFERROR(VLOOKUP(CONCATENATE($B716,"_",I$3),materiali!$C:$K,5,0),"")</f>
        <v/>
      </c>
      <c r="J716" s="85" t="str">
        <f>IFERROR(VLOOKUP(CONCATENATE($B716,"_",J$3),materiali!$C:$K,6,0),"")</f>
        <v/>
      </c>
      <c r="K716" s="86"/>
      <c r="L716" s="84" t="str">
        <f>IFERROR(VLOOKUP(CONCATENATE($B716,"_",L$3),materiali!$C:$K,5,0),"")</f>
        <v/>
      </c>
      <c r="M716" s="85" t="str">
        <f>IFERROR(VLOOKUP(CONCATENATE($B716,"_",M$3),materiali!$C:$K,6,0),"")</f>
        <v/>
      </c>
      <c r="N716" s="86"/>
      <c r="O716" s="84" t="str">
        <f>IFERROR(VLOOKUP(CONCATENATE($B716,"_",O$3),materiali!$C:$K,5,0),"")</f>
        <v/>
      </c>
      <c r="P716" s="85" t="str">
        <f>IFERROR(VLOOKUP(CONCATENATE($B716,"_",P$3),materiali!$C:$K,6,0),"")</f>
        <v/>
      </c>
      <c r="Q716" s="86"/>
      <c r="R716" s="84" t="str">
        <f>IFERROR(VLOOKUP(CONCATENATE($B716,"_",R$3),materiali!$C:$K,5,0),"")</f>
        <v/>
      </c>
      <c r="S716" s="85" t="str">
        <f>IFERROR(VLOOKUP(CONCATENATE($B716,"_",S$3),materiali!$C:$K,6,0),"")</f>
        <v/>
      </c>
      <c r="T716" s="86"/>
      <c r="U716" s="31"/>
      <c r="AD716" s="97"/>
    </row>
    <row r="717" spans="1:30" ht="35.1" hidden="1" customHeight="1" x14ac:dyDescent="0.25">
      <c r="A717" s="83"/>
      <c r="B717" s="7"/>
      <c r="C717" s="8"/>
      <c r="D717" s="8"/>
      <c r="E717" s="60"/>
      <c r="F717" s="84" t="str">
        <f>IFERROR(VLOOKUP(CONCATENATE($B717,"_",F$3),materiali!$C:$K,5,0),"")</f>
        <v/>
      </c>
      <c r="G717" s="85" t="str">
        <f>IFERROR(VLOOKUP(CONCATENATE($B717,"_",G$3),materiali!$C:$K,6,0),"")</f>
        <v/>
      </c>
      <c r="H717" s="86"/>
      <c r="I717" s="84" t="str">
        <f>IFERROR(VLOOKUP(CONCATENATE($B717,"_",I$3),materiali!$C:$K,5,0),"")</f>
        <v/>
      </c>
      <c r="J717" s="85" t="str">
        <f>IFERROR(VLOOKUP(CONCATENATE($B717,"_",J$3),materiali!$C:$K,6,0),"")</f>
        <v/>
      </c>
      <c r="K717" s="86"/>
      <c r="L717" s="84" t="str">
        <f>IFERROR(VLOOKUP(CONCATENATE($B717,"_",L$3),materiali!$C:$K,5,0),"")</f>
        <v/>
      </c>
      <c r="M717" s="85" t="str">
        <f>IFERROR(VLOOKUP(CONCATENATE($B717,"_",M$3),materiali!$C:$K,6,0),"")</f>
        <v/>
      </c>
      <c r="N717" s="86"/>
      <c r="O717" s="84" t="str">
        <f>IFERROR(VLOOKUP(CONCATENATE($B717,"_",O$3),materiali!$C:$K,5,0),"")</f>
        <v/>
      </c>
      <c r="P717" s="85" t="str">
        <f>IFERROR(VLOOKUP(CONCATENATE($B717,"_",P$3),materiali!$C:$K,6,0),"")</f>
        <v/>
      </c>
      <c r="Q717" s="86"/>
      <c r="R717" s="84" t="str">
        <f>IFERROR(VLOOKUP(CONCATENATE($B717,"_",R$3),materiali!$C:$K,5,0),"")</f>
        <v/>
      </c>
      <c r="S717" s="85" t="str">
        <f>IFERROR(VLOOKUP(CONCATENATE($B717,"_",S$3),materiali!$C:$K,6,0),"")</f>
        <v/>
      </c>
      <c r="T717" s="86"/>
      <c r="U717" s="31"/>
      <c r="AD717" s="97"/>
    </row>
    <row r="718" spans="1:30" ht="35.1" hidden="1" customHeight="1" x14ac:dyDescent="0.25">
      <c r="A718" s="83"/>
      <c r="B718" s="7"/>
      <c r="C718" s="8"/>
      <c r="D718" s="8"/>
      <c r="E718" s="60"/>
      <c r="F718" s="84" t="str">
        <f>IFERROR(VLOOKUP(CONCATENATE($B718,"_",F$3),materiali!$C:$K,5,0),"")</f>
        <v/>
      </c>
      <c r="G718" s="85" t="str">
        <f>IFERROR(VLOOKUP(CONCATENATE($B718,"_",G$3),materiali!$C:$K,6,0),"")</f>
        <v/>
      </c>
      <c r="H718" s="86"/>
      <c r="I718" s="84" t="str">
        <f>IFERROR(VLOOKUP(CONCATENATE($B718,"_",I$3),materiali!$C:$K,5,0),"")</f>
        <v/>
      </c>
      <c r="J718" s="85" t="str">
        <f>IFERROR(VLOOKUP(CONCATENATE($B718,"_",J$3),materiali!$C:$K,6,0),"")</f>
        <v/>
      </c>
      <c r="K718" s="86"/>
      <c r="L718" s="84" t="str">
        <f>IFERROR(VLOOKUP(CONCATENATE($B718,"_",L$3),materiali!$C:$K,5,0),"")</f>
        <v/>
      </c>
      <c r="M718" s="85" t="str">
        <f>IFERROR(VLOOKUP(CONCATENATE($B718,"_",M$3),materiali!$C:$K,6,0),"")</f>
        <v/>
      </c>
      <c r="N718" s="86"/>
      <c r="O718" s="84" t="str">
        <f>IFERROR(VLOOKUP(CONCATENATE($B718,"_",O$3),materiali!$C:$K,5,0),"")</f>
        <v/>
      </c>
      <c r="P718" s="85" t="str">
        <f>IFERROR(VLOOKUP(CONCATENATE($B718,"_",P$3),materiali!$C:$K,6,0),"")</f>
        <v/>
      </c>
      <c r="Q718" s="86"/>
      <c r="R718" s="84" t="str">
        <f>IFERROR(VLOOKUP(CONCATENATE($B718,"_",R$3),materiali!$C:$K,5,0),"")</f>
        <v/>
      </c>
      <c r="S718" s="85" t="str">
        <f>IFERROR(VLOOKUP(CONCATENATE($B718,"_",S$3),materiali!$C:$K,6,0),"")</f>
        <v/>
      </c>
      <c r="T718" s="86"/>
      <c r="U718" s="31"/>
      <c r="AD718" s="97"/>
    </row>
    <row r="719" spans="1:30" ht="35.1" hidden="1" customHeight="1" x14ac:dyDescent="0.25">
      <c r="A719" s="83"/>
      <c r="B719" s="7"/>
      <c r="C719" s="8"/>
      <c r="D719" s="8"/>
      <c r="E719" s="60"/>
      <c r="F719" s="84" t="str">
        <f>IFERROR(VLOOKUP(CONCATENATE($B719,"_",F$3),materiali!$C:$K,5,0),"")</f>
        <v/>
      </c>
      <c r="G719" s="85" t="str">
        <f>IFERROR(VLOOKUP(CONCATENATE($B719,"_",G$3),materiali!$C:$K,6,0),"")</f>
        <v/>
      </c>
      <c r="H719" s="86"/>
      <c r="I719" s="84" t="str">
        <f>IFERROR(VLOOKUP(CONCATENATE($B719,"_",I$3),materiali!$C:$K,5,0),"")</f>
        <v/>
      </c>
      <c r="J719" s="85" t="str">
        <f>IFERROR(VLOOKUP(CONCATENATE($B719,"_",J$3),materiali!$C:$K,6,0),"")</f>
        <v/>
      </c>
      <c r="K719" s="86"/>
      <c r="L719" s="84" t="str">
        <f>IFERROR(VLOOKUP(CONCATENATE($B719,"_",L$3),materiali!$C:$K,5,0),"")</f>
        <v/>
      </c>
      <c r="M719" s="85" t="str">
        <f>IFERROR(VLOOKUP(CONCATENATE($B719,"_",M$3),materiali!$C:$K,6,0),"")</f>
        <v/>
      </c>
      <c r="N719" s="86"/>
      <c r="O719" s="84" t="str">
        <f>IFERROR(VLOOKUP(CONCATENATE($B719,"_",O$3),materiali!$C:$K,5,0),"")</f>
        <v/>
      </c>
      <c r="P719" s="85" t="str">
        <f>IFERROR(VLOOKUP(CONCATENATE($B719,"_",P$3),materiali!$C:$K,6,0),"")</f>
        <v/>
      </c>
      <c r="Q719" s="86"/>
      <c r="R719" s="84" t="str">
        <f>IFERROR(VLOOKUP(CONCATENATE($B719,"_",R$3),materiali!$C:$K,5,0),"")</f>
        <v/>
      </c>
      <c r="S719" s="85" t="str">
        <f>IFERROR(VLOOKUP(CONCATENATE($B719,"_",S$3),materiali!$C:$K,6,0),"")</f>
        <v/>
      </c>
      <c r="T719" s="86"/>
      <c r="U719" s="31"/>
      <c r="AD719" s="97"/>
    </row>
    <row r="720" spans="1:30" ht="35.1" hidden="1" customHeight="1" x14ac:dyDescent="0.25">
      <c r="A720" s="83"/>
      <c r="B720" s="7"/>
      <c r="C720" s="8"/>
      <c r="D720" s="8"/>
      <c r="E720" s="60"/>
      <c r="F720" s="84" t="str">
        <f>IFERROR(VLOOKUP(CONCATENATE($B720,"_",F$3),materiali!$C:$K,5,0),"")</f>
        <v/>
      </c>
      <c r="G720" s="85" t="str">
        <f>IFERROR(VLOOKUP(CONCATENATE($B720,"_",G$3),materiali!$C:$K,6,0),"")</f>
        <v/>
      </c>
      <c r="H720" s="86"/>
      <c r="I720" s="84" t="str">
        <f>IFERROR(VLOOKUP(CONCATENATE($B720,"_",I$3),materiali!$C:$K,5,0),"")</f>
        <v/>
      </c>
      <c r="J720" s="85" t="str">
        <f>IFERROR(VLOOKUP(CONCATENATE($B720,"_",J$3),materiali!$C:$K,6,0),"")</f>
        <v/>
      </c>
      <c r="K720" s="86"/>
      <c r="L720" s="84" t="str">
        <f>IFERROR(VLOOKUP(CONCATENATE($B720,"_",L$3),materiali!$C:$K,5,0),"")</f>
        <v/>
      </c>
      <c r="M720" s="85" t="str">
        <f>IFERROR(VLOOKUP(CONCATENATE($B720,"_",M$3),materiali!$C:$K,6,0),"")</f>
        <v/>
      </c>
      <c r="N720" s="86"/>
      <c r="O720" s="84" t="str">
        <f>IFERROR(VLOOKUP(CONCATENATE($B720,"_",O$3),materiali!$C:$K,5,0),"")</f>
        <v/>
      </c>
      <c r="P720" s="85" t="str">
        <f>IFERROR(VLOOKUP(CONCATENATE($B720,"_",P$3),materiali!$C:$K,6,0),"")</f>
        <v/>
      </c>
      <c r="Q720" s="86"/>
      <c r="R720" s="84" t="str">
        <f>IFERROR(VLOOKUP(CONCATENATE($B720,"_",R$3),materiali!$C:$K,5,0),"")</f>
        <v/>
      </c>
      <c r="S720" s="85" t="str">
        <f>IFERROR(VLOOKUP(CONCATENATE($B720,"_",S$3),materiali!$C:$K,6,0),"")</f>
        <v/>
      </c>
      <c r="T720" s="86"/>
      <c r="U720" s="31"/>
      <c r="AD720" s="97"/>
    </row>
    <row r="721" spans="1:30" ht="35.1" hidden="1" customHeight="1" x14ac:dyDescent="0.25">
      <c r="A721" s="83"/>
      <c r="B721" s="7"/>
      <c r="C721" s="8"/>
      <c r="D721" s="8"/>
      <c r="E721" s="60"/>
      <c r="F721" s="84" t="str">
        <f>IFERROR(VLOOKUP(CONCATENATE($B721,"_",F$3),materiali!$C:$K,5,0),"")</f>
        <v/>
      </c>
      <c r="G721" s="85" t="str">
        <f>IFERROR(VLOOKUP(CONCATENATE($B721,"_",G$3),materiali!$C:$K,6,0),"")</f>
        <v/>
      </c>
      <c r="H721" s="86"/>
      <c r="I721" s="84" t="str">
        <f>IFERROR(VLOOKUP(CONCATENATE($B721,"_",I$3),materiali!$C:$K,5,0),"")</f>
        <v/>
      </c>
      <c r="J721" s="85" t="str">
        <f>IFERROR(VLOOKUP(CONCATENATE($B721,"_",J$3),materiali!$C:$K,6,0),"")</f>
        <v/>
      </c>
      <c r="K721" s="86"/>
      <c r="L721" s="84" t="str">
        <f>IFERROR(VLOOKUP(CONCATENATE($B721,"_",L$3),materiali!$C:$K,5,0),"")</f>
        <v/>
      </c>
      <c r="M721" s="85" t="str">
        <f>IFERROR(VLOOKUP(CONCATENATE($B721,"_",M$3),materiali!$C:$K,6,0),"")</f>
        <v/>
      </c>
      <c r="N721" s="86"/>
      <c r="O721" s="84" t="str">
        <f>IFERROR(VLOOKUP(CONCATENATE($B721,"_",O$3),materiali!$C:$K,5,0),"")</f>
        <v/>
      </c>
      <c r="P721" s="85" t="str">
        <f>IFERROR(VLOOKUP(CONCATENATE($B721,"_",P$3),materiali!$C:$K,6,0),"")</f>
        <v/>
      </c>
      <c r="Q721" s="86"/>
      <c r="R721" s="84" t="str">
        <f>IFERROR(VLOOKUP(CONCATENATE($B721,"_",R$3),materiali!$C:$K,5,0),"")</f>
        <v/>
      </c>
      <c r="S721" s="85" t="str">
        <f>IFERROR(VLOOKUP(CONCATENATE($B721,"_",S$3),materiali!$C:$K,6,0),"")</f>
        <v/>
      </c>
      <c r="T721" s="86"/>
      <c r="U721" s="31"/>
      <c r="AD721" s="97"/>
    </row>
    <row r="722" spans="1:30" ht="35.1" hidden="1" customHeight="1" x14ac:dyDescent="0.25">
      <c r="A722" s="83"/>
      <c r="B722" s="7"/>
      <c r="C722" s="8"/>
      <c r="D722" s="8"/>
      <c r="E722" s="60"/>
      <c r="F722" s="84" t="str">
        <f>IFERROR(VLOOKUP(CONCATENATE($B722,"_",F$3),materiali!$C:$K,5,0),"")</f>
        <v/>
      </c>
      <c r="G722" s="85" t="str">
        <f>IFERROR(VLOOKUP(CONCATENATE($B722,"_",G$3),materiali!$C:$K,6,0),"")</f>
        <v/>
      </c>
      <c r="H722" s="86"/>
      <c r="I722" s="84" t="str">
        <f>IFERROR(VLOOKUP(CONCATENATE($B722,"_",I$3),materiali!$C:$K,5,0),"")</f>
        <v/>
      </c>
      <c r="J722" s="85" t="str">
        <f>IFERROR(VLOOKUP(CONCATENATE($B722,"_",J$3),materiali!$C:$K,6,0),"")</f>
        <v/>
      </c>
      <c r="K722" s="86"/>
      <c r="L722" s="84" t="str">
        <f>IFERROR(VLOOKUP(CONCATENATE($B722,"_",L$3),materiali!$C:$K,5,0),"")</f>
        <v/>
      </c>
      <c r="M722" s="85" t="str">
        <f>IFERROR(VLOOKUP(CONCATENATE($B722,"_",M$3),materiali!$C:$K,6,0),"")</f>
        <v/>
      </c>
      <c r="N722" s="86"/>
      <c r="O722" s="84" t="str">
        <f>IFERROR(VLOOKUP(CONCATENATE($B722,"_",O$3),materiali!$C:$K,5,0),"")</f>
        <v/>
      </c>
      <c r="P722" s="85" t="str">
        <f>IFERROR(VLOOKUP(CONCATENATE($B722,"_",P$3),materiali!$C:$K,6,0),"")</f>
        <v/>
      </c>
      <c r="Q722" s="86"/>
      <c r="R722" s="84" t="str">
        <f>IFERROR(VLOOKUP(CONCATENATE($B722,"_",R$3),materiali!$C:$K,5,0),"")</f>
        <v/>
      </c>
      <c r="S722" s="85" t="str">
        <f>IFERROR(VLOOKUP(CONCATENATE($B722,"_",S$3),materiali!$C:$K,6,0),"")</f>
        <v/>
      </c>
      <c r="T722" s="86"/>
      <c r="U722" s="31"/>
      <c r="AD722" s="97"/>
    </row>
    <row r="723" spans="1:30" ht="35.1" hidden="1" customHeight="1" x14ac:dyDescent="0.25">
      <c r="A723" s="83"/>
      <c r="B723" s="7"/>
      <c r="C723" s="8"/>
      <c r="D723" s="8"/>
      <c r="E723" s="60"/>
      <c r="F723" s="84" t="str">
        <f>IFERROR(VLOOKUP(CONCATENATE($B723,"_",F$3),materiali!$C:$K,5,0),"")</f>
        <v/>
      </c>
      <c r="G723" s="85" t="str">
        <f>IFERROR(VLOOKUP(CONCATENATE($B723,"_",G$3),materiali!$C:$K,6,0),"")</f>
        <v/>
      </c>
      <c r="H723" s="86"/>
      <c r="I723" s="84" t="str">
        <f>IFERROR(VLOOKUP(CONCATENATE($B723,"_",I$3),materiali!$C:$K,5,0),"")</f>
        <v/>
      </c>
      <c r="J723" s="85" t="str">
        <f>IFERROR(VLOOKUP(CONCATENATE($B723,"_",J$3),materiali!$C:$K,6,0),"")</f>
        <v/>
      </c>
      <c r="K723" s="86"/>
      <c r="L723" s="84" t="str">
        <f>IFERROR(VLOOKUP(CONCATENATE($B723,"_",L$3),materiali!$C:$K,5,0),"")</f>
        <v/>
      </c>
      <c r="M723" s="85" t="str">
        <f>IFERROR(VLOOKUP(CONCATENATE($B723,"_",M$3),materiali!$C:$K,6,0),"")</f>
        <v/>
      </c>
      <c r="N723" s="86"/>
      <c r="O723" s="84" t="str">
        <f>IFERROR(VLOOKUP(CONCATENATE($B723,"_",O$3),materiali!$C:$K,5,0),"")</f>
        <v/>
      </c>
      <c r="P723" s="85" t="str">
        <f>IFERROR(VLOOKUP(CONCATENATE($B723,"_",P$3),materiali!$C:$K,6,0),"")</f>
        <v/>
      </c>
      <c r="Q723" s="86"/>
      <c r="R723" s="84" t="str">
        <f>IFERROR(VLOOKUP(CONCATENATE($B723,"_",R$3),materiali!$C:$K,5,0),"")</f>
        <v/>
      </c>
      <c r="S723" s="85" t="str">
        <f>IFERROR(VLOOKUP(CONCATENATE($B723,"_",S$3),materiali!$C:$K,6,0),"")</f>
        <v/>
      </c>
      <c r="T723" s="86"/>
      <c r="U723" s="31"/>
      <c r="AD723" s="97"/>
    </row>
    <row r="724" spans="1:30" ht="35.1" hidden="1" customHeight="1" x14ac:dyDescent="0.25">
      <c r="A724" s="83"/>
      <c r="B724" s="7"/>
      <c r="C724" s="8"/>
      <c r="D724" s="8"/>
      <c r="E724" s="60"/>
      <c r="F724" s="84" t="str">
        <f>IFERROR(VLOOKUP(CONCATENATE($B724,"_",F$3),materiali!$C:$K,5,0),"")</f>
        <v/>
      </c>
      <c r="G724" s="85" t="str">
        <f>IFERROR(VLOOKUP(CONCATENATE($B724,"_",G$3),materiali!$C:$K,6,0),"")</f>
        <v/>
      </c>
      <c r="H724" s="86"/>
      <c r="I724" s="84" t="str">
        <f>IFERROR(VLOOKUP(CONCATENATE($B724,"_",I$3),materiali!$C:$K,5,0),"")</f>
        <v/>
      </c>
      <c r="J724" s="85" t="str">
        <f>IFERROR(VLOOKUP(CONCATENATE($B724,"_",J$3),materiali!$C:$K,6,0),"")</f>
        <v/>
      </c>
      <c r="K724" s="86"/>
      <c r="L724" s="84" t="str">
        <f>IFERROR(VLOOKUP(CONCATENATE($B724,"_",L$3),materiali!$C:$K,5,0),"")</f>
        <v/>
      </c>
      <c r="M724" s="85" t="str">
        <f>IFERROR(VLOOKUP(CONCATENATE($B724,"_",M$3),materiali!$C:$K,6,0),"")</f>
        <v/>
      </c>
      <c r="N724" s="86"/>
      <c r="O724" s="84" t="str">
        <f>IFERROR(VLOOKUP(CONCATENATE($B724,"_",O$3),materiali!$C:$K,5,0),"")</f>
        <v/>
      </c>
      <c r="P724" s="85" t="str">
        <f>IFERROR(VLOOKUP(CONCATENATE($B724,"_",P$3),materiali!$C:$K,6,0),"")</f>
        <v/>
      </c>
      <c r="Q724" s="86"/>
      <c r="R724" s="84" t="str">
        <f>IFERROR(VLOOKUP(CONCATENATE($B724,"_",R$3),materiali!$C:$K,5,0),"")</f>
        <v/>
      </c>
      <c r="S724" s="85" t="str">
        <f>IFERROR(VLOOKUP(CONCATENATE($B724,"_",S$3),materiali!$C:$K,6,0),"")</f>
        <v/>
      </c>
      <c r="T724" s="86"/>
      <c r="U724" s="31"/>
      <c r="AD724" s="97"/>
    </row>
    <row r="725" spans="1:30" ht="35.1" hidden="1" customHeight="1" x14ac:dyDescent="0.25">
      <c r="A725" s="83"/>
      <c r="B725" s="7"/>
      <c r="C725" s="8"/>
      <c r="D725" s="8"/>
      <c r="E725" s="60"/>
      <c r="F725" s="84" t="str">
        <f>IFERROR(VLOOKUP(CONCATENATE($B725,"_",F$3),materiali!$C:$K,5,0),"")</f>
        <v/>
      </c>
      <c r="G725" s="85" t="str">
        <f>IFERROR(VLOOKUP(CONCATENATE($B725,"_",G$3),materiali!$C:$K,6,0),"")</f>
        <v/>
      </c>
      <c r="H725" s="86"/>
      <c r="I725" s="84" t="str">
        <f>IFERROR(VLOOKUP(CONCATENATE($B725,"_",I$3),materiali!$C:$K,5,0),"")</f>
        <v/>
      </c>
      <c r="J725" s="85" t="str">
        <f>IFERROR(VLOOKUP(CONCATENATE($B725,"_",J$3),materiali!$C:$K,6,0),"")</f>
        <v/>
      </c>
      <c r="K725" s="86"/>
      <c r="L725" s="84" t="str">
        <f>IFERROR(VLOOKUP(CONCATENATE($B725,"_",L$3),materiali!$C:$K,5,0),"")</f>
        <v/>
      </c>
      <c r="M725" s="85" t="str">
        <f>IFERROR(VLOOKUP(CONCATENATE($B725,"_",M$3),materiali!$C:$K,6,0),"")</f>
        <v/>
      </c>
      <c r="N725" s="86"/>
      <c r="O725" s="84" t="str">
        <f>IFERROR(VLOOKUP(CONCATENATE($B725,"_",O$3),materiali!$C:$K,5,0),"")</f>
        <v/>
      </c>
      <c r="P725" s="85" t="str">
        <f>IFERROR(VLOOKUP(CONCATENATE($B725,"_",P$3),materiali!$C:$K,6,0),"")</f>
        <v/>
      </c>
      <c r="Q725" s="86"/>
      <c r="R725" s="84" t="str">
        <f>IFERROR(VLOOKUP(CONCATENATE($B725,"_",R$3),materiali!$C:$K,5,0),"")</f>
        <v/>
      </c>
      <c r="S725" s="85" t="str">
        <f>IFERROR(VLOOKUP(CONCATENATE($B725,"_",S$3),materiali!$C:$K,6,0),"")</f>
        <v/>
      </c>
      <c r="T725" s="86"/>
      <c r="U725" s="31"/>
      <c r="AD725" s="97"/>
    </row>
    <row r="726" spans="1:30" ht="35.1" hidden="1" customHeight="1" x14ac:dyDescent="0.25">
      <c r="A726" s="83"/>
      <c r="B726" s="7"/>
      <c r="C726" s="8"/>
      <c r="D726" s="8"/>
      <c r="E726" s="60"/>
      <c r="F726" s="84" t="str">
        <f>IFERROR(VLOOKUP(CONCATENATE($B726,"_",F$3),materiali!$C:$K,5,0),"")</f>
        <v/>
      </c>
      <c r="G726" s="85" t="str">
        <f>IFERROR(VLOOKUP(CONCATENATE($B726,"_",G$3),materiali!$C:$K,6,0),"")</f>
        <v/>
      </c>
      <c r="H726" s="86"/>
      <c r="I726" s="84" t="str">
        <f>IFERROR(VLOOKUP(CONCATENATE($B726,"_",I$3),materiali!$C:$K,5,0),"")</f>
        <v/>
      </c>
      <c r="J726" s="85" t="str">
        <f>IFERROR(VLOOKUP(CONCATENATE($B726,"_",J$3),materiali!$C:$K,6,0),"")</f>
        <v/>
      </c>
      <c r="K726" s="86"/>
      <c r="L726" s="84" t="str">
        <f>IFERROR(VLOOKUP(CONCATENATE($B726,"_",L$3),materiali!$C:$K,5,0),"")</f>
        <v/>
      </c>
      <c r="M726" s="85" t="str">
        <f>IFERROR(VLOOKUP(CONCATENATE($B726,"_",M$3),materiali!$C:$K,6,0),"")</f>
        <v/>
      </c>
      <c r="N726" s="86"/>
      <c r="O726" s="84" t="str">
        <f>IFERROR(VLOOKUP(CONCATENATE($B726,"_",O$3),materiali!$C:$K,5,0),"")</f>
        <v/>
      </c>
      <c r="P726" s="85" t="str">
        <f>IFERROR(VLOOKUP(CONCATENATE($B726,"_",P$3),materiali!$C:$K,6,0),"")</f>
        <v/>
      </c>
      <c r="Q726" s="86"/>
      <c r="R726" s="84" t="str">
        <f>IFERROR(VLOOKUP(CONCATENATE($B726,"_",R$3),materiali!$C:$K,5,0),"")</f>
        <v/>
      </c>
      <c r="S726" s="85" t="str">
        <f>IFERROR(VLOOKUP(CONCATENATE($B726,"_",S$3),materiali!$C:$K,6,0),"")</f>
        <v/>
      </c>
      <c r="T726" s="86"/>
      <c r="U726" s="31"/>
      <c r="AD726" s="97"/>
    </row>
    <row r="727" spans="1:30" ht="35.1" hidden="1" customHeight="1" x14ac:dyDescent="0.25">
      <c r="A727" s="83"/>
      <c r="B727" s="7"/>
      <c r="C727" s="8"/>
      <c r="D727" s="8"/>
      <c r="E727" s="60"/>
      <c r="F727" s="84" t="str">
        <f>IFERROR(VLOOKUP(CONCATENATE($B727,"_",F$3),materiali!$C:$K,5,0),"")</f>
        <v/>
      </c>
      <c r="G727" s="85" t="str">
        <f>IFERROR(VLOOKUP(CONCATENATE($B727,"_",G$3),materiali!$C:$K,6,0),"")</f>
        <v/>
      </c>
      <c r="H727" s="86"/>
      <c r="I727" s="84" t="str">
        <f>IFERROR(VLOOKUP(CONCATENATE($B727,"_",I$3),materiali!$C:$K,5,0),"")</f>
        <v/>
      </c>
      <c r="J727" s="85" t="str">
        <f>IFERROR(VLOOKUP(CONCATENATE($B727,"_",J$3),materiali!$C:$K,6,0),"")</f>
        <v/>
      </c>
      <c r="K727" s="86"/>
      <c r="L727" s="84" t="str">
        <f>IFERROR(VLOOKUP(CONCATENATE($B727,"_",L$3),materiali!$C:$K,5,0),"")</f>
        <v/>
      </c>
      <c r="M727" s="85" t="str">
        <f>IFERROR(VLOOKUP(CONCATENATE($B727,"_",M$3),materiali!$C:$K,6,0),"")</f>
        <v/>
      </c>
      <c r="N727" s="86"/>
      <c r="O727" s="84" t="str">
        <f>IFERROR(VLOOKUP(CONCATENATE($B727,"_",O$3),materiali!$C:$K,5,0),"")</f>
        <v/>
      </c>
      <c r="P727" s="85" t="str">
        <f>IFERROR(VLOOKUP(CONCATENATE($B727,"_",P$3),materiali!$C:$K,6,0),"")</f>
        <v/>
      </c>
      <c r="Q727" s="86"/>
      <c r="R727" s="84" t="str">
        <f>IFERROR(VLOOKUP(CONCATENATE($B727,"_",R$3),materiali!$C:$K,5,0),"")</f>
        <v/>
      </c>
      <c r="S727" s="85" t="str">
        <f>IFERROR(VLOOKUP(CONCATENATE($B727,"_",S$3),materiali!$C:$K,6,0),"")</f>
        <v/>
      </c>
      <c r="T727" s="86"/>
      <c r="U727" s="31"/>
      <c r="AD727" s="97"/>
    </row>
    <row r="728" spans="1:30" ht="35.1" hidden="1" customHeight="1" x14ac:dyDescent="0.25">
      <c r="A728" s="83"/>
      <c r="B728" s="7"/>
      <c r="C728" s="8"/>
      <c r="D728" s="8"/>
      <c r="E728" s="60"/>
      <c r="F728" s="84" t="str">
        <f>IFERROR(VLOOKUP(CONCATENATE($B728,"_",F$3),materiali!$C:$K,5,0),"")</f>
        <v/>
      </c>
      <c r="G728" s="85" t="str">
        <f>IFERROR(VLOOKUP(CONCATENATE($B728,"_",G$3),materiali!$C:$K,6,0),"")</f>
        <v/>
      </c>
      <c r="H728" s="86"/>
      <c r="I728" s="84" t="str">
        <f>IFERROR(VLOOKUP(CONCATENATE($B728,"_",I$3),materiali!$C:$K,5,0),"")</f>
        <v/>
      </c>
      <c r="J728" s="85" t="str">
        <f>IFERROR(VLOOKUP(CONCATENATE($B728,"_",J$3),materiali!$C:$K,6,0),"")</f>
        <v/>
      </c>
      <c r="K728" s="86"/>
      <c r="L728" s="84" t="str">
        <f>IFERROR(VLOOKUP(CONCATENATE($B728,"_",L$3),materiali!$C:$K,5,0),"")</f>
        <v/>
      </c>
      <c r="M728" s="85" t="str">
        <f>IFERROR(VLOOKUP(CONCATENATE($B728,"_",M$3),materiali!$C:$K,6,0),"")</f>
        <v/>
      </c>
      <c r="N728" s="86"/>
      <c r="O728" s="84" t="str">
        <f>IFERROR(VLOOKUP(CONCATENATE($B728,"_",O$3),materiali!$C:$K,5,0),"")</f>
        <v/>
      </c>
      <c r="P728" s="85" t="str">
        <f>IFERROR(VLOOKUP(CONCATENATE($B728,"_",P$3),materiali!$C:$K,6,0),"")</f>
        <v/>
      </c>
      <c r="Q728" s="86"/>
      <c r="R728" s="84" t="str">
        <f>IFERROR(VLOOKUP(CONCATENATE($B728,"_",R$3),materiali!$C:$K,5,0),"")</f>
        <v/>
      </c>
      <c r="S728" s="85" t="str">
        <f>IFERROR(VLOOKUP(CONCATENATE($B728,"_",S$3),materiali!$C:$K,6,0),"")</f>
        <v/>
      </c>
      <c r="T728" s="86"/>
      <c r="U728" s="31"/>
      <c r="AD728" s="97"/>
    </row>
    <row r="729" spans="1:30" ht="35.1" hidden="1" customHeight="1" x14ac:dyDescent="0.25">
      <c r="A729" s="83"/>
      <c r="B729" s="7"/>
      <c r="C729" s="8"/>
      <c r="D729" s="8"/>
      <c r="E729" s="60"/>
      <c r="F729" s="84" t="str">
        <f>IFERROR(VLOOKUP(CONCATENATE($B729,"_",F$3),materiali!$C:$K,5,0),"")</f>
        <v/>
      </c>
      <c r="G729" s="85" t="str">
        <f>IFERROR(VLOOKUP(CONCATENATE($B729,"_",G$3),materiali!$C:$K,6,0),"")</f>
        <v/>
      </c>
      <c r="H729" s="86"/>
      <c r="I729" s="84" t="str">
        <f>IFERROR(VLOOKUP(CONCATENATE($B729,"_",I$3),materiali!$C:$K,5,0),"")</f>
        <v/>
      </c>
      <c r="J729" s="85" t="str">
        <f>IFERROR(VLOOKUP(CONCATENATE($B729,"_",J$3),materiali!$C:$K,6,0),"")</f>
        <v/>
      </c>
      <c r="K729" s="86"/>
      <c r="L729" s="84" t="str">
        <f>IFERROR(VLOOKUP(CONCATENATE($B729,"_",L$3),materiali!$C:$K,5,0),"")</f>
        <v/>
      </c>
      <c r="M729" s="85" t="str">
        <f>IFERROR(VLOOKUP(CONCATENATE($B729,"_",M$3),materiali!$C:$K,6,0),"")</f>
        <v/>
      </c>
      <c r="N729" s="86"/>
      <c r="O729" s="84" t="str">
        <f>IFERROR(VLOOKUP(CONCATENATE($B729,"_",O$3),materiali!$C:$K,5,0),"")</f>
        <v/>
      </c>
      <c r="P729" s="85" t="str">
        <f>IFERROR(VLOOKUP(CONCATENATE($B729,"_",P$3),materiali!$C:$K,6,0),"")</f>
        <v/>
      </c>
      <c r="Q729" s="86"/>
      <c r="R729" s="84" t="str">
        <f>IFERROR(VLOOKUP(CONCATENATE($B729,"_",R$3),materiali!$C:$K,5,0),"")</f>
        <v/>
      </c>
      <c r="S729" s="85" t="str">
        <f>IFERROR(VLOOKUP(CONCATENATE($B729,"_",S$3),materiali!$C:$K,6,0),"")</f>
        <v/>
      </c>
      <c r="T729" s="86"/>
      <c r="U729" s="31"/>
      <c r="AD729" s="97"/>
    </row>
    <row r="730" spans="1:30" ht="35.1" hidden="1" customHeight="1" x14ac:dyDescent="0.25">
      <c r="A730" s="83"/>
      <c r="B730" s="7"/>
      <c r="C730" s="8"/>
      <c r="D730" s="8"/>
      <c r="E730" s="60"/>
      <c r="F730" s="84" t="str">
        <f>IFERROR(VLOOKUP(CONCATENATE($B730,"_",F$3),materiali!$C:$K,5,0),"")</f>
        <v/>
      </c>
      <c r="G730" s="85" t="str">
        <f>IFERROR(VLOOKUP(CONCATENATE($B730,"_",G$3),materiali!$C:$K,6,0),"")</f>
        <v/>
      </c>
      <c r="H730" s="86"/>
      <c r="I730" s="84" t="str">
        <f>IFERROR(VLOOKUP(CONCATENATE($B730,"_",I$3),materiali!$C:$K,5,0),"")</f>
        <v/>
      </c>
      <c r="J730" s="85" t="str">
        <f>IFERROR(VLOOKUP(CONCATENATE($B730,"_",J$3),materiali!$C:$K,6,0),"")</f>
        <v/>
      </c>
      <c r="K730" s="86"/>
      <c r="L730" s="84" t="str">
        <f>IFERROR(VLOOKUP(CONCATENATE($B730,"_",L$3),materiali!$C:$K,5,0),"")</f>
        <v/>
      </c>
      <c r="M730" s="85" t="str">
        <f>IFERROR(VLOOKUP(CONCATENATE($B730,"_",M$3),materiali!$C:$K,6,0),"")</f>
        <v/>
      </c>
      <c r="N730" s="86"/>
      <c r="O730" s="84" t="str">
        <f>IFERROR(VLOOKUP(CONCATENATE($B730,"_",O$3),materiali!$C:$K,5,0),"")</f>
        <v/>
      </c>
      <c r="P730" s="85" t="str">
        <f>IFERROR(VLOOKUP(CONCATENATE($B730,"_",P$3),materiali!$C:$K,6,0),"")</f>
        <v/>
      </c>
      <c r="Q730" s="86"/>
      <c r="R730" s="84" t="str">
        <f>IFERROR(VLOOKUP(CONCATENATE($B730,"_",R$3),materiali!$C:$K,5,0),"")</f>
        <v/>
      </c>
      <c r="S730" s="85" t="str">
        <f>IFERROR(VLOOKUP(CONCATENATE($B730,"_",S$3),materiali!$C:$K,6,0),"")</f>
        <v/>
      </c>
      <c r="T730" s="86"/>
      <c r="U730" s="31"/>
      <c r="AD730" s="97"/>
    </row>
    <row r="731" spans="1:30" ht="35.1" hidden="1" customHeight="1" x14ac:dyDescent="0.25">
      <c r="A731" s="83"/>
      <c r="B731" s="7"/>
      <c r="C731" s="8"/>
      <c r="D731" s="8"/>
      <c r="E731" s="60"/>
      <c r="F731" s="84" t="str">
        <f>IFERROR(VLOOKUP(CONCATENATE($B731,"_",F$3),materiali!$C:$K,5,0),"")</f>
        <v/>
      </c>
      <c r="G731" s="85" t="str">
        <f>IFERROR(VLOOKUP(CONCATENATE($B731,"_",G$3),materiali!$C:$K,6,0),"")</f>
        <v/>
      </c>
      <c r="H731" s="86"/>
      <c r="I731" s="84" t="str">
        <f>IFERROR(VLOOKUP(CONCATENATE($B731,"_",I$3),materiali!$C:$K,5,0),"")</f>
        <v/>
      </c>
      <c r="J731" s="85" t="str">
        <f>IFERROR(VLOOKUP(CONCATENATE($B731,"_",J$3),materiali!$C:$K,6,0),"")</f>
        <v/>
      </c>
      <c r="K731" s="86"/>
      <c r="L731" s="84" t="str">
        <f>IFERROR(VLOOKUP(CONCATENATE($B731,"_",L$3),materiali!$C:$K,5,0),"")</f>
        <v/>
      </c>
      <c r="M731" s="85" t="str">
        <f>IFERROR(VLOOKUP(CONCATENATE($B731,"_",M$3),materiali!$C:$K,6,0),"")</f>
        <v/>
      </c>
      <c r="N731" s="86"/>
      <c r="O731" s="84" t="str">
        <f>IFERROR(VLOOKUP(CONCATENATE($B731,"_",O$3),materiali!$C:$K,5,0),"")</f>
        <v/>
      </c>
      <c r="P731" s="85" t="str">
        <f>IFERROR(VLOOKUP(CONCATENATE($B731,"_",P$3),materiali!$C:$K,6,0),"")</f>
        <v/>
      </c>
      <c r="Q731" s="86"/>
      <c r="R731" s="84" t="str">
        <f>IFERROR(VLOOKUP(CONCATENATE($B731,"_",R$3),materiali!$C:$K,5,0),"")</f>
        <v/>
      </c>
      <c r="S731" s="85" t="str">
        <f>IFERROR(VLOOKUP(CONCATENATE($B731,"_",S$3),materiali!$C:$K,6,0),"")</f>
        <v/>
      </c>
      <c r="T731" s="86"/>
      <c r="U731" s="31"/>
      <c r="AD731" s="97"/>
    </row>
    <row r="732" spans="1:30" ht="35.1" hidden="1" customHeight="1" x14ac:dyDescent="0.25">
      <c r="A732" s="83"/>
      <c r="B732" s="7"/>
      <c r="C732" s="8"/>
      <c r="D732" s="8"/>
      <c r="E732" s="60"/>
      <c r="F732" s="84" t="str">
        <f>IFERROR(VLOOKUP(CONCATENATE($B732,"_",F$3),materiali!$C:$K,5,0),"")</f>
        <v/>
      </c>
      <c r="G732" s="85" t="str">
        <f>IFERROR(VLOOKUP(CONCATENATE($B732,"_",G$3),materiali!$C:$K,6,0),"")</f>
        <v/>
      </c>
      <c r="H732" s="86"/>
      <c r="I732" s="84" t="str">
        <f>IFERROR(VLOOKUP(CONCATENATE($B732,"_",I$3),materiali!$C:$K,5,0),"")</f>
        <v/>
      </c>
      <c r="J732" s="85" t="str">
        <f>IFERROR(VLOOKUP(CONCATENATE($B732,"_",J$3),materiali!$C:$K,6,0),"")</f>
        <v/>
      </c>
      <c r="K732" s="86"/>
      <c r="L732" s="84" t="str">
        <f>IFERROR(VLOOKUP(CONCATENATE($B732,"_",L$3),materiali!$C:$K,5,0),"")</f>
        <v/>
      </c>
      <c r="M732" s="85" t="str">
        <f>IFERROR(VLOOKUP(CONCATENATE($B732,"_",M$3),materiali!$C:$K,6,0),"")</f>
        <v/>
      </c>
      <c r="N732" s="86"/>
      <c r="O732" s="84" t="str">
        <f>IFERROR(VLOOKUP(CONCATENATE($B732,"_",O$3),materiali!$C:$K,5,0),"")</f>
        <v/>
      </c>
      <c r="P732" s="85" t="str">
        <f>IFERROR(VLOOKUP(CONCATENATE($B732,"_",P$3),materiali!$C:$K,6,0),"")</f>
        <v/>
      </c>
      <c r="Q732" s="86"/>
      <c r="R732" s="84" t="str">
        <f>IFERROR(VLOOKUP(CONCATENATE($B732,"_",R$3),materiali!$C:$K,5,0),"")</f>
        <v/>
      </c>
      <c r="S732" s="85" t="str">
        <f>IFERROR(VLOOKUP(CONCATENATE($B732,"_",S$3),materiali!$C:$K,6,0),"")</f>
        <v/>
      </c>
      <c r="T732" s="86"/>
      <c r="U732" s="31"/>
      <c r="AD732" s="97"/>
    </row>
    <row r="733" spans="1:30" ht="35.1" hidden="1" customHeight="1" x14ac:dyDescent="0.25">
      <c r="A733" s="83"/>
      <c r="B733" s="7"/>
      <c r="C733" s="8"/>
      <c r="D733" s="8"/>
      <c r="E733" s="60"/>
      <c r="F733" s="84" t="str">
        <f>IFERROR(VLOOKUP(CONCATENATE($B733,"_",F$3),materiali!$C:$K,5,0),"")</f>
        <v/>
      </c>
      <c r="G733" s="85" t="str">
        <f>IFERROR(VLOOKUP(CONCATENATE($B733,"_",G$3),materiali!$C:$K,6,0),"")</f>
        <v/>
      </c>
      <c r="H733" s="86"/>
      <c r="I733" s="84" t="str">
        <f>IFERROR(VLOOKUP(CONCATENATE($B733,"_",I$3),materiali!$C:$K,5,0),"")</f>
        <v/>
      </c>
      <c r="J733" s="85" t="str">
        <f>IFERROR(VLOOKUP(CONCATENATE($B733,"_",J$3),materiali!$C:$K,6,0),"")</f>
        <v/>
      </c>
      <c r="K733" s="86"/>
      <c r="L733" s="84" t="str">
        <f>IFERROR(VLOOKUP(CONCATENATE($B733,"_",L$3),materiali!$C:$K,5,0),"")</f>
        <v/>
      </c>
      <c r="M733" s="85" t="str">
        <f>IFERROR(VLOOKUP(CONCATENATE($B733,"_",M$3),materiali!$C:$K,6,0),"")</f>
        <v/>
      </c>
      <c r="N733" s="86"/>
      <c r="O733" s="84" t="str">
        <f>IFERROR(VLOOKUP(CONCATENATE($B733,"_",O$3),materiali!$C:$K,5,0),"")</f>
        <v/>
      </c>
      <c r="P733" s="85" t="str">
        <f>IFERROR(VLOOKUP(CONCATENATE($B733,"_",P$3),materiali!$C:$K,6,0),"")</f>
        <v/>
      </c>
      <c r="Q733" s="86"/>
      <c r="R733" s="84" t="str">
        <f>IFERROR(VLOOKUP(CONCATENATE($B733,"_",R$3),materiali!$C:$K,5,0),"")</f>
        <v/>
      </c>
      <c r="S733" s="85" t="str">
        <f>IFERROR(VLOOKUP(CONCATENATE($B733,"_",S$3),materiali!$C:$K,6,0),"")</f>
        <v/>
      </c>
      <c r="T733" s="86"/>
      <c r="U733" s="31"/>
      <c r="AD733" s="97"/>
    </row>
    <row r="734" spans="1:30" ht="35.1" hidden="1" customHeight="1" x14ac:dyDescent="0.25">
      <c r="A734" s="83"/>
      <c r="B734" s="7"/>
      <c r="C734" s="8"/>
      <c r="D734" s="8"/>
      <c r="E734" s="60"/>
      <c r="F734" s="84" t="str">
        <f>IFERROR(VLOOKUP(CONCATENATE($B734,"_",F$3),materiali!$C:$K,5,0),"")</f>
        <v/>
      </c>
      <c r="G734" s="85" t="str">
        <f>IFERROR(VLOOKUP(CONCATENATE($B734,"_",G$3),materiali!$C:$K,6,0),"")</f>
        <v/>
      </c>
      <c r="H734" s="86"/>
      <c r="I734" s="84" t="str">
        <f>IFERROR(VLOOKUP(CONCATENATE($B734,"_",I$3),materiali!$C:$K,5,0),"")</f>
        <v/>
      </c>
      <c r="J734" s="85" t="str">
        <f>IFERROR(VLOOKUP(CONCATENATE($B734,"_",J$3),materiali!$C:$K,6,0),"")</f>
        <v/>
      </c>
      <c r="K734" s="86"/>
      <c r="L734" s="84" t="str">
        <f>IFERROR(VLOOKUP(CONCATENATE($B734,"_",L$3),materiali!$C:$K,5,0),"")</f>
        <v/>
      </c>
      <c r="M734" s="85" t="str">
        <f>IFERROR(VLOOKUP(CONCATENATE($B734,"_",M$3),materiali!$C:$K,6,0),"")</f>
        <v/>
      </c>
      <c r="N734" s="86"/>
      <c r="O734" s="84" t="str">
        <f>IFERROR(VLOOKUP(CONCATENATE($B734,"_",O$3),materiali!$C:$K,5,0),"")</f>
        <v/>
      </c>
      <c r="P734" s="85" t="str">
        <f>IFERROR(VLOOKUP(CONCATENATE($B734,"_",P$3),materiali!$C:$K,6,0),"")</f>
        <v/>
      </c>
      <c r="Q734" s="86"/>
      <c r="R734" s="84" t="str">
        <f>IFERROR(VLOOKUP(CONCATENATE($B734,"_",R$3),materiali!$C:$K,5,0),"")</f>
        <v/>
      </c>
      <c r="S734" s="85" t="str">
        <f>IFERROR(VLOOKUP(CONCATENATE($B734,"_",S$3),materiali!$C:$K,6,0),"")</f>
        <v/>
      </c>
      <c r="T734" s="86"/>
      <c r="U734" s="31"/>
      <c r="AD734" s="97"/>
    </row>
    <row r="735" spans="1:30" ht="35.1" hidden="1" customHeight="1" x14ac:dyDescent="0.25">
      <c r="A735" s="83"/>
      <c r="B735" s="7"/>
      <c r="C735" s="8"/>
      <c r="D735" s="8"/>
      <c r="E735" s="60"/>
      <c r="F735" s="84" t="str">
        <f>IFERROR(VLOOKUP(CONCATENATE($B735,"_",F$3),materiali!$C:$K,5,0),"")</f>
        <v/>
      </c>
      <c r="G735" s="85" t="str">
        <f>IFERROR(VLOOKUP(CONCATENATE($B735,"_",G$3),materiali!$C:$K,6,0),"")</f>
        <v/>
      </c>
      <c r="H735" s="86"/>
      <c r="I735" s="84" t="str">
        <f>IFERROR(VLOOKUP(CONCATENATE($B735,"_",I$3),materiali!$C:$K,5,0),"")</f>
        <v/>
      </c>
      <c r="J735" s="85" t="str">
        <f>IFERROR(VLOOKUP(CONCATENATE($B735,"_",J$3),materiali!$C:$K,6,0),"")</f>
        <v/>
      </c>
      <c r="K735" s="86"/>
      <c r="L735" s="84" t="str">
        <f>IFERROR(VLOOKUP(CONCATENATE($B735,"_",L$3),materiali!$C:$K,5,0),"")</f>
        <v/>
      </c>
      <c r="M735" s="85" t="str">
        <f>IFERROR(VLOOKUP(CONCATENATE($B735,"_",M$3),materiali!$C:$K,6,0),"")</f>
        <v/>
      </c>
      <c r="N735" s="86"/>
      <c r="O735" s="84" t="str">
        <f>IFERROR(VLOOKUP(CONCATENATE($B735,"_",O$3),materiali!$C:$K,5,0),"")</f>
        <v/>
      </c>
      <c r="P735" s="85" t="str">
        <f>IFERROR(VLOOKUP(CONCATENATE($B735,"_",P$3),materiali!$C:$K,6,0),"")</f>
        <v/>
      </c>
      <c r="Q735" s="86"/>
      <c r="R735" s="84" t="str">
        <f>IFERROR(VLOOKUP(CONCATENATE($B735,"_",R$3),materiali!$C:$K,5,0),"")</f>
        <v/>
      </c>
      <c r="S735" s="85" t="str">
        <f>IFERROR(VLOOKUP(CONCATENATE($B735,"_",S$3),materiali!$C:$K,6,0),"")</f>
        <v/>
      </c>
      <c r="T735" s="86"/>
      <c r="U735" s="31"/>
      <c r="AD735" s="97"/>
    </row>
    <row r="736" spans="1:30" ht="35.1" hidden="1" customHeight="1" x14ac:dyDescent="0.25">
      <c r="A736" s="83"/>
      <c r="B736" s="7"/>
      <c r="C736" s="8"/>
      <c r="D736" s="8"/>
      <c r="E736" s="60"/>
      <c r="F736" s="84" t="str">
        <f>IFERROR(VLOOKUP(CONCATENATE($B736,"_",F$3),materiali!$C:$K,5,0),"")</f>
        <v/>
      </c>
      <c r="G736" s="85" t="str">
        <f>IFERROR(VLOOKUP(CONCATENATE($B736,"_",G$3),materiali!$C:$K,6,0),"")</f>
        <v/>
      </c>
      <c r="H736" s="86"/>
      <c r="I736" s="84" t="str">
        <f>IFERROR(VLOOKUP(CONCATENATE($B736,"_",I$3),materiali!$C:$K,5,0),"")</f>
        <v/>
      </c>
      <c r="J736" s="85" t="str">
        <f>IFERROR(VLOOKUP(CONCATENATE($B736,"_",J$3),materiali!$C:$K,6,0),"")</f>
        <v/>
      </c>
      <c r="K736" s="86"/>
      <c r="L736" s="84" t="str">
        <f>IFERROR(VLOOKUP(CONCATENATE($B736,"_",L$3),materiali!$C:$K,5,0),"")</f>
        <v/>
      </c>
      <c r="M736" s="85" t="str">
        <f>IFERROR(VLOOKUP(CONCATENATE($B736,"_",M$3),materiali!$C:$K,6,0),"")</f>
        <v/>
      </c>
      <c r="N736" s="86"/>
      <c r="O736" s="84" t="str">
        <f>IFERROR(VLOOKUP(CONCATENATE($B736,"_",O$3),materiali!$C:$K,5,0),"")</f>
        <v/>
      </c>
      <c r="P736" s="85" t="str">
        <f>IFERROR(VLOOKUP(CONCATENATE($B736,"_",P$3),materiali!$C:$K,6,0),"")</f>
        <v/>
      </c>
      <c r="Q736" s="86"/>
      <c r="R736" s="84" t="str">
        <f>IFERROR(VLOOKUP(CONCATENATE($B736,"_",R$3),materiali!$C:$K,5,0),"")</f>
        <v/>
      </c>
      <c r="S736" s="85" t="str">
        <f>IFERROR(VLOOKUP(CONCATENATE($B736,"_",S$3),materiali!$C:$K,6,0),"")</f>
        <v/>
      </c>
      <c r="T736" s="86"/>
      <c r="U736" s="31"/>
      <c r="AD736" s="97"/>
    </row>
    <row r="737" spans="1:30" ht="35.1" hidden="1" customHeight="1" x14ac:dyDescent="0.25">
      <c r="A737" s="83"/>
      <c r="B737" s="7"/>
      <c r="C737" s="8"/>
      <c r="D737" s="8"/>
      <c r="E737" s="60"/>
      <c r="F737" s="84" t="str">
        <f>IFERROR(VLOOKUP(CONCATENATE($B737,"_",F$3),materiali!$C:$K,5,0),"")</f>
        <v/>
      </c>
      <c r="G737" s="85" t="str">
        <f>IFERROR(VLOOKUP(CONCATENATE($B737,"_",G$3),materiali!$C:$K,6,0),"")</f>
        <v/>
      </c>
      <c r="H737" s="86"/>
      <c r="I737" s="84" t="str">
        <f>IFERROR(VLOOKUP(CONCATENATE($B737,"_",I$3),materiali!$C:$K,5,0),"")</f>
        <v/>
      </c>
      <c r="J737" s="85" t="str">
        <f>IFERROR(VLOOKUP(CONCATENATE($B737,"_",J$3),materiali!$C:$K,6,0),"")</f>
        <v/>
      </c>
      <c r="K737" s="86"/>
      <c r="L737" s="84" t="str">
        <f>IFERROR(VLOOKUP(CONCATENATE($B737,"_",L$3),materiali!$C:$K,5,0),"")</f>
        <v/>
      </c>
      <c r="M737" s="85" t="str">
        <f>IFERROR(VLOOKUP(CONCATENATE($B737,"_",M$3),materiali!$C:$K,6,0),"")</f>
        <v/>
      </c>
      <c r="N737" s="86"/>
      <c r="O737" s="84" t="str">
        <f>IFERROR(VLOOKUP(CONCATENATE($B737,"_",O$3),materiali!$C:$K,5,0),"")</f>
        <v/>
      </c>
      <c r="P737" s="85" t="str">
        <f>IFERROR(VLOOKUP(CONCATENATE($B737,"_",P$3),materiali!$C:$K,6,0),"")</f>
        <v/>
      </c>
      <c r="Q737" s="86"/>
      <c r="R737" s="84" t="str">
        <f>IFERROR(VLOOKUP(CONCATENATE($B737,"_",R$3),materiali!$C:$K,5,0),"")</f>
        <v/>
      </c>
      <c r="S737" s="85" t="str">
        <f>IFERROR(VLOOKUP(CONCATENATE($B737,"_",S$3),materiali!$C:$K,6,0),"")</f>
        <v/>
      </c>
      <c r="T737" s="86"/>
      <c r="U737" s="31"/>
      <c r="AD737" s="97"/>
    </row>
    <row r="738" spans="1:30" ht="35.1" hidden="1" customHeight="1" x14ac:dyDescent="0.25">
      <c r="A738" s="83"/>
      <c r="B738" s="7"/>
      <c r="C738" s="8"/>
      <c r="D738" s="8"/>
      <c r="E738" s="60"/>
      <c r="F738" s="84" t="str">
        <f>IFERROR(VLOOKUP(CONCATENATE($B738,"_",F$3),materiali!$C:$K,5,0),"")</f>
        <v/>
      </c>
      <c r="G738" s="85" t="str">
        <f>IFERROR(VLOOKUP(CONCATENATE($B738,"_",G$3),materiali!$C:$K,6,0),"")</f>
        <v/>
      </c>
      <c r="H738" s="86"/>
      <c r="I738" s="84" t="str">
        <f>IFERROR(VLOOKUP(CONCATENATE($B738,"_",I$3),materiali!$C:$K,5,0),"")</f>
        <v/>
      </c>
      <c r="J738" s="85" t="str">
        <f>IFERROR(VLOOKUP(CONCATENATE($B738,"_",J$3),materiali!$C:$K,6,0),"")</f>
        <v/>
      </c>
      <c r="K738" s="86"/>
      <c r="L738" s="84" t="str">
        <f>IFERROR(VLOOKUP(CONCATENATE($B738,"_",L$3),materiali!$C:$K,5,0),"")</f>
        <v/>
      </c>
      <c r="M738" s="85" t="str">
        <f>IFERROR(VLOOKUP(CONCATENATE($B738,"_",M$3),materiali!$C:$K,6,0),"")</f>
        <v/>
      </c>
      <c r="N738" s="86"/>
      <c r="O738" s="84" t="str">
        <f>IFERROR(VLOOKUP(CONCATENATE($B738,"_",O$3),materiali!$C:$K,5,0),"")</f>
        <v/>
      </c>
      <c r="P738" s="85" t="str">
        <f>IFERROR(VLOOKUP(CONCATENATE($B738,"_",P$3),materiali!$C:$K,6,0),"")</f>
        <v/>
      </c>
      <c r="Q738" s="86"/>
      <c r="R738" s="84" t="str">
        <f>IFERROR(VLOOKUP(CONCATENATE($B738,"_",R$3),materiali!$C:$K,5,0),"")</f>
        <v/>
      </c>
      <c r="S738" s="85" t="str">
        <f>IFERROR(VLOOKUP(CONCATENATE($B738,"_",S$3),materiali!$C:$K,6,0),"")</f>
        <v/>
      </c>
      <c r="T738" s="86"/>
      <c r="U738" s="31"/>
      <c r="AD738" s="97"/>
    </row>
    <row r="739" spans="1:30" ht="35.1" hidden="1" customHeight="1" x14ac:dyDescent="0.25">
      <c r="A739" s="83"/>
      <c r="B739" s="7"/>
      <c r="C739" s="8"/>
      <c r="D739" s="8"/>
      <c r="E739" s="60"/>
      <c r="F739" s="84" t="str">
        <f>IFERROR(VLOOKUP(CONCATENATE($B739,"_",F$3),materiali!$C:$K,5,0),"")</f>
        <v/>
      </c>
      <c r="G739" s="85" t="str">
        <f>IFERROR(VLOOKUP(CONCATENATE($B739,"_",G$3),materiali!$C:$K,6,0),"")</f>
        <v/>
      </c>
      <c r="H739" s="86"/>
      <c r="I739" s="84" t="str">
        <f>IFERROR(VLOOKUP(CONCATENATE($B739,"_",I$3),materiali!$C:$K,5,0),"")</f>
        <v/>
      </c>
      <c r="J739" s="85" t="str">
        <f>IFERROR(VLOOKUP(CONCATENATE($B739,"_",J$3),materiali!$C:$K,6,0),"")</f>
        <v/>
      </c>
      <c r="K739" s="86"/>
      <c r="L739" s="84" t="str">
        <f>IFERROR(VLOOKUP(CONCATENATE($B739,"_",L$3),materiali!$C:$K,5,0),"")</f>
        <v/>
      </c>
      <c r="M739" s="85" t="str">
        <f>IFERROR(VLOOKUP(CONCATENATE($B739,"_",M$3),materiali!$C:$K,6,0),"")</f>
        <v/>
      </c>
      <c r="N739" s="86"/>
      <c r="O739" s="84" t="str">
        <f>IFERROR(VLOOKUP(CONCATENATE($B739,"_",O$3),materiali!$C:$K,5,0),"")</f>
        <v/>
      </c>
      <c r="P739" s="85" t="str">
        <f>IFERROR(VLOOKUP(CONCATENATE($B739,"_",P$3),materiali!$C:$K,6,0),"")</f>
        <v/>
      </c>
      <c r="Q739" s="86"/>
      <c r="R739" s="84" t="str">
        <f>IFERROR(VLOOKUP(CONCATENATE($B739,"_",R$3),materiali!$C:$K,5,0),"")</f>
        <v/>
      </c>
      <c r="S739" s="85" t="str">
        <f>IFERROR(VLOOKUP(CONCATENATE($B739,"_",S$3),materiali!$C:$K,6,0),"")</f>
        <v/>
      </c>
      <c r="T739" s="86"/>
      <c r="U739" s="31"/>
      <c r="AD739" s="97"/>
    </row>
    <row r="740" spans="1:30" ht="35.1" hidden="1" customHeight="1" x14ac:dyDescent="0.25">
      <c r="A740" s="83"/>
      <c r="B740" s="7"/>
      <c r="C740" s="8"/>
      <c r="D740" s="8"/>
      <c r="E740" s="60"/>
      <c r="F740" s="84" t="str">
        <f>IFERROR(VLOOKUP(CONCATENATE($B740,"_",F$3),materiali!$C:$K,5,0),"")</f>
        <v/>
      </c>
      <c r="G740" s="85" t="str">
        <f>IFERROR(VLOOKUP(CONCATENATE($B740,"_",G$3),materiali!$C:$K,6,0),"")</f>
        <v/>
      </c>
      <c r="H740" s="86"/>
      <c r="I740" s="84" t="str">
        <f>IFERROR(VLOOKUP(CONCATENATE($B740,"_",I$3),materiali!$C:$K,5,0),"")</f>
        <v/>
      </c>
      <c r="J740" s="85" t="str">
        <f>IFERROR(VLOOKUP(CONCATENATE($B740,"_",J$3),materiali!$C:$K,6,0),"")</f>
        <v/>
      </c>
      <c r="K740" s="86"/>
      <c r="L740" s="84" t="str">
        <f>IFERROR(VLOOKUP(CONCATENATE($B740,"_",L$3),materiali!$C:$K,5,0),"")</f>
        <v/>
      </c>
      <c r="M740" s="85" t="str">
        <f>IFERROR(VLOOKUP(CONCATENATE($B740,"_",M$3),materiali!$C:$K,6,0),"")</f>
        <v/>
      </c>
      <c r="N740" s="86"/>
      <c r="O740" s="84" t="str">
        <f>IFERROR(VLOOKUP(CONCATENATE($B740,"_",O$3),materiali!$C:$K,5,0),"")</f>
        <v/>
      </c>
      <c r="P740" s="85" t="str">
        <f>IFERROR(VLOOKUP(CONCATENATE($B740,"_",P$3),materiali!$C:$K,6,0),"")</f>
        <v/>
      </c>
      <c r="Q740" s="86"/>
      <c r="R740" s="84" t="str">
        <f>IFERROR(VLOOKUP(CONCATENATE($B740,"_",R$3),materiali!$C:$K,5,0),"")</f>
        <v/>
      </c>
      <c r="S740" s="85" t="str">
        <f>IFERROR(VLOOKUP(CONCATENATE($B740,"_",S$3),materiali!$C:$K,6,0),"")</f>
        <v/>
      </c>
      <c r="T740" s="86"/>
      <c r="U740" s="31"/>
      <c r="AD740" s="97"/>
    </row>
    <row r="741" spans="1:30" ht="35.1" hidden="1" customHeight="1" x14ac:dyDescent="0.25">
      <c r="A741" s="83"/>
      <c r="B741" s="7"/>
      <c r="C741" s="8"/>
      <c r="D741" s="8"/>
      <c r="E741" s="60"/>
      <c r="F741" s="84" t="str">
        <f>IFERROR(VLOOKUP(CONCATENATE($B741,"_",F$3),materiali!$C:$K,5,0),"")</f>
        <v/>
      </c>
      <c r="G741" s="85" t="str">
        <f>IFERROR(VLOOKUP(CONCATENATE($B741,"_",G$3),materiali!$C:$K,6,0),"")</f>
        <v/>
      </c>
      <c r="H741" s="86"/>
      <c r="I741" s="84" t="str">
        <f>IFERROR(VLOOKUP(CONCATENATE($B741,"_",I$3),materiali!$C:$K,5,0),"")</f>
        <v/>
      </c>
      <c r="J741" s="85" t="str">
        <f>IFERROR(VLOOKUP(CONCATENATE($B741,"_",J$3),materiali!$C:$K,6,0),"")</f>
        <v/>
      </c>
      <c r="K741" s="86"/>
      <c r="L741" s="84" t="str">
        <f>IFERROR(VLOOKUP(CONCATENATE($B741,"_",L$3),materiali!$C:$K,5,0),"")</f>
        <v/>
      </c>
      <c r="M741" s="85" t="str">
        <f>IFERROR(VLOOKUP(CONCATENATE($B741,"_",M$3),materiali!$C:$K,6,0),"")</f>
        <v/>
      </c>
      <c r="N741" s="86"/>
      <c r="O741" s="84" t="str">
        <f>IFERROR(VLOOKUP(CONCATENATE($B741,"_",O$3),materiali!$C:$K,5,0),"")</f>
        <v/>
      </c>
      <c r="P741" s="85" t="str">
        <f>IFERROR(VLOOKUP(CONCATENATE($B741,"_",P$3),materiali!$C:$K,6,0),"")</f>
        <v/>
      </c>
      <c r="Q741" s="86"/>
      <c r="R741" s="84" t="str">
        <f>IFERROR(VLOOKUP(CONCATENATE($B741,"_",R$3),materiali!$C:$K,5,0),"")</f>
        <v/>
      </c>
      <c r="S741" s="85" t="str">
        <f>IFERROR(VLOOKUP(CONCATENATE($B741,"_",S$3),materiali!$C:$K,6,0),"")</f>
        <v/>
      </c>
      <c r="T741" s="86"/>
      <c r="U741" s="31"/>
      <c r="AD741" s="97"/>
    </row>
    <row r="742" spans="1:30" ht="35.1" hidden="1" customHeight="1" x14ac:dyDescent="0.25">
      <c r="A742" s="83"/>
      <c r="B742" s="7"/>
      <c r="C742" s="8"/>
      <c r="D742" s="8"/>
      <c r="E742" s="60"/>
      <c r="F742" s="84" t="str">
        <f>IFERROR(VLOOKUP(CONCATENATE($B742,"_",F$3),materiali!$C:$K,5,0),"")</f>
        <v/>
      </c>
      <c r="G742" s="85" t="str">
        <f>IFERROR(VLOOKUP(CONCATENATE($B742,"_",G$3),materiali!$C:$K,6,0),"")</f>
        <v/>
      </c>
      <c r="H742" s="86"/>
      <c r="I742" s="84" t="str">
        <f>IFERROR(VLOOKUP(CONCATENATE($B742,"_",I$3),materiali!$C:$K,5,0),"")</f>
        <v/>
      </c>
      <c r="J742" s="85" t="str">
        <f>IFERROR(VLOOKUP(CONCATENATE($B742,"_",J$3),materiali!$C:$K,6,0),"")</f>
        <v/>
      </c>
      <c r="K742" s="86"/>
      <c r="L742" s="84" t="str">
        <f>IFERROR(VLOOKUP(CONCATENATE($B742,"_",L$3),materiali!$C:$K,5,0),"")</f>
        <v/>
      </c>
      <c r="M742" s="85" t="str">
        <f>IFERROR(VLOOKUP(CONCATENATE($B742,"_",M$3),materiali!$C:$K,6,0),"")</f>
        <v/>
      </c>
      <c r="N742" s="86"/>
      <c r="O742" s="84" t="str">
        <f>IFERROR(VLOOKUP(CONCATENATE($B742,"_",O$3),materiali!$C:$K,5,0),"")</f>
        <v/>
      </c>
      <c r="P742" s="85" t="str">
        <f>IFERROR(VLOOKUP(CONCATENATE($B742,"_",P$3),materiali!$C:$K,6,0),"")</f>
        <v/>
      </c>
      <c r="Q742" s="86"/>
      <c r="R742" s="84" t="str">
        <f>IFERROR(VLOOKUP(CONCATENATE($B742,"_",R$3),materiali!$C:$K,5,0),"")</f>
        <v/>
      </c>
      <c r="S742" s="85" t="str">
        <f>IFERROR(VLOOKUP(CONCATENATE($B742,"_",S$3),materiali!$C:$K,6,0),"")</f>
        <v/>
      </c>
      <c r="T742" s="86"/>
      <c r="U742" s="31"/>
      <c r="AD742" s="97"/>
    </row>
    <row r="743" spans="1:30" ht="35.1" hidden="1" customHeight="1" x14ac:dyDescent="0.25">
      <c r="A743" s="83"/>
      <c r="B743" s="7"/>
      <c r="C743" s="8"/>
      <c r="D743" s="8"/>
      <c r="E743" s="60"/>
      <c r="F743" s="84" t="str">
        <f>IFERROR(VLOOKUP(CONCATENATE($B743,"_",F$3),materiali!$C:$K,5,0),"")</f>
        <v/>
      </c>
      <c r="G743" s="85" t="str">
        <f>IFERROR(VLOOKUP(CONCATENATE($B743,"_",G$3),materiali!$C:$K,6,0),"")</f>
        <v/>
      </c>
      <c r="H743" s="86"/>
      <c r="I743" s="84" t="str">
        <f>IFERROR(VLOOKUP(CONCATENATE($B743,"_",I$3),materiali!$C:$K,5,0),"")</f>
        <v/>
      </c>
      <c r="J743" s="85" t="str">
        <f>IFERROR(VLOOKUP(CONCATENATE($B743,"_",J$3),materiali!$C:$K,6,0),"")</f>
        <v/>
      </c>
      <c r="K743" s="86"/>
      <c r="L743" s="84" t="str">
        <f>IFERROR(VLOOKUP(CONCATENATE($B743,"_",L$3),materiali!$C:$K,5,0),"")</f>
        <v/>
      </c>
      <c r="M743" s="85" t="str">
        <f>IFERROR(VLOOKUP(CONCATENATE($B743,"_",M$3),materiali!$C:$K,6,0),"")</f>
        <v/>
      </c>
      <c r="N743" s="86"/>
      <c r="O743" s="84" t="str">
        <f>IFERROR(VLOOKUP(CONCATENATE($B743,"_",O$3),materiali!$C:$K,5,0),"")</f>
        <v/>
      </c>
      <c r="P743" s="85" t="str">
        <f>IFERROR(VLOOKUP(CONCATENATE($B743,"_",P$3),materiali!$C:$K,6,0),"")</f>
        <v/>
      </c>
      <c r="Q743" s="86"/>
      <c r="R743" s="84" t="str">
        <f>IFERROR(VLOOKUP(CONCATENATE($B743,"_",R$3),materiali!$C:$K,5,0),"")</f>
        <v/>
      </c>
      <c r="S743" s="85" t="str">
        <f>IFERROR(VLOOKUP(CONCATENATE($B743,"_",S$3),materiali!$C:$K,6,0),"")</f>
        <v/>
      </c>
      <c r="T743" s="86"/>
      <c r="U743" s="31"/>
      <c r="AD743" s="97"/>
    </row>
    <row r="744" spans="1:30" ht="35.1" hidden="1" customHeight="1" x14ac:dyDescent="0.25">
      <c r="A744" s="83"/>
      <c r="B744" s="7"/>
      <c r="C744" s="8"/>
      <c r="D744" s="8"/>
      <c r="E744" s="60"/>
      <c r="F744" s="84" t="str">
        <f>IFERROR(VLOOKUP(CONCATENATE($B744,"_",F$3),materiali!$C:$K,5,0),"")</f>
        <v/>
      </c>
      <c r="G744" s="85" t="str">
        <f>IFERROR(VLOOKUP(CONCATENATE($B744,"_",G$3),materiali!$C:$K,6,0),"")</f>
        <v/>
      </c>
      <c r="H744" s="86"/>
      <c r="I744" s="84" t="str">
        <f>IFERROR(VLOOKUP(CONCATENATE($B744,"_",I$3),materiali!$C:$K,5,0),"")</f>
        <v/>
      </c>
      <c r="J744" s="85" t="str">
        <f>IFERROR(VLOOKUP(CONCATENATE($B744,"_",J$3),materiali!$C:$K,6,0),"")</f>
        <v/>
      </c>
      <c r="K744" s="86"/>
      <c r="L744" s="84" t="str">
        <f>IFERROR(VLOOKUP(CONCATENATE($B744,"_",L$3),materiali!$C:$K,5,0),"")</f>
        <v/>
      </c>
      <c r="M744" s="85" t="str">
        <f>IFERROR(VLOOKUP(CONCATENATE($B744,"_",M$3),materiali!$C:$K,6,0),"")</f>
        <v/>
      </c>
      <c r="N744" s="86"/>
      <c r="O744" s="84" t="str">
        <f>IFERROR(VLOOKUP(CONCATENATE($B744,"_",O$3),materiali!$C:$K,5,0),"")</f>
        <v/>
      </c>
      <c r="P744" s="85" t="str">
        <f>IFERROR(VLOOKUP(CONCATENATE($B744,"_",P$3),materiali!$C:$K,6,0),"")</f>
        <v/>
      </c>
      <c r="Q744" s="86"/>
      <c r="R744" s="84" t="str">
        <f>IFERROR(VLOOKUP(CONCATENATE($B744,"_",R$3),materiali!$C:$K,5,0),"")</f>
        <v/>
      </c>
      <c r="S744" s="85" t="str">
        <f>IFERROR(VLOOKUP(CONCATENATE($B744,"_",S$3),materiali!$C:$K,6,0),"")</f>
        <v/>
      </c>
      <c r="T744" s="86"/>
      <c r="U744" s="31"/>
      <c r="AD744" s="97"/>
    </row>
    <row r="745" spans="1:30" ht="35.1" hidden="1" customHeight="1" x14ac:dyDescent="0.25">
      <c r="A745" s="83"/>
      <c r="B745" s="7"/>
      <c r="C745" s="8"/>
      <c r="D745" s="8"/>
      <c r="E745" s="60"/>
      <c r="F745" s="84" t="str">
        <f>IFERROR(VLOOKUP(CONCATENATE($B745,"_",F$3),materiali!$C:$K,5,0),"")</f>
        <v/>
      </c>
      <c r="G745" s="85" t="str">
        <f>IFERROR(VLOOKUP(CONCATENATE($B745,"_",G$3),materiali!$C:$K,6,0),"")</f>
        <v/>
      </c>
      <c r="H745" s="86"/>
      <c r="I745" s="84" t="str">
        <f>IFERROR(VLOOKUP(CONCATENATE($B745,"_",I$3),materiali!$C:$K,5,0),"")</f>
        <v/>
      </c>
      <c r="J745" s="85" t="str">
        <f>IFERROR(VLOOKUP(CONCATENATE($B745,"_",J$3),materiali!$C:$K,6,0),"")</f>
        <v/>
      </c>
      <c r="K745" s="86"/>
      <c r="L745" s="84" t="str">
        <f>IFERROR(VLOOKUP(CONCATENATE($B745,"_",L$3),materiali!$C:$K,5,0),"")</f>
        <v/>
      </c>
      <c r="M745" s="85" t="str">
        <f>IFERROR(VLOOKUP(CONCATENATE($B745,"_",M$3),materiali!$C:$K,6,0),"")</f>
        <v/>
      </c>
      <c r="N745" s="86"/>
      <c r="O745" s="84" t="str">
        <f>IFERROR(VLOOKUP(CONCATENATE($B745,"_",O$3),materiali!$C:$K,5,0),"")</f>
        <v/>
      </c>
      <c r="P745" s="85" t="str">
        <f>IFERROR(VLOOKUP(CONCATENATE($B745,"_",P$3),materiali!$C:$K,6,0),"")</f>
        <v/>
      </c>
      <c r="Q745" s="86"/>
      <c r="R745" s="84" t="str">
        <f>IFERROR(VLOOKUP(CONCATENATE($B745,"_",R$3),materiali!$C:$K,5,0),"")</f>
        <v/>
      </c>
      <c r="S745" s="85" t="str">
        <f>IFERROR(VLOOKUP(CONCATENATE($B745,"_",S$3),materiali!$C:$K,6,0),"")</f>
        <v/>
      </c>
      <c r="T745" s="86"/>
      <c r="U745" s="31"/>
      <c r="AD745" s="97"/>
    </row>
    <row r="746" spans="1:30" ht="35.1" hidden="1" customHeight="1" x14ac:dyDescent="0.25">
      <c r="A746" s="83"/>
      <c r="B746" s="7"/>
      <c r="C746" s="8"/>
      <c r="D746" s="8"/>
      <c r="E746" s="60"/>
      <c r="F746" s="84" t="str">
        <f>IFERROR(VLOOKUP(CONCATENATE($B746,"_",F$3),materiali!$C:$K,5,0),"")</f>
        <v/>
      </c>
      <c r="G746" s="85" t="str">
        <f>IFERROR(VLOOKUP(CONCATENATE($B746,"_",G$3),materiali!$C:$K,6,0),"")</f>
        <v/>
      </c>
      <c r="H746" s="86"/>
      <c r="I746" s="84" t="str">
        <f>IFERROR(VLOOKUP(CONCATENATE($B746,"_",I$3),materiali!$C:$K,5,0),"")</f>
        <v/>
      </c>
      <c r="J746" s="85" t="str">
        <f>IFERROR(VLOOKUP(CONCATENATE($B746,"_",J$3),materiali!$C:$K,6,0),"")</f>
        <v/>
      </c>
      <c r="K746" s="86"/>
      <c r="L746" s="84" t="str">
        <f>IFERROR(VLOOKUP(CONCATENATE($B746,"_",L$3),materiali!$C:$K,5,0),"")</f>
        <v/>
      </c>
      <c r="M746" s="85" t="str">
        <f>IFERROR(VLOOKUP(CONCATENATE($B746,"_",M$3),materiali!$C:$K,6,0),"")</f>
        <v/>
      </c>
      <c r="N746" s="86"/>
      <c r="O746" s="84" t="str">
        <f>IFERROR(VLOOKUP(CONCATENATE($B746,"_",O$3),materiali!$C:$K,5,0),"")</f>
        <v/>
      </c>
      <c r="P746" s="85" t="str">
        <f>IFERROR(VLOOKUP(CONCATENATE($B746,"_",P$3),materiali!$C:$K,6,0),"")</f>
        <v/>
      </c>
      <c r="Q746" s="86"/>
      <c r="R746" s="84" t="str">
        <f>IFERROR(VLOOKUP(CONCATENATE($B746,"_",R$3),materiali!$C:$K,5,0),"")</f>
        <v/>
      </c>
      <c r="S746" s="85" t="str">
        <f>IFERROR(VLOOKUP(CONCATENATE($B746,"_",S$3),materiali!$C:$K,6,0),"")</f>
        <v/>
      </c>
      <c r="T746" s="86"/>
      <c r="U746" s="31"/>
      <c r="AD746" s="97"/>
    </row>
    <row r="747" spans="1:30" ht="35.1" hidden="1" customHeight="1" x14ac:dyDescent="0.25">
      <c r="A747" s="83"/>
      <c r="B747" s="7"/>
      <c r="C747" s="8"/>
      <c r="D747" s="8"/>
      <c r="E747" s="60"/>
      <c r="F747" s="84" t="str">
        <f>IFERROR(VLOOKUP(CONCATENATE($B747,"_",F$3),materiali!$C:$K,5,0),"")</f>
        <v/>
      </c>
      <c r="G747" s="85" t="str">
        <f>IFERROR(VLOOKUP(CONCATENATE($B747,"_",G$3),materiali!$C:$K,6,0),"")</f>
        <v/>
      </c>
      <c r="H747" s="86"/>
      <c r="I747" s="84" t="str">
        <f>IFERROR(VLOOKUP(CONCATENATE($B747,"_",I$3),materiali!$C:$K,5,0),"")</f>
        <v/>
      </c>
      <c r="J747" s="85" t="str">
        <f>IFERROR(VLOOKUP(CONCATENATE($B747,"_",J$3),materiali!$C:$K,6,0),"")</f>
        <v/>
      </c>
      <c r="K747" s="86"/>
      <c r="L747" s="84" t="str">
        <f>IFERROR(VLOOKUP(CONCATENATE($B747,"_",L$3),materiali!$C:$K,5,0),"")</f>
        <v/>
      </c>
      <c r="M747" s="85" t="str">
        <f>IFERROR(VLOOKUP(CONCATENATE($B747,"_",M$3),materiali!$C:$K,6,0),"")</f>
        <v/>
      </c>
      <c r="N747" s="86"/>
      <c r="O747" s="84" t="str">
        <f>IFERROR(VLOOKUP(CONCATENATE($B747,"_",O$3),materiali!$C:$K,5,0),"")</f>
        <v/>
      </c>
      <c r="P747" s="85" t="str">
        <f>IFERROR(VLOOKUP(CONCATENATE($B747,"_",P$3),materiali!$C:$K,6,0),"")</f>
        <v/>
      </c>
      <c r="Q747" s="86"/>
      <c r="R747" s="84" t="str">
        <f>IFERROR(VLOOKUP(CONCATENATE($B747,"_",R$3),materiali!$C:$K,5,0),"")</f>
        <v/>
      </c>
      <c r="S747" s="85" t="str">
        <f>IFERROR(VLOOKUP(CONCATENATE($B747,"_",S$3),materiali!$C:$K,6,0),"")</f>
        <v/>
      </c>
      <c r="T747" s="86"/>
      <c r="U747" s="31"/>
      <c r="AD747" s="97"/>
    </row>
    <row r="748" spans="1:30" ht="35.1" hidden="1" customHeight="1" x14ac:dyDescent="0.25">
      <c r="A748" s="83"/>
      <c r="B748" s="7"/>
      <c r="C748" s="8"/>
      <c r="D748" s="8"/>
      <c r="E748" s="60"/>
      <c r="F748" s="84" t="str">
        <f>IFERROR(VLOOKUP(CONCATENATE($B748,"_",F$3),materiali!$C:$K,5,0),"")</f>
        <v/>
      </c>
      <c r="G748" s="85" t="str">
        <f>IFERROR(VLOOKUP(CONCATENATE($B748,"_",G$3),materiali!$C:$K,6,0),"")</f>
        <v/>
      </c>
      <c r="H748" s="86"/>
      <c r="I748" s="84" t="str">
        <f>IFERROR(VLOOKUP(CONCATENATE($B748,"_",I$3),materiali!$C:$K,5,0),"")</f>
        <v/>
      </c>
      <c r="J748" s="85" t="str">
        <f>IFERROR(VLOOKUP(CONCATENATE($B748,"_",J$3),materiali!$C:$K,6,0),"")</f>
        <v/>
      </c>
      <c r="K748" s="86"/>
      <c r="L748" s="84" t="str">
        <f>IFERROR(VLOOKUP(CONCATENATE($B748,"_",L$3),materiali!$C:$K,5,0),"")</f>
        <v/>
      </c>
      <c r="M748" s="85" t="str">
        <f>IFERROR(VLOOKUP(CONCATENATE($B748,"_",M$3),materiali!$C:$K,6,0),"")</f>
        <v/>
      </c>
      <c r="N748" s="86"/>
      <c r="O748" s="84" t="str">
        <f>IFERROR(VLOOKUP(CONCATENATE($B748,"_",O$3),materiali!$C:$K,5,0),"")</f>
        <v/>
      </c>
      <c r="P748" s="85" t="str">
        <f>IFERROR(VLOOKUP(CONCATENATE($B748,"_",P$3),materiali!$C:$K,6,0),"")</f>
        <v/>
      </c>
      <c r="Q748" s="86"/>
      <c r="R748" s="84" t="str">
        <f>IFERROR(VLOOKUP(CONCATENATE($B748,"_",R$3),materiali!$C:$K,5,0),"")</f>
        <v/>
      </c>
      <c r="S748" s="85" t="str">
        <f>IFERROR(VLOOKUP(CONCATENATE($B748,"_",S$3),materiali!$C:$K,6,0),"")</f>
        <v/>
      </c>
      <c r="T748" s="86"/>
      <c r="U748" s="31"/>
      <c r="AD748" s="97"/>
    </row>
    <row r="749" spans="1:30" ht="35.1" hidden="1" customHeight="1" x14ac:dyDescent="0.25">
      <c r="A749" s="83"/>
      <c r="B749" s="7"/>
      <c r="C749" s="8"/>
      <c r="D749" s="8"/>
      <c r="E749" s="60"/>
      <c r="F749" s="84" t="str">
        <f>IFERROR(VLOOKUP(CONCATENATE($B749,"_",F$3),materiali!$C:$K,5,0),"")</f>
        <v/>
      </c>
      <c r="G749" s="85" t="str">
        <f>IFERROR(VLOOKUP(CONCATENATE($B749,"_",G$3),materiali!$C:$K,6,0),"")</f>
        <v/>
      </c>
      <c r="H749" s="86"/>
      <c r="I749" s="84" t="str">
        <f>IFERROR(VLOOKUP(CONCATENATE($B749,"_",I$3),materiali!$C:$K,5,0),"")</f>
        <v/>
      </c>
      <c r="J749" s="85" t="str">
        <f>IFERROR(VLOOKUP(CONCATENATE($B749,"_",J$3),materiali!$C:$K,6,0),"")</f>
        <v/>
      </c>
      <c r="K749" s="86"/>
      <c r="L749" s="84" t="str">
        <f>IFERROR(VLOOKUP(CONCATENATE($B749,"_",L$3),materiali!$C:$K,5,0),"")</f>
        <v/>
      </c>
      <c r="M749" s="85" t="str">
        <f>IFERROR(VLOOKUP(CONCATENATE($B749,"_",M$3),materiali!$C:$K,6,0),"")</f>
        <v/>
      </c>
      <c r="N749" s="86"/>
      <c r="O749" s="84" t="str">
        <f>IFERROR(VLOOKUP(CONCATENATE($B749,"_",O$3),materiali!$C:$K,5,0),"")</f>
        <v/>
      </c>
      <c r="P749" s="85" t="str">
        <f>IFERROR(VLOOKUP(CONCATENATE($B749,"_",P$3),materiali!$C:$K,6,0),"")</f>
        <v/>
      </c>
      <c r="Q749" s="86"/>
      <c r="R749" s="84" t="str">
        <f>IFERROR(VLOOKUP(CONCATENATE($B749,"_",R$3),materiali!$C:$K,5,0),"")</f>
        <v/>
      </c>
      <c r="S749" s="85" t="str">
        <f>IFERROR(VLOOKUP(CONCATENATE($B749,"_",S$3),materiali!$C:$K,6,0),"")</f>
        <v/>
      </c>
      <c r="T749" s="86"/>
      <c r="U749" s="31"/>
      <c r="AD749" s="97"/>
    </row>
    <row r="750" spans="1:30" ht="35.1" hidden="1" customHeight="1" x14ac:dyDescent="0.25">
      <c r="A750" s="83"/>
      <c r="B750" s="7"/>
      <c r="C750" s="8"/>
      <c r="D750" s="8"/>
      <c r="E750" s="60"/>
      <c r="F750" s="84" t="str">
        <f>IFERROR(VLOOKUP(CONCATENATE($B750,"_",F$3),materiali!$C:$K,5,0),"")</f>
        <v/>
      </c>
      <c r="G750" s="85" t="str">
        <f>IFERROR(VLOOKUP(CONCATENATE($B750,"_",G$3),materiali!$C:$K,6,0),"")</f>
        <v/>
      </c>
      <c r="H750" s="86"/>
      <c r="I750" s="84" t="str">
        <f>IFERROR(VLOOKUP(CONCATENATE($B750,"_",I$3),materiali!$C:$K,5,0),"")</f>
        <v/>
      </c>
      <c r="J750" s="85" t="str">
        <f>IFERROR(VLOOKUP(CONCATENATE($B750,"_",J$3),materiali!$C:$K,6,0),"")</f>
        <v/>
      </c>
      <c r="K750" s="86"/>
      <c r="L750" s="84" t="str">
        <f>IFERROR(VLOOKUP(CONCATENATE($B750,"_",L$3),materiali!$C:$K,5,0),"")</f>
        <v/>
      </c>
      <c r="M750" s="85" t="str">
        <f>IFERROR(VLOOKUP(CONCATENATE($B750,"_",M$3),materiali!$C:$K,6,0),"")</f>
        <v/>
      </c>
      <c r="N750" s="86"/>
      <c r="O750" s="84" t="str">
        <f>IFERROR(VLOOKUP(CONCATENATE($B750,"_",O$3),materiali!$C:$K,5,0),"")</f>
        <v/>
      </c>
      <c r="P750" s="85" t="str">
        <f>IFERROR(VLOOKUP(CONCATENATE($B750,"_",P$3),materiali!$C:$K,6,0),"")</f>
        <v/>
      </c>
      <c r="Q750" s="86"/>
      <c r="R750" s="84" t="str">
        <f>IFERROR(VLOOKUP(CONCATENATE($B750,"_",R$3),materiali!$C:$K,5,0),"")</f>
        <v/>
      </c>
      <c r="S750" s="85" t="str">
        <f>IFERROR(VLOOKUP(CONCATENATE($B750,"_",S$3),materiali!$C:$K,6,0),"")</f>
        <v/>
      </c>
      <c r="T750" s="86"/>
      <c r="U750" s="31"/>
      <c r="AD750" s="97"/>
    </row>
    <row r="751" spans="1:30" ht="35.1" hidden="1" customHeight="1" x14ac:dyDescent="0.25">
      <c r="A751" s="83"/>
      <c r="B751" s="7"/>
      <c r="C751" s="8"/>
      <c r="D751" s="8"/>
      <c r="E751" s="60"/>
      <c r="F751" s="84" t="str">
        <f>IFERROR(VLOOKUP(CONCATENATE($B751,"_",F$3),materiali!$C:$K,5,0),"")</f>
        <v/>
      </c>
      <c r="G751" s="85" t="str">
        <f>IFERROR(VLOOKUP(CONCATENATE($B751,"_",G$3),materiali!$C:$K,6,0),"")</f>
        <v/>
      </c>
      <c r="H751" s="86"/>
      <c r="I751" s="84" t="str">
        <f>IFERROR(VLOOKUP(CONCATENATE($B751,"_",I$3),materiali!$C:$K,5,0),"")</f>
        <v/>
      </c>
      <c r="J751" s="85" t="str">
        <f>IFERROR(VLOOKUP(CONCATENATE($B751,"_",J$3),materiali!$C:$K,6,0),"")</f>
        <v/>
      </c>
      <c r="K751" s="86"/>
      <c r="L751" s="84" t="str">
        <f>IFERROR(VLOOKUP(CONCATENATE($B751,"_",L$3),materiali!$C:$K,5,0),"")</f>
        <v/>
      </c>
      <c r="M751" s="85" t="str">
        <f>IFERROR(VLOOKUP(CONCATENATE($B751,"_",M$3),materiali!$C:$K,6,0),"")</f>
        <v/>
      </c>
      <c r="N751" s="86"/>
      <c r="O751" s="84" t="str">
        <f>IFERROR(VLOOKUP(CONCATENATE($B751,"_",O$3),materiali!$C:$K,5,0),"")</f>
        <v/>
      </c>
      <c r="P751" s="85" t="str">
        <f>IFERROR(VLOOKUP(CONCATENATE($B751,"_",P$3),materiali!$C:$K,6,0),"")</f>
        <v/>
      </c>
      <c r="Q751" s="86"/>
      <c r="R751" s="84" t="str">
        <f>IFERROR(VLOOKUP(CONCATENATE($B751,"_",R$3),materiali!$C:$K,5,0),"")</f>
        <v/>
      </c>
      <c r="S751" s="85" t="str">
        <f>IFERROR(VLOOKUP(CONCATENATE($B751,"_",S$3),materiali!$C:$K,6,0),"")</f>
        <v/>
      </c>
      <c r="T751" s="86"/>
      <c r="U751" s="31"/>
      <c r="AD751" s="97"/>
    </row>
    <row r="752" spans="1:30" ht="35.1" hidden="1" customHeight="1" x14ac:dyDescent="0.25">
      <c r="A752" s="83"/>
      <c r="B752" s="7"/>
      <c r="C752" s="8"/>
      <c r="D752" s="8"/>
      <c r="E752" s="60"/>
      <c r="F752" s="84" t="str">
        <f>IFERROR(VLOOKUP(CONCATENATE($B752,"_",F$3),materiali!$C:$K,5,0),"")</f>
        <v/>
      </c>
      <c r="G752" s="85" t="str">
        <f>IFERROR(VLOOKUP(CONCATENATE($B752,"_",G$3),materiali!$C:$K,6,0),"")</f>
        <v/>
      </c>
      <c r="H752" s="86"/>
      <c r="I752" s="84" t="str">
        <f>IFERROR(VLOOKUP(CONCATENATE($B752,"_",I$3),materiali!$C:$K,5,0),"")</f>
        <v/>
      </c>
      <c r="J752" s="85" t="str">
        <f>IFERROR(VLOOKUP(CONCATENATE($B752,"_",J$3),materiali!$C:$K,6,0),"")</f>
        <v/>
      </c>
      <c r="K752" s="86"/>
      <c r="L752" s="84" t="str">
        <f>IFERROR(VLOOKUP(CONCATENATE($B752,"_",L$3),materiali!$C:$K,5,0),"")</f>
        <v/>
      </c>
      <c r="M752" s="85" t="str">
        <f>IFERROR(VLOOKUP(CONCATENATE($B752,"_",M$3),materiali!$C:$K,6,0),"")</f>
        <v/>
      </c>
      <c r="N752" s="86"/>
      <c r="O752" s="84" t="str">
        <f>IFERROR(VLOOKUP(CONCATENATE($B752,"_",O$3),materiali!$C:$K,5,0),"")</f>
        <v/>
      </c>
      <c r="P752" s="85" t="str">
        <f>IFERROR(VLOOKUP(CONCATENATE($B752,"_",P$3),materiali!$C:$K,6,0),"")</f>
        <v/>
      </c>
      <c r="Q752" s="86"/>
      <c r="R752" s="84" t="str">
        <f>IFERROR(VLOOKUP(CONCATENATE($B752,"_",R$3),materiali!$C:$K,5,0),"")</f>
        <v/>
      </c>
      <c r="S752" s="85" t="str">
        <f>IFERROR(VLOOKUP(CONCATENATE($B752,"_",S$3),materiali!$C:$K,6,0),"")</f>
        <v/>
      </c>
      <c r="T752" s="86"/>
      <c r="U752" s="31"/>
      <c r="AD752" s="97"/>
    </row>
    <row r="753" spans="1:30" ht="35.1" hidden="1" customHeight="1" x14ac:dyDescent="0.25">
      <c r="A753" s="83"/>
      <c r="B753" s="7"/>
      <c r="C753" s="8"/>
      <c r="D753" s="8"/>
      <c r="E753" s="60"/>
      <c r="F753" s="84" t="str">
        <f>IFERROR(VLOOKUP(CONCATENATE($B753,"_",F$3),materiali!$C:$K,5,0),"")</f>
        <v/>
      </c>
      <c r="G753" s="85" t="str">
        <f>IFERROR(VLOOKUP(CONCATENATE($B753,"_",G$3),materiali!$C:$K,6,0),"")</f>
        <v/>
      </c>
      <c r="H753" s="86"/>
      <c r="I753" s="84" t="str">
        <f>IFERROR(VLOOKUP(CONCATENATE($B753,"_",I$3),materiali!$C:$K,5,0),"")</f>
        <v/>
      </c>
      <c r="J753" s="85" t="str">
        <f>IFERROR(VLOOKUP(CONCATENATE($B753,"_",J$3),materiali!$C:$K,6,0),"")</f>
        <v/>
      </c>
      <c r="K753" s="86"/>
      <c r="L753" s="84" t="str">
        <f>IFERROR(VLOOKUP(CONCATENATE($B753,"_",L$3),materiali!$C:$K,5,0),"")</f>
        <v/>
      </c>
      <c r="M753" s="85" t="str">
        <f>IFERROR(VLOOKUP(CONCATENATE($B753,"_",M$3),materiali!$C:$K,6,0),"")</f>
        <v/>
      </c>
      <c r="N753" s="86"/>
      <c r="O753" s="84" t="str">
        <f>IFERROR(VLOOKUP(CONCATENATE($B753,"_",O$3),materiali!$C:$K,5,0),"")</f>
        <v/>
      </c>
      <c r="P753" s="85" t="str">
        <f>IFERROR(VLOOKUP(CONCATENATE($B753,"_",P$3),materiali!$C:$K,6,0),"")</f>
        <v/>
      </c>
      <c r="Q753" s="86"/>
      <c r="R753" s="84" t="str">
        <f>IFERROR(VLOOKUP(CONCATENATE($B753,"_",R$3),materiali!$C:$K,5,0),"")</f>
        <v/>
      </c>
      <c r="S753" s="85" t="str">
        <f>IFERROR(VLOOKUP(CONCATENATE($B753,"_",S$3),materiali!$C:$K,6,0),"")</f>
        <v/>
      </c>
      <c r="T753" s="86"/>
      <c r="U753" s="31"/>
      <c r="AD753" s="97"/>
    </row>
    <row r="754" spans="1:30" ht="35.1" hidden="1" customHeight="1" x14ac:dyDescent="0.25">
      <c r="A754" s="83"/>
      <c r="B754" s="7"/>
      <c r="C754" s="8"/>
      <c r="D754" s="8"/>
      <c r="E754" s="60"/>
      <c r="F754" s="84" t="str">
        <f>IFERROR(VLOOKUP(CONCATENATE($B754,"_",F$3),materiali!$C:$K,5,0),"")</f>
        <v/>
      </c>
      <c r="G754" s="85" t="str">
        <f>IFERROR(VLOOKUP(CONCATENATE($B754,"_",G$3),materiali!$C:$K,6,0),"")</f>
        <v/>
      </c>
      <c r="H754" s="86"/>
      <c r="I754" s="84" t="str">
        <f>IFERROR(VLOOKUP(CONCATENATE($B754,"_",I$3),materiali!$C:$K,5,0),"")</f>
        <v/>
      </c>
      <c r="J754" s="85" t="str">
        <f>IFERROR(VLOOKUP(CONCATENATE($B754,"_",J$3),materiali!$C:$K,6,0),"")</f>
        <v/>
      </c>
      <c r="K754" s="86"/>
      <c r="L754" s="84" t="str">
        <f>IFERROR(VLOOKUP(CONCATENATE($B754,"_",L$3),materiali!$C:$K,5,0),"")</f>
        <v/>
      </c>
      <c r="M754" s="85" t="str">
        <f>IFERROR(VLOOKUP(CONCATENATE($B754,"_",M$3),materiali!$C:$K,6,0),"")</f>
        <v/>
      </c>
      <c r="N754" s="86"/>
      <c r="O754" s="84" t="str">
        <f>IFERROR(VLOOKUP(CONCATENATE($B754,"_",O$3),materiali!$C:$K,5,0),"")</f>
        <v/>
      </c>
      <c r="P754" s="85" t="str">
        <f>IFERROR(VLOOKUP(CONCATENATE($B754,"_",P$3),materiali!$C:$K,6,0),"")</f>
        <v/>
      </c>
      <c r="Q754" s="86"/>
      <c r="R754" s="84" t="str">
        <f>IFERROR(VLOOKUP(CONCATENATE($B754,"_",R$3),materiali!$C:$K,5,0),"")</f>
        <v/>
      </c>
      <c r="S754" s="85" t="str">
        <f>IFERROR(VLOOKUP(CONCATENATE($B754,"_",S$3),materiali!$C:$K,6,0),"")</f>
        <v/>
      </c>
      <c r="T754" s="86"/>
      <c r="U754" s="31"/>
      <c r="AD754" s="97"/>
    </row>
    <row r="755" spans="1:30" ht="35.1" hidden="1" customHeight="1" x14ac:dyDescent="0.25">
      <c r="A755" s="83"/>
      <c r="B755" s="7"/>
      <c r="C755" s="8"/>
      <c r="D755" s="8"/>
      <c r="E755" s="60"/>
      <c r="F755" s="84" t="str">
        <f>IFERROR(VLOOKUP(CONCATENATE($B755,"_",F$3),materiali!$C:$K,5,0),"")</f>
        <v/>
      </c>
      <c r="G755" s="85" t="str">
        <f>IFERROR(VLOOKUP(CONCATENATE($B755,"_",G$3),materiali!$C:$K,6,0),"")</f>
        <v/>
      </c>
      <c r="H755" s="86"/>
      <c r="I755" s="84" t="str">
        <f>IFERROR(VLOOKUP(CONCATENATE($B755,"_",I$3),materiali!$C:$K,5,0),"")</f>
        <v/>
      </c>
      <c r="J755" s="85" t="str">
        <f>IFERROR(VLOOKUP(CONCATENATE($B755,"_",J$3),materiali!$C:$K,6,0),"")</f>
        <v/>
      </c>
      <c r="K755" s="86"/>
      <c r="L755" s="84" t="str">
        <f>IFERROR(VLOOKUP(CONCATENATE($B755,"_",L$3),materiali!$C:$K,5,0),"")</f>
        <v/>
      </c>
      <c r="M755" s="85" t="str">
        <f>IFERROR(VLOOKUP(CONCATENATE($B755,"_",M$3),materiali!$C:$K,6,0),"")</f>
        <v/>
      </c>
      <c r="N755" s="86"/>
      <c r="O755" s="84" t="str">
        <f>IFERROR(VLOOKUP(CONCATENATE($B755,"_",O$3),materiali!$C:$K,5,0),"")</f>
        <v/>
      </c>
      <c r="P755" s="85" t="str">
        <f>IFERROR(VLOOKUP(CONCATENATE($B755,"_",P$3),materiali!$C:$K,6,0),"")</f>
        <v/>
      </c>
      <c r="Q755" s="86"/>
      <c r="R755" s="84" t="str">
        <f>IFERROR(VLOOKUP(CONCATENATE($B755,"_",R$3),materiali!$C:$K,5,0),"")</f>
        <v/>
      </c>
      <c r="S755" s="85" t="str">
        <f>IFERROR(VLOOKUP(CONCATENATE($B755,"_",S$3),materiali!$C:$K,6,0),"")</f>
        <v/>
      </c>
      <c r="T755" s="86"/>
      <c r="U755" s="31"/>
      <c r="AD755" s="97"/>
    </row>
    <row r="756" spans="1:30" ht="35.1" hidden="1" customHeight="1" x14ac:dyDescent="0.25">
      <c r="A756" s="83"/>
      <c r="B756" s="7"/>
      <c r="C756" s="8"/>
      <c r="D756" s="8"/>
      <c r="E756" s="60"/>
      <c r="F756" s="84" t="str">
        <f>IFERROR(VLOOKUP(CONCATENATE($B756,"_",F$3),materiali!$C:$K,5,0),"")</f>
        <v/>
      </c>
      <c r="G756" s="85" t="str">
        <f>IFERROR(VLOOKUP(CONCATENATE($B756,"_",G$3),materiali!$C:$K,6,0),"")</f>
        <v/>
      </c>
      <c r="H756" s="86"/>
      <c r="I756" s="84" t="str">
        <f>IFERROR(VLOOKUP(CONCATENATE($B756,"_",I$3),materiali!$C:$K,5,0),"")</f>
        <v/>
      </c>
      <c r="J756" s="85" t="str">
        <f>IFERROR(VLOOKUP(CONCATENATE($B756,"_",J$3),materiali!$C:$K,6,0),"")</f>
        <v/>
      </c>
      <c r="K756" s="86"/>
      <c r="L756" s="84" t="str">
        <f>IFERROR(VLOOKUP(CONCATENATE($B756,"_",L$3),materiali!$C:$K,5,0),"")</f>
        <v/>
      </c>
      <c r="M756" s="85" t="str">
        <f>IFERROR(VLOOKUP(CONCATENATE($B756,"_",M$3),materiali!$C:$K,6,0),"")</f>
        <v/>
      </c>
      <c r="N756" s="86"/>
      <c r="O756" s="84" t="str">
        <f>IFERROR(VLOOKUP(CONCATENATE($B756,"_",O$3),materiali!$C:$K,5,0),"")</f>
        <v/>
      </c>
      <c r="P756" s="85" t="str">
        <f>IFERROR(VLOOKUP(CONCATENATE($B756,"_",P$3),materiali!$C:$K,6,0),"")</f>
        <v/>
      </c>
      <c r="Q756" s="86"/>
      <c r="R756" s="84" t="str">
        <f>IFERROR(VLOOKUP(CONCATENATE($B756,"_",R$3),materiali!$C:$K,5,0),"")</f>
        <v/>
      </c>
      <c r="S756" s="85" t="str">
        <f>IFERROR(VLOOKUP(CONCATENATE($B756,"_",S$3),materiali!$C:$K,6,0),"")</f>
        <v/>
      </c>
      <c r="T756" s="86"/>
      <c r="U756" s="31"/>
      <c r="AD756" s="97"/>
    </row>
    <row r="757" spans="1:30" ht="35.1" hidden="1" customHeight="1" x14ac:dyDescent="0.25">
      <c r="A757" s="83"/>
      <c r="B757" s="7"/>
      <c r="C757" s="8"/>
      <c r="D757" s="8"/>
      <c r="E757" s="60"/>
      <c r="F757" s="84" t="str">
        <f>IFERROR(VLOOKUP(CONCATENATE($B757,"_",F$3),materiali!$C:$K,5,0),"")</f>
        <v/>
      </c>
      <c r="G757" s="85" t="str">
        <f>IFERROR(VLOOKUP(CONCATENATE($B757,"_",G$3),materiali!$C:$K,6,0),"")</f>
        <v/>
      </c>
      <c r="H757" s="86"/>
      <c r="I757" s="84" t="str">
        <f>IFERROR(VLOOKUP(CONCATENATE($B757,"_",I$3),materiali!$C:$K,5,0),"")</f>
        <v/>
      </c>
      <c r="J757" s="85" t="str">
        <f>IFERROR(VLOOKUP(CONCATENATE($B757,"_",J$3),materiali!$C:$K,6,0),"")</f>
        <v/>
      </c>
      <c r="K757" s="86"/>
      <c r="L757" s="84" t="str">
        <f>IFERROR(VLOOKUP(CONCATENATE($B757,"_",L$3),materiali!$C:$K,5,0),"")</f>
        <v/>
      </c>
      <c r="M757" s="85" t="str">
        <f>IFERROR(VLOOKUP(CONCATENATE($B757,"_",M$3),materiali!$C:$K,6,0),"")</f>
        <v/>
      </c>
      <c r="N757" s="86"/>
      <c r="O757" s="84" t="str">
        <f>IFERROR(VLOOKUP(CONCATENATE($B757,"_",O$3),materiali!$C:$K,5,0),"")</f>
        <v/>
      </c>
      <c r="P757" s="85" t="str">
        <f>IFERROR(VLOOKUP(CONCATENATE($B757,"_",P$3),materiali!$C:$K,6,0),"")</f>
        <v/>
      </c>
      <c r="Q757" s="86"/>
      <c r="R757" s="84" t="str">
        <f>IFERROR(VLOOKUP(CONCATENATE($B757,"_",R$3),materiali!$C:$K,5,0),"")</f>
        <v/>
      </c>
      <c r="S757" s="85" t="str">
        <f>IFERROR(VLOOKUP(CONCATENATE($B757,"_",S$3),materiali!$C:$K,6,0),"")</f>
        <v/>
      </c>
      <c r="T757" s="86"/>
      <c r="U757" s="31"/>
      <c r="AD757" s="97"/>
    </row>
    <row r="758" spans="1:30" ht="35.1" hidden="1" customHeight="1" x14ac:dyDescent="0.25">
      <c r="A758" s="83"/>
      <c r="B758" s="7"/>
      <c r="C758" s="8"/>
      <c r="D758" s="8"/>
      <c r="E758" s="60"/>
      <c r="F758" s="84" t="str">
        <f>IFERROR(VLOOKUP(CONCATENATE($B758,"_",F$3),materiali!$C:$K,5,0),"")</f>
        <v/>
      </c>
      <c r="G758" s="85" t="str">
        <f>IFERROR(VLOOKUP(CONCATENATE($B758,"_",G$3),materiali!$C:$K,6,0),"")</f>
        <v/>
      </c>
      <c r="H758" s="86"/>
      <c r="I758" s="84" t="str">
        <f>IFERROR(VLOOKUP(CONCATENATE($B758,"_",I$3),materiali!$C:$K,5,0),"")</f>
        <v/>
      </c>
      <c r="J758" s="85" t="str">
        <f>IFERROR(VLOOKUP(CONCATENATE($B758,"_",J$3),materiali!$C:$K,6,0),"")</f>
        <v/>
      </c>
      <c r="K758" s="86"/>
      <c r="L758" s="84" t="str">
        <f>IFERROR(VLOOKUP(CONCATENATE($B758,"_",L$3),materiali!$C:$K,5,0),"")</f>
        <v/>
      </c>
      <c r="M758" s="85" t="str">
        <f>IFERROR(VLOOKUP(CONCATENATE($B758,"_",M$3),materiali!$C:$K,6,0),"")</f>
        <v/>
      </c>
      <c r="N758" s="86"/>
      <c r="O758" s="84" t="str">
        <f>IFERROR(VLOOKUP(CONCATENATE($B758,"_",O$3),materiali!$C:$K,5,0),"")</f>
        <v/>
      </c>
      <c r="P758" s="85" t="str">
        <f>IFERROR(VLOOKUP(CONCATENATE($B758,"_",P$3),materiali!$C:$K,6,0),"")</f>
        <v/>
      </c>
      <c r="Q758" s="86"/>
      <c r="R758" s="84" t="str">
        <f>IFERROR(VLOOKUP(CONCATENATE($B758,"_",R$3),materiali!$C:$K,5,0),"")</f>
        <v/>
      </c>
      <c r="S758" s="85" t="str">
        <f>IFERROR(VLOOKUP(CONCATENATE($B758,"_",S$3),materiali!$C:$K,6,0),"")</f>
        <v/>
      </c>
      <c r="T758" s="86"/>
      <c r="U758" s="31"/>
      <c r="AD758" s="97"/>
    </row>
    <row r="759" spans="1:30" ht="35.1" hidden="1" customHeight="1" x14ac:dyDescent="0.25">
      <c r="A759" s="83"/>
      <c r="B759" s="7"/>
      <c r="C759" s="8"/>
      <c r="D759" s="8"/>
      <c r="E759" s="60"/>
      <c r="F759" s="84" t="str">
        <f>IFERROR(VLOOKUP(CONCATENATE($B759,"_",F$3),materiali!$C:$K,5,0),"")</f>
        <v/>
      </c>
      <c r="G759" s="85" t="str">
        <f>IFERROR(VLOOKUP(CONCATENATE($B759,"_",G$3),materiali!$C:$K,6,0),"")</f>
        <v/>
      </c>
      <c r="H759" s="86"/>
      <c r="I759" s="84" t="str">
        <f>IFERROR(VLOOKUP(CONCATENATE($B759,"_",I$3),materiali!$C:$K,5,0),"")</f>
        <v/>
      </c>
      <c r="J759" s="85" t="str">
        <f>IFERROR(VLOOKUP(CONCATENATE($B759,"_",J$3),materiali!$C:$K,6,0),"")</f>
        <v/>
      </c>
      <c r="K759" s="86"/>
      <c r="L759" s="84" t="str">
        <f>IFERROR(VLOOKUP(CONCATENATE($B759,"_",L$3),materiali!$C:$K,5,0),"")</f>
        <v/>
      </c>
      <c r="M759" s="85" t="str">
        <f>IFERROR(VLOOKUP(CONCATENATE($B759,"_",M$3),materiali!$C:$K,6,0),"")</f>
        <v/>
      </c>
      <c r="N759" s="86"/>
      <c r="O759" s="84" t="str">
        <f>IFERROR(VLOOKUP(CONCATENATE($B759,"_",O$3),materiali!$C:$K,5,0),"")</f>
        <v/>
      </c>
      <c r="P759" s="85" t="str">
        <f>IFERROR(VLOOKUP(CONCATENATE($B759,"_",P$3),materiali!$C:$K,6,0),"")</f>
        <v/>
      </c>
      <c r="Q759" s="86"/>
      <c r="R759" s="84" t="str">
        <f>IFERROR(VLOOKUP(CONCATENATE($B759,"_",R$3),materiali!$C:$K,5,0),"")</f>
        <v/>
      </c>
      <c r="S759" s="85" t="str">
        <f>IFERROR(VLOOKUP(CONCATENATE($B759,"_",S$3),materiali!$C:$K,6,0),"")</f>
        <v/>
      </c>
      <c r="T759" s="86"/>
      <c r="U759" s="31"/>
      <c r="AD759" s="97"/>
    </row>
    <row r="760" spans="1:30" ht="35.1" hidden="1" customHeight="1" x14ac:dyDescent="0.25">
      <c r="A760" s="83"/>
      <c r="B760" s="7"/>
      <c r="C760" s="8"/>
      <c r="D760" s="8"/>
      <c r="E760" s="60"/>
      <c r="F760" s="84" t="str">
        <f>IFERROR(VLOOKUP(CONCATENATE($B760,"_",F$3),materiali!$C:$K,5,0),"")</f>
        <v/>
      </c>
      <c r="G760" s="85" t="str">
        <f>IFERROR(VLOOKUP(CONCATENATE($B760,"_",G$3),materiali!$C:$K,6,0),"")</f>
        <v/>
      </c>
      <c r="H760" s="86"/>
      <c r="I760" s="84" t="str">
        <f>IFERROR(VLOOKUP(CONCATENATE($B760,"_",I$3),materiali!$C:$K,5,0),"")</f>
        <v/>
      </c>
      <c r="J760" s="85" t="str">
        <f>IFERROR(VLOOKUP(CONCATENATE($B760,"_",J$3),materiali!$C:$K,6,0),"")</f>
        <v/>
      </c>
      <c r="K760" s="86"/>
      <c r="L760" s="84" t="str">
        <f>IFERROR(VLOOKUP(CONCATENATE($B760,"_",L$3),materiali!$C:$K,5,0),"")</f>
        <v/>
      </c>
      <c r="M760" s="85" t="str">
        <f>IFERROR(VLOOKUP(CONCATENATE($B760,"_",M$3),materiali!$C:$K,6,0),"")</f>
        <v/>
      </c>
      <c r="N760" s="86"/>
      <c r="O760" s="84" t="str">
        <f>IFERROR(VLOOKUP(CONCATENATE($B760,"_",O$3),materiali!$C:$K,5,0),"")</f>
        <v/>
      </c>
      <c r="P760" s="85" t="str">
        <f>IFERROR(VLOOKUP(CONCATENATE($B760,"_",P$3),materiali!$C:$K,6,0),"")</f>
        <v/>
      </c>
      <c r="Q760" s="86"/>
      <c r="R760" s="84" t="str">
        <f>IFERROR(VLOOKUP(CONCATENATE($B760,"_",R$3),materiali!$C:$K,5,0),"")</f>
        <v/>
      </c>
      <c r="S760" s="85" t="str">
        <f>IFERROR(VLOOKUP(CONCATENATE($B760,"_",S$3),materiali!$C:$K,6,0),"")</f>
        <v/>
      </c>
      <c r="T760" s="86"/>
      <c r="U760" s="31"/>
      <c r="AD760" s="97"/>
    </row>
    <row r="761" spans="1:30" ht="35.1" hidden="1" customHeight="1" x14ac:dyDescent="0.25">
      <c r="A761" s="83"/>
      <c r="B761" s="7"/>
      <c r="C761" s="8"/>
      <c r="D761" s="8"/>
      <c r="E761" s="60"/>
      <c r="F761" s="84" t="str">
        <f>IFERROR(VLOOKUP(CONCATENATE($B761,"_",F$3),materiali!$C:$K,5,0),"")</f>
        <v/>
      </c>
      <c r="G761" s="85" t="str">
        <f>IFERROR(VLOOKUP(CONCATENATE($B761,"_",G$3),materiali!$C:$K,6,0),"")</f>
        <v/>
      </c>
      <c r="H761" s="86"/>
      <c r="I761" s="84" t="str">
        <f>IFERROR(VLOOKUP(CONCATENATE($B761,"_",I$3),materiali!$C:$K,5,0),"")</f>
        <v/>
      </c>
      <c r="J761" s="85" t="str">
        <f>IFERROR(VLOOKUP(CONCATENATE($B761,"_",J$3),materiali!$C:$K,6,0),"")</f>
        <v/>
      </c>
      <c r="K761" s="86"/>
      <c r="L761" s="84" t="str">
        <f>IFERROR(VLOOKUP(CONCATENATE($B761,"_",L$3),materiali!$C:$K,5,0),"")</f>
        <v/>
      </c>
      <c r="M761" s="85" t="str">
        <f>IFERROR(VLOOKUP(CONCATENATE($B761,"_",M$3),materiali!$C:$K,6,0),"")</f>
        <v/>
      </c>
      <c r="N761" s="86"/>
      <c r="O761" s="84" t="str">
        <f>IFERROR(VLOOKUP(CONCATENATE($B761,"_",O$3),materiali!$C:$K,5,0),"")</f>
        <v/>
      </c>
      <c r="P761" s="85" t="str">
        <f>IFERROR(VLOOKUP(CONCATENATE($B761,"_",P$3),materiali!$C:$K,6,0),"")</f>
        <v/>
      </c>
      <c r="Q761" s="86"/>
      <c r="R761" s="84" t="str">
        <f>IFERROR(VLOOKUP(CONCATENATE($B761,"_",R$3),materiali!$C:$K,5,0),"")</f>
        <v/>
      </c>
      <c r="S761" s="85" t="str">
        <f>IFERROR(VLOOKUP(CONCATENATE($B761,"_",S$3),materiali!$C:$K,6,0),"")</f>
        <v/>
      </c>
      <c r="T761" s="86"/>
      <c r="U761" s="31"/>
      <c r="AD761" s="97"/>
    </row>
    <row r="762" spans="1:30" ht="35.1" hidden="1" customHeight="1" x14ac:dyDescent="0.25">
      <c r="A762" s="83"/>
      <c r="B762" s="7"/>
      <c r="C762" s="8"/>
      <c r="D762" s="8"/>
      <c r="E762" s="60"/>
      <c r="F762" s="84" t="str">
        <f>IFERROR(VLOOKUP(CONCATENATE($B762,"_",F$3),materiali!$C:$K,5,0),"")</f>
        <v/>
      </c>
      <c r="G762" s="85" t="str">
        <f>IFERROR(VLOOKUP(CONCATENATE($B762,"_",G$3),materiali!$C:$K,6,0),"")</f>
        <v/>
      </c>
      <c r="H762" s="86"/>
      <c r="I762" s="84" t="str">
        <f>IFERROR(VLOOKUP(CONCATENATE($B762,"_",I$3),materiali!$C:$K,5,0),"")</f>
        <v/>
      </c>
      <c r="J762" s="85" t="str">
        <f>IFERROR(VLOOKUP(CONCATENATE($B762,"_",J$3),materiali!$C:$K,6,0),"")</f>
        <v/>
      </c>
      <c r="K762" s="86"/>
      <c r="L762" s="84" t="str">
        <f>IFERROR(VLOOKUP(CONCATENATE($B762,"_",L$3),materiali!$C:$K,5,0),"")</f>
        <v/>
      </c>
      <c r="M762" s="85" t="str">
        <f>IFERROR(VLOOKUP(CONCATENATE($B762,"_",M$3),materiali!$C:$K,6,0),"")</f>
        <v/>
      </c>
      <c r="N762" s="86"/>
      <c r="O762" s="84" t="str">
        <f>IFERROR(VLOOKUP(CONCATENATE($B762,"_",O$3),materiali!$C:$K,5,0),"")</f>
        <v/>
      </c>
      <c r="P762" s="85" t="str">
        <f>IFERROR(VLOOKUP(CONCATENATE($B762,"_",P$3),materiali!$C:$K,6,0),"")</f>
        <v/>
      </c>
      <c r="Q762" s="86"/>
      <c r="R762" s="84" t="str">
        <f>IFERROR(VLOOKUP(CONCATENATE($B762,"_",R$3),materiali!$C:$K,5,0),"")</f>
        <v/>
      </c>
      <c r="S762" s="85" t="str">
        <f>IFERROR(VLOOKUP(CONCATENATE($B762,"_",S$3),materiali!$C:$K,6,0),"")</f>
        <v/>
      </c>
      <c r="T762" s="86"/>
      <c r="U762" s="31"/>
      <c r="AD762" s="97"/>
    </row>
    <row r="763" spans="1:30" ht="35.1" hidden="1" customHeight="1" x14ac:dyDescent="0.25">
      <c r="A763" s="83"/>
      <c r="B763" s="7"/>
      <c r="C763" s="8"/>
      <c r="D763" s="8"/>
      <c r="E763" s="60"/>
      <c r="F763" s="84" t="str">
        <f>IFERROR(VLOOKUP(CONCATENATE($B763,"_",F$3),materiali!$C:$K,5,0),"")</f>
        <v/>
      </c>
      <c r="G763" s="85" t="str">
        <f>IFERROR(VLOOKUP(CONCATENATE($B763,"_",G$3),materiali!$C:$K,6,0),"")</f>
        <v/>
      </c>
      <c r="H763" s="86"/>
      <c r="I763" s="84" t="str">
        <f>IFERROR(VLOOKUP(CONCATENATE($B763,"_",I$3),materiali!$C:$K,5,0),"")</f>
        <v/>
      </c>
      <c r="J763" s="85" t="str">
        <f>IFERROR(VLOOKUP(CONCATENATE($B763,"_",J$3),materiali!$C:$K,6,0),"")</f>
        <v/>
      </c>
      <c r="K763" s="86"/>
      <c r="L763" s="84" t="str">
        <f>IFERROR(VLOOKUP(CONCATENATE($B763,"_",L$3),materiali!$C:$K,5,0),"")</f>
        <v/>
      </c>
      <c r="M763" s="85" t="str">
        <f>IFERROR(VLOOKUP(CONCATENATE($B763,"_",M$3),materiali!$C:$K,6,0),"")</f>
        <v/>
      </c>
      <c r="N763" s="86"/>
      <c r="O763" s="84" t="str">
        <f>IFERROR(VLOOKUP(CONCATENATE($B763,"_",O$3),materiali!$C:$K,5,0),"")</f>
        <v/>
      </c>
      <c r="P763" s="85" t="str">
        <f>IFERROR(VLOOKUP(CONCATENATE($B763,"_",P$3),materiali!$C:$K,6,0),"")</f>
        <v/>
      </c>
      <c r="Q763" s="86"/>
      <c r="R763" s="84" t="str">
        <f>IFERROR(VLOOKUP(CONCATENATE($B763,"_",R$3),materiali!$C:$K,5,0),"")</f>
        <v/>
      </c>
      <c r="S763" s="85" t="str">
        <f>IFERROR(VLOOKUP(CONCATENATE($B763,"_",S$3),materiali!$C:$K,6,0),"")</f>
        <v/>
      </c>
      <c r="T763" s="86"/>
      <c r="U763" s="31"/>
      <c r="AD763" s="97"/>
    </row>
    <row r="764" spans="1:30" ht="35.1" hidden="1" customHeight="1" x14ac:dyDescent="0.25">
      <c r="A764" s="83"/>
      <c r="B764" s="7"/>
      <c r="C764" s="8"/>
      <c r="D764" s="8"/>
      <c r="E764" s="60"/>
      <c r="F764" s="84" t="str">
        <f>IFERROR(VLOOKUP(CONCATENATE($B764,"_",F$3),materiali!$C:$K,5,0),"")</f>
        <v/>
      </c>
      <c r="G764" s="85" t="str">
        <f>IFERROR(VLOOKUP(CONCATENATE($B764,"_",G$3),materiali!$C:$K,6,0),"")</f>
        <v/>
      </c>
      <c r="H764" s="86"/>
      <c r="I764" s="84" t="str">
        <f>IFERROR(VLOOKUP(CONCATENATE($B764,"_",I$3),materiali!$C:$K,5,0),"")</f>
        <v/>
      </c>
      <c r="J764" s="85" t="str">
        <f>IFERROR(VLOOKUP(CONCATENATE($B764,"_",J$3),materiali!$C:$K,6,0),"")</f>
        <v/>
      </c>
      <c r="K764" s="86"/>
      <c r="L764" s="84" t="str">
        <f>IFERROR(VLOOKUP(CONCATENATE($B764,"_",L$3),materiali!$C:$K,5,0),"")</f>
        <v/>
      </c>
      <c r="M764" s="85" t="str">
        <f>IFERROR(VLOOKUP(CONCATENATE($B764,"_",M$3),materiali!$C:$K,6,0),"")</f>
        <v/>
      </c>
      <c r="N764" s="86"/>
      <c r="O764" s="84" t="str">
        <f>IFERROR(VLOOKUP(CONCATENATE($B764,"_",O$3),materiali!$C:$K,5,0),"")</f>
        <v/>
      </c>
      <c r="P764" s="85" t="str">
        <f>IFERROR(VLOOKUP(CONCATENATE($B764,"_",P$3),materiali!$C:$K,6,0),"")</f>
        <v/>
      </c>
      <c r="Q764" s="86"/>
      <c r="R764" s="84" t="str">
        <f>IFERROR(VLOOKUP(CONCATENATE($B764,"_",R$3),materiali!$C:$K,5,0),"")</f>
        <v/>
      </c>
      <c r="S764" s="85" t="str">
        <f>IFERROR(VLOOKUP(CONCATENATE($B764,"_",S$3),materiali!$C:$K,6,0),"")</f>
        <v/>
      </c>
      <c r="T764" s="86"/>
      <c r="U764" s="31"/>
      <c r="AD764" s="97"/>
    </row>
    <row r="765" spans="1:30" ht="35.1" hidden="1" customHeight="1" x14ac:dyDescent="0.25">
      <c r="A765" s="83"/>
      <c r="B765" s="7"/>
      <c r="C765" s="8"/>
      <c r="D765" s="8"/>
      <c r="E765" s="60"/>
      <c r="F765" s="84" t="str">
        <f>IFERROR(VLOOKUP(CONCATENATE($B765,"_",F$3),materiali!$C:$K,5,0),"")</f>
        <v/>
      </c>
      <c r="G765" s="85" t="str">
        <f>IFERROR(VLOOKUP(CONCATENATE($B765,"_",G$3),materiali!$C:$K,6,0),"")</f>
        <v/>
      </c>
      <c r="H765" s="86"/>
      <c r="I765" s="84" t="str">
        <f>IFERROR(VLOOKUP(CONCATENATE($B765,"_",I$3),materiali!$C:$K,5,0),"")</f>
        <v/>
      </c>
      <c r="J765" s="85" t="str">
        <f>IFERROR(VLOOKUP(CONCATENATE($B765,"_",J$3),materiali!$C:$K,6,0),"")</f>
        <v/>
      </c>
      <c r="K765" s="86"/>
      <c r="L765" s="84" t="str">
        <f>IFERROR(VLOOKUP(CONCATENATE($B765,"_",L$3),materiali!$C:$K,5,0),"")</f>
        <v/>
      </c>
      <c r="M765" s="85" t="str">
        <f>IFERROR(VLOOKUP(CONCATENATE($B765,"_",M$3),materiali!$C:$K,6,0),"")</f>
        <v/>
      </c>
      <c r="N765" s="86"/>
      <c r="O765" s="84" t="str">
        <f>IFERROR(VLOOKUP(CONCATENATE($B765,"_",O$3),materiali!$C:$K,5,0),"")</f>
        <v/>
      </c>
      <c r="P765" s="85" t="str">
        <f>IFERROR(VLOOKUP(CONCATENATE($B765,"_",P$3),materiali!$C:$K,6,0),"")</f>
        <v/>
      </c>
      <c r="Q765" s="86"/>
      <c r="R765" s="84" t="str">
        <f>IFERROR(VLOOKUP(CONCATENATE($B765,"_",R$3),materiali!$C:$K,5,0),"")</f>
        <v/>
      </c>
      <c r="S765" s="85" t="str">
        <f>IFERROR(VLOOKUP(CONCATENATE($B765,"_",S$3),materiali!$C:$K,6,0),"")</f>
        <v/>
      </c>
      <c r="T765" s="86"/>
      <c r="U765" s="31"/>
      <c r="AD765" s="97"/>
    </row>
    <row r="766" spans="1:30" ht="35.1" hidden="1" customHeight="1" x14ac:dyDescent="0.25">
      <c r="A766" s="83"/>
      <c r="B766" s="7"/>
      <c r="C766" s="8"/>
      <c r="D766" s="8"/>
      <c r="E766" s="60"/>
      <c r="F766" s="84" t="str">
        <f>IFERROR(VLOOKUP(CONCATENATE($B766,"_",F$3),materiali!$C:$K,5,0),"")</f>
        <v/>
      </c>
      <c r="G766" s="85" t="str">
        <f>IFERROR(VLOOKUP(CONCATENATE($B766,"_",G$3),materiali!$C:$K,6,0),"")</f>
        <v/>
      </c>
      <c r="H766" s="86"/>
      <c r="I766" s="84" t="str">
        <f>IFERROR(VLOOKUP(CONCATENATE($B766,"_",I$3),materiali!$C:$K,5,0),"")</f>
        <v/>
      </c>
      <c r="J766" s="85" t="str">
        <f>IFERROR(VLOOKUP(CONCATENATE($B766,"_",J$3),materiali!$C:$K,6,0),"")</f>
        <v/>
      </c>
      <c r="K766" s="86"/>
      <c r="L766" s="84" t="str">
        <f>IFERROR(VLOOKUP(CONCATENATE($B766,"_",L$3),materiali!$C:$K,5,0),"")</f>
        <v/>
      </c>
      <c r="M766" s="85" t="str">
        <f>IFERROR(VLOOKUP(CONCATENATE($B766,"_",M$3),materiali!$C:$K,6,0),"")</f>
        <v/>
      </c>
      <c r="N766" s="86"/>
      <c r="O766" s="84" t="str">
        <f>IFERROR(VLOOKUP(CONCATENATE($B766,"_",O$3),materiali!$C:$K,5,0),"")</f>
        <v/>
      </c>
      <c r="P766" s="85" t="str">
        <f>IFERROR(VLOOKUP(CONCATENATE($B766,"_",P$3),materiali!$C:$K,6,0),"")</f>
        <v/>
      </c>
      <c r="Q766" s="86"/>
      <c r="R766" s="84" t="str">
        <f>IFERROR(VLOOKUP(CONCATENATE($B766,"_",R$3),materiali!$C:$K,5,0),"")</f>
        <v/>
      </c>
      <c r="S766" s="85" t="str">
        <f>IFERROR(VLOOKUP(CONCATENATE($B766,"_",S$3),materiali!$C:$K,6,0),"")</f>
        <v/>
      </c>
      <c r="T766" s="86"/>
      <c r="U766" s="31"/>
      <c r="AD766" s="97"/>
    </row>
    <row r="767" spans="1:30" ht="35.1" hidden="1" customHeight="1" x14ac:dyDescent="0.25">
      <c r="A767" s="83"/>
      <c r="B767" s="7"/>
      <c r="C767" s="8"/>
      <c r="D767" s="8"/>
      <c r="E767" s="60"/>
      <c r="F767" s="84" t="str">
        <f>IFERROR(VLOOKUP(CONCATENATE($B767,"_",F$3),materiali!$C:$K,5,0),"")</f>
        <v/>
      </c>
      <c r="G767" s="85" t="str">
        <f>IFERROR(VLOOKUP(CONCATENATE($B767,"_",G$3),materiali!$C:$K,6,0),"")</f>
        <v/>
      </c>
      <c r="H767" s="86"/>
      <c r="I767" s="84" t="str">
        <f>IFERROR(VLOOKUP(CONCATENATE($B767,"_",I$3),materiali!$C:$K,5,0),"")</f>
        <v/>
      </c>
      <c r="J767" s="85" t="str">
        <f>IFERROR(VLOOKUP(CONCATENATE($B767,"_",J$3),materiali!$C:$K,6,0),"")</f>
        <v/>
      </c>
      <c r="K767" s="86"/>
      <c r="L767" s="84" t="str">
        <f>IFERROR(VLOOKUP(CONCATENATE($B767,"_",L$3),materiali!$C:$K,5,0),"")</f>
        <v/>
      </c>
      <c r="M767" s="85" t="str">
        <f>IFERROR(VLOOKUP(CONCATENATE($B767,"_",M$3),materiali!$C:$K,6,0),"")</f>
        <v/>
      </c>
      <c r="N767" s="86"/>
      <c r="O767" s="84" t="str">
        <f>IFERROR(VLOOKUP(CONCATENATE($B767,"_",O$3),materiali!$C:$K,5,0),"")</f>
        <v/>
      </c>
      <c r="P767" s="85" t="str">
        <f>IFERROR(VLOOKUP(CONCATENATE($B767,"_",P$3),materiali!$C:$K,6,0),"")</f>
        <v/>
      </c>
      <c r="Q767" s="86"/>
      <c r="R767" s="84" t="str">
        <f>IFERROR(VLOOKUP(CONCATENATE($B767,"_",R$3),materiali!$C:$K,5,0),"")</f>
        <v/>
      </c>
      <c r="S767" s="85" t="str">
        <f>IFERROR(VLOOKUP(CONCATENATE($B767,"_",S$3),materiali!$C:$K,6,0),"")</f>
        <v/>
      </c>
      <c r="T767" s="86"/>
      <c r="U767" s="31"/>
      <c r="AD767" s="97"/>
    </row>
    <row r="768" spans="1:30" ht="35.1" hidden="1" customHeight="1" x14ac:dyDescent="0.25">
      <c r="A768" s="83"/>
      <c r="B768" s="7"/>
      <c r="C768" s="8"/>
      <c r="D768" s="8"/>
      <c r="E768" s="60"/>
      <c r="F768" s="84" t="str">
        <f>IFERROR(VLOOKUP(CONCATENATE($B768,"_",F$3),materiali!$C:$K,5,0),"")</f>
        <v/>
      </c>
      <c r="G768" s="85" t="str">
        <f>IFERROR(VLOOKUP(CONCATENATE($B768,"_",G$3),materiali!$C:$K,6,0),"")</f>
        <v/>
      </c>
      <c r="H768" s="86"/>
      <c r="I768" s="84" t="str">
        <f>IFERROR(VLOOKUP(CONCATENATE($B768,"_",I$3),materiali!$C:$K,5,0),"")</f>
        <v/>
      </c>
      <c r="J768" s="85" t="str">
        <f>IFERROR(VLOOKUP(CONCATENATE($B768,"_",J$3),materiali!$C:$K,6,0),"")</f>
        <v/>
      </c>
      <c r="K768" s="86"/>
      <c r="L768" s="84" t="str">
        <f>IFERROR(VLOOKUP(CONCATENATE($B768,"_",L$3),materiali!$C:$K,5,0),"")</f>
        <v/>
      </c>
      <c r="M768" s="85" t="str">
        <f>IFERROR(VLOOKUP(CONCATENATE($B768,"_",M$3),materiali!$C:$K,6,0),"")</f>
        <v/>
      </c>
      <c r="N768" s="86"/>
      <c r="O768" s="84" t="str">
        <f>IFERROR(VLOOKUP(CONCATENATE($B768,"_",O$3),materiali!$C:$K,5,0),"")</f>
        <v/>
      </c>
      <c r="P768" s="85" t="str">
        <f>IFERROR(VLOOKUP(CONCATENATE($B768,"_",P$3),materiali!$C:$K,6,0),"")</f>
        <v/>
      </c>
      <c r="Q768" s="86"/>
      <c r="R768" s="84" t="str">
        <f>IFERROR(VLOOKUP(CONCATENATE($B768,"_",R$3),materiali!$C:$K,5,0),"")</f>
        <v/>
      </c>
      <c r="S768" s="85" t="str">
        <f>IFERROR(VLOOKUP(CONCATENATE($B768,"_",S$3),materiali!$C:$K,6,0),"")</f>
        <v/>
      </c>
      <c r="T768" s="86"/>
      <c r="U768" s="31"/>
      <c r="AD768" s="97"/>
    </row>
    <row r="769" spans="1:30" ht="35.1" hidden="1" customHeight="1" x14ac:dyDescent="0.25">
      <c r="A769" s="83"/>
      <c r="B769" s="7"/>
      <c r="C769" s="8"/>
      <c r="D769" s="8"/>
      <c r="E769" s="60"/>
      <c r="F769" s="84" t="str">
        <f>IFERROR(VLOOKUP(CONCATENATE($B769,"_",F$3),materiali!$C:$K,5,0),"")</f>
        <v/>
      </c>
      <c r="G769" s="85" t="str">
        <f>IFERROR(VLOOKUP(CONCATENATE($B769,"_",G$3),materiali!$C:$K,6,0),"")</f>
        <v/>
      </c>
      <c r="H769" s="86"/>
      <c r="I769" s="84" t="str">
        <f>IFERROR(VLOOKUP(CONCATENATE($B769,"_",I$3),materiali!$C:$K,5,0),"")</f>
        <v/>
      </c>
      <c r="J769" s="85" t="str">
        <f>IFERROR(VLOOKUP(CONCATENATE($B769,"_",J$3),materiali!$C:$K,6,0),"")</f>
        <v/>
      </c>
      <c r="K769" s="86"/>
      <c r="L769" s="84" t="str">
        <f>IFERROR(VLOOKUP(CONCATENATE($B769,"_",L$3),materiali!$C:$K,5,0),"")</f>
        <v/>
      </c>
      <c r="M769" s="85" t="str">
        <f>IFERROR(VLOOKUP(CONCATENATE($B769,"_",M$3),materiali!$C:$K,6,0),"")</f>
        <v/>
      </c>
      <c r="N769" s="86"/>
      <c r="O769" s="84" t="str">
        <f>IFERROR(VLOOKUP(CONCATENATE($B769,"_",O$3),materiali!$C:$K,5,0),"")</f>
        <v/>
      </c>
      <c r="P769" s="85" t="str">
        <f>IFERROR(VLOOKUP(CONCATENATE($B769,"_",P$3),materiali!$C:$K,6,0),"")</f>
        <v/>
      </c>
      <c r="Q769" s="86"/>
      <c r="R769" s="84" t="str">
        <f>IFERROR(VLOOKUP(CONCATENATE($B769,"_",R$3),materiali!$C:$K,5,0),"")</f>
        <v/>
      </c>
      <c r="S769" s="85" t="str">
        <f>IFERROR(VLOOKUP(CONCATENATE($B769,"_",S$3),materiali!$C:$K,6,0),"")</f>
        <v/>
      </c>
      <c r="T769" s="86"/>
      <c r="U769" s="31"/>
      <c r="AD769" s="97"/>
    </row>
    <row r="770" spans="1:30" ht="35.1" hidden="1" customHeight="1" x14ac:dyDescent="0.25">
      <c r="A770" s="83"/>
      <c r="B770" s="7"/>
      <c r="C770" s="8"/>
      <c r="D770" s="8"/>
      <c r="E770" s="60"/>
      <c r="F770" s="84" t="str">
        <f>IFERROR(VLOOKUP(CONCATENATE($B770,"_",F$3),materiali!$C:$K,5,0),"")</f>
        <v/>
      </c>
      <c r="G770" s="85" t="str">
        <f>IFERROR(VLOOKUP(CONCATENATE($B770,"_",G$3),materiali!$C:$K,6,0),"")</f>
        <v/>
      </c>
      <c r="H770" s="86"/>
      <c r="I770" s="84" t="str">
        <f>IFERROR(VLOOKUP(CONCATENATE($B770,"_",I$3),materiali!$C:$K,5,0),"")</f>
        <v/>
      </c>
      <c r="J770" s="85" t="str">
        <f>IFERROR(VLOOKUP(CONCATENATE($B770,"_",J$3),materiali!$C:$K,6,0),"")</f>
        <v/>
      </c>
      <c r="K770" s="86"/>
      <c r="L770" s="84" t="str">
        <f>IFERROR(VLOOKUP(CONCATENATE($B770,"_",L$3),materiali!$C:$K,5,0),"")</f>
        <v/>
      </c>
      <c r="M770" s="85" t="str">
        <f>IFERROR(VLOOKUP(CONCATENATE($B770,"_",M$3),materiali!$C:$K,6,0),"")</f>
        <v/>
      </c>
      <c r="N770" s="86"/>
      <c r="O770" s="84" t="str">
        <f>IFERROR(VLOOKUP(CONCATENATE($B770,"_",O$3),materiali!$C:$K,5,0),"")</f>
        <v/>
      </c>
      <c r="P770" s="85" t="str">
        <f>IFERROR(VLOOKUP(CONCATENATE($B770,"_",P$3),materiali!$C:$K,6,0),"")</f>
        <v/>
      </c>
      <c r="Q770" s="86"/>
      <c r="R770" s="84" t="str">
        <f>IFERROR(VLOOKUP(CONCATENATE($B770,"_",R$3),materiali!$C:$K,5,0),"")</f>
        <v/>
      </c>
      <c r="S770" s="85" t="str">
        <f>IFERROR(VLOOKUP(CONCATENATE($B770,"_",S$3),materiali!$C:$K,6,0),"")</f>
        <v/>
      </c>
      <c r="T770" s="86"/>
      <c r="U770" s="31"/>
      <c r="AD770" s="97"/>
    </row>
    <row r="771" spans="1:30" ht="35.1" hidden="1" customHeight="1" x14ac:dyDescent="0.25">
      <c r="A771" s="83"/>
      <c r="B771" s="7"/>
      <c r="C771" s="8"/>
      <c r="D771" s="8"/>
      <c r="E771" s="60"/>
      <c r="F771" s="84" t="str">
        <f>IFERROR(VLOOKUP(CONCATENATE($B771,"_",F$3),materiali!$C:$K,5,0),"")</f>
        <v/>
      </c>
      <c r="G771" s="85" t="str">
        <f>IFERROR(VLOOKUP(CONCATENATE($B771,"_",G$3),materiali!$C:$K,6,0),"")</f>
        <v/>
      </c>
      <c r="H771" s="86"/>
      <c r="I771" s="84" t="str">
        <f>IFERROR(VLOOKUP(CONCATENATE($B771,"_",I$3),materiali!$C:$K,5,0),"")</f>
        <v/>
      </c>
      <c r="J771" s="85" t="str">
        <f>IFERROR(VLOOKUP(CONCATENATE($B771,"_",J$3),materiali!$C:$K,6,0),"")</f>
        <v/>
      </c>
      <c r="K771" s="86"/>
      <c r="L771" s="84" t="str">
        <f>IFERROR(VLOOKUP(CONCATENATE($B771,"_",L$3),materiali!$C:$K,5,0),"")</f>
        <v/>
      </c>
      <c r="M771" s="85" t="str">
        <f>IFERROR(VLOOKUP(CONCATENATE($B771,"_",M$3),materiali!$C:$K,6,0),"")</f>
        <v/>
      </c>
      <c r="N771" s="86"/>
      <c r="O771" s="84" t="str">
        <f>IFERROR(VLOOKUP(CONCATENATE($B771,"_",O$3),materiali!$C:$K,5,0),"")</f>
        <v/>
      </c>
      <c r="P771" s="85" t="str">
        <f>IFERROR(VLOOKUP(CONCATENATE($B771,"_",P$3),materiali!$C:$K,6,0),"")</f>
        <v/>
      </c>
      <c r="Q771" s="86"/>
      <c r="R771" s="84" t="str">
        <f>IFERROR(VLOOKUP(CONCATENATE($B771,"_",R$3),materiali!$C:$K,5,0),"")</f>
        <v/>
      </c>
      <c r="S771" s="85" t="str">
        <f>IFERROR(VLOOKUP(CONCATENATE($B771,"_",S$3),materiali!$C:$K,6,0),"")</f>
        <v/>
      </c>
      <c r="T771" s="86"/>
      <c r="U771" s="31"/>
      <c r="AD771" s="97"/>
    </row>
    <row r="772" spans="1:30" ht="35.1" hidden="1" customHeight="1" x14ac:dyDescent="0.25">
      <c r="A772" s="83"/>
      <c r="B772" s="7"/>
      <c r="C772" s="8"/>
      <c r="D772" s="8"/>
      <c r="E772" s="60"/>
      <c r="F772" s="84" t="str">
        <f>IFERROR(VLOOKUP(CONCATENATE($B772,"_",F$3),materiali!$C:$K,5,0),"")</f>
        <v/>
      </c>
      <c r="G772" s="85" t="str">
        <f>IFERROR(VLOOKUP(CONCATENATE($B772,"_",G$3),materiali!$C:$K,6,0),"")</f>
        <v/>
      </c>
      <c r="H772" s="86"/>
      <c r="I772" s="84" t="str">
        <f>IFERROR(VLOOKUP(CONCATENATE($B772,"_",I$3),materiali!$C:$K,5,0),"")</f>
        <v/>
      </c>
      <c r="J772" s="85" t="str">
        <f>IFERROR(VLOOKUP(CONCATENATE($B772,"_",J$3),materiali!$C:$K,6,0),"")</f>
        <v/>
      </c>
      <c r="K772" s="86"/>
      <c r="L772" s="84" t="str">
        <f>IFERROR(VLOOKUP(CONCATENATE($B772,"_",L$3),materiali!$C:$K,5,0),"")</f>
        <v/>
      </c>
      <c r="M772" s="85" t="str">
        <f>IFERROR(VLOOKUP(CONCATENATE($B772,"_",M$3),materiali!$C:$K,6,0),"")</f>
        <v/>
      </c>
      <c r="N772" s="86"/>
      <c r="O772" s="84" t="str">
        <f>IFERROR(VLOOKUP(CONCATENATE($B772,"_",O$3),materiali!$C:$K,5,0),"")</f>
        <v/>
      </c>
      <c r="P772" s="85" t="str">
        <f>IFERROR(VLOOKUP(CONCATENATE($B772,"_",P$3),materiali!$C:$K,6,0),"")</f>
        <v/>
      </c>
      <c r="Q772" s="86"/>
      <c r="R772" s="84" t="str">
        <f>IFERROR(VLOOKUP(CONCATENATE($B772,"_",R$3),materiali!$C:$K,5,0),"")</f>
        <v/>
      </c>
      <c r="S772" s="85" t="str">
        <f>IFERROR(VLOOKUP(CONCATENATE($B772,"_",S$3),materiali!$C:$K,6,0),"")</f>
        <v/>
      </c>
      <c r="T772" s="86"/>
      <c r="U772" s="31"/>
      <c r="AD772" s="97"/>
    </row>
    <row r="773" spans="1:30" ht="35.1" hidden="1" customHeight="1" x14ac:dyDescent="0.25">
      <c r="A773" s="83"/>
      <c r="B773" s="7"/>
      <c r="C773" s="8"/>
      <c r="D773" s="8"/>
      <c r="E773" s="60"/>
      <c r="F773" s="84" t="str">
        <f>IFERROR(VLOOKUP(CONCATENATE($B773,"_",F$3),materiali!$C:$K,5,0),"")</f>
        <v/>
      </c>
      <c r="G773" s="85" t="str">
        <f>IFERROR(VLOOKUP(CONCATENATE($B773,"_",G$3),materiali!$C:$K,6,0),"")</f>
        <v/>
      </c>
      <c r="H773" s="86"/>
      <c r="I773" s="84" t="str">
        <f>IFERROR(VLOOKUP(CONCATENATE($B773,"_",I$3),materiali!$C:$K,5,0),"")</f>
        <v/>
      </c>
      <c r="J773" s="85" t="str">
        <f>IFERROR(VLOOKUP(CONCATENATE($B773,"_",J$3),materiali!$C:$K,6,0),"")</f>
        <v/>
      </c>
      <c r="K773" s="86"/>
      <c r="L773" s="84" t="str">
        <f>IFERROR(VLOOKUP(CONCATENATE($B773,"_",L$3),materiali!$C:$K,5,0),"")</f>
        <v/>
      </c>
      <c r="M773" s="85" t="str">
        <f>IFERROR(VLOOKUP(CONCATENATE($B773,"_",M$3),materiali!$C:$K,6,0),"")</f>
        <v/>
      </c>
      <c r="N773" s="86"/>
      <c r="O773" s="84" t="str">
        <f>IFERROR(VLOOKUP(CONCATENATE($B773,"_",O$3),materiali!$C:$K,5,0),"")</f>
        <v/>
      </c>
      <c r="P773" s="85" t="str">
        <f>IFERROR(VLOOKUP(CONCATENATE($B773,"_",P$3),materiali!$C:$K,6,0),"")</f>
        <v/>
      </c>
      <c r="Q773" s="86"/>
      <c r="R773" s="84" t="str">
        <f>IFERROR(VLOOKUP(CONCATENATE($B773,"_",R$3),materiali!$C:$K,5,0),"")</f>
        <v/>
      </c>
      <c r="S773" s="85" t="str">
        <f>IFERROR(VLOOKUP(CONCATENATE($B773,"_",S$3),materiali!$C:$K,6,0),"")</f>
        <v/>
      </c>
      <c r="T773" s="86"/>
      <c r="U773" s="31"/>
      <c r="AD773" s="97"/>
    </row>
    <row r="774" spans="1:30" ht="35.1" hidden="1" customHeight="1" x14ac:dyDescent="0.25">
      <c r="A774" s="83"/>
      <c r="B774" s="7"/>
      <c r="C774" s="8"/>
      <c r="D774" s="8"/>
      <c r="E774" s="60"/>
      <c r="F774" s="84" t="str">
        <f>IFERROR(VLOOKUP(CONCATENATE($B774,"_",F$3),materiali!$C:$K,5,0),"")</f>
        <v/>
      </c>
      <c r="G774" s="85" t="str">
        <f>IFERROR(VLOOKUP(CONCATENATE($B774,"_",G$3),materiali!$C:$K,6,0),"")</f>
        <v/>
      </c>
      <c r="H774" s="86"/>
      <c r="I774" s="84" t="str">
        <f>IFERROR(VLOOKUP(CONCATENATE($B774,"_",I$3),materiali!$C:$K,5,0),"")</f>
        <v/>
      </c>
      <c r="J774" s="85" t="str">
        <f>IFERROR(VLOOKUP(CONCATENATE($B774,"_",J$3),materiali!$C:$K,6,0),"")</f>
        <v/>
      </c>
      <c r="K774" s="86"/>
      <c r="L774" s="84" t="str">
        <f>IFERROR(VLOOKUP(CONCATENATE($B774,"_",L$3),materiali!$C:$K,5,0),"")</f>
        <v/>
      </c>
      <c r="M774" s="85" t="str">
        <f>IFERROR(VLOOKUP(CONCATENATE($B774,"_",M$3),materiali!$C:$K,6,0),"")</f>
        <v/>
      </c>
      <c r="N774" s="86"/>
      <c r="O774" s="84" t="str">
        <f>IFERROR(VLOOKUP(CONCATENATE($B774,"_",O$3),materiali!$C:$K,5,0),"")</f>
        <v/>
      </c>
      <c r="P774" s="85" t="str">
        <f>IFERROR(VLOOKUP(CONCATENATE($B774,"_",P$3),materiali!$C:$K,6,0),"")</f>
        <v/>
      </c>
      <c r="Q774" s="86"/>
      <c r="R774" s="84" t="str">
        <f>IFERROR(VLOOKUP(CONCATENATE($B774,"_",R$3),materiali!$C:$K,5,0),"")</f>
        <v/>
      </c>
      <c r="S774" s="85" t="str">
        <f>IFERROR(VLOOKUP(CONCATENATE($B774,"_",S$3),materiali!$C:$K,6,0),"")</f>
        <v/>
      </c>
      <c r="T774" s="86"/>
      <c r="U774" s="31"/>
      <c r="AD774" s="97"/>
    </row>
    <row r="775" spans="1:30" ht="35.1" hidden="1" customHeight="1" x14ac:dyDescent="0.25">
      <c r="A775" s="83"/>
      <c r="B775" s="7"/>
      <c r="C775" s="8"/>
      <c r="D775" s="8"/>
      <c r="E775" s="60"/>
      <c r="F775" s="84" t="str">
        <f>IFERROR(VLOOKUP(CONCATENATE($B775,"_",F$3),materiali!$C:$K,5,0),"")</f>
        <v/>
      </c>
      <c r="G775" s="85" t="str">
        <f>IFERROR(VLOOKUP(CONCATENATE($B775,"_",G$3),materiali!$C:$K,6,0),"")</f>
        <v/>
      </c>
      <c r="H775" s="86"/>
      <c r="I775" s="84" t="str">
        <f>IFERROR(VLOOKUP(CONCATENATE($B775,"_",I$3),materiali!$C:$K,5,0),"")</f>
        <v/>
      </c>
      <c r="J775" s="85" t="str">
        <f>IFERROR(VLOOKUP(CONCATENATE($B775,"_",J$3),materiali!$C:$K,6,0),"")</f>
        <v/>
      </c>
      <c r="K775" s="86"/>
      <c r="L775" s="84" t="str">
        <f>IFERROR(VLOOKUP(CONCATENATE($B775,"_",L$3),materiali!$C:$K,5,0),"")</f>
        <v/>
      </c>
      <c r="M775" s="85" t="str">
        <f>IFERROR(VLOOKUP(CONCATENATE($B775,"_",M$3),materiali!$C:$K,6,0),"")</f>
        <v/>
      </c>
      <c r="N775" s="86"/>
      <c r="O775" s="84" t="str">
        <f>IFERROR(VLOOKUP(CONCATENATE($B775,"_",O$3),materiali!$C:$K,5,0),"")</f>
        <v/>
      </c>
      <c r="P775" s="85" t="str">
        <f>IFERROR(VLOOKUP(CONCATENATE($B775,"_",P$3),materiali!$C:$K,6,0),"")</f>
        <v/>
      </c>
      <c r="Q775" s="86"/>
      <c r="R775" s="84" t="str">
        <f>IFERROR(VLOOKUP(CONCATENATE($B775,"_",R$3),materiali!$C:$K,5,0),"")</f>
        <v/>
      </c>
      <c r="S775" s="85" t="str">
        <f>IFERROR(VLOOKUP(CONCATENATE($B775,"_",S$3),materiali!$C:$K,6,0),"")</f>
        <v/>
      </c>
      <c r="T775" s="86"/>
      <c r="U775" s="31"/>
      <c r="AD775" s="97"/>
    </row>
    <row r="776" spans="1:30" ht="35.1" hidden="1" customHeight="1" x14ac:dyDescent="0.25">
      <c r="A776" s="83"/>
      <c r="B776" s="7"/>
      <c r="C776" s="8"/>
      <c r="D776" s="8"/>
      <c r="E776" s="60"/>
      <c r="F776" s="84" t="str">
        <f>IFERROR(VLOOKUP(CONCATENATE($B776,"_",F$3),materiali!$C:$K,5,0),"")</f>
        <v/>
      </c>
      <c r="G776" s="85" t="str">
        <f>IFERROR(VLOOKUP(CONCATENATE($B776,"_",G$3),materiali!$C:$K,6,0),"")</f>
        <v/>
      </c>
      <c r="H776" s="86"/>
      <c r="I776" s="84" t="str">
        <f>IFERROR(VLOOKUP(CONCATENATE($B776,"_",I$3),materiali!$C:$K,5,0),"")</f>
        <v/>
      </c>
      <c r="J776" s="85" t="str">
        <f>IFERROR(VLOOKUP(CONCATENATE($B776,"_",J$3),materiali!$C:$K,6,0),"")</f>
        <v/>
      </c>
      <c r="K776" s="86"/>
      <c r="L776" s="84" t="str">
        <f>IFERROR(VLOOKUP(CONCATENATE($B776,"_",L$3),materiali!$C:$K,5,0),"")</f>
        <v/>
      </c>
      <c r="M776" s="85" t="str">
        <f>IFERROR(VLOOKUP(CONCATENATE($B776,"_",M$3),materiali!$C:$K,6,0),"")</f>
        <v/>
      </c>
      <c r="N776" s="86"/>
      <c r="O776" s="84" t="str">
        <f>IFERROR(VLOOKUP(CONCATENATE($B776,"_",O$3),materiali!$C:$K,5,0),"")</f>
        <v/>
      </c>
      <c r="P776" s="85" t="str">
        <f>IFERROR(VLOOKUP(CONCATENATE($B776,"_",P$3),materiali!$C:$K,6,0),"")</f>
        <v/>
      </c>
      <c r="Q776" s="86"/>
      <c r="R776" s="84" t="str">
        <f>IFERROR(VLOOKUP(CONCATENATE($B776,"_",R$3),materiali!$C:$K,5,0),"")</f>
        <v/>
      </c>
      <c r="S776" s="85" t="str">
        <f>IFERROR(VLOOKUP(CONCATENATE($B776,"_",S$3),materiali!$C:$K,6,0),"")</f>
        <v/>
      </c>
      <c r="T776" s="86"/>
      <c r="U776" s="31"/>
      <c r="AD776" s="97"/>
    </row>
    <row r="777" spans="1:30" ht="35.1" hidden="1" customHeight="1" x14ac:dyDescent="0.25">
      <c r="A777" s="83"/>
      <c r="B777" s="7"/>
      <c r="C777" s="8"/>
      <c r="D777" s="8"/>
      <c r="E777" s="60"/>
      <c r="F777" s="84" t="str">
        <f>IFERROR(VLOOKUP(CONCATENATE($B777,"_",F$3),materiali!$C:$K,5,0),"")</f>
        <v/>
      </c>
      <c r="G777" s="85" t="str">
        <f>IFERROR(VLOOKUP(CONCATENATE($B777,"_",G$3),materiali!$C:$K,6,0),"")</f>
        <v/>
      </c>
      <c r="H777" s="86"/>
      <c r="I777" s="84" t="str">
        <f>IFERROR(VLOOKUP(CONCATENATE($B777,"_",I$3),materiali!$C:$K,5,0),"")</f>
        <v/>
      </c>
      <c r="J777" s="85" t="str">
        <f>IFERROR(VLOOKUP(CONCATENATE($B777,"_",J$3),materiali!$C:$K,6,0),"")</f>
        <v/>
      </c>
      <c r="K777" s="86"/>
      <c r="L777" s="84" t="str">
        <f>IFERROR(VLOOKUP(CONCATENATE($B777,"_",L$3),materiali!$C:$K,5,0),"")</f>
        <v/>
      </c>
      <c r="M777" s="85" t="str">
        <f>IFERROR(VLOOKUP(CONCATENATE($B777,"_",M$3),materiali!$C:$K,6,0),"")</f>
        <v/>
      </c>
      <c r="N777" s="86"/>
      <c r="O777" s="84" t="str">
        <f>IFERROR(VLOOKUP(CONCATENATE($B777,"_",O$3),materiali!$C:$K,5,0),"")</f>
        <v/>
      </c>
      <c r="P777" s="85" t="str">
        <f>IFERROR(VLOOKUP(CONCATENATE($B777,"_",P$3),materiali!$C:$K,6,0),"")</f>
        <v/>
      </c>
      <c r="Q777" s="86"/>
      <c r="R777" s="84" t="str">
        <f>IFERROR(VLOOKUP(CONCATENATE($B777,"_",R$3),materiali!$C:$K,5,0),"")</f>
        <v/>
      </c>
      <c r="S777" s="85" t="str">
        <f>IFERROR(VLOOKUP(CONCATENATE($B777,"_",S$3),materiali!$C:$K,6,0),"")</f>
        <v/>
      </c>
      <c r="T777" s="86"/>
      <c r="U777" s="31"/>
      <c r="AD777" s="97"/>
    </row>
    <row r="778" spans="1:30" ht="35.1" hidden="1" customHeight="1" x14ac:dyDescent="0.25">
      <c r="A778" s="83"/>
      <c r="B778" s="7"/>
      <c r="C778" s="8"/>
      <c r="D778" s="8"/>
      <c r="E778" s="60"/>
      <c r="F778" s="84" t="str">
        <f>IFERROR(VLOOKUP(CONCATENATE($B778,"_",F$3),materiali!$C:$K,5,0),"")</f>
        <v/>
      </c>
      <c r="G778" s="85" t="str">
        <f>IFERROR(VLOOKUP(CONCATENATE($B778,"_",G$3),materiali!$C:$K,6,0),"")</f>
        <v/>
      </c>
      <c r="H778" s="86"/>
      <c r="I778" s="84" t="str">
        <f>IFERROR(VLOOKUP(CONCATENATE($B778,"_",I$3),materiali!$C:$K,5,0),"")</f>
        <v/>
      </c>
      <c r="J778" s="85" t="str">
        <f>IFERROR(VLOOKUP(CONCATENATE($B778,"_",J$3),materiali!$C:$K,6,0),"")</f>
        <v/>
      </c>
      <c r="K778" s="86"/>
      <c r="L778" s="84" t="str">
        <f>IFERROR(VLOOKUP(CONCATENATE($B778,"_",L$3),materiali!$C:$K,5,0),"")</f>
        <v/>
      </c>
      <c r="M778" s="85" t="str">
        <f>IFERROR(VLOOKUP(CONCATENATE($B778,"_",M$3),materiali!$C:$K,6,0),"")</f>
        <v/>
      </c>
      <c r="N778" s="86"/>
      <c r="O778" s="84" t="str">
        <f>IFERROR(VLOOKUP(CONCATENATE($B778,"_",O$3),materiali!$C:$K,5,0),"")</f>
        <v/>
      </c>
      <c r="P778" s="85" t="str">
        <f>IFERROR(VLOOKUP(CONCATENATE($B778,"_",P$3),materiali!$C:$K,6,0),"")</f>
        <v/>
      </c>
      <c r="Q778" s="86"/>
      <c r="R778" s="84" t="str">
        <f>IFERROR(VLOOKUP(CONCATENATE($B778,"_",R$3),materiali!$C:$K,5,0),"")</f>
        <v/>
      </c>
      <c r="S778" s="85" t="str">
        <f>IFERROR(VLOOKUP(CONCATENATE($B778,"_",S$3),materiali!$C:$K,6,0),"")</f>
        <v/>
      </c>
      <c r="T778" s="86"/>
      <c r="U778" s="31"/>
      <c r="AD778" s="97"/>
    </row>
    <row r="779" spans="1:30" ht="35.1" hidden="1" customHeight="1" x14ac:dyDescent="0.25">
      <c r="A779" s="83"/>
      <c r="B779" s="7"/>
      <c r="C779" s="8"/>
      <c r="D779" s="8"/>
      <c r="E779" s="60"/>
      <c r="F779" s="84" t="str">
        <f>IFERROR(VLOOKUP(CONCATENATE($B779,"_",F$3),materiali!$C:$K,5,0),"")</f>
        <v/>
      </c>
      <c r="G779" s="85" t="str">
        <f>IFERROR(VLOOKUP(CONCATENATE($B779,"_",G$3),materiali!$C:$K,6,0),"")</f>
        <v/>
      </c>
      <c r="H779" s="86"/>
      <c r="I779" s="84" t="str">
        <f>IFERROR(VLOOKUP(CONCATENATE($B779,"_",I$3),materiali!$C:$K,5,0),"")</f>
        <v/>
      </c>
      <c r="J779" s="85" t="str">
        <f>IFERROR(VLOOKUP(CONCATENATE($B779,"_",J$3),materiali!$C:$K,6,0),"")</f>
        <v/>
      </c>
      <c r="K779" s="86"/>
      <c r="L779" s="84" t="str">
        <f>IFERROR(VLOOKUP(CONCATENATE($B779,"_",L$3),materiali!$C:$K,5,0),"")</f>
        <v/>
      </c>
      <c r="M779" s="85" t="str">
        <f>IFERROR(VLOOKUP(CONCATENATE($B779,"_",M$3),materiali!$C:$K,6,0),"")</f>
        <v/>
      </c>
      <c r="N779" s="86"/>
      <c r="O779" s="84" t="str">
        <f>IFERROR(VLOOKUP(CONCATENATE($B779,"_",O$3),materiali!$C:$K,5,0),"")</f>
        <v/>
      </c>
      <c r="P779" s="85" t="str">
        <f>IFERROR(VLOOKUP(CONCATENATE($B779,"_",P$3),materiali!$C:$K,6,0),"")</f>
        <v/>
      </c>
      <c r="Q779" s="86"/>
      <c r="R779" s="84" t="str">
        <f>IFERROR(VLOOKUP(CONCATENATE($B779,"_",R$3),materiali!$C:$K,5,0),"")</f>
        <v/>
      </c>
      <c r="S779" s="85" t="str">
        <f>IFERROR(VLOOKUP(CONCATENATE($B779,"_",S$3),materiali!$C:$K,6,0),"")</f>
        <v/>
      </c>
      <c r="T779" s="86"/>
      <c r="U779" s="31"/>
      <c r="AD779" s="97"/>
    </row>
    <row r="780" spans="1:30" ht="35.1" hidden="1" customHeight="1" x14ac:dyDescent="0.25">
      <c r="A780" s="83"/>
      <c r="B780" s="7"/>
      <c r="C780" s="8"/>
      <c r="D780" s="8"/>
      <c r="E780" s="60"/>
      <c r="F780" s="84" t="str">
        <f>IFERROR(VLOOKUP(CONCATENATE($B780,"_",F$3),materiali!$C:$K,5,0),"")</f>
        <v/>
      </c>
      <c r="G780" s="85" t="str">
        <f>IFERROR(VLOOKUP(CONCATENATE($B780,"_",G$3),materiali!$C:$K,6,0),"")</f>
        <v/>
      </c>
      <c r="H780" s="86"/>
      <c r="I780" s="84" t="str">
        <f>IFERROR(VLOOKUP(CONCATENATE($B780,"_",I$3),materiali!$C:$K,5,0),"")</f>
        <v/>
      </c>
      <c r="J780" s="85" t="str">
        <f>IFERROR(VLOOKUP(CONCATENATE($B780,"_",J$3),materiali!$C:$K,6,0),"")</f>
        <v/>
      </c>
      <c r="K780" s="86"/>
      <c r="L780" s="84" t="str">
        <f>IFERROR(VLOOKUP(CONCATENATE($B780,"_",L$3),materiali!$C:$K,5,0),"")</f>
        <v/>
      </c>
      <c r="M780" s="85" t="str">
        <f>IFERROR(VLOOKUP(CONCATENATE($B780,"_",M$3),materiali!$C:$K,6,0),"")</f>
        <v/>
      </c>
      <c r="N780" s="86"/>
      <c r="O780" s="84" t="str">
        <f>IFERROR(VLOOKUP(CONCATENATE($B780,"_",O$3),materiali!$C:$K,5,0),"")</f>
        <v/>
      </c>
      <c r="P780" s="85" t="str">
        <f>IFERROR(VLOOKUP(CONCATENATE($B780,"_",P$3),materiali!$C:$K,6,0),"")</f>
        <v/>
      </c>
      <c r="Q780" s="86"/>
      <c r="R780" s="84" t="str">
        <f>IFERROR(VLOOKUP(CONCATENATE($B780,"_",R$3),materiali!$C:$K,5,0),"")</f>
        <v/>
      </c>
      <c r="S780" s="85" t="str">
        <f>IFERROR(VLOOKUP(CONCATENATE($B780,"_",S$3),materiali!$C:$K,6,0),"")</f>
        <v/>
      </c>
      <c r="T780" s="86"/>
      <c r="U780" s="31"/>
      <c r="AD780" s="97"/>
    </row>
    <row r="781" spans="1:30" ht="35.1" hidden="1" customHeight="1" x14ac:dyDescent="0.25">
      <c r="A781" s="83"/>
      <c r="B781" s="7"/>
      <c r="C781" s="8"/>
      <c r="D781" s="8"/>
      <c r="E781" s="60"/>
      <c r="F781" s="84" t="str">
        <f>IFERROR(VLOOKUP(CONCATENATE($B781,"_",F$3),materiali!$C:$K,5,0),"")</f>
        <v/>
      </c>
      <c r="G781" s="85" t="str">
        <f>IFERROR(VLOOKUP(CONCATENATE($B781,"_",G$3),materiali!$C:$K,6,0),"")</f>
        <v/>
      </c>
      <c r="H781" s="86"/>
      <c r="I781" s="84" t="str">
        <f>IFERROR(VLOOKUP(CONCATENATE($B781,"_",I$3),materiali!$C:$K,5,0),"")</f>
        <v/>
      </c>
      <c r="J781" s="85" t="str">
        <f>IFERROR(VLOOKUP(CONCATENATE($B781,"_",J$3),materiali!$C:$K,6,0),"")</f>
        <v/>
      </c>
      <c r="K781" s="86"/>
      <c r="L781" s="84" t="str">
        <f>IFERROR(VLOOKUP(CONCATENATE($B781,"_",L$3),materiali!$C:$K,5,0),"")</f>
        <v/>
      </c>
      <c r="M781" s="85" t="str">
        <f>IFERROR(VLOOKUP(CONCATENATE($B781,"_",M$3),materiali!$C:$K,6,0),"")</f>
        <v/>
      </c>
      <c r="N781" s="86"/>
      <c r="O781" s="84" t="str">
        <f>IFERROR(VLOOKUP(CONCATENATE($B781,"_",O$3),materiali!$C:$K,5,0),"")</f>
        <v/>
      </c>
      <c r="P781" s="85" t="str">
        <f>IFERROR(VLOOKUP(CONCATENATE($B781,"_",P$3),materiali!$C:$K,6,0),"")</f>
        <v/>
      </c>
      <c r="Q781" s="86"/>
      <c r="R781" s="84" t="str">
        <f>IFERROR(VLOOKUP(CONCATENATE($B781,"_",R$3),materiali!$C:$K,5,0),"")</f>
        <v/>
      </c>
      <c r="S781" s="85" t="str">
        <f>IFERROR(VLOOKUP(CONCATENATE($B781,"_",S$3),materiali!$C:$K,6,0),"")</f>
        <v/>
      </c>
      <c r="T781" s="86"/>
      <c r="U781" s="31"/>
      <c r="AD781" s="97"/>
    </row>
    <row r="782" spans="1:30" ht="35.1" hidden="1" customHeight="1" x14ac:dyDescent="0.25">
      <c r="A782" s="83"/>
      <c r="B782" s="7"/>
      <c r="C782" s="8"/>
      <c r="D782" s="8"/>
      <c r="E782" s="60"/>
      <c r="F782" s="84" t="str">
        <f>IFERROR(VLOOKUP(CONCATENATE($B782,"_",F$3),materiali!$C:$K,5,0),"")</f>
        <v/>
      </c>
      <c r="G782" s="85" t="str">
        <f>IFERROR(VLOOKUP(CONCATENATE($B782,"_",G$3),materiali!$C:$K,6,0),"")</f>
        <v/>
      </c>
      <c r="H782" s="86"/>
      <c r="I782" s="84" t="str">
        <f>IFERROR(VLOOKUP(CONCATENATE($B782,"_",I$3),materiali!$C:$K,5,0),"")</f>
        <v/>
      </c>
      <c r="J782" s="85" t="str">
        <f>IFERROR(VLOOKUP(CONCATENATE($B782,"_",J$3),materiali!$C:$K,6,0),"")</f>
        <v/>
      </c>
      <c r="K782" s="86"/>
      <c r="L782" s="84" t="str">
        <f>IFERROR(VLOOKUP(CONCATENATE($B782,"_",L$3),materiali!$C:$K,5,0),"")</f>
        <v/>
      </c>
      <c r="M782" s="85" t="str">
        <f>IFERROR(VLOOKUP(CONCATENATE($B782,"_",M$3),materiali!$C:$K,6,0),"")</f>
        <v/>
      </c>
      <c r="N782" s="86"/>
      <c r="O782" s="84" t="str">
        <f>IFERROR(VLOOKUP(CONCATENATE($B782,"_",O$3),materiali!$C:$K,5,0),"")</f>
        <v/>
      </c>
      <c r="P782" s="85" t="str">
        <f>IFERROR(VLOOKUP(CONCATENATE($B782,"_",P$3),materiali!$C:$K,6,0),"")</f>
        <v/>
      </c>
      <c r="Q782" s="86"/>
      <c r="R782" s="84" t="str">
        <f>IFERROR(VLOOKUP(CONCATENATE($B782,"_",R$3),materiali!$C:$K,5,0),"")</f>
        <v/>
      </c>
      <c r="S782" s="85" t="str">
        <f>IFERROR(VLOOKUP(CONCATENATE($B782,"_",S$3),materiali!$C:$K,6,0),"")</f>
        <v/>
      </c>
      <c r="T782" s="86"/>
      <c r="U782" s="31"/>
      <c r="AD782" s="97"/>
    </row>
    <row r="783" spans="1:30" ht="35.1" hidden="1" customHeight="1" x14ac:dyDescent="0.25">
      <c r="A783" s="83"/>
      <c r="B783" s="7"/>
      <c r="C783" s="8"/>
      <c r="D783" s="8"/>
      <c r="E783" s="60"/>
      <c r="F783" s="84" t="str">
        <f>IFERROR(VLOOKUP(CONCATENATE($B783,"_",F$3),materiali!$C:$K,5,0),"")</f>
        <v/>
      </c>
      <c r="G783" s="85" t="str">
        <f>IFERROR(VLOOKUP(CONCATENATE($B783,"_",G$3),materiali!$C:$K,6,0),"")</f>
        <v/>
      </c>
      <c r="H783" s="86"/>
      <c r="I783" s="84" t="str">
        <f>IFERROR(VLOOKUP(CONCATENATE($B783,"_",I$3),materiali!$C:$K,5,0),"")</f>
        <v/>
      </c>
      <c r="J783" s="85" t="str">
        <f>IFERROR(VLOOKUP(CONCATENATE($B783,"_",J$3),materiali!$C:$K,6,0),"")</f>
        <v/>
      </c>
      <c r="K783" s="86"/>
      <c r="L783" s="84" t="str">
        <f>IFERROR(VLOOKUP(CONCATENATE($B783,"_",L$3),materiali!$C:$K,5,0),"")</f>
        <v/>
      </c>
      <c r="M783" s="85" t="str">
        <f>IFERROR(VLOOKUP(CONCATENATE($B783,"_",M$3),materiali!$C:$K,6,0),"")</f>
        <v/>
      </c>
      <c r="N783" s="86"/>
      <c r="O783" s="84" t="str">
        <f>IFERROR(VLOOKUP(CONCATENATE($B783,"_",O$3),materiali!$C:$K,5,0),"")</f>
        <v/>
      </c>
      <c r="P783" s="85" t="str">
        <f>IFERROR(VLOOKUP(CONCATENATE($B783,"_",P$3),materiali!$C:$K,6,0),"")</f>
        <v/>
      </c>
      <c r="Q783" s="86"/>
      <c r="R783" s="84" t="str">
        <f>IFERROR(VLOOKUP(CONCATENATE($B783,"_",R$3),materiali!$C:$K,5,0),"")</f>
        <v/>
      </c>
      <c r="S783" s="85" t="str">
        <f>IFERROR(VLOOKUP(CONCATENATE($B783,"_",S$3),materiali!$C:$K,6,0),"")</f>
        <v/>
      </c>
      <c r="T783" s="86"/>
      <c r="U783" s="31"/>
      <c r="AD783" s="97"/>
    </row>
    <row r="784" spans="1:30" ht="35.1" hidden="1" customHeight="1" x14ac:dyDescent="0.25">
      <c r="A784" s="83"/>
      <c r="B784" s="7"/>
      <c r="C784" s="8"/>
      <c r="D784" s="8"/>
      <c r="E784" s="60"/>
      <c r="F784" s="84" t="str">
        <f>IFERROR(VLOOKUP(CONCATENATE($B784,"_",F$3),materiali!$C:$K,5,0),"")</f>
        <v/>
      </c>
      <c r="G784" s="85" t="str">
        <f>IFERROR(VLOOKUP(CONCATENATE($B784,"_",G$3),materiali!$C:$K,6,0),"")</f>
        <v/>
      </c>
      <c r="H784" s="86"/>
      <c r="I784" s="84" t="str">
        <f>IFERROR(VLOOKUP(CONCATENATE($B784,"_",I$3),materiali!$C:$K,5,0),"")</f>
        <v/>
      </c>
      <c r="J784" s="85" t="str">
        <f>IFERROR(VLOOKUP(CONCATENATE($B784,"_",J$3),materiali!$C:$K,6,0),"")</f>
        <v/>
      </c>
      <c r="K784" s="86"/>
      <c r="L784" s="84" t="str">
        <f>IFERROR(VLOOKUP(CONCATENATE($B784,"_",L$3),materiali!$C:$K,5,0),"")</f>
        <v/>
      </c>
      <c r="M784" s="85" t="str">
        <f>IFERROR(VLOOKUP(CONCATENATE($B784,"_",M$3),materiali!$C:$K,6,0),"")</f>
        <v/>
      </c>
      <c r="N784" s="86"/>
      <c r="O784" s="84" t="str">
        <f>IFERROR(VLOOKUP(CONCATENATE($B784,"_",O$3),materiali!$C:$K,5,0),"")</f>
        <v/>
      </c>
      <c r="P784" s="85" t="str">
        <f>IFERROR(VLOOKUP(CONCATENATE($B784,"_",P$3),materiali!$C:$K,6,0),"")</f>
        <v/>
      </c>
      <c r="Q784" s="86"/>
      <c r="R784" s="84" t="str">
        <f>IFERROR(VLOOKUP(CONCATENATE($B784,"_",R$3),materiali!$C:$K,5,0),"")</f>
        <v/>
      </c>
      <c r="S784" s="85" t="str">
        <f>IFERROR(VLOOKUP(CONCATENATE($B784,"_",S$3),materiali!$C:$K,6,0),"")</f>
        <v/>
      </c>
      <c r="T784" s="86"/>
      <c r="U784" s="31"/>
      <c r="AD784" s="97"/>
    </row>
    <row r="785" spans="1:30" ht="35.1" hidden="1" customHeight="1" x14ac:dyDescent="0.25">
      <c r="A785" s="83"/>
      <c r="B785" s="7"/>
      <c r="C785" s="8"/>
      <c r="D785" s="8"/>
      <c r="E785" s="60"/>
      <c r="F785" s="84" t="str">
        <f>IFERROR(VLOOKUP(CONCATENATE($B785,"_",F$3),materiali!$C:$K,5,0),"")</f>
        <v/>
      </c>
      <c r="G785" s="85" t="str">
        <f>IFERROR(VLOOKUP(CONCATENATE($B785,"_",G$3),materiali!$C:$K,6,0),"")</f>
        <v/>
      </c>
      <c r="H785" s="86"/>
      <c r="I785" s="84" t="str">
        <f>IFERROR(VLOOKUP(CONCATENATE($B785,"_",I$3),materiali!$C:$K,5,0),"")</f>
        <v/>
      </c>
      <c r="J785" s="85" t="str">
        <f>IFERROR(VLOOKUP(CONCATENATE($B785,"_",J$3),materiali!$C:$K,6,0),"")</f>
        <v/>
      </c>
      <c r="K785" s="86"/>
      <c r="L785" s="84" t="str">
        <f>IFERROR(VLOOKUP(CONCATENATE($B785,"_",L$3),materiali!$C:$K,5,0),"")</f>
        <v/>
      </c>
      <c r="M785" s="85" t="str">
        <f>IFERROR(VLOOKUP(CONCATENATE($B785,"_",M$3),materiali!$C:$K,6,0),"")</f>
        <v/>
      </c>
      <c r="N785" s="86"/>
      <c r="O785" s="84" t="str">
        <f>IFERROR(VLOOKUP(CONCATENATE($B785,"_",O$3),materiali!$C:$K,5,0),"")</f>
        <v/>
      </c>
      <c r="P785" s="85" t="str">
        <f>IFERROR(VLOOKUP(CONCATENATE($B785,"_",P$3),materiali!$C:$K,6,0),"")</f>
        <v/>
      </c>
      <c r="Q785" s="86"/>
      <c r="R785" s="84" t="str">
        <f>IFERROR(VLOOKUP(CONCATENATE($B785,"_",R$3),materiali!$C:$K,5,0),"")</f>
        <v/>
      </c>
      <c r="S785" s="85" t="str">
        <f>IFERROR(VLOOKUP(CONCATENATE($B785,"_",S$3),materiali!$C:$K,6,0),"")</f>
        <v/>
      </c>
      <c r="T785" s="86"/>
      <c r="U785" s="31"/>
      <c r="AD785" s="97"/>
    </row>
    <row r="786" spans="1:30" ht="35.1" hidden="1" customHeight="1" x14ac:dyDescent="0.25">
      <c r="A786" s="83"/>
      <c r="B786" s="7"/>
      <c r="C786" s="8"/>
      <c r="D786" s="8"/>
      <c r="E786" s="60"/>
      <c r="F786" s="84" t="str">
        <f>IFERROR(VLOOKUP(CONCATENATE($B786,"_",F$3),materiali!$C:$K,5,0),"")</f>
        <v/>
      </c>
      <c r="G786" s="85" t="str">
        <f>IFERROR(VLOOKUP(CONCATENATE($B786,"_",G$3),materiali!$C:$K,6,0),"")</f>
        <v/>
      </c>
      <c r="H786" s="86"/>
      <c r="I786" s="84" t="str">
        <f>IFERROR(VLOOKUP(CONCATENATE($B786,"_",I$3),materiali!$C:$K,5,0),"")</f>
        <v/>
      </c>
      <c r="J786" s="85" t="str">
        <f>IFERROR(VLOOKUP(CONCATENATE($B786,"_",J$3),materiali!$C:$K,6,0),"")</f>
        <v/>
      </c>
      <c r="K786" s="86"/>
      <c r="L786" s="84" t="str">
        <f>IFERROR(VLOOKUP(CONCATENATE($B786,"_",L$3),materiali!$C:$K,5,0),"")</f>
        <v/>
      </c>
      <c r="M786" s="85" t="str">
        <f>IFERROR(VLOOKUP(CONCATENATE($B786,"_",M$3),materiali!$C:$K,6,0),"")</f>
        <v/>
      </c>
      <c r="N786" s="86"/>
      <c r="O786" s="84" t="str">
        <f>IFERROR(VLOOKUP(CONCATENATE($B786,"_",O$3),materiali!$C:$K,5,0),"")</f>
        <v/>
      </c>
      <c r="P786" s="85" t="str">
        <f>IFERROR(VLOOKUP(CONCATENATE($B786,"_",P$3),materiali!$C:$K,6,0),"")</f>
        <v/>
      </c>
      <c r="Q786" s="86"/>
      <c r="R786" s="84" t="str">
        <f>IFERROR(VLOOKUP(CONCATENATE($B786,"_",R$3),materiali!$C:$K,5,0),"")</f>
        <v/>
      </c>
      <c r="S786" s="85" t="str">
        <f>IFERROR(VLOOKUP(CONCATENATE($B786,"_",S$3),materiali!$C:$K,6,0),"")</f>
        <v/>
      </c>
      <c r="T786" s="86"/>
      <c r="U786" s="31"/>
      <c r="AD786" s="97"/>
    </row>
    <row r="787" spans="1:30" ht="35.1" hidden="1" customHeight="1" x14ac:dyDescent="0.25">
      <c r="A787" s="83"/>
      <c r="B787" s="7"/>
      <c r="C787" s="8"/>
      <c r="D787" s="8"/>
      <c r="E787" s="60"/>
      <c r="F787" s="84" t="str">
        <f>IFERROR(VLOOKUP(CONCATENATE($B787,"_",F$3),materiali!$C:$K,5,0),"")</f>
        <v/>
      </c>
      <c r="G787" s="85" t="str">
        <f>IFERROR(VLOOKUP(CONCATENATE($B787,"_",G$3),materiali!$C:$K,6,0),"")</f>
        <v/>
      </c>
      <c r="H787" s="86"/>
      <c r="I787" s="84" t="str">
        <f>IFERROR(VLOOKUP(CONCATENATE($B787,"_",I$3),materiali!$C:$K,5,0),"")</f>
        <v/>
      </c>
      <c r="J787" s="85" t="str">
        <f>IFERROR(VLOOKUP(CONCATENATE($B787,"_",J$3),materiali!$C:$K,6,0),"")</f>
        <v/>
      </c>
      <c r="K787" s="86"/>
      <c r="L787" s="84" t="str">
        <f>IFERROR(VLOOKUP(CONCATENATE($B787,"_",L$3),materiali!$C:$K,5,0),"")</f>
        <v/>
      </c>
      <c r="M787" s="85" t="str">
        <f>IFERROR(VLOOKUP(CONCATENATE($B787,"_",M$3),materiali!$C:$K,6,0),"")</f>
        <v/>
      </c>
      <c r="N787" s="86"/>
      <c r="O787" s="84" t="str">
        <f>IFERROR(VLOOKUP(CONCATENATE($B787,"_",O$3),materiali!$C:$K,5,0),"")</f>
        <v/>
      </c>
      <c r="P787" s="85" t="str">
        <f>IFERROR(VLOOKUP(CONCATENATE($B787,"_",P$3),materiali!$C:$K,6,0),"")</f>
        <v/>
      </c>
      <c r="Q787" s="86"/>
      <c r="R787" s="84" t="str">
        <f>IFERROR(VLOOKUP(CONCATENATE($B787,"_",R$3),materiali!$C:$K,5,0),"")</f>
        <v/>
      </c>
      <c r="S787" s="85" t="str">
        <f>IFERROR(VLOOKUP(CONCATENATE($B787,"_",S$3),materiali!$C:$K,6,0),"")</f>
        <v/>
      </c>
      <c r="T787" s="86"/>
      <c r="U787" s="31"/>
      <c r="AD787" s="97"/>
    </row>
    <row r="788" spans="1:30" ht="35.1" hidden="1" customHeight="1" x14ac:dyDescent="0.25">
      <c r="A788" s="83"/>
      <c r="B788" s="7"/>
      <c r="C788" s="8"/>
      <c r="D788" s="8"/>
      <c r="E788" s="60"/>
      <c r="F788" s="84" t="str">
        <f>IFERROR(VLOOKUP(CONCATENATE($B788,"_",F$3),materiali!$C:$K,5,0),"")</f>
        <v/>
      </c>
      <c r="G788" s="85" t="str">
        <f>IFERROR(VLOOKUP(CONCATENATE($B788,"_",G$3),materiali!$C:$K,6,0),"")</f>
        <v/>
      </c>
      <c r="H788" s="86"/>
      <c r="I788" s="84" t="str">
        <f>IFERROR(VLOOKUP(CONCATENATE($B788,"_",I$3),materiali!$C:$K,5,0),"")</f>
        <v/>
      </c>
      <c r="J788" s="85" t="str">
        <f>IFERROR(VLOOKUP(CONCATENATE($B788,"_",J$3),materiali!$C:$K,6,0),"")</f>
        <v/>
      </c>
      <c r="K788" s="86"/>
      <c r="L788" s="84" t="str">
        <f>IFERROR(VLOOKUP(CONCATENATE($B788,"_",L$3),materiali!$C:$K,5,0),"")</f>
        <v/>
      </c>
      <c r="M788" s="85" t="str">
        <f>IFERROR(VLOOKUP(CONCATENATE($B788,"_",M$3),materiali!$C:$K,6,0),"")</f>
        <v/>
      </c>
      <c r="N788" s="86"/>
      <c r="O788" s="84" t="str">
        <f>IFERROR(VLOOKUP(CONCATENATE($B788,"_",O$3),materiali!$C:$K,5,0),"")</f>
        <v/>
      </c>
      <c r="P788" s="85" t="str">
        <f>IFERROR(VLOOKUP(CONCATENATE($B788,"_",P$3),materiali!$C:$K,6,0),"")</f>
        <v/>
      </c>
      <c r="Q788" s="86"/>
      <c r="R788" s="84" t="str">
        <f>IFERROR(VLOOKUP(CONCATENATE($B788,"_",R$3),materiali!$C:$K,5,0),"")</f>
        <v/>
      </c>
      <c r="S788" s="85" t="str">
        <f>IFERROR(VLOOKUP(CONCATENATE($B788,"_",S$3),materiali!$C:$K,6,0),"")</f>
        <v/>
      </c>
      <c r="T788" s="86"/>
      <c r="U788" s="31"/>
      <c r="AD788" s="97"/>
    </row>
    <row r="789" spans="1:30" ht="35.1" hidden="1" customHeight="1" x14ac:dyDescent="0.25">
      <c r="A789" s="83"/>
      <c r="B789" s="7"/>
      <c r="C789" s="8"/>
      <c r="D789" s="8"/>
      <c r="E789" s="60"/>
      <c r="F789" s="84" t="str">
        <f>IFERROR(VLOOKUP(CONCATENATE($B789,"_",F$3),materiali!$C:$K,5,0),"")</f>
        <v/>
      </c>
      <c r="G789" s="85" t="str">
        <f>IFERROR(VLOOKUP(CONCATENATE($B789,"_",G$3),materiali!$C:$K,6,0),"")</f>
        <v/>
      </c>
      <c r="H789" s="86"/>
      <c r="I789" s="84" t="str">
        <f>IFERROR(VLOOKUP(CONCATENATE($B789,"_",I$3),materiali!$C:$K,5,0),"")</f>
        <v/>
      </c>
      <c r="J789" s="85" t="str">
        <f>IFERROR(VLOOKUP(CONCATENATE($B789,"_",J$3),materiali!$C:$K,6,0),"")</f>
        <v/>
      </c>
      <c r="K789" s="86"/>
      <c r="L789" s="84" t="str">
        <f>IFERROR(VLOOKUP(CONCATENATE($B789,"_",L$3),materiali!$C:$K,5,0),"")</f>
        <v/>
      </c>
      <c r="M789" s="85" t="str">
        <f>IFERROR(VLOOKUP(CONCATENATE($B789,"_",M$3),materiali!$C:$K,6,0),"")</f>
        <v/>
      </c>
      <c r="N789" s="86"/>
      <c r="O789" s="84" t="str">
        <f>IFERROR(VLOOKUP(CONCATENATE($B789,"_",O$3),materiali!$C:$K,5,0),"")</f>
        <v/>
      </c>
      <c r="P789" s="85" t="str">
        <f>IFERROR(VLOOKUP(CONCATENATE($B789,"_",P$3),materiali!$C:$K,6,0),"")</f>
        <v/>
      </c>
      <c r="Q789" s="86"/>
      <c r="R789" s="84" t="str">
        <f>IFERROR(VLOOKUP(CONCATENATE($B789,"_",R$3),materiali!$C:$K,5,0),"")</f>
        <v/>
      </c>
      <c r="S789" s="85" t="str">
        <f>IFERROR(VLOOKUP(CONCATENATE($B789,"_",S$3),materiali!$C:$K,6,0),"")</f>
        <v/>
      </c>
      <c r="T789" s="86"/>
      <c r="U789" s="31"/>
      <c r="AD789" s="97"/>
    </row>
    <row r="790" spans="1:30" ht="35.1" hidden="1" customHeight="1" x14ac:dyDescent="0.25">
      <c r="A790" s="83"/>
      <c r="B790" s="7"/>
      <c r="C790" s="8"/>
      <c r="D790" s="8"/>
      <c r="E790" s="60"/>
      <c r="F790" s="84" t="str">
        <f>IFERROR(VLOOKUP(CONCATENATE($B790,"_",F$3),materiali!$C:$K,5,0),"")</f>
        <v/>
      </c>
      <c r="G790" s="85" t="str">
        <f>IFERROR(VLOOKUP(CONCATENATE($B790,"_",G$3),materiali!$C:$K,6,0),"")</f>
        <v/>
      </c>
      <c r="H790" s="86"/>
      <c r="I790" s="84" t="str">
        <f>IFERROR(VLOOKUP(CONCATENATE($B790,"_",I$3),materiali!$C:$K,5,0),"")</f>
        <v/>
      </c>
      <c r="J790" s="85" t="str">
        <f>IFERROR(VLOOKUP(CONCATENATE($B790,"_",J$3),materiali!$C:$K,6,0),"")</f>
        <v/>
      </c>
      <c r="K790" s="86"/>
      <c r="L790" s="84" t="str">
        <f>IFERROR(VLOOKUP(CONCATENATE($B790,"_",L$3),materiali!$C:$K,5,0),"")</f>
        <v/>
      </c>
      <c r="M790" s="85" t="str">
        <f>IFERROR(VLOOKUP(CONCATENATE($B790,"_",M$3),materiali!$C:$K,6,0),"")</f>
        <v/>
      </c>
      <c r="N790" s="86"/>
      <c r="O790" s="84" t="str">
        <f>IFERROR(VLOOKUP(CONCATENATE($B790,"_",O$3),materiali!$C:$K,5,0),"")</f>
        <v/>
      </c>
      <c r="P790" s="85" t="str">
        <f>IFERROR(VLOOKUP(CONCATENATE($B790,"_",P$3),materiali!$C:$K,6,0),"")</f>
        <v/>
      </c>
      <c r="Q790" s="86"/>
      <c r="R790" s="84" t="str">
        <f>IFERROR(VLOOKUP(CONCATENATE($B790,"_",R$3),materiali!$C:$K,5,0),"")</f>
        <v/>
      </c>
      <c r="S790" s="85" t="str">
        <f>IFERROR(VLOOKUP(CONCATENATE($B790,"_",S$3),materiali!$C:$K,6,0),"")</f>
        <v/>
      </c>
      <c r="T790" s="86"/>
      <c r="U790" s="31"/>
      <c r="AD790" s="97"/>
    </row>
    <row r="791" spans="1:30" ht="35.1" hidden="1" customHeight="1" x14ac:dyDescent="0.25">
      <c r="A791" s="83"/>
      <c r="B791" s="7"/>
      <c r="C791" s="8"/>
      <c r="D791" s="8"/>
      <c r="E791" s="60"/>
      <c r="F791" s="84" t="str">
        <f>IFERROR(VLOOKUP(CONCATENATE($B791,"_",F$3),materiali!$C:$K,5,0),"")</f>
        <v/>
      </c>
      <c r="G791" s="85" t="str">
        <f>IFERROR(VLOOKUP(CONCATENATE($B791,"_",G$3),materiali!$C:$K,6,0),"")</f>
        <v/>
      </c>
      <c r="H791" s="86"/>
      <c r="I791" s="84" t="str">
        <f>IFERROR(VLOOKUP(CONCATENATE($B791,"_",I$3),materiali!$C:$K,5,0),"")</f>
        <v/>
      </c>
      <c r="J791" s="85" t="str">
        <f>IFERROR(VLOOKUP(CONCATENATE($B791,"_",J$3),materiali!$C:$K,6,0),"")</f>
        <v/>
      </c>
      <c r="K791" s="86"/>
      <c r="L791" s="84" t="str">
        <f>IFERROR(VLOOKUP(CONCATENATE($B791,"_",L$3),materiali!$C:$K,5,0),"")</f>
        <v/>
      </c>
      <c r="M791" s="85" t="str">
        <f>IFERROR(VLOOKUP(CONCATENATE($B791,"_",M$3),materiali!$C:$K,6,0),"")</f>
        <v/>
      </c>
      <c r="N791" s="86"/>
      <c r="O791" s="84" t="str">
        <f>IFERROR(VLOOKUP(CONCATENATE($B791,"_",O$3),materiali!$C:$K,5,0),"")</f>
        <v/>
      </c>
      <c r="P791" s="85" t="str">
        <f>IFERROR(VLOOKUP(CONCATENATE($B791,"_",P$3),materiali!$C:$K,6,0),"")</f>
        <v/>
      </c>
      <c r="Q791" s="86"/>
      <c r="R791" s="84" t="str">
        <f>IFERROR(VLOOKUP(CONCATENATE($B791,"_",R$3),materiali!$C:$K,5,0),"")</f>
        <v/>
      </c>
      <c r="S791" s="85" t="str">
        <f>IFERROR(VLOOKUP(CONCATENATE($B791,"_",S$3),materiali!$C:$K,6,0),"")</f>
        <v/>
      </c>
      <c r="T791" s="86"/>
      <c r="U791" s="31"/>
      <c r="AD791" s="97"/>
    </row>
    <row r="792" spans="1:30" ht="35.1" hidden="1" customHeight="1" x14ac:dyDescent="0.25">
      <c r="A792" s="83"/>
      <c r="B792" s="7"/>
      <c r="C792" s="8"/>
      <c r="D792" s="8"/>
      <c r="E792" s="60"/>
      <c r="F792" s="84" t="str">
        <f>IFERROR(VLOOKUP(CONCATENATE($B792,"_",F$3),materiali!$C:$K,5,0),"")</f>
        <v/>
      </c>
      <c r="G792" s="85" t="str">
        <f>IFERROR(VLOOKUP(CONCATENATE($B792,"_",G$3),materiali!$C:$K,6,0),"")</f>
        <v/>
      </c>
      <c r="H792" s="86"/>
      <c r="I792" s="84" t="str">
        <f>IFERROR(VLOOKUP(CONCATENATE($B792,"_",I$3),materiali!$C:$K,5,0),"")</f>
        <v/>
      </c>
      <c r="J792" s="85" t="str">
        <f>IFERROR(VLOOKUP(CONCATENATE($B792,"_",J$3),materiali!$C:$K,6,0),"")</f>
        <v/>
      </c>
      <c r="K792" s="86"/>
      <c r="L792" s="84" t="str">
        <f>IFERROR(VLOOKUP(CONCATENATE($B792,"_",L$3),materiali!$C:$K,5,0),"")</f>
        <v/>
      </c>
      <c r="M792" s="85" t="str">
        <f>IFERROR(VLOOKUP(CONCATENATE($B792,"_",M$3),materiali!$C:$K,6,0),"")</f>
        <v/>
      </c>
      <c r="N792" s="86"/>
      <c r="O792" s="84" t="str">
        <f>IFERROR(VLOOKUP(CONCATENATE($B792,"_",O$3),materiali!$C:$K,5,0),"")</f>
        <v/>
      </c>
      <c r="P792" s="85" t="str">
        <f>IFERROR(VLOOKUP(CONCATENATE($B792,"_",P$3),materiali!$C:$K,6,0),"")</f>
        <v/>
      </c>
      <c r="Q792" s="86"/>
      <c r="R792" s="84" t="str">
        <f>IFERROR(VLOOKUP(CONCATENATE($B792,"_",R$3),materiali!$C:$K,5,0),"")</f>
        <v/>
      </c>
      <c r="S792" s="85" t="str">
        <f>IFERROR(VLOOKUP(CONCATENATE($B792,"_",S$3),materiali!$C:$K,6,0),"")</f>
        <v/>
      </c>
      <c r="T792" s="86"/>
      <c r="U792" s="31"/>
      <c r="AD792" s="97"/>
    </row>
    <row r="793" spans="1:30" ht="35.1" hidden="1" customHeight="1" x14ac:dyDescent="0.25">
      <c r="A793" s="83"/>
      <c r="B793" s="7"/>
      <c r="C793" s="8"/>
      <c r="D793" s="8"/>
      <c r="E793" s="60"/>
      <c r="F793" s="84" t="str">
        <f>IFERROR(VLOOKUP(CONCATENATE($B793,"_",F$3),materiali!$C:$K,5,0),"")</f>
        <v/>
      </c>
      <c r="G793" s="85" t="str">
        <f>IFERROR(VLOOKUP(CONCATENATE($B793,"_",G$3),materiali!$C:$K,6,0),"")</f>
        <v/>
      </c>
      <c r="H793" s="86"/>
      <c r="I793" s="84" t="str">
        <f>IFERROR(VLOOKUP(CONCATENATE($B793,"_",I$3),materiali!$C:$K,5,0),"")</f>
        <v/>
      </c>
      <c r="J793" s="85" t="str">
        <f>IFERROR(VLOOKUP(CONCATENATE($B793,"_",J$3),materiali!$C:$K,6,0),"")</f>
        <v/>
      </c>
      <c r="K793" s="86"/>
      <c r="L793" s="84" t="str">
        <f>IFERROR(VLOOKUP(CONCATENATE($B793,"_",L$3),materiali!$C:$K,5,0),"")</f>
        <v/>
      </c>
      <c r="M793" s="85" t="str">
        <f>IFERROR(VLOOKUP(CONCATENATE($B793,"_",M$3),materiali!$C:$K,6,0),"")</f>
        <v/>
      </c>
      <c r="N793" s="86"/>
      <c r="O793" s="84" t="str">
        <f>IFERROR(VLOOKUP(CONCATENATE($B793,"_",O$3),materiali!$C:$K,5,0),"")</f>
        <v/>
      </c>
      <c r="P793" s="85" t="str">
        <f>IFERROR(VLOOKUP(CONCATENATE($B793,"_",P$3),materiali!$C:$K,6,0),"")</f>
        <v/>
      </c>
      <c r="Q793" s="86"/>
      <c r="R793" s="84" t="str">
        <f>IFERROR(VLOOKUP(CONCATENATE($B793,"_",R$3),materiali!$C:$K,5,0),"")</f>
        <v/>
      </c>
      <c r="S793" s="85" t="str">
        <f>IFERROR(VLOOKUP(CONCATENATE($B793,"_",S$3),materiali!$C:$K,6,0),"")</f>
        <v/>
      </c>
      <c r="T793" s="86"/>
      <c r="U793" s="31"/>
      <c r="AD793" s="97"/>
    </row>
    <row r="794" spans="1:30" ht="35.1" hidden="1" customHeight="1" x14ac:dyDescent="0.25">
      <c r="A794" s="83"/>
      <c r="B794" s="7"/>
      <c r="C794" s="8"/>
      <c r="D794" s="8"/>
      <c r="E794" s="60"/>
      <c r="F794" s="84" t="str">
        <f>IFERROR(VLOOKUP(CONCATENATE($B794,"_",F$3),materiali!$C:$K,5,0),"")</f>
        <v/>
      </c>
      <c r="G794" s="85" t="str">
        <f>IFERROR(VLOOKUP(CONCATENATE($B794,"_",G$3),materiali!$C:$K,6,0),"")</f>
        <v/>
      </c>
      <c r="H794" s="86"/>
      <c r="I794" s="84" t="str">
        <f>IFERROR(VLOOKUP(CONCATENATE($B794,"_",I$3),materiali!$C:$K,5,0),"")</f>
        <v/>
      </c>
      <c r="J794" s="85" t="str">
        <f>IFERROR(VLOOKUP(CONCATENATE($B794,"_",J$3),materiali!$C:$K,6,0),"")</f>
        <v/>
      </c>
      <c r="K794" s="86"/>
      <c r="L794" s="84" t="str">
        <f>IFERROR(VLOOKUP(CONCATENATE($B794,"_",L$3),materiali!$C:$K,5,0),"")</f>
        <v/>
      </c>
      <c r="M794" s="85" t="str">
        <f>IFERROR(VLOOKUP(CONCATENATE($B794,"_",M$3),materiali!$C:$K,6,0),"")</f>
        <v/>
      </c>
      <c r="N794" s="86"/>
      <c r="O794" s="84" t="str">
        <f>IFERROR(VLOOKUP(CONCATENATE($B794,"_",O$3),materiali!$C:$K,5,0),"")</f>
        <v/>
      </c>
      <c r="P794" s="85" t="str">
        <f>IFERROR(VLOOKUP(CONCATENATE($B794,"_",P$3),materiali!$C:$K,6,0),"")</f>
        <v/>
      </c>
      <c r="Q794" s="86"/>
      <c r="R794" s="84" t="str">
        <f>IFERROR(VLOOKUP(CONCATENATE($B794,"_",R$3),materiali!$C:$K,5,0),"")</f>
        <v/>
      </c>
      <c r="S794" s="85" t="str">
        <f>IFERROR(VLOOKUP(CONCATENATE($B794,"_",S$3),materiali!$C:$K,6,0),"")</f>
        <v/>
      </c>
      <c r="T794" s="86"/>
      <c r="U794" s="31"/>
      <c r="AD794" s="97"/>
    </row>
    <row r="795" spans="1:30" ht="35.1" hidden="1" customHeight="1" x14ac:dyDescent="0.25">
      <c r="A795" s="83"/>
      <c r="B795" s="7"/>
      <c r="C795" s="8"/>
      <c r="D795" s="8"/>
      <c r="E795" s="60"/>
      <c r="F795" s="84" t="str">
        <f>IFERROR(VLOOKUP(CONCATENATE($B795,"_",F$3),materiali!$C:$K,5,0),"")</f>
        <v/>
      </c>
      <c r="G795" s="85" t="str">
        <f>IFERROR(VLOOKUP(CONCATENATE($B795,"_",G$3),materiali!$C:$K,6,0),"")</f>
        <v/>
      </c>
      <c r="H795" s="86"/>
      <c r="I795" s="84" t="str">
        <f>IFERROR(VLOOKUP(CONCATENATE($B795,"_",I$3),materiali!$C:$K,5,0),"")</f>
        <v/>
      </c>
      <c r="J795" s="85" t="str">
        <f>IFERROR(VLOOKUP(CONCATENATE($B795,"_",J$3),materiali!$C:$K,6,0),"")</f>
        <v/>
      </c>
      <c r="K795" s="86"/>
      <c r="L795" s="84" t="str">
        <f>IFERROR(VLOOKUP(CONCATENATE($B795,"_",L$3),materiali!$C:$K,5,0),"")</f>
        <v/>
      </c>
      <c r="M795" s="85" t="str">
        <f>IFERROR(VLOOKUP(CONCATENATE($B795,"_",M$3),materiali!$C:$K,6,0),"")</f>
        <v/>
      </c>
      <c r="N795" s="86"/>
      <c r="O795" s="84" t="str">
        <f>IFERROR(VLOOKUP(CONCATENATE($B795,"_",O$3),materiali!$C:$K,5,0),"")</f>
        <v/>
      </c>
      <c r="P795" s="85" t="str">
        <f>IFERROR(VLOOKUP(CONCATENATE($B795,"_",P$3),materiali!$C:$K,6,0),"")</f>
        <v/>
      </c>
      <c r="Q795" s="86"/>
      <c r="R795" s="84" t="str">
        <f>IFERROR(VLOOKUP(CONCATENATE($B795,"_",R$3),materiali!$C:$K,5,0),"")</f>
        <v/>
      </c>
      <c r="S795" s="85" t="str">
        <f>IFERROR(VLOOKUP(CONCATENATE($B795,"_",S$3),materiali!$C:$K,6,0),"")</f>
        <v/>
      </c>
      <c r="T795" s="86"/>
      <c r="U795" s="31"/>
      <c r="AD795" s="97"/>
    </row>
    <row r="796" spans="1:30" ht="35.1" hidden="1" customHeight="1" x14ac:dyDescent="0.25">
      <c r="A796" s="83"/>
      <c r="B796" s="7"/>
      <c r="C796" s="8"/>
      <c r="D796" s="8"/>
      <c r="E796" s="60"/>
      <c r="F796" s="84" t="str">
        <f>IFERROR(VLOOKUP(CONCATENATE($B796,"_",F$3),materiali!$C:$K,5,0),"")</f>
        <v/>
      </c>
      <c r="G796" s="85" t="str">
        <f>IFERROR(VLOOKUP(CONCATENATE($B796,"_",G$3),materiali!$C:$K,6,0),"")</f>
        <v/>
      </c>
      <c r="H796" s="86"/>
      <c r="I796" s="84" t="str">
        <f>IFERROR(VLOOKUP(CONCATENATE($B796,"_",I$3),materiali!$C:$K,5,0),"")</f>
        <v/>
      </c>
      <c r="J796" s="85" t="str">
        <f>IFERROR(VLOOKUP(CONCATENATE($B796,"_",J$3),materiali!$C:$K,6,0),"")</f>
        <v/>
      </c>
      <c r="K796" s="86"/>
      <c r="L796" s="84" t="str">
        <f>IFERROR(VLOOKUP(CONCATENATE($B796,"_",L$3),materiali!$C:$K,5,0),"")</f>
        <v/>
      </c>
      <c r="M796" s="85" t="str">
        <f>IFERROR(VLOOKUP(CONCATENATE($B796,"_",M$3),materiali!$C:$K,6,0),"")</f>
        <v/>
      </c>
      <c r="N796" s="86"/>
      <c r="O796" s="84" t="str">
        <f>IFERROR(VLOOKUP(CONCATENATE($B796,"_",O$3),materiali!$C:$K,5,0),"")</f>
        <v/>
      </c>
      <c r="P796" s="85" t="str">
        <f>IFERROR(VLOOKUP(CONCATENATE($B796,"_",P$3),materiali!$C:$K,6,0),"")</f>
        <v/>
      </c>
      <c r="Q796" s="86"/>
      <c r="R796" s="84" t="str">
        <f>IFERROR(VLOOKUP(CONCATENATE($B796,"_",R$3),materiali!$C:$K,5,0),"")</f>
        <v/>
      </c>
      <c r="S796" s="85" t="str">
        <f>IFERROR(VLOOKUP(CONCATENATE($B796,"_",S$3),materiali!$C:$K,6,0),"")</f>
        <v/>
      </c>
      <c r="T796" s="86"/>
      <c r="U796" s="31"/>
      <c r="AD796" s="97"/>
    </row>
    <row r="797" spans="1:30" ht="35.1" hidden="1" customHeight="1" x14ac:dyDescent="0.25">
      <c r="A797" s="83"/>
      <c r="B797" s="7"/>
      <c r="C797" s="8"/>
      <c r="D797" s="8"/>
      <c r="E797" s="60"/>
      <c r="F797" s="84" t="str">
        <f>IFERROR(VLOOKUP(CONCATENATE($B797,"_",F$3),materiali!$C:$K,5,0),"")</f>
        <v/>
      </c>
      <c r="G797" s="85" t="str">
        <f>IFERROR(VLOOKUP(CONCATENATE($B797,"_",G$3),materiali!$C:$K,6,0),"")</f>
        <v/>
      </c>
      <c r="H797" s="86"/>
      <c r="I797" s="84" t="str">
        <f>IFERROR(VLOOKUP(CONCATENATE($B797,"_",I$3),materiali!$C:$K,5,0),"")</f>
        <v/>
      </c>
      <c r="J797" s="85" t="str">
        <f>IFERROR(VLOOKUP(CONCATENATE($B797,"_",J$3),materiali!$C:$K,6,0),"")</f>
        <v/>
      </c>
      <c r="K797" s="86"/>
      <c r="L797" s="84" t="str">
        <f>IFERROR(VLOOKUP(CONCATENATE($B797,"_",L$3),materiali!$C:$K,5,0),"")</f>
        <v/>
      </c>
      <c r="M797" s="85" t="str">
        <f>IFERROR(VLOOKUP(CONCATENATE($B797,"_",M$3),materiali!$C:$K,6,0),"")</f>
        <v/>
      </c>
      <c r="N797" s="86"/>
      <c r="O797" s="84" t="str">
        <f>IFERROR(VLOOKUP(CONCATENATE($B797,"_",O$3),materiali!$C:$K,5,0),"")</f>
        <v/>
      </c>
      <c r="P797" s="85" t="str">
        <f>IFERROR(VLOOKUP(CONCATENATE($B797,"_",P$3),materiali!$C:$K,6,0),"")</f>
        <v/>
      </c>
      <c r="Q797" s="86"/>
      <c r="R797" s="84" t="str">
        <f>IFERROR(VLOOKUP(CONCATENATE($B797,"_",R$3),materiali!$C:$K,5,0),"")</f>
        <v/>
      </c>
      <c r="S797" s="85" t="str">
        <f>IFERROR(VLOOKUP(CONCATENATE($B797,"_",S$3),materiali!$C:$K,6,0),"")</f>
        <v/>
      </c>
      <c r="T797" s="86"/>
      <c r="U797" s="31"/>
      <c r="AD797" s="97"/>
    </row>
    <row r="798" spans="1:30" ht="35.1" hidden="1" customHeight="1" x14ac:dyDescent="0.25">
      <c r="A798" s="83"/>
      <c r="B798" s="7"/>
      <c r="C798" s="8"/>
      <c r="D798" s="8"/>
      <c r="E798" s="60"/>
      <c r="F798" s="84" t="str">
        <f>IFERROR(VLOOKUP(CONCATENATE($B798,"_",F$3),materiali!$C:$K,5,0),"")</f>
        <v/>
      </c>
      <c r="G798" s="85" t="str">
        <f>IFERROR(VLOOKUP(CONCATENATE($B798,"_",G$3),materiali!$C:$K,6,0),"")</f>
        <v/>
      </c>
      <c r="H798" s="86"/>
      <c r="I798" s="84" t="str">
        <f>IFERROR(VLOOKUP(CONCATENATE($B798,"_",I$3),materiali!$C:$K,5,0),"")</f>
        <v/>
      </c>
      <c r="J798" s="85" t="str">
        <f>IFERROR(VLOOKUP(CONCATENATE($B798,"_",J$3),materiali!$C:$K,6,0),"")</f>
        <v/>
      </c>
      <c r="K798" s="86"/>
      <c r="L798" s="84" t="str">
        <f>IFERROR(VLOOKUP(CONCATENATE($B798,"_",L$3),materiali!$C:$K,5,0),"")</f>
        <v/>
      </c>
      <c r="M798" s="85" t="str">
        <f>IFERROR(VLOOKUP(CONCATENATE($B798,"_",M$3),materiali!$C:$K,6,0),"")</f>
        <v/>
      </c>
      <c r="N798" s="86"/>
      <c r="O798" s="84" t="str">
        <f>IFERROR(VLOOKUP(CONCATENATE($B798,"_",O$3),materiali!$C:$K,5,0),"")</f>
        <v/>
      </c>
      <c r="P798" s="85" t="str">
        <f>IFERROR(VLOOKUP(CONCATENATE($B798,"_",P$3),materiali!$C:$K,6,0),"")</f>
        <v/>
      </c>
      <c r="Q798" s="86"/>
      <c r="R798" s="84" t="str">
        <f>IFERROR(VLOOKUP(CONCATENATE($B798,"_",R$3),materiali!$C:$K,5,0),"")</f>
        <v/>
      </c>
      <c r="S798" s="85" t="str">
        <f>IFERROR(VLOOKUP(CONCATENATE($B798,"_",S$3),materiali!$C:$K,6,0),"")</f>
        <v/>
      </c>
      <c r="T798" s="86"/>
      <c r="U798" s="31"/>
      <c r="AD798" s="97"/>
    </row>
    <row r="799" spans="1:30" ht="35.1" hidden="1" customHeight="1" x14ac:dyDescent="0.25">
      <c r="A799" s="83"/>
      <c r="B799" s="7"/>
      <c r="C799" s="8"/>
      <c r="D799" s="8"/>
      <c r="E799" s="60"/>
      <c r="F799" s="84" t="str">
        <f>IFERROR(VLOOKUP(CONCATENATE($B799,"_",F$3),materiali!$C:$K,5,0),"")</f>
        <v/>
      </c>
      <c r="G799" s="85" t="str">
        <f>IFERROR(VLOOKUP(CONCATENATE($B799,"_",G$3),materiali!$C:$K,6,0),"")</f>
        <v/>
      </c>
      <c r="H799" s="86"/>
      <c r="I799" s="84" t="str">
        <f>IFERROR(VLOOKUP(CONCATENATE($B799,"_",I$3),materiali!$C:$K,5,0),"")</f>
        <v/>
      </c>
      <c r="J799" s="85" t="str">
        <f>IFERROR(VLOOKUP(CONCATENATE($B799,"_",J$3),materiali!$C:$K,6,0),"")</f>
        <v/>
      </c>
      <c r="K799" s="86"/>
      <c r="L799" s="84" t="str">
        <f>IFERROR(VLOOKUP(CONCATENATE($B799,"_",L$3),materiali!$C:$K,5,0),"")</f>
        <v/>
      </c>
      <c r="M799" s="85" t="str">
        <f>IFERROR(VLOOKUP(CONCATENATE($B799,"_",M$3),materiali!$C:$K,6,0),"")</f>
        <v/>
      </c>
      <c r="N799" s="86"/>
      <c r="O799" s="84" t="str">
        <f>IFERROR(VLOOKUP(CONCATENATE($B799,"_",O$3),materiali!$C:$K,5,0),"")</f>
        <v/>
      </c>
      <c r="P799" s="85" t="str">
        <f>IFERROR(VLOOKUP(CONCATENATE($B799,"_",P$3),materiali!$C:$K,6,0),"")</f>
        <v/>
      </c>
      <c r="Q799" s="86"/>
      <c r="R799" s="84" t="str">
        <f>IFERROR(VLOOKUP(CONCATENATE($B799,"_",R$3),materiali!$C:$K,5,0),"")</f>
        <v/>
      </c>
      <c r="S799" s="85" t="str">
        <f>IFERROR(VLOOKUP(CONCATENATE($B799,"_",S$3),materiali!$C:$K,6,0),"")</f>
        <v/>
      </c>
      <c r="T799" s="86"/>
      <c r="U799" s="31"/>
      <c r="AD799" s="97"/>
    </row>
    <row r="800" spans="1:30" ht="35.1" hidden="1" customHeight="1" x14ac:dyDescent="0.25">
      <c r="A800" s="83"/>
      <c r="B800" s="7"/>
      <c r="C800" s="8"/>
      <c r="D800" s="8"/>
      <c r="E800" s="60"/>
      <c r="F800" s="84" t="str">
        <f>IFERROR(VLOOKUP(CONCATENATE($B800,"_",F$3),materiali!$C:$K,5,0),"")</f>
        <v/>
      </c>
      <c r="G800" s="85" t="str">
        <f>IFERROR(VLOOKUP(CONCATENATE($B800,"_",G$3),materiali!$C:$K,6,0),"")</f>
        <v/>
      </c>
      <c r="H800" s="86"/>
      <c r="I800" s="84" t="str">
        <f>IFERROR(VLOOKUP(CONCATENATE($B800,"_",I$3),materiali!$C:$K,5,0),"")</f>
        <v/>
      </c>
      <c r="J800" s="85" t="str">
        <f>IFERROR(VLOOKUP(CONCATENATE($B800,"_",J$3),materiali!$C:$K,6,0),"")</f>
        <v/>
      </c>
      <c r="K800" s="86"/>
      <c r="L800" s="84" t="str">
        <f>IFERROR(VLOOKUP(CONCATENATE($B800,"_",L$3),materiali!$C:$K,5,0),"")</f>
        <v/>
      </c>
      <c r="M800" s="85" t="str">
        <f>IFERROR(VLOOKUP(CONCATENATE($B800,"_",M$3),materiali!$C:$K,6,0),"")</f>
        <v/>
      </c>
      <c r="N800" s="86"/>
      <c r="O800" s="84" t="str">
        <f>IFERROR(VLOOKUP(CONCATENATE($B800,"_",O$3),materiali!$C:$K,5,0),"")</f>
        <v/>
      </c>
      <c r="P800" s="85" t="str">
        <f>IFERROR(VLOOKUP(CONCATENATE($B800,"_",P$3),materiali!$C:$K,6,0),"")</f>
        <v/>
      </c>
      <c r="Q800" s="86"/>
      <c r="R800" s="84" t="str">
        <f>IFERROR(VLOOKUP(CONCATENATE($B800,"_",R$3),materiali!$C:$K,5,0),"")</f>
        <v/>
      </c>
      <c r="S800" s="85" t="str">
        <f>IFERROR(VLOOKUP(CONCATENATE($B800,"_",S$3),materiali!$C:$K,6,0),"")</f>
        <v/>
      </c>
      <c r="T800" s="86"/>
      <c r="U800" s="31"/>
      <c r="AD800" s="97"/>
    </row>
    <row r="801" spans="1:30" ht="35.1" hidden="1" customHeight="1" x14ac:dyDescent="0.25">
      <c r="A801" s="83"/>
      <c r="B801" s="7"/>
      <c r="C801" s="8"/>
      <c r="D801" s="8"/>
      <c r="E801" s="60"/>
      <c r="F801" s="84" t="str">
        <f>IFERROR(VLOOKUP(CONCATENATE($B801,"_",F$3),materiali!$C:$K,5,0),"")</f>
        <v/>
      </c>
      <c r="G801" s="85" t="str">
        <f>IFERROR(VLOOKUP(CONCATENATE($B801,"_",G$3),materiali!$C:$K,6,0),"")</f>
        <v/>
      </c>
      <c r="H801" s="86"/>
      <c r="I801" s="84" t="str">
        <f>IFERROR(VLOOKUP(CONCATENATE($B801,"_",I$3),materiali!$C:$K,5,0),"")</f>
        <v/>
      </c>
      <c r="J801" s="85" t="str">
        <f>IFERROR(VLOOKUP(CONCATENATE($B801,"_",J$3),materiali!$C:$K,6,0),"")</f>
        <v/>
      </c>
      <c r="K801" s="86"/>
      <c r="L801" s="84" t="str">
        <f>IFERROR(VLOOKUP(CONCATENATE($B801,"_",L$3),materiali!$C:$K,5,0),"")</f>
        <v/>
      </c>
      <c r="M801" s="85" t="str">
        <f>IFERROR(VLOOKUP(CONCATENATE($B801,"_",M$3),materiali!$C:$K,6,0),"")</f>
        <v/>
      </c>
      <c r="N801" s="86"/>
      <c r="O801" s="84" t="str">
        <f>IFERROR(VLOOKUP(CONCATENATE($B801,"_",O$3),materiali!$C:$K,5,0),"")</f>
        <v/>
      </c>
      <c r="P801" s="85" t="str">
        <f>IFERROR(VLOOKUP(CONCATENATE($B801,"_",P$3),materiali!$C:$K,6,0),"")</f>
        <v/>
      </c>
      <c r="Q801" s="86"/>
      <c r="R801" s="84" t="str">
        <f>IFERROR(VLOOKUP(CONCATENATE($B801,"_",R$3),materiali!$C:$K,5,0),"")</f>
        <v/>
      </c>
      <c r="S801" s="85" t="str">
        <f>IFERROR(VLOOKUP(CONCATENATE($B801,"_",S$3),materiali!$C:$K,6,0),"")</f>
        <v/>
      </c>
      <c r="T801" s="86"/>
      <c r="U801" s="31"/>
      <c r="AD801" s="97"/>
    </row>
    <row r="802" spans="1:30" ht="35.1" hidden="1" customHeight="1" x14ac:dyDescent="0.25">
      <c r="A802" s="83"/>
      <c r="B802" s="7"/>
      <c r="C802" s="8"/>
      <c r="D802" s="8"/>
      <c r="E802" s="60"/>
      <c r="F802" s="84" t="str">
        <f>IFERROR(VLOOKUP(CONCATENATE($B802,"_",F$3),materiali!$C:$K,5,0),"")</f>
        <v/>
      </c>
      <c r="G802" s="85" t="str">
        <f>IFERROR(VLOOKUP(CONCATENATE($B802,"_",G$3),materiali!$C:$K,6,0),"")</f>
        <v/>
      </c>
      <c r="H802" s="86"/>
      <c r="I802" s="84" t="str">
        <f>IFERROR(VLOOKUP(CONCATENATE($B802,"_",I$3),materiali!$C:$K,5,0),"")</f>
        <v/>
      </c>
      <c r="J802" s="85" t="str">
        <f>IFERROR(VLOOKUP(CONCATENATE($B802,"_",J$3),materiali!$C:$K,6,0),"")</f>
        <v/>
      </c>
      <c r="K802" s="86"/>
      <c r="L802" s="84" t="str">
        <f>IFERROR(VLOOKUP(CONCATENATE($B802,"_",L$3),materiali!$C:$K,5,0),"")</f>
        <v/>
      </c>
      <c r="M802" s="85" t="str">
        <f>IFERROR(VLOOKUP(CONCATENATE($B802,"_",M$3),materiali!$C:$K,6,0),"")</f>
        <v/>
      </c>
      <c r="N802" s="86"/>
      <c r="O802" s="84" t="str">
        <f>IFERROR(VLOOKUP(CONCATENATE($B802,"_",O$3),materiali!$C:$K,5,0),"")</f>
        <v/>
      </c>
      <c r="P802" s="85" t="str">
        <f>IFERROR(VLOOKUP(CONCATENATE($B802,"_",P$3),materiali!$C:$K,6,0),"")</f>
        <v/>
      </c>
      <c r="Q802" s="86"/>
      <c r="R802" s="84" t="str">
        <f>IFERROR(VLOOKUP(CONCATENATE($B802,"_",R$3),materiali!$C:$K,5,0),"")</f>
        <v/>
      </c>
      <c r="S802" s="85" t="str">
        <f>IFERROR(VLOOKUP(CONCATENATE($B802,"_",S$3),materiali!$C:$K,6,0),"")</f>
        <v/>
      </c>
      <c r="T802" s="86"/>
      <c r="U802" s="31"/>
      <c r="AD802" s="97"/>
    </row>
    <row r="803" spans="1:30" ht="35.1" hidden="1" customHeight="1" x14ac:dyDescent="0.25">
      <c r="A803" s="83"/>
      <c r="B803" s="7"/>
      <c r="C803" s="8"/>
      <c r="D803" s="8"/>
      <c r="E803" s="60"/>
      <c r="F803" s="84" t="str">
        <f>IFERROR(VLOOKUP(CONCATENATE($B803,"_",F$3),materiali!$C:$K,5,0),"")</f>
        <v/>
      </c>
      <c r="G803" s="85" t="str">
        <f>IFERROR(VLOOKUP(CONCATENATE($B803,"_",G$3),materiali!$C:$K,6,0),"")</f>
        <v/>
      </c>
      <c r="H803" s="86"/>
      <c r="I803" s="84" t="str">
        <f>IFERROR(VLOOKUP(CONCATENATE($B803,"_",I$3),materiali!$C:$K,5,0),"")</f>
        <v/>
      </c>
      <c r="J803" s="85" t="str">
        <f>IFERROR(VLOOKUP(CONCATENATE($B803,"_",J$3),materiali!$C:$K,6,0),"")</f>
        <v/>
      </c>
      <c r="K803" s="86"/>
      <c r="L803" s="84" t="str">
        <f>IFERROR(VLOOKUP(CONCATENATE($B803,"_",L$3),materiali!$C:$K,5,0),"")</f>
        <v/>
      </c>
      <c r="M803" s="85" t="str">
        <f>IFERROR(VLOOKUP(CONCATENATE($B803,"_",M$3),materiali!$C:$K,6,0),"")</f>
        <v/>
      </c>
      <c r="N803" s="86"/>
      <c r="O803" s="84" t="str">
        <f>IFERROR(VLOOKUP(CONCATENATE($B803,"_",O$3),materiali!$C:$K,5,0),"")</f>
        <v/>
      </c>
      <c r="P803" s="85" t="str">
        <f>IFERROR(VLOOKUP(CONCATENATE($B803,"_",P$3),materiali!$C:$K,6,0),"")</f>
        <v/>
      </c>
      <c r="Q803" s="86"/>
      <c r="R803" s="84" t="str">
        <f>IFERROR(VLOOKUP(CONCATENATE($B803,"_",R$3),materiali!$C:$K,5,0),"")</f>
        <v/>
      </c>
      <c r="S803" s="85" t="str">
        <f>IFERROR(VLOOKUP(CONCATENATE($B803,"_",S$3),materiali!$C:$K,6,0),"")</f>
        <v/>
      </c>
      <c r="T803" s="86"/>
      <c r="U803" s="31"/>
      <c r="AD803" s="97"/>
    </row>
    <row r="804" spans="1:30" ht="35.1" hidden="1" customHeight="1" x14ac:dyDescent="0.25">
      <c r="A804" s="83"/>
      <c r="B804" s="7"/>
      <c r="C804" s="8"/>
      <c r="D804" s="8"/>
      <c r="E804" s="60"/>
      <c r="F804" s="84" t="str">
        <f>IFERROR(VLOOKUP(CONCATENATE($B804,"_",F$3),materiali!$C:$K,5,0),"")</f>
        <v/>
      </c>
      <c r="G804" s="85" t="str">
        <f>IFERROR(VLOOKUP(CONCATENATE($B804,"_",G$3),materiali!$C:$K,6,0),"")</f>
        <v/>
      </c>
      <c r="H804" s="86"/>
      <c r="I804" s="84" t="str">
        <f>IFERROR(VLOOKUP(CONCATENATE($B804,"_",I$3),materiali!$C:$K,5,0),"")</f>
        <v/>
      </c>
      <c r="J804" s="85" t="str">
        <f>IFERROR(VLOOKUP(CONCATENATE($B804,"_",J$3),materiali!$C:$K,6,0),"")</f>
        <v/>
      </c>
      <c r="K804" s="86"/>
      <c r="L804" s="84" t="str">
        <f>IFERROR(VLOOKUP(CONCATENATE($B804,"_",L$3),materiali!$C:$K,5,0),"")</f>
        <v/>
      </c>
      <c r="M804" s="85" t="str">
        <f>IFERROR(VLOOKUP(CONCATENATE($B804,"_",M$3),materiali!$C:$K,6,0),"")</f>
        <v/>
      </c>
      <c r="N804" s="86"/>
      <c r="O804" s="84" t="str">
        <f>IFERROR(VLOOKUP(CONCATENATE($B804,"_",O$3),materiali!$C:$K,5,0),"")</f>
        <v/>
      </c>
      <c r="P804" s="85" t="str">
        <f>IFERROR(VLOOKUP(CONCATENATE($B804,"_",P$3),materiali!$C:$K,6,0),"")</f>
        <v/>
      </c>
      <c r="Q804" s="86"/>
      <c r="R804" s="84" t="str">
        <f>IFERROR(VLOOKUP(CONCATENATE($B804,"_",R$3),materiali!$C:$K,5,0),"")</f>
        <v/>
      </c>
      <c r="S804" s="85" t="str">
        <f>IFERROR(VLOOKUP(CONCATENATE($B804,"_",S$3),materiali!$C:$K,6,0),"")</f>
        <v/>
      </c>
      <c r="T804" s="86"/>
      <c r="U804" s="31"/>
      <c r="AD804" s="97"/>
    </row>
    <row r="805" spans="1:30" ht="35.1" hidden="1" customHeight="1" x14ac:dyDescent="0.25">
      <c r="A805" s="83"/>
      <c r="B805" s="7"/>
      <c r="C805" s="8"/>
      <c r="D805" s="8"/>
      <c r="E805" s="60"/>
      <c r="F805" s="84" t="str">
        <f>IFERROR(VLOOKUP(CONCATENATE($B805,"_",F$3),materiali!$C:$K,5,0),"")</f>
        <v/>
      </c>
      <c r="G805" s="85" t="str">
        <f>IFERROR(VLOOKUP(CONCATENATE($B805,"_",G$3),materiali!$C:$K,6,0),"")</f>
        <v/>
      </c>
      <c r="H805" s="86"/>
      <c r="I805" s="84" t="str">
        <f>IFERROR(VLOOKUP(CONCATENATE($B805,"_",I$3),materiali!$C:$K,5,0),"")</f>
        <v/>
      </c>
      <c r="J805" s="85" t="str">
        <f>IFERROR(VLOOKUP(CONCATENATE($B805,"_",J$3),materiali!$C:$K,6,0),"")</f>
        <v/>
      </c>
      <c r="K805" s="86"/>
      <c r="L805" s="84" t="str">
        <f>IFERROR(VLOOKUP(CONCATENATE($B805,"_",L$3),materiali!$C:$K,5,0),"")</f>
        <v/>
      </c>
      <c r="M805" s="85" t="str">
        <f>IFERROR(VLOOKUP(CONCATENATE($B805,"_",M$3),materiali!$C:$K,6,0),"")</f>
        <v/>
      </c>
      <c r="N805" s="86"/>
      <c r="O805" s="84" t="str">
        <f>IFERROR(VLOOKUP(CONCATENATE($B805,"_",O$3),materiali!$C:$K,5,0),"")</f>
        <v/>
      </c>
      <c r="P805" s="85" t="str">
        <f>IFERROR(VLOOKUP(CONCATENATE($B805,"_",P$3),materiali!$C:$K,6,0),"")</f>
        <v/>
      </c>
      <c r="Q805" s="86"/>
      <c r="R805" s="84" t="str">
        <f>IFERROR(VLOOKUP(CONCATENATE($B805,"_",R$3),materiali!$C:$K,5,0),"")</f>
        <v/>
      </c>
      <c r="S805" s="85" t="str">
        <f>IFERROR(VLOOKUP(CONCATENATE($B805,"_",S$3),materiali!$C:$K,6,0),"")</f>
        <v/>
      </c>
      <c r="T805" s="86"/>
      <c r="U805" s="31"/>
      <c r="AD805" s="97"/>
    </row>
    <row r="806" spans="1:30" ht="35.1" hidden="1" customHeight="1" x14ac:dyDescent="0.25">
      <c r="A806" s="83"/>
      <c r="B806" s="7"/>
      <c r="C806" s="8"/>
      <c r="D806" s="8"/>
      <c r="E806" s="60"/>
      <c r="F806" s="84" t="str">
        <f>IFERROR(VLOOKUP(CONCATENATE($B806,"_",F$3),materiali!$C:$K,5,0),"")</f>
        <v/>
      </c>
      <c r="G806" s="85" t="str">
        <f>IFERROR(VLOOKUP(CONCATENATE($B806,"_",G$3),materiali!$C:$K,6,0),"")</f>
        <v/>
      </c>
      <c r="H806" s="86"/>
      <c r="I806" s="84" t="str">
        <f>IFERROR(VLOOKUP(CONCATENATE($B806,"_",I$3),materiali!$C:$K,5,0),"")</f>
        <v/>
      </c>
      <c r="J806" s="85" t="str">
        <f>IFERROR(VLOOKUP(CONCATENATE($B806,"_",J$3),materiali!$C:$K,6,0),"")</f>
        <v/>
      </c>
      <c r="K806" s="86"/>
      <c r="L806" s="84" t="str">
        <f>IFERROR(VLOOKUP(CONCATENATE($B806,"_",L$3),materiali!$C:$K,5,0),"")</f>
        <v/>
      </c>
      <c r="M806" s="85" t="str">
        <f>IFERROR(VLOOKUP(CONCATENATE($B806,"_",M$3),materiali!$C:$K,6,0),"")</f>
        <v/>
      </c>
      <c r="N806" s="86"/>
      <c r="O806" s="84" t="str">
        <f>IFERROR(VLOOKUP(CONCATENATE($B806,"_",O$3),materiali!$C:$K,5,0),"")</f>
        <v/>
      </c>
      <c r="P806" s="85" t="str">
        <f>IFERROR(VLOOKUP(CONCATENATE($B806,"_",P$3),materiali!$C:$K,6,0),"")</f>
        <v/>
      </c>
      <c r="Q806" s="86"/>
      <c r="R806" s="84" t="str">
        <f>IFERROR(VLOOKUP(CONCATENATE($B806,"_",R$3),materiali!$C:$K,5,0),"")</f>
        <v/>
      </c>
      <c r="S806" s="85" t="str">
        <f>IFERROR(VLOOKUP(CONCATENATE($B806,"_",S$3),materiali!$C:$K,6,0),"")</f>
        <v/>
      </c>
      <c r="T806" s="86"/>
      <c r="U806" s="31"/>
      <c r="AD806" s="97"/>
    </row>
    <row r="807" spans="1:30" ht="35.1" hidden="1" customHeight="1" x14ac:dyDescent="0.25">
      <c r="A807" s="83"/>
      <c r="B807" s="7"/>
      <c r="C807" s="8"/>
      <c r="D807" s="8"/>
      <c r="E807" s="60"/>
      <c r="F807" s="84" t="str">
        <f>IFERROR(VLOOKUP(CONCATENATE($B807,"_",F$3),materiali!$C:$K,5,0),"")</f>
        <v/>
      </c>
      <c r="G807" s="85" t="str">
        <f>IFERROR(VLOOKUP(CONCATENATE($B807,"_",G$3),materiali!$C:$K,6,0),"")</f>
        <v/>
      </c>
      <c r="H807" s="86"/>
      <c r="I807" s="84" t="str">
        <f>IFERROR(VLOOKUP(CONCATENATE($B807,"_",I$3),materiali!$C:$K,5,0),"")</f>
        <v/>
      </c>
      <c r="J807" s="85" t="str">
        <f>IFERROR(VLOOKUP(CONCATENATE($B807,"_",J$3),materiali!$C:$K,6,0),"")</f>
        <v/>
      </c>
      <c r="K807" s="86"/>
      <c r="L807" s="84" t="str">
        <f>IFERROR(VLOOKUP(CONCATENATE($B807,"_",L$3),materiali!$C:$K,5,0),"")</f>
        <v/>
      </c>
      <c r="M807" s="85" t="str">
        <f>IFERROR(VLOOKUP(CONCATENATE($B807,"_",M$3),materiali!$C:$K,6,0),"")</f>
        <v/>
      </c>
      <c r="N807" s="86"/>
      <c r="O807" s="84" t="str">
        <f>IFERROR(VLOOKUP(CONCATENATE($B807,"_",O$3),materiali!$C:$K,5,0),"")</f>
        <v/>
      </c>
      <c r="P807" s="85" t="str">
        <f>IFERROR(VLOOKUP(CONCATENATE($B807,"_",P$3),materiali!$C:$K,6,0),"")</f>
        <v/>
      </c>
      <c r="Q807" s="86"/>
      <c r="R807" s="84" t="str">
        <f>IFERROR(VLOOKUP(CONCATENATE($B807,"_",R$3),materiali!$C:$K,5,0),"")</f>
        <v/>
      </c>
      <c r="S807" s="85" t="str">
        <f>IFERROR(VLOOKUP(CONCATENATE($B807,"_",S$3),materiali!$C:$K,6,0),"")</f>
        <v/>
      </c>
      <c r="T807" s="86"/>
      <c r="U807" s="31"/>
      <c r="AD807" s="97"/>
    </row>
    <row r="808" spans="1:30" ht="35.1" hidden="1" customHeight="1" x14ac:dyDescent="0.25">
      <c r="A808" s="83"/>
      <c r="B808" s="7"/>
      <c r="C808" s="8"/>
      <c r="D808" s="8"/>
      <c r="E808" s="60"/>
      <c r="F808" s="84" t="str">
        <f>IFERROR(VLOOKUP(CONCATENATE($B808,"_",F$3),materiali!$C:$K,5,0),"")</f>
        <v/>
      </c>
      <c r="G808" s="85" t="str">
        <f>IFERROR(VLOOKUP(CONCATENATE($B808,"_",G$3),materiali!$C:$K,6,0),"")</f>
        <v/>
      </c>
      <c r="H808" s="86"/>
      <c r="I808" s="84" t="str">
        <f>IFERROR(VLOOKUP(CONCATENATE($B808,"_",I$3),materiali!$C:$K,5,0),"")</f>
        <v/>
      </c>
      <c r="J808" s="85" t="str">
        <f>IFERROR(VLOOKUP(CONCATENATE($B808,"_",J$3),materiali!$C:$K,6,0),"")</f>
        <v/>
      </c>
      <c r="K808" s="86"/>
      <c r="L808" s="84" t="str">
        <f>IFERROR(VLOOKUP(CONCATENATE($B808,"_",L$3),materiali!$C:$K,5,0),"")</f>
        <v/>
      </c>
      <c r="M808" s="85" t="str">
        <f>IFERROR(VLOOKUP(CONCATENATE($B808,"_",M$3),materiali!$C:$K,6,0),"")</f>
        <v/>
      </c>
      <c r="N808" s="86"/>
      <c r="O808" s="84" t="str">
        <f>IFERROR(VLOOKUP(CONCATENATE($B808,"_",O$3),materiali!$C:$K,5,0),"")</f>
        <v/>
      </c>
      <c r="P808" s="85" t="str">
        <f>IFERROR(VLOOKUP(CONCATENATE($B808,"_",P$3),materiali!$C:$K,6,0),"")</f>
        <v/>
      </c>
      <c r="Q808" s="86"/>
      <c r="R808" s="84" t="str">
        <f>IFERROR(VLOOKUP(CONCATENATE($B808,"_",R$3),materiali!$C:$K,5,0),"")</f>
        <v/>
      </c>
      <c r="S808" s="85" t="str">
        <f>IFERROR(VLOOKUP(CONCATENATE($B808,"_",S$3),materiali!$C:$K,6,0),"")</f>
        <v/>
      </c>
      <c r="T808" s="86"/>
      <c r="U808" s="31"/>
      <c r="AD808" s="97"/>
    </row>
    <row r="809" spans="1:30" ht="35.1" hidden="1" customHeight="1" x14ac:dyDescent="0.25">
      <c r="A809" s="83"/>
      <c r="B809" s="7"/>
      <c r="C809" s="8"/>
      <c r="D809" s="8"/>
      <c r="E809" s="60"/>
      <c r="F809" s="84" t="str">
        <f>IFERROR(VLOOKUP(CONCATENATE($B809,"_",F$3),materiali!$C:$K,5,0),"")</f>
        <v/>
      </c>
      <c r="G809" s="85" t="str">
        <f>IFERROR(VLOOKUP(CONCATENATE($B809,"_",G$3),materiali!$C:$K,6,0),"")</f>
        <v/>
      </c>
      <c r="H809" s="86"/>
      <c r="I809" s="84" t="str">
        <f>IFERROR(VLOOKUP(CONCATENATE($B809,"_",I$3),materiali!$C:$K,5,0),"")</f>
        <v/>
      </c>
      <c r="J809" s="85" t="str">
        <f>IFERROR(VLOOKUP(CONCATENATE($B809,"_",J$3),materiali!$C:$K,6,0),"")</f>
        <v/>
      </c>
      <c r="K809" s="86"/>
      <c r="L809" s="84" t="str">
        <f>IFERROR(VLOOKUP(CONCATENATE($B809,"_",L$3),materiali!$C:$K,5,0),"")</f>
        <v/>
      </c>
      <c r="M809" s="85" t="str">
        <f>IFERROR(VLOOKUP(CONCATENATE($B809,"_",M$3),materiali!$C:$K,6,0),"")</f>
        <v/>
      </c>
      <c r="N809" s="86"/>
      <c r="O809" s="84" t="str">
        <f>IFERROR(VLOOKUP(CONCATENATE($B809,"_",O$3),materiali!$C:$K,5,0),"")</f>
        <v/>
      </c>
      <c r="P809" s="85" t="str">
        <f>IFERROR(VLOOKUP(CONCATENATE($B809,"_",P$3),materiali!$C:$K,6,0),"")</f>
        <v/>
      </c>
      <c r="Q809" s="86"/>
      <c r="R809" s="84" t="str">
        <f>IFERROR(VLOOKUP(CONCATENATE($B809,"_",R$3),materiali!$C:$K,5,0),"")</f>
        <v/>
      </c>
      <c r="S809" s="85" t="str">
        <f>IFERROR(VLOOKUP(CONCATENATE($B809,"_",S$3),materiali!$C:$K,6,0),"")</f>
        <v/>
      </c>
      <c r="T809" s="86"/>
      <c r="U809" s="31"/>
      <c r="AD809" s="97"/>
    </row>
    <row r="810" spans="1:30" ht="35.1" hidden="1" customHeight="1" x14ac:dyDescent="0.25">
      <c r="A810" s="83"/>
      <c r="B810" s="7"/>
      <c r="C810" s="8"/>
      <c r="D810" s="8"/>
      <c r="E810" s="60"/>
      <c r="F810" s="84" t="str">
        <f>IFERROR(VLOOKUP(CONCATENATE($B810,"_",F$3),materiali!$C:$K,5,0),"")</f>
        <v/>
      </c>
      <c r="G810" s="85" t="str">
        <f>IFERROR(VLOOKUP(CONCATENATE($B810,"_",G$3),materiali!$C:$K,6,0),"")</f>
        <v/>
      </c>
      <c r="H810" s="86"/>
      <c r="I810" s="84" t="str">
        <f>IFERROR(VLOOKUP(CONCATENATE($B810,"_",I$3),materiali!$C:$K,5,0),"")</f>
        <v/>
      </c>
      <c r="J810" s="85" t="str">
        <f>IFERROR(VLOOKUP(CONCATENATE($B810,"_",J$3),materiali!$C:$K,6,0),"")</f>
        <v/>
      </c>
      <c r="K810" s="86"/>
      <c r="L810" s="84" t="str">
        <f>IFERROR(VLOOKUP(CONCATENATE($B810,"_",L$3),materiali!$C:$K,5,0),"")</f>
        <v/>
      </c>
      <c r="M810" s="85" t="str">
        <f>IFERROR(VLOOKUP(CONCATENATE($B810,"_",M$3),materiali!$C:$K,6,0),"")</f>
        <v/>
      </c>
      <c r="N810" s="86"/>
      <c r="O810" s="84" t="str">
        <f>IFERROR(VLOOKUP(CONCATENATE($B810,"_",O$3),materiali!$C:$K,5,0),"")</f>
        <v/>
      </c>
      <c r="P810" s="85" t="str">
        <f>IFERROR(VLOOKUP(CONCATENATE($B810,"_",P$3),materiali!$C:$K,6,0),"")</f>
        <v/>
      </c>
      <c r="Q810" s="86"/>
      <c r="R810" s="84" t="str">
        <f>IFERROR(VLOOKUP(CONCATENATE($B810,"_",R$3),materiali!$C:$K,5,0),"")</f>
        <v/>
      </c>
      <c r="S810" s="85" t="str">
        <f>IFERROR(VLOOKUP(CONCATENATE($B810,"_",S$3),materiali!$C:$K,6,0),"")</f>
        <v/>
      </c>
      <c r="T810" s="86"/>
      <c r="U810" s="31"/>
      <c r="AD810" s="97"/>
    </row>
    <row r="811" spans="1:30" ht="35.1" hidden="1" customHeight="1" x14ac:dyDescent="0.25">
      <c r="A811" s="83"/>
      <c r="B811" s="7"/>
      <c r="C811" s="8"/>
      <c r="D811" s="8"/>
      <c r="E811" s="60"/>
      <c r="F811" s="84" t="str">
        <f>IFERROR(VLOOKUP(CONCATENATE($B811,"_",F$3),materiali!$C:$K,5,0),"")</f>
        <v/>
      </c>
      <c r="G811" s="85" t="str">
        <f>IFERROR(VLOOKUP(CONCATENATE($B811,"_",G$3),materiali!$C:$K,6,0),"")</f>
        <v/>
      </c>
      <c r="H811" s="86"/>
      <c r="I811" s="84" t="str">
        <f>IFERROR(VLOOKUP(CONCATENATE($B811,"_",I$3),materiali!$C:$K,5,0),"")</f>
        <v/>
      </c>
      <c r="J811" s="85" t="str">
        <f>IFERROR(VLOOKUP(CONCATENATE($B811,"_",J$3),materiali!$C:$K,6,0),"")</f>
        <v/>
      </c>
      <c r="K811" s="86"/>
      <c r="L811" s="84" t="str">
        <f>IFERROR(VLOOKUP(CONCATENATE($B811,"_",L$3),materiali!$C:$K,5,0),"")</f>
        <v/>
      </c>
      <c r="M811" s="85" t="str">
        <f>IFERROR(VLOOKUP(CONCATENATE($B811,"_",M$3),materiali!$C:$K,6,0),"")</f>
        <v/>
      </c>
      <c r="N811" s="86"/>
      <c r="O811" s="84" t="str">
        <f>IFERROR(VLOOKUP(CONCATENATE($B811,"_",O$3),materiali!$C:$K,5,0),"")</f>
        <v/>
      </c>
      <c r="P811" s="85" t="str">
        <f>IFERROR(VLOOKUP(CONCATENATE($B811,"_",P$3),materiali!$C:$K,6,0),"")</f>
        <v/>
      </c>
      <c r="Q811" s="86"/>
      <c r="R811" s="84" t="str">
        <f>IFERROR(VLOOKUP(CONCATENATE($B811,"_",R$3),materiali!$C:$K,5,0),"")</f>
        <v/>
      </c>
      <c r="S811" s="85" t="str">
        <f>IFERROR(VLOOKUP(CONCATENATE($B811,"_",S$3),materiali!$C:$K,6,0),"")</f>
        <v/>
      </c>
      <c r="T811" s="86"/>
      <c r="U811" s="31"/>
      <c r="AD811" s="97"/>
    </row>
    <row r="812" spans="1:30" ht="35.1" hidden="1" customHeight="1" x14ac:dyDescent="0.25">
      <c r="A812" s="83"/>
      <c r="B812" s="7"/>
      <c r="C812" s="8"/>
      <c r="D812" s="8"/>
      <c r="E812" s="60"/>
      <c r="F812" s="84" t="str">
        <f>IFERROR(VLOOKUP(CONCATENATE($B812,"_",F$3),materiali!$C:$K,5,0),"")</f>
        <v/>
      </c>
      <c r="G812" s="85" t="str">
        <f>IFERROR(VLOOKUP(CONCATENATE($B812,"_",G$3),materiali!$C:$K,6,0),"")</f>
        <v/>
      </c>
      <c r="H812" s="86"/>
      <c r="I812" s="84" t="str">
        <f>IFERROR(VLOOKUP(CONCATENATE($B812,"_",I$3),materiali!$C:$K,5,0),"")</f>
        <v/>
      </c>
      <c r="J812" s="85" t="str">
        <f>IFERROR(VLOOKUP(CONCATENATE($B812,"_",J$3),materiali!$C:$K,6,0),"")</f>
        <v/>
      </c>
      <c r="K812" s="86"/>
      <c r="L812" s="84" t="str">
        <f>IFERROR(VLOOKUP(CONCATENATE($B812,"_",L$3),materiali!$C:$K,5,0),"")</f>
        <v/>
      </c>
      <c r="M812" s="85" t="str">
        <f>IFERROR(VLOOKUP(CONCATENATE($B812,"_",M$3),materiali!$C:$K,6,0),"")</f>
        <v/>
      </c>
      <c r="N812" s="86"/>
      <c r="O812" s="84" t="str">
        <f>IFERROR(VLOOKUP(CONCATENATE($B812,"_",O$3),materiali!$C:$K,5,0),"")</f>
        <v/>
      </c>
      <c r="P812" s="85" t="str">
        <f>IFERROR(VLOOKUP(CONCATENATE($B812,"_",P$3),materiali!$C:$K,6,0),"")</f>
        <v/>
      </c>
      <c r="Q812" s="86"/>
      <c r="R812" s="84" t="str">
        <f>IFERROR(VLOOKUP(CONCATENATE($B812,"_",R$3),materiali!$C:$K,5,0),"")</f>
        <v/>
      </c>
      <c r="S812" s="85" t="str">
        <f>IFERROR(VLOOKUP(CONCATENATE($B812,"_",S$3),materiali!$C:$K,6,0),"")</f>
        <v/>
      </c>
      <c r="T812" s="86"/>
      <c r="U812" s="31"/>
      <c r="AD812" s="97"/>
    </row>
    <row r="813" spans="1:30" ht="35.1" hidden="1" customHeight="1" x14ac:dyDescent="0.25">
      <c r="A813" s="83"/>
      <c r="B813" s="7"/>
      <c r="C813" s="8"/>
      <c r="D813" s="8"/>
      <c r="E813" s="60"/>
      <c r="F813" s="84" t="str">
        <f>IFERROR(VLOOKUP(CONCATENATE($B813,"_",F$3),materiali!$C:$K,5,0),"")</f>
        <v/>
      </c>
      <c r="G813" s="85" t="str">
        <f>IFERROR(VLOOKUP(CONCATENATE($B813,"_",G$3),materiali!$C:$K,6,0),"")</f>
        <v/>
      </c>
      <c r="H813" s="86"/>
      <c r="I813" s="84" t="str">
        <f>IFERROR(VLOOKUP(CONCATENATE($B813,"_",I$3),materiali!$C:$K,5,0),"")</f>
        <v/>
      </c>
      <c r="J813" s="85" t="str">
        <f>IFERROR(VLOOKUP(CONCATENATE($B813,"_",J$3),materiali!$C:$K,6,0),"")</f>
        <v/>
      </c>
      <c r="K813" s="86"/>
      <c r="L813" s="84" t="str">
        <f>IFERROR(VLOOKUP(CONCATENATE($B813,"_",L$3),materiali!$C:$K,5,0),"")</f>
        <v/>
      </c>
      <c r="M813" s="85" t="str">
        <f>IFERROR(VLOOKUP(CONCATENATE($B813,"_",M$3),materiali!$C:$K,6,0),"")</f>
        <v/>
      </c>
      <c r="N813" s="86"/>
      <c r="O813" s="84" t="str">
        <f>IFERROR(VLOOKUP(CONCATENATE($B813,"_",O$3),materiali!$C:$K,5,0),"")</f>
        <v/>
      </c>
      <c r="P813" s="85" t="str">
        <f>IFERROR(VLOOKUP(CONCATENATE($B813,"_",P$3),materiali!$C:$K,6,0),"")</f>
        <v/>
      </c>
      <c r="Q813" s="86"/>
      <c r="R813" s="84" t="str">
        <f>IFERROR(VLOOKUP(CONCATENATE($B813,"_",R$3),materiali!$C:$K,5,0),"")</f>
        <v/>
      </c>
      <c r="S813" s="85" t="str">
        <f>IFERROR(VLOOKUP(CONCATENATE($B813,"_",S$3),materiali!$C:$K,6,0),"")</f>
        <v/>
      </c>
      <c r="T813" s="86"/>
      <c r="U813" s="31"/>
      <c r="AD813" s="97"/>
    </row>
    <row r="814" spans="1:30" ht="35.1" hidden="1" customHeight="1" x14ac:dyDescent="0.25">
      <c r="A814" s="83"/>
      <c r="B814" s="7"/>
      <c r="C814" s="8"/>
      <c r="D814" s="8"/>
      <c r="E814" s="60"/>
      <c r="F814" s="84" t="str">
        <f>IFERROR(VLOOKUP(CONCATENATE($B814,"_",F$3),materiali!$C:$K,5,0),"")</f>
        <v/>
      </c>
      <c r="G814" s="85" t="str">
        <f>IFERROR(VLOOKUP(CONCATENATE($B814,"_",G$3),materiali!$C:$K,6,0),"")</f>
        <v/>
      </c>
      <c r="H814" s="86"/>
      <c r="I814" s="84" t="str">
        <f>IFERROR(VLOOKUP(CONCATENATE($B814,"_",I$3),materiali!$C:$K,5,0),"")</f>
        <v/>
      </c>
      <c r="J814" s="85" t="str">
        <f>IFERROR(VLOOKUP(CONCATENATE($B814,"_",J$3),materiali!$C:$K,6,0),"")</f>
        <v/>
      </c>
      <c r="K814" s="86"/>
      <c r="L814" s="84" t="str">
        <f>IFERROR(VLOOKUP(CONCATENATE($B814,"_",L$3),materiali!$C:$K,5,0),"")</f>
        <v/>
      </c>
      <c r="M814" s="85" t="str">
        <f>IFERROR(VLOOKUP(CONCATENATE($B814,"_",M$3),materiali!$C:$K,6,0),"")</f>
        <v/>
      </c>
      <c r="N814" s="86"/>
      <c r="O814" s="84" t="str">
        <f>IFERROR(VLOOKUP(CONCATENATE($B814,"_",O$3),materiali!$C:$K,5,0),"")</f>
        <v/>
      </c>
      <c r="P814" s="85" t="str">
        <f>IFERROR(VLOOKUP(CONCATENATE($B814,"_",P$3),materiali!$C:$K,6,0),"")</f>
        <v/>
      </c>
      <c r="Q814" s="86"/>
      <c r="R814" s="84" t="str">
        <f>IFERROR(VLOOKUP(CONCATENATE($B814,"_",R$3),materiali!$C:$K,5,0),"")</f>
        <v/>
      </c>
      <c r="S814" s="85" t="str">
        <f>IFERROR(VLOOKUP(CONCATENATE($B814,"_",S$3),materiali!$C:$K,6,0),"")</f>
        <v/>
      </c>
      <c r="T814" s="86"/>
      <c r="U814" s="31"/>
      <c r="AD814" s="97"/>
    </row>
    <row r="815" spans="1:30" ht="35.1" hidden="1" customHeight="1" x14ac:dyDescent="0.25">
      <c r="A815" s="83"/>
      <c r="B815" s="7"/>
      <c r="C815" s="8"/>
      <c r="D815" s="8"/>
      <c r="E815" s="60"/>
      <c r="F815" s="84" t="str">
        <f>IFERROR(VLOOKUP(CONCATENATE($B815,"_",F$3),materiali!$C:$K,5,0),"")</f>
        <v/>
      </c>
      <c r="G815" s="85" t="str">
        <f>IFERROR(VLOOKUP(CONCATENATE($B815,"_",G$3),materiali!$C:$K,6,0),"")</f>
        <v/>
      </c>
      <c r="H815" s="86"/>
      <c r="I815" s="84" t="str">
        <f>IFERROR(VLOOKUP(CONCATENATE($B815,"_",I$3),materiali!$C:$K,5,0),"")</f>
        <v/>
      </c>
      <c r="J815" s="85" t="str">
        <f>IFERROR(VLOOKUP(CONCATENATE($B815,"_",J$3),materiali!$C:$K,6,0),"")</f>
        <v/>
      </c>
      <c r="K815" s="86"/>
      <c r="L815" s="84" t="str">
        <f>IFERROR(VLOOKUP(CONCATENATE($B815,"_",L$3),materiali!$C:$K,5,0),"")</f>
        <v/>
      </c>
      <c r="M815" s="85" t="str">
        <f>IFERROR(VLOOKUP(CONCATENATE($B815,"_",M$3),materiali!$C:$K,6,0),"")</f>
        <v/>
      </c>
      <c r="N815" s="86"/>
      <c r="O815" s="84" t="str">
        <f>IFERROR(VLOOKUP(CONCATENATE($B815,"_",O$3),materiali!$C:$K,5,0),"")</f>
        <v/>
      </c>
      <c r="P815" s="85" t="str">
        <f>IFERROR(VLOOKUP(CONCATENATE($B815,"_",P$3),materiali!$C:$K,6,0),"")</f>
        <v/>
      </c>
      <c r="Q815" s="86"/>
      <c r="R815" s="84" t="str">
        <f>IFERROR(VLOOKUP(CONCATENATE($B815,"_",R$3),materiali!$C:$K,5,0),"")</f>
        <v/>
      </c>
      <c r="S815" s="85" t="str">
        <f>IFERROR(VLOOKUP(CONCATENATE($B815,"_",S$3),materiali!$C:$K,6,0),"")</f>
        <v/>
      </c>
      <c r="T815" s="86"/>
      <c r="U815" s="31"/>
      <c r="AD815" s="97"/>
    </row>
    <row r="816" spans="1:30" ht="35.1" hidden="1" customHeight="1" x14ac:dyDescent="0.25">
      <c r="A816" s="83"/>
      <c r="B816" s="7"/>
      <c r="C816" s="8"/>
      <c r="D816" s="8"/>
      <c r="E816" s="60"/>
      <c r="F816" s="84" t="str">
        <f>IFERROR(VLOOKUP(CONCATENATE($B816,"_",F$3),materiali!$C:$K,5,0),"")</f>
        <v/>
      </c>
      <c r="G816" s="85" t="str">
        <f>IFERROR(VLOOKUP(CONCATENATE($B816,"_",G$3),materiali!$C:$K,6,0),"")</f>
        <v/>
      </c>
      <c r="H816" s="86"/>
      <c r="I816" s="84" t="str">
        <f>IFERROR(VLOOKUP(CONCATENATE($B816,"_",I$3),materiali!$C:$K,5,0),"")</f>
        <v/>
      </c>
      <c r="J816" s="85" t="str">
        <f>IFERROR(VLOOKUP(CONCATENATE($B816,"_",J$3),materiali!$C:$K,6,0),"")</f>
        <v/>
      </c>
      <c r="K816" s="86"/>
      <c r="L816" s="84" t="str">
        <f>IFERROR(VLOOKUP(CONCATENATE($B816,"_",L$3),materiali!$C:$K,5,0),"")</f>
        <v/>
      </c>
      <c r="M816" s="85" t="str">
        <f>IFERROR(VLOOKUP(CONCATENATE($B816,"_",M$3),materiali!$C:$K,6,0),"")</f>
        <v/>
      </c>
      <c r="N816" s="86"/>
      <c r="O816" s="84" t="str">
        <f>IFERROR(VLOOKUP(CONCATENATE($B816,"_",O$3),materiali!$C:$K,5,0),"")</f>
        <v/>
      </c>
      <c r="P816" s="85" t="str">
        <f>IFERROR(VLOOKUP(CONCATENATE($B816,"_",P$3),materiali!$C:$K,6,0),"")</f>
        <v/>
      </c>
      <c r="Q816" s="86"/>
      <c r="R816" s="84" t="str">
        <f>IFERROR(VLOOKUP(CONCATENATE($B816,"_",R$3),materiali!$C:$K,5,0),"")</f>
        <v/>
      </c>
      <c r="S816" s="85" t="str">
        <f>IFERROR(VLOOKUP(CONCATENATE($B816,"_",S$3),materiali!$C:$K,6,0),"")</f>
        <v/>
      </c>
      <c r="T816" s="86"/>
      <c r="U816" s="31"/>
      <c r="AD816" s="97"/>
    </row>
    <row r="817" spans="1:30" ht="35.1" hidden="1" customHeight="1" x14ac:dyDescent="0.25">
      <c r="A817" s="83"/>
      <c r="B817" s="7"/>
      <c r="C817" s="8"/>
      <c r="D817" s="8"/>
      <c r="E817" s="60"/>
      <c r="F817" s="84" t="str">
        <f>IFERROR(VLOOKUP(CONCATENATE($B817,"_",F$3),materiali!$C:$K,5,0),"")</f>
        <v/>
      </c>
      <c r="G817" s="85" t="str">
        <f>IFERROR(VLOOKUP(CONCATENATE($B817,"_",G$3),materiali!$C:$K,6,0),"")</f>
        <v/>
      </c>
      <c r="H817" s="86"/>
      <c r="I817" s="84" t="str">
        <f>IFERROR(VLOOKUP(CONCATENATE($B817,"_",I$3),materiali!$C:$K,5,0),"")</f>
        <v/>
      </c>
      <c r="J817" s="85" t="str">
        <f>IFERROR(VLOOKUP(CONCATENATE($B817,"_",J$3),materiali!$C:$K,6,0),"")</f>
        <v/>
      </c>
      <c r="K817" s="86"/>
      <c r="L817" s="84" t="str">
        <f>IFERROR(VLOOKUP(CONCATENATE($B817,"_",L$3),materiali!$C:$K,5,0),"")</f>
        <v/>
      </c>
      <c r="M817" s="85" t="str">
        <f>IFERROR(VLOOKUP(CONCATENATE($B817,"_",M$3),materiali!$C:$K,6,0),"")</f>
        <v/>
      </c>
      <c r="N817" s="86"/>
      <c r="O817" s="84" t="str">
        <f>IFERROR(VLOOKUP(CONCATENATE($B817,"_",O$3),materiali!$C:$K,5,0),"")</f>
        <v/>
      </c>
      <c r="P817" s="85" t="str">
        <f>IFERROR(VLOOKUP(CONCATENATE($B817,"_",P$3),materiali!$C:$K,6,0),"")</f>
        <v/>
      </c>
      <c r="Q817" s="86"/>
      <c r="R817" s="84" t="str">
        <f>IFERROR(VLOOKUP(CONCATENATE($B817,"_",R$3),materiali!$C:$K,5,0),"")</f>
        <v/>
      </c>
      <c r="S817" s="85" t="str">
        <f>IFERROR(VLOOKUP(CONCATENATE($B817,"_",S$3),materiali!$C:$K,6,0),"")</f>
        <v/>
      </c>
      <c r="T817" s="86"/>
      <c r="U817" s="31"/>
      <c r="AD817" s="97"/>
    </row>
    <row r="818" spans="1:30" ht="35.1" hidden="1" customHeight="1" x14ac:dyDescent="0.25">
      <c r="A818" s="83"/>
      <c r="B818" s="7"/>
      <c r="C818" s="8"/>
      <c r="D818" s="8"/>
      <c r="E818" s="60"/>
      <c r="F818" s="84" t="str">
        <f>IFERROR(VLOOKUP(CONCATENATE($B818,"_",F$3),materiali!$C:$K,5,0),"")</f>
        <v/>
      </c>
      <c r="G818" s="85" t="str">
        <f>IFERROR(VLOOKUP(CONCATENATE($B818,"_",G$3),materiali!$C:$K,6,0),"")</f>
        <v/>
      </c>
      <c r="H818" s="86"/>
      <c r="I818" s="84" t="str">
        <f>IFERROR(VLOOKUP(CONCATENATE($B818,"_",I$3),materiali!$C:$K,5,0),"")</f>
        <v/>
      </c>
      <c r="J818" s="85" t="str">
        <f>IFERROR(VLOOKUP(CONCATENATE($B818,"_",J$3),materiali!$C:$K,6,0),"")</f>
        <v/>
      </c>
      <c r="K818" s="86"/>
      <c r="L818" s="84" t="str">
        <f>IFERROR(VLOOKUP(CONCATENATE($B818,"_",L$3),materiali!$C:$K,5,0),"")</f>
        <v/>
      </c>
      <c r="M818" s="85" t="str">
        <f>IFERROR(VLOOKUP(CONCATENATE($B818,"_",M$3),materiali!$C:$K,6,0),"")</f>
        <v/>
      </c>
      <c r="N818" s="86"/>
      <c r="O818" s="84" t="str">
        <f>IFERROR(VLOOKUP(CONCATENATE($B818,"_",O$3),materiali!$C:$K,5,0),"")</f>
        <v/>
      </c>
      <c r="P818" s="85" t="str">
        <f>IFERROR(VLOOKUP(CONCATENATE($B818,"_",P$3),materiali!$C:$K,6,0),"")</f>
        <v/>
      </c>
      <c r="Q818" s="86"/>
      <c r="R818" s="84" t="str">
        <f>IFERROR(VLOOKUP(CONCATENATE($B818,"_",R$3),materiali!$C:$K,5,0),"")</f>
        <v/>
      </c>
      <c r="S818" s="85" t="str">
        <f>IFERROR(VLOOKUP(CONCATENATE($B818,"_",S$3),materiali!$C:$K,6,0),"")</f>
        <v/>
      </c>
      <c r="T818" s="86"/>
      <c r="U818" s="31"/>
      <c r="AD818" s="97"/>
    </row>
    <row r="819" spans="1:30" ht="35.1" hidden="1" customHeight="1" x14ac:dyDescent="0.25">
      <c r="A819" s="83"/>
      <c r="B819" s="7"/>
      <c r="C819" s="8"/>
      <c r="D819" s="8"/>
      <c r="E819" s="60"/>
      <c r="F819" s="84" t="str">
        <f>IFERROR(VLOOKUP(CONCATENATE($B819,"_",F$3),materiali!$C:$K,5,0),"")</f>
        <v/>
      </c>
      <c r="G819" s="85" t="str">
        <f>IFERROR(VLOOKUP(CONCATENATE($B819,"_",G$3),materiali!$C:$K,6,0),"")</f>
        <v/>
      </c>
      <c r="H819" s="86"/>
      <c r="I819" s="84" t="str">
        <f>IFERROR(VLOOKUP(CONCATENATE($B819,"_",I$3),materiali!$C:$K,5,0),"")</f>
        <v/>
      </c>
      <c r="J819" s="85" t="str">
        <f>IFERROR(VLOOKUP(CONCATENATE($B819,"_",J$3),materiali!$C:$K,6,0),"")</f>
        <v/>
      </c>
      <c r="K819" s="86"/>
      <c r="L819" s="84" t="str">
        <f>IFERROR(VLOOKUP(CONCATENATE($B819,"_",L$3),materiali!$C:$K,5,0),"")</f>
        <v/>
      </c>
      <c r="M819" s="85" t="str">
        <f>IFERROR(VLOOKUP(CONCATENATE($B819,"_",M$3),materiali!$C:$K,6,0),"")</f>
        <v/>
      </c>
      <c r="N819" s="86"/>
      <c r="O819" s="84" t="str">
        <f>IFERROR(VLOOKUP(CONCATENATE($B819,"_",O$3),materiali!$C:$K,5,0),"")</f>
        <v/>
      </c>
      <c r="P819" s="85" t="str">
        <f>IFERROR(VLOOKUP(CONCATENATE($B819,"_",P$3),materiali!$C:$K,6,0),"")</f>
        <v/>
      </c>
      <c r="Q819" s="86"/>
      <c r="R819" s="84" t="str">
        <f>IFERROR(VLOOKUP(CONCATENATE($B819,"_",R$3),materiali!$C:$K,5,0),"")</f>
        <v/>
      </c>
      <c r="S819" s="85" t="str">
        <f>IFERROR(VLOOKUP(CONCATENATE($B819,"_",S$3),materiali!$C:$K,6,0),"")</f>
        <v/>
      </c>
      <c r="T819" s="86"/>
      <c r="U819" s="31"/>
      <c r="AD819" s="97"/>
    </row>
    <row r="820" spans="1:30" ht="35.1" hidden="1" customHeight="1" x14ac:dyDescent="0.25">
      <c r="A820" s="83"/>
      <c r="B820" s="7"/>
      <c r="C820" s="8"/>
      <c r="D820" s="8"/>
      <c r="E820" s="60"/>
      <c r="F820" s="84" t="str">
        <f>IFERROR(VLOOKUP(CONCATENATE($B820,"_",F$3),materiali!$C:$K,5,0),"")</f>
        <v/>
      </c>
      <c r="G820" s="85" t="str">
        <f>IFERROR(VLOOKUP(CONCATENATE($B820,"_",G$3),materiali!$C:$K,6,0),"")</f>
        <v/>
      </c>
      <c r="H820" s="86"/>
      <c r="I820" s="84" t="str">
        <f>IFERROR(VLOOKUP(CONCATENATE($B820,"_",I$3),materiali!$C:$K,5,0),"")</f>
        <v/>
      </c>
      <c r="J820" s="85" t="str">
        <f>IFERROR(VLOOKUP(CONCATENATE($B820,"_",J$3),materiali!$C:$K,6,0),"")</f>
        <v/>
      </c>
      <c r="K820" s="86"/>
      <c r="L820" s="84" t="str">
        <f>IFERROR(VLOOKUP(CONCATENATE($B820,"_",L$3),materiali!$C:$K,5,0),"")</f>
        <v/>
      </c>
      <c r="M820" s="85" t="str">
        <f>IFERROR(VLOOKUP(CONCATENATE($B820,"_",M$3),materiali!$C:$K,6,0),"")</f>
        <v/>
      </c>
      <c r="N820" s="86"/>
      <c r="O820" s="84" t="str">
        <f>IFERROR(VLOOKUP(CONCATENATE($B820,"_",O$3),materiali!$C:$K,5,0),"")</f>
        <v/>
      </c>
      <c r="P820" s="85" t="str">
        <f>IFERROR(VLOOKUP(CONCATENATE($B820,"_",P$3),materiali!$C:$K,6,0),"")</f>
        <v/>
      </c>
      <c r="Q820" s="86"/>
      <c r="R820" s="84" t="str">
        <f>IFERROR(VLOOKUP(CONCATENATE($B820,"_",R$3),materiali!$C:$K,5,0),"")</f>
        <v/>
      </c>
      <c r="S820" s="85" t="str">
        <f>IFERROR(VLOOKUP(CONCATENATE($B820,"_",S$3),materiali!$C:$K,6,0),"")</f>
        <v/>
      </c>
      <c r="T820" s="86"/>
      <c r="U820" s="31"/>
      <c r="AD820" s="97"/>
    </row>
    <row r="821" spans="1:30" ht="35.1" hidden="1" customHeight="1" x14ac:dyDescent="0.25">
      <c r="A821" s="83"/>
      <c r="B821" s="7"/>
      <c r="C821" s="8"/>
      <c r="D821" s="8"/>
      <c r="E821" s="60"/>
      <c r="F821" s="84" t="str">
        <f>IFERROR(VLOOKUP(CONCATENATE($B821,"_",F$3),materiali!$C:$K,5,0),"")</f>
        <v/>
      </c>
      <c r="G821" s="85" t="str">
        <f>IFERROR(VLOOKUP(CONCATENATE($B821,"_",G$3),materiali!$C:$K,6,0),"")</f>
        <v/>
      </c>
      <c r="H821" s="86"/>
      <c r="I821" s="84" t="str">
        <f>IFERROR(VLOOKUP(CONCATENATE($B821,"_",I$3),materiali!$C:$K,5,0),"")</f>
        <v/>
      </c>
      <c r="J821" s="85" t="str">
        <f>IFERROR(VLOOKUP(CONCATENATE($B821,"_",J$3),materiali!$C:$K,6,0),"")</f>
        <v/>
      </c>
      <c r="K821" s="86"/>
      <c r="L821" s="84" t="str">
        <f>IFERROR(VLOOKUP(CONCATENATE($B821,"_",L$3),materiali!$C:$K,5,0),"")</f>
        <v/>
      </c>
      <c r="M821" s="85" t="str">
        <f>IFERROR(VLOOKUP(CONCATENATE($B821,"_",M$3),materiali!$C:$K,6,0),"")</f>
        <v/>
      </c>
      <c r="N821" s="86"/>
      <c r="O821" s="84" t="str">
        <f>IFERROR(VLOOKUP(CONCATENATE($B821,"_",O$3),materiali!$C:$K,5,0),"")</f>
        <v/>
      </c>
      <c r="P821" s="85" t="str">
        <f>IFERROR(VLOOKUP(CONCATENATE($B821,"_",P$3),materiali!$C:$K,6,0),"")</f>
        <v/>
      </c>
      <c r="Q821" s="86"/>
      <c r="R821" s="84" t="str">
        <f>IFERROR(VLOOKUP(CONCATENATE($B821,"_",R$3),materiali!$C:$K,5,0),"")</f>
        <v/>
      </c>
      <c r="S821" s="85" t="str">
        <f>IFERROR(VLOOKUP(CONCATENATE($B821,"_",S$3),materiali!$C:$K,6,0),"")</f>
        <v/>
      </c>
      <c r="T821" s="86"/>
      <c r="U821" s="31"/>
      <c r="AD821" s="97"/>
    </row>
    <row r="822" spans="1:30" ht="35.1" hidden="1" customHeight="1" x14ac:dyDescent="0.25">
      <c r="A822" s="83"/>
      <c r="B822" s="7"/>
      <c r="C822" s="8"/>
      <c r="D822" s="8"/>
      <c r="E822" s="60"/>
      <c r="F822" s="84" t="str">
        <f>IFERROR(VLOOKUP(CONCATENATE($B822,"_",F$3),materiali!$C:$K,5,0),"")</f>
        <v/>
      </c>
      <c r="G822" s="85" t="str">
        <f>IFERROR(VLOOKUP(CONCATENATE($B822,"_",G$3),materiali!$C:$K,6,0),"")</f>
        <v/>
      </c>
      <c r="H822" s="86"/>
      <c r="I822" s="84" t="str">
        <f>IFERROR(VLOOKUP(CONCATENATE($B822,"_",I$3),materiali!$C:$K,5,0),"")</f>
        <v/>
      </c>
      <c r="J822" s="85" t="str">
        <f>IFERROR(VLOOKUP(CONCATENATE($B822,"_",J$3),materiali!$C:$K,6,0),"")</f>
        <v/>
      </c>
      <c r="K822" s="86"/>
      <c r="L822" s="84" t="str">
        <f>IFERROR(VLOOKUP(CONCATENATE($B822,"_",L$3),materiali!$C:$K,5,0),"")</f>
        <v/>
      </c>
      <c r="M822" s="85" t="str">
        <f>IFERROR(VLOOKUP(CONCATENATE($B822,"_",M$3),materiali!$C:$K,6,0),"")</f>
        <v/>
      </c>
      <c r="N822" s="86"/>
      <c r="O822" s="84" t="str">
        <f>IFERROR(VLOOKUP(CONCATENATE($B822,"_",O$3),materiali!$C:$K,5,0),"")</f>
        <v/>
      </c>
      <c r="P822" s="85" t="str">
        <f>IFERROR(VLOOKUP(CONCATENATE($B822,"_",P$3),materiali!$C:$K,6,0),"")</f>
        <v/>
      </c>
      <c r="Q822" s="86"/>
      <c r="R822" s="84" t="str">
        <f>IFERROR(VLOOKUP(CONCATENATE($B822,"_",R$3),materiali!$C:$K,5,0),"")</f>
        <v/>
      </c>
      <c r="S822" s="85" t="str">
        <f>IFERROR(VLOOKUP(CONCATENATE($B822,"_",S$3),materiali!$C:$K,6,0),"")</f>
        <v/>
      </c>
      <c r="T822" s="86"/>
      <c r="U822" s="31"/>
      <c r="AD822" s="97"/>
    </row>
    <row r="823" spans="1:30" ht="35.1" hidden="1" customHeight="1" x14ac:dyDescent="0.25">
      <c r="A823" s="83"/>
      <c r="B823" s="7"/>
      <c r="C823" s="8"/>
      <c r="D823" s="8"/>
      <c r="E823" s="60"/>
      <c r="F823" s="84" t="str">
        <f>IFERROR(VLOOKUP(CONCATENATE($B823,"_",F$3),materiali!$C:$K,5,0),"")</f>
        <v/>
      </c>
      <c r="G823" s="85" t="str">
        <f>IFERROR(VLOOKUP(CONCATENATE($B823,"_",G$3),materiali!$C:$K,6,0),"")</f>
        <v/>
      </c>
      <c r="H823" s="86"/>
      <c r="I823" s="84" t="str">
        <f>IFERROR(VLOOKUP(CONCATENATE($B823,"_",I$3),materiali!$C:$K,5,0),"")</f>
        <v/>
      </c>
      <c r="J823" s="85" t="str">
        <f>IFERROR(VLOOKUP(CONCATENATE($B823,"_",J$3),materiali!$C:$K,6,0),"")</f>
        <v/>
      </c>
      <c r="K823" s="86"/>
      <c r="L823" s="84" t="str">
        <f>IFERROR(VLOOKUP(CONCATENATE($B823,"_",L$3),materiali!$C:$K,5,0),"")</f>
        <v/>
      </c>
      <c r="M823" s="85" t="str">
        <f>IFERROR(VLOOKUP(CONCATENATE($B823,"_",M$3),materiali!$C:$K,6,0),"")</f>
        <v/>
      </c>
      <c r="N823" s="86"/>
      <c r="O823" s="84" t="str">
        <f>IFERROR(VLOOKUP(CONCATENATE($B823,"_",O$3),materiali!$C:$K,5,0),"")</f>
        <v/>
      </c>
      <c r="P823" s="85" t="str">
        <f>IFERROR(VLOOKUP(CONCATENATE($B823,"_",P$3),materiali!$C:$K,6,0),"")</f>
        <v/>
      </c>
      <c r="Q823" s="86"/>
      <c r="R823" s="84" t="str">
        <f>IFERROR(VLOOKUP(CONCATENATE($B823,"_",R$3),materiali!$C:$K,5,0),"")</f>
        <v/>
      </c>
      <c r="S823" s="85" t="str">
        <f>IFERROR(VLOOKUP(CONCATENATE($B823,"_",S$3),materiali!$C:$K,6,0),"")</f>
        <v/>
      </c>
      <c r="T823" s="86"/>
      <c r="U823" s="31"/>
      <c r="AD823" s="97"/>
    </row>
    <row r="824" spans="1:30" ht="35.1" hidden="1" customHeight="1" x14ac:dyDescent="0.25">
      <c r="A824" s="83"/>
      <c r="B824" s="7"/>
      <c r="C824" s="8"/>
      <c r="D824" s="8"/>
      <c r="E824" s="60"/>
      <c r="F824" s="84" t="str">
        <f>IFERROR(VLOOKUP(CONCATENATE($B824,"_",F$3),materiali!$C:$K,5,0),"")</f>
        <v/>
      </c>
      <c r="G824" s="85" t="str">
        <f>IFERROR(VLOOKUP(CONCATENATE($B824,"_",G$3),materiali!$C:$K,6,0),"")</f>
        <v/>
      </c>
      <c r="H824" s="86"/>
      <c r="I824" s="84" t="str">
        <f>IFERROR(VLOOKUP(CONCATENATE($B824,"_",I$3),materiali!$C:$K,5,0),"")</f>
        <v/>
      </c>
      <c r="J824" s="85" t="str">
        <f>IFERROR(VLOOKUP(CONCATENATE($B824,"_",J$3),materiali!$C:$K,6,0),"")</f>
        <v/>
      </c>
      <c r="K824" s="86"/>
      <c r="L824" s="84" t="str">
        <f>IFERROR(VLOOKUP(CONCATENATE($B824,"_",L$3),materiali!$C:$K,5,0),"")</f>
        <v/>
      </c>
      <c r="M824" s="85" t="str">
        <f>IFERROR(VLOOKUP(CONCATENATE($B824,"_",M$3),materiali!$C:$K,6,0),"")</f>
        <v/>
      </c>
      <c r="N824" s="86"/>
      <c r="O824" s="84" t="str">
        <f>IFERROR(VLOOKUP(CONCATENATE($B824,"_",O$3),materiali!$C:$K,5,0),"")</f>
        <v/>
      </c>
      <c r="P824" s="85" t="str">
        <f>IFERROR(VLOOKUP(CONCATENATE($B824,"_",P$3),materiali!$C:$K,6,0),"")</f>
        <v/>
      </c>
      <c r="Q824" s="86"/>
      <c r="R824" s="84" t="str">
        <f>IFERROR(VLOOKUP(CONCATENATE($B824,"_",R$3),materiali!$C:$K,5,0),"")</f>
        <v/>
      </c>
      <c r="S824" s="85" t="str">
        <f>IFERROR(VLOOKUP(CONCATENATE($B824,"_",S$3),materiali!$C:$K,6,0),"")</f>
        <v/>
      </c>
      <c r="T824" s="86"/>
      <c r="U824" s="31"/>
      <c r="AD824" s="97"/>
    </row>
    <row r="825" spans="1:30" ht="35.1" hidden="1" customHeight="1" x14ac:dyDescent="0.25">
      <c r="A825" s="83"/>
      <c r="B825" s="7"/>
      <c r="C825" s="8"/>
      <c r="D825" s="8"/>
      <c r="E825" s="60"/>
      <c r="F825" s="84" t="str">
        <f>IFERROR(VLOOKUP(CONCATENATE($B825,"_",F$3),materiali!$C:$K,5,0),"")</f>
        <v/>
      </c>
      <c r="G825" s="85" t="str">
        <f>IFERROR(VLOOKUP(CONCATENATE($B825,"_",G$3),materiali!$C:$K,6,0),"")</f>
        <v/>
      </c>
      <c r="H825" s="86"/>
      <c r="I825" s="84" t="str">
        <f>IFERROR(VLOOKUP(CONCATENATE($B825,"_",I$3),materiali!$C:$K,5,0),"")</f>
        <v/>
      </c>
      <c r="J825" s="85" t="str">
        <f>IFERROR(VLOOKUP(CONCATENATE($B825,"_",J$3),materiali!$C:$K,6,0),"")</f>
        <v/>
      </c>
      <c r="K825" s="86"/>
      <c r="L825" s="84" t="str">
        <f>IFERROR(VLOOKUP(CONCATENATE($B825,"_",L$3),materiali!$C:$K,5,0),"")</f>
        <v/>
      </c>
      <c r="M825" s="85" t="str">
        <f>IFERROR(VLOOKUP(CONCATENATE($B825,"_",M$3),materiali!$C:$K,6,0),"")</f>
        <v/>
      </c>
      <c r="N825" s="86"/>
      <c r="O825" s="84" t="str">
        <f>IFERROR(VLOOKUP(CONCATENATE($B825,"_",O$3),materiali!$C:$K,5,0),"")</f>
        <v/>
      </c>
      <c r="P825" s="85" t="str">
        <f>IFERROR(VLOOKUP(CONCATENATE($B825,"_",P$3),materiali!$C:$K,6,0),"")</f>
        <v/>
      </c>
      <c r="Q825" s="86"/>
      <c r="R825" s="84" t="str">
        <f>IFERROR(VLOOKUP(CONCATENATE($B825,"_",R$3),materiali!$C:$K,5,0),"")</f>
        <v/>
      </c>
      <c r="S825" s="85" t="str">
        <f>IFERROR(VLOOKUP(CONCATENATE($B825,"_",S$3),materiali!$C:$K,6,0),"")</f>
        <v/>
      </c>
      <c r="T825" s="86"/>
      <c r="U825" s="31"/>
      <c r="AD825" s="97"/>
    </row>
    <row r="826" spans="1:30" ht="35.1" hidden="1" customHeight="1" x14ac:dyDescent="0.25">
      <c r="A826" s="83"/>
      <c r="B826" s="7"/>
      <c r="C826" s="8"/>
      <c r="D826" s="8"/>
      <c r="E826" s="60"/>
      <c r="F826" s="84" t="str">
        <f>IFERROR(VLOOKUP(CONCATENATE($B826,"_",F$3),materiali!$C:$K,5,0),"")</f>
        <v/>
      </c>
      <c r="G826" s="85" t="str">
        <f>IFERROR(VLOOKUP(CONCATENATE($B826,"_",G$3),materiali!$C:$K,6,0),"")</f>
        <v/>
      </c>
      <c r="H826" s="86"/>
      <c r="I826" s="84" t="str">
        <f>IFERROR(VLOOKUP(CONCATENATE($B826,"_",I$3),materiali!$C:$K,5,0),"")</f>
        <v/>
      </c>
      <c r="J826" s="85" t="str">
        <f>IFERROR(VLOOKUP(CONCATENATE($B826,"_",J$3),materiali!$C:$K,6,0),"")</f>
        <v/>
      </c>
      <c r="K826" s="86"/>
      <c r="L826" s="84" t="str">
        <f>IFERROR(VLOOKUP(CONCATENATE($B826,"_",L$3),materiali!$C:$K,5,0),"")</f>
        <v/>
      </c>
      <c r="M826" s="85" t="str">
        <f>IFERROR(VLOOKUP(CONCATENATE($B826,"_",M$3),materiali!$C:$K,6,0),"")</f>
        <v/>
      </c>
      <c r="N826" s="86"/>
      <c r="O826" s="84" t="str">
        <f>IFERROR(VLOOKUP(CONCATENATE($B826,"_",O$3),materiali!$C:$K,5,0),"")</f>
        <v/>
      </c>
      <c r="P826" s="85" t="str">
        <f>IFERROR(VLOOKUP(CONCATENATE($B826,"_",P$3),materiali!$C:$K,6,0),"")</f>
        <v/>
      </c>
      <c r="Q826" s="86"/>
      <c r="R826" s="84" t="str">
        <f>IFERROR(VLOOKUP(CONCATENATE($B826,"_",R$3),materiali!$C:$K,5,0),"")</f>
        <v/>
      </c>
      <c r="S826" s="85" t="str">
        <f>IFERROR(VLOOKUP(CONCATENATE($B826,"_",S$3),materiali!$C:$K,6,0),"")</f>
        <v/>
      </c>
      <c r="T826" s="86"/>
      <c r="U826" s="31"/>
      <c r="AD826" s="97"/>
    </row>
    <row r="827" spans="1:30" ht="35.1" hidden="1" customHeight="1" x14ac:dyDescent="0.25">
      <c r="A827" s="83"/>
      <c r="B827" s="7"/>
      <c r="C827" s="8"/>
      <c r="D827" s="8"/>
      <c r="E827" s="60"/>
      <c r="F827" s="84" t="str">
        <f>IFERROR(VLOOKUP(CONCATENATE($B827,"_",F$3),materiali!$C:$K,5,0),"")</f>
        <v/>
      </c>
      <c r="G827" s="85" t="str">
        <f>IFERROR(VLOOKUP(CONCATENATE($B827,"_",G$3),materiali!$C:$K,6,0),"")</f>
        <v/>
      </c>
      <c r="H827" s="86"/>
      <c r="I827" s="84" t="str">
        <f>IFERROR(VLOOKUP(CONCATENATE($B827,"_",I$3),materiali!$C:$K,5,0),"")</f>
        <v/>
      </c>
      <c r="J827" s="85" t="str">
        <f>IFERROR(VLOOKUP(CONCATENATE($B827,"_",J$3),materiali!$C:$K,6,0),"")</f>
        <v/>
      </c>
      <c r="K827" s="86"/>
      <c r="L827" s="84" t="str">
        <f>IFERROR(VLOOKUP(CONCATENATE($B827,"_",L$3),materiali!$C:$K,5,0),"")</f>
        <v/>
      </c>
      <c r="M827" s="85" t="str">
        <f>IFERROR(VLOOKUP(CONCATENATE($B827,"_",M$3),materiali!$C:$K,6,0),"")</f>
        <v/>
      </c>
      <c r="N827" s="86"/>
      <c r="O827" s="84" t="str">
        <f>IFERROR(VLOOKUP(CONCATENATE($B827,"_",O$3),materiali!$C:$K,5,0),"")</f>
        <v/>
      </c>
      <c r="P827" s="85" t="str">
        <f>IFERROR(VLOOKUP(CONCATENATE($B827,"_",P$3),materiali!$C:$K,6,0),"")</f>
        <v/>
      </c>
      <c r="Q827" s="86"/>
      <c r="R827" s="84" t="str">
        <f>IFERROR(VLOOKUP(CONCATENATE($B827,"_",R$3),materiali!$C:$K,5,0),"")</f>
        <v/>
      </c>
      <c r="S827" s="85" t="str">
        <f>IFERROR(VLOOKUP(CONCATENATE($B827,"_",S$3),materiali!$C:$K,6,0),"")</f>
        <v/>
      </c>
      <c r="T827" s="86"/>
      <c r="U827" s="31"/>
      <c r="AD827" s="97"/>
    </row>
    <row r="828" spans="1:30" ht="35.1" hidden="1" customHeight="1" x14ac:dyDescent="0.25">
      <c r="A828" s="83"/>
      <c r="B828" s="7"/>
      <c r="C828" s="8"/>
      <c r="D828" s="8"/>
      <c r="E828" s="60"/>
      <c r="F828" s="84" t="str">
        <f>IFERROR(VLOOKUP(CONCATENATE($B828,"_",F$3),materiali!$C:$K,5,0),"")</f>
        <v/>
      </c>
      <c r="G828" s="85" t="str">
        <f>IFERROR(VLOOKUP(CONCATENATE($B828,"_",G$3),materiali!$C:$K,6,0),"")</f>
        <v/>
      </c>
      <c r="H828" s="86"/>
      <c r="I828" s="84" t="str">
        <f>IFERROR(VLOOKUP(CONCATENATE($B828,"_",I$3),materiali!$C:$K,5,0),"")</f>
        <v/>
      </c>
      <c r="J828" s="85" t="str">
        <f>IFERROR(VLOOKUP(CONCATENATE($B828,"_",J$3),materiali!$C:$K,6,0),"")</f>
        <v/>
      </c>
      <c r="K828" s="86"/>
      <c r="L828" s="84" t="str">
        <f>IFERROR(VLOOKUP(CONCATENATE($B828,"_",L$3),materiali!$C:$K,5,0),"")</f>
        <v/>
      </c>
      <c r="M828" s="85" t="str">
        <f>IFERROR(VLOOKUP(CONCATENATE($B828,"_",M$3),materiali!$C:$K,6,0),"")</f>
        <v/>
      </c>
      <c r="N828" s="86"/>
      <c r="O828" s="84" t="str">
        <f>IFERROR(VLOOKUP(CONCATENATE($B828,"_",O$3),materiali!$C:$K,5,0),"")</f>
        <v/>
      </c>
      <c r="P828" s="85" t="str">
        <f>IFERROR(VLOOKUP(CONCATENATE($B828,"_",P$3),materiali!$C:$K,6,0),"")</f>
        <v/>
      </c>
      <c r="Q828" s="86"/>
      <c r="R828" s="84" t="str">
        <f>IFERROR(VLOOKUP(CONCATENATE($B828,"_",R$3),materiali!$C:$K,5,0),"")</f>
        <v/>
      </c>
      <c r="S828" s="85" t="str">
        <f>IFERROR(VLOOKUP(CONCATENATE($B828,"_",S$3),materiali!$C:$K,6,0),"")</f>
        <v/>
      </c>
      <c r="T828" s="86"/>
      <c r="U828" s="31"/>
      <c r="AD828" s="97"/>
    </row>
    <row r="829" spans="1:30" ht="35.1" hidden="1" customHeight="1" x14ac:dyDescent="0.25">
      <c r="A829" s="83"/>
      <c r="B829" s="7"/>
      <c r="C829" s="8"/>
      <c r="D829" s="8"/>
      <c r="E829" s="60"/>
      <c r="F829" s="84" t="str">
        <f>IFERROR(VLOOKUP(CONCATENATE($B829,"_",F$3),materiali!$C:$K,5,0),"")</f>
        <v/>
      </c>
      <c r="G829" s="85" t="str">
        <f>IFERROR(VLOOKUP(CONCATENATE($B829,"_",G$3),materiali!$C:$K,6,0),"")</f>
        <v/>
      </c>
      <c r="H829" s="86"/>
      <c r="I829" s="84" t="str">
        <f>IFERROR(VLOOKUP(CONCATENATE($B829,"_",I$3),materiali!$C:$K,5,0),"")</f>
        <v/>
      </c>
      <c r="J829" s="85" t="str">
        <f>IFERROR(VLOOKUP(CONCATENATE($B829,"_",J$3),materiali!$C:$K,6,0),"")</f>
        <v/>
      </c>
      <c r="K829" s="86"/>
      <c r="L829" s="84" t="str">
        <f>IFERROR(VLOOKUP(CONCATENATE($B829,"_",L$3),materiali!$C:$K,5,0),"")</f>
        <v/>
      </c>
      <c r="M829" s="85" t="str">
        <f>IFERROR(VLOOKUP(CONCATENATE($B829,"_",M$3),materiali!$C:$K,6,0),"")</f>
        <v/>
      </c>
      <c r="N829" s="86"/>
      <c r="O829" s="84" t="str">
        <f>IFERROR(VLOOKUP(CONCATENATE($B829,"_",O$3),materiali!$C:$K,5,0),"")</f>
        <v/>
      </c>
      <c r="P829" s="85" t="str">
        <f>IFERROR(VLOOKUP(CONCATENATE($B829,"_",P$3),materiali!$C:$K,6,0),"")</f>
        <v/>
      </c>
      <c r="Q829" s="86"/>
      <c r="R829" s="84" t="str">
        <f>IFERROR(VLOOKUP(CONCATENATE($B829,"_",R$3),materiali!$C:$K,5,0),"")</f>
        <v/>
      </c>
      <c r="S829" s="85" t="str">
        <f>IFERROR(VLOOKUP(CONCATENATE($B829,"_",S$3),materiali!$C:$K,6,0),"")</f>
        <v/>
      </c>
      <c r="T829" s="86"/>
      <c r="U829" s="31"/>
      <c r="AD829" s="97"/>
    </row>
    <row r="830" spans="1:30" ht="35.1" hidden="1" customHeight="1" x14ac:dyDescent="0.25">
      <c r="A830" s="83"/>
      <c r="B830" s="7"/>
      <c r="C830" s="8"/>
      <c r="D830" s="8"/>
      <c r="E830" s="60"/>
      <c r="F830" s="84" t="str">
        <f>IFERROR(VLOOKUP(CONCATENATE($B830,"_",F$3),materiali!$C:$K,5,0),"")</f>
        <v/>
      </c>
      <c r="G830" s="85" t="str">
        <f>IFERROR(VLOOKUP(CONCATENATE($B830,"_",G$3),materiali!$C:$K,6,0),"")</f>
        <v/>
      </c>
      <c r="H830" s="86"/>
      <c r="I830" s="84" t="str">
        <f>IFERROR(VLOOKUP(CONCATENATE($B830,"_",I$3),materiali!$C:$K,5,0),"")</f>
        <v/>
      </c>
      <c r="J830" s="85" t="str">
        <f>IFERROR(VLOOKUP(CONCATENATE($B830,"_",J$3),materiali!$C:$K,6,0),"")</f>
        <v/>
      </c>
      <c r="K830" s="86"/>
      <c r="L830" s="84" t="str">
        <f>IFERROR(VLOOKUP(CONCATENATE($B830,"_",L$3),materiali!$C:$K,5,0),"")</f>
        <v/>
      </c>
      <c r="M830" s="85" t="str">
        <f>IFERROR(VLOOKUP(CONCATENATE($B830,"_",M$3),materiali!$C:$K,6,0),"")</f>
        <v/>
      </c>
      <c r="N830" s="86"/>
      <c r="O830" s="84" t="str">
        <f>IFERROR(VLOOKUP(CONCATENATE($B830,"_",O$3),materiali!$C:$K,5,0),"")</f>
        <v/>
      </c>
      <c r="P830" s="85" t="str">
        <f>IFERROR(VLOOKUP(CONCATENATE($B830,"_",P$3),materiali!$C:$K,6,0),"")</f>
        <v/>
      </c>
      <c r="Q830" s="86"/>
      <c r="R830" s="84" t="str">
        <f>IFERROR(VLOOKUP(CONCATENATE($B830,"_",R$3),materiali!$C:$K,5,0),"")</f>
        <v/>
      </c>
      <c r="S830" s="85" t="str">
        <f>IFERROR(VLOOKUP(CONCATENATE($B830,"_",S$3),materiali!$C:$K,6,0),"")</f>
        <v/>
      </c>
      <c r="T830" s="86"/>
      <c r="U830" s="31"/>
      <c r="AD830" s="97"/>
    </row>
    <row r="831" spans="1:30" ht="35.1" hidden="1" customHeight="1" x14ac:dyDescent="0.25">
      <c r="A831" s="83"/>
      <c r="B831" s="7"/>
      <c r="C831" s="8"/>
      <c r="D831" s="8"/>
      <c r="E831" s="60"/>
      <c r="F831" s="84" t="str">
        <f>IFERROR(VLOOKUP(CONCATENATE($B831,"_",F$3),materiali!$C:$K,5,0),"")</f>
        <v/>
      </c>
      <c r="G831" s="85" t="str">
        <f>IFERROR(VLOOKUP(CONCATENATE($B831,"_",G$3),materiali!$C:$K,6,0),"")</f>
        <v/>
      </c>
      <c r="H831" s="86"/>
      <c r="I831" s="84" t="str">
        <f>IFERROR(VLOOKUP(CONCATENATE($B831,"_",I$3),materiali!$C:$K,5,0),"")</f>
        <v/>
      </c>
      <c r="J831" s="85" t="str">
        <f>IFERROR(VLOOKUP(CONCATENATE($B831,"_",J$3),materiali!$C:$K,6,0),"")</f>
        <v/>
      </c>
      <c r="K831" s="86"/>
      <c r="L831" s="84" t="str">
        <f>IFERROR(VLOOKUP(CONCATENATE($B831,"_",L$3),materiali!$C:$K,5,0),"")</f>
        <v/>
      </c>
      <c r="M831" s="85" t="str">
        <f>IFERROR(VLOOKUP(CONCATENATE($B831,"_",M$3),materiali!$C:$K,6,0),"")</f>
        <v/>
      </c>
      <c r="N831" s="86"/>
      <c r="O831" s="84" t="str">
        <f>IFERROR(VLOOKUP(CONCATENATE($B831,"_",O$3),materiali!$C:$K,5,0),"")</f>
        <v/>
      </c>
      <c r="P831" s="85" t="str">
        <f>IFERROR(VLOOKUP(CONCATENATE($B831,"_",P$3),materiali!$C:$K,6,0),"")</f>
        <v/>
      </c>
      <c r="Q831" s="86"/>
      <c r="R831" s="84" t="str">
        <f>IFERROR(VLOOKUP(CONCATENATE($B831,"_",R$3),materiali!$C:$K,5,0),"")</f>
        <v/>
      </c>
      <c r="S831" s="85" t="str">
        <f>IFERROR(VLOOKUP(CONCATENATE($B831,"_",S$3),materiali!$C:$K,6,0),"")</f>
        <v/>
      </c>
      <c r="T831" s="86"/>
      <c r="U831" s="31"/>
      <c r="AD831" s="97"/>
    </row>
    <row r="832" spans="1:30" ht="35.1" hidden="1" customHeight="1" x14ac:dyDescent="0.25">
      <c r="A832" s="83"/>
      <c r="B832" s="7"/>
      <c r="C832" s="8"/>
      <c r="D832" s="8"/>
      <c r="E832" s="60"/>
      <c r="F832" s="84" t="str">
        <f>IFERROR(VLOOKUP(CONCATENATE($B832,"_",F$3),materiali!$C:$K,5,0),"")</f>
        <v/>
      </c>
      <c r="G832" s="85" t="str">
        <f>IFERROR(VLOOKUP(CONCATENATE($B832,"_",G$3),materiali!$C:$K,6,0),"")</f>
        <v/>
      </c>
      <c r="H832" s="86"/>
      <c r="I832" s="84" t="str">
        <f>IFERROR(VLOOKUP(CONCATENATE($B832,"_",I$3),materiali!$C:$K,5,0),"")</f>
        <v/>
      </c>
      <c r="J832" s="85" t="str">
        <f>IFERROR(VLOOKUP(CONCATENATE($B832,"_",J$3),materiali!$C:$K,6,0),"")</f>
        <v/>
      </c>
      <c r="K832" s="86"/>
      <c r="L832" s="84" t="str">
        <f>IFERROR(VLOOKUP(CONCATENATE($B832,"_",L$3),materiali!$C:$K,5,0),"")</f>
        <v/>
      </c>
      <c r="M832" s="85" t="str">
        <f>IFERROR(VLOOKUP(CONCATENATE($B832,"_",M$3),materiali!$C:$K,6,0),"")</f>
        <v/>
      </c>
      <c r="N832" s="86"/>
      <c r="O832" s="84" t="str">
        <f>IFERROR(VLOOKUP(CONCATENATE($B832,"_",O$3),materiali!$C:$K,5,0),"")</f>
        <v/>
      </c>
      <c r="P832" s="85" t="str">
        <f>IFERROR(VLOOKUP(CONCATENATE($B832,"_",P$3),materiali!$C:$K,6,0),"")</f>
        <v/>
      </c>
      <c r="Q832" s="86"/>
      <c r="R832" s="84" t="str">
        <f>IFERROR(VLOOKUP(CONCATENATE($B832,"_",R$3),materiali!$C:$K,5,0),"")</f>
        <v/>
      </c>
      <c r="S832" s="85" t="str">
        <f>IFERROR(VLOOKUP(CONCATENATE($B832,"_",S$3),materiali!$C:$K,6,0),"")</f>
        <v/>
      </c>
      <c r="T832" s="86"/>
      <c r="U832" s="31"/>
      <c r="AD832" s="97"/>
    </row>
    <row r="833" spans="1:30" ht="35.1" hidden="1" customHeight="1" x14ac:dyDescent="0.25">
      <c r="A833" s="83"/>
      <c r="B833" s="7"/>
      <c r="C833" s="8"/>
      <c r="D833" s="8"/>
      <c r="E833" s="60"/>
      <c r="F833" s="84" t="str">
        <f>IFERROR(VLOOKUP(CONCATENATE($B833,"_",F$3),materiali!$C:$K,5,0),"")</f>
        <v/>
      </c>
      <c r="G833" s="85" t="str">
        <f>IFERROR(VLOOKUP(CONCATENATE($B833,"_",G$3),materiali!$C:$K,6,0),"")</f>
        <v/>
      </c>
      <c r="H833" s="86"/>
      <c r="I833" s="84" t="str">
        <f>IFERROR(VLOOKUP(CONCATENATE($B833,"_",I$3),materiali!$C:$K,5,0),"")</f>
        <v/>
      </c>
      <c r="J833" s="85" t="str">
        <f>IFERROR(VLOOKUP(CONCATENATE($B833,"_",J$3),materiali!$C:$K,6,0),"")</f>
        <v/>
      </c>
      <c r="K833" s="86"/>
      <c r="L833" s="84" t="str">
        <f>IFERROR(VLOOKUP(CONCATENATE($B833,"_",L$3),materiali!$C:$K,5,0),"")</f>
        <v/>
      </c>
      <c r="M833" s="85" t="str">
        <f>IFERROR(VLOOKUP(CONCATENATE($B833,"_",M$3),materiali!$C:$K,6,0),"")</f>
        <v/>
      </c>
      <c r="N833" s="86"/>
      <c r="O833" s="84" t="str">
        <f>IFERROR(VLOOKUP(CONCATENATE($B833,"_",O$3),materiali!$C:$K,5,0),"")</f>
        <v/>
      </c>
      <c r="P833" s="85" t="str">
        <f>IFERROR(VLOOKUP(CONCATENATE($B833,"_",P$3),materiali!$C:$K,6,0),"")</f>
        <v/>
      </c>
      <c r="Q833" s="86"/>
      <c r="R833" s="84" t="str">
        <f>IFERROR(VLOOKUP(CONCATENATE($B833,"_",R$3),materiali!$C:$K,5,0),"")</f>
        <v/>
      </c>
      <c r="S833" s="85" t="str">
        <f>IFERROR(VLOOKUP(CONCATENATE($B833,"_",S$3),materiali!$C:$K,6,0),"")</f>
        <v/>
      </c>
      <c r="T833" s="86"/>
      <c r="U833" s="31"/>
      <c r="AD833" s="97"/>
    </row>
    <row r="834" spans="1:30" ht="35.1" hidden="1" customHeight="1" x14ac:dyDescent="0.25">
      <c r="A834" s="83"/>
      <c r="B834" s="7"/>
      <c r="C834" s="8"/>
      <c r="D834" s="8"/>
      <c r="E834" s="60"/>
      <c r="F834" s="84" t="str">
        <f>IFERROR(VLOOKUP(CONCATENATE($B834,"_",F$3),materiali!$C:$K,5,0),"")</f>
        <v/>
      </c>
      <c r="G834" s="85" t="str">
        <f>IFERROR(VLOOKUP(CONCATENATE($B834,"_",G$3),materiali!$C:$K,6,0),"")</f>
        <v/>
      </c>
      <c r="H834" s="86"/>
      <c r="I834" s="84" t="str">
        <f>IFERROR(VLOOKUP(CONCATENATE($B834,"_",I$3),materiali!$C:$K,5,0),"")</f>
        <v/>
      </c>
      <c r="J834" s="85" t="str">
        <f>IFERROR(VLOOKUP(CONCATENATE($B834,"_",J$3),materiali!$C:$K,6,0),"")</f>
        <v/>
      </c>
      <c r="K834" s="86"/>
      <c r="L834" s="84" t="str">
        <f>IFERROR(VLOOKUP(CONCATENATE($B834,"_",L$3),materiali!$C:$K,5,0),"")</f>
        <v/>
      </c>
      <c r="M834" s="85" t="str">
        <f>IFERROR(VLOOKUP(CONCATENATE($B834,"_",M$3),materiali!$C:$K,6,0),"")</f>
        <v/>
      </c>
      <c r="N834" s="86"/>
      <c r="O834" s="84" t="str">
        <f>IFERROR(VLOOKUP(CONCATENATE($B834,"_",O$3),materiali!$C:$K,5,0),"")</f>
        <v/>
      </c>
      <c r="P834" s="85" t="str">
        <f>IFERROR(VLOOKUP(CONCATENATE($B834,"_",P$3),materiali!$C:$K,6,0),"")</f>
        <v/>
      </c>
      <c r="Q834" s="86"/>
      <c r="R834" s="84" t="str">
        <f>IFERROR(VLOOKUP(CONCATENATE($B834,"_",R$3),materiali!$C:$K,5,0),"")</f>
        <v/>
      </c>
      <c r="S834" s="85" t="str">
        <f>IFERROR(VLOOKUP(CONCATENATE($B834,"_",S$3),materiali!$C:$K,6,0),"")</f>
        <v/>
      </c>
      <c r="T834" s="86"/>
      <c r="U834" s="31"/>
      <c r="AD834" s="97"/>
    </row>
    <row r="835" spans="1:30" ht="35.1" hidden="1" customHeight="1" x14ac:dyDescent="0.25">
      <c r="A835" s="83"/>
      <c r="B835" s="7"/>
      <c r="C835" s="8"/>
      <c r="D835" s="8"/>
      <c r="E835" s="60"/>
      <c r="F835" s="84" t="str">
        <f>IFERROR(VLOOKUP(CONCATENATE($B835,"_",F$3),materiali!$C:$K,5,0),"")</f>
        <v/>
      </c>
      <c r="G835" s="85" t="str">
        <f>IFERROR(VLOOKUP(CONCATENATE($B835,"_",G$3),materiali!$C:$K,6,0),"")</f>
        <v/>
      </c>
      <c r="H835" s="86"/>
      <c r="I835" s="84" t="str">
        <f>IFERROR(VLOOKUP(CONCATENATE($B835,"_",I$3),materiali!$C:$K,5,0),"")</f>
        <v/>
      </c>
      <c r="J835" s="85" t="str">
        <f>IFERROR(VLOOKUP(CONCATENATE($B835,"_",J$3),materiali!$C:$K,6,0),"")</f>
        <v/>
      </c>
      <c r="K835" s="86"/>
      <c r="L835" s="84" t="str">
        <f>IFERROR(VLOOKUP(CONCATENATE($B835,"_",L$3),materiali!$C:$K,5,0),"")</f>
        <v/>
      </c>
      <c r="M835" s="85" t="str">
        <f>IFERROR(VLOOKUP(CONCATENATE($B835,"_",M$3),materiali!$C:$K,6,0),"")</f>
        <v/>
      </c>
      <c r="N835" s="86"/>
      <c r="O835" s="84" t="str">
        <f>IFERROR(VLOOKUP(CONCATENATE($B835,"_",O$3),materiali!$C:$K,5,0),"")</f>
        <v/>
      </c>
      <c r="P835" s="85" t="str">
        <f>IFERROR(VLOOKUP(CONCATENATE($B835,"_",P$3),materiali!$C:$K,6,0),"")</f>
        <v/>
      </c>
      <c r="Q835" s="86"/>
      <c r="R835" s="84" t="str">
        <f>IFERROR(VLOOKUP(CONCATENATE($B835,"_",R$3),materiali!$C:$K,5,0),"")</f>
        <v/>
      </c>
      <c r="S835" s="85" t="str">
        <f>IFERROR(VLOOKUP(CONCATENATE($B835,"_",S$3),materiali!$C:$K,6,0),"")</f>
        <v/>
      </c>
      <c r="T835" s="86"/>
      <c r="U835" s="31"/>
      <c r="AD835" s="97"/>
    </row>
    <row r="836" spans="1:30" ht="35.1" hidden="1" customHeight="1" x14ac:dyDescent="0.25">
      <c r="A836" s="83"/>
      <c r="B836" s="7"/>
      <c r="C836" s="8"/>
      <c r="D836" s="8"/>
      <c r="E836" s="60"/>
      <c r="F836" s="84" t="str">
        <f>IFERROR(VLOOKUP(CONCATENATE($B836,"_",F$3),materiali!$C:$K,5,0),"")</f>
        <v/>
      </c>
      <c r="G836" s="85" t="str">
        <f>IFERROR(VLOOKUP(CONCATENATE($B836,"_",G$3),materiali!$C:$K,6,0),"")</f>
        <v/>
      </c>
      <c r="H836" s="86"/>
      <c r="I836" s="84" t="str">
        <f>IFERROR(VLOOKUP(CONCATENATE($B836,"_",I$3),materiali!$C:$K,5,0),"")</f>
        <v/>
      </c>
      <c r="J836" s="85" t="str">
        <f>IFERROR(VLOOKUP(CONCATENATE($B836,"_",J$3),materiali!$C:$K,6,0),"")</f>
        <v/>
      </c>
      <c r="K836" s="86"/>
      <c r="L836" s="84" t="str">
        <f>IFERROR(VLOOKUP(CONCATENATE($B836,"_",L$3),materiali!$C:$K,5,0),"")</f>
        <v/>
      </c>
      <c r="M836" s="85" t="str">
        <f>IFERROR(VLOOKUP(CONCATENATE($B836,"_",M$3),materiali!$C:$K,6,0),"")</f>
        <v/>
      </c>
      <c r="N836" s="86"/>
      <c r="O836" s="84" t="str">
        <f>IFERROR(VLOOKUP(CONCATENATE($B836,"_",O$3),materiali!$C:$K,5,0),"")</f>
        <v/>
      </c>
      <c r="P836" s="85" t="str">
        <f>IFERROR(VLOOKUP(CONCATENATE($B836,"_",P$3),materiali!$C:$K,6,0),"")</f>
        <v/>
      </c>
      <c r="Q836" s="86"/>
      <c r="R836" s="84" t="str">
        <f>IFERROR(VLOOKUP(CONCATENATE($B836,"_",R$3),materiali!$C:$K,5,0),"")</f>
        <v/>
      </c>
      <c r="S836" s="85" t="str">
        <f>IFERROR(VLOOKUP(CONCATENATE($B836,"_",S$3),materiali!$C:$K,6,0),"")</f>
        <v/>
      </c>
      <c r="T836" s="86"/>
      <c r="U836" s="31"/>
      <c r="AD836" s="97"/>
    </row>
    <row r="837" spans="1:30" ht="35.1" hidden="1" customHeight="1" x14ac:dyDescent="0.25">
      <c r="A837" s="83"/>
      <c r="B837" s="7"/>
      <c r="C837" s="8"/>
      <c r="D837" s="8"/>
      <c r="E837" s="60"/>
      <c r="F837" s="84" t="str">
        <f>IFERROR(VLOOKUP(CONCATENATE($B837,"_",F$3),materiali!$C:$K,5,0),"")</f>
        <v/>
      </c>
      <c r="G837" s="85" t="str">
        <f>IFERROR(VLOOKUP(CONCATENATE($B837,"_",G$3),materiali!$C:$K,6,0),"")</f>
        <v/>
      </c>
      <c r="H837" s="86"/>
      <c r="I837" s="84" t="str">
        <f>IFERROR(VLOOKUP(CONCATENATE($B837,"_",I$3),materiali!$C:$K,5,0),"")</f>
        <v/>
      </c>
      <c r="J837" s="85" t="str">
        <f>IFERROR(VLOOKUP(CONCATENATE($B837,"_",J$3),materiali!$C:$K,6,0),"")</f>
        <v/>
      </c>
      <c r="K837" s="86"/>
      <c r="L837" s="84" t="str">
        <f>IFERROR(VLOOKUP(CONCATENATE($B837,"_",L$3),materiali!$C:$K,5,0),"")</f>
        <v/>
      </c>
      <c r="M837" s="85" t="str">
        <f>IFERROR(VLOOKUP(CONCATENATE($B837,"_",M$3),materiali!$C:$K,6,0),"")</f>
        <v/>
      </c>
      <c r="N837" s="86"/>
      <c r="O837" s="84" t="str">
        <f>IFERROR(VLOOKUP(CONCATENATE($B837,"_",O$3),materiali!$C:$K,5,0),"")</f>
        <v/>
      </c>
      <c r="P837" s="85" t="str">
        <f>IFERROR(VLOOKUP(CONCATENATE($B837,"_",P$3),materiali!$C:$K,6,0),"")</f>
        <v/>
      </c>
      <c r="Q837" s="86"/>
      <c r="R837" s="84" t="str">
        <f>IFERROR(VLOOKUP(CONCATENATE($B837,"_",R$3),materiali!$C:$K,5,0),"")</f>
        <v/>
      </c>
      <c r="S837" s="85" t="str">
        <f>IFERROR(VLOOKUP(CONCATENATE($B837,"_",S$3),materiali!$C:$K,6,0),"")</f>
        <v/>
      </c>
      <c r="T837" s="86"/>
      <c r="U837" s="31"/>
      <c r="AD837" s="97"/>
    </row>
    <row r="838" spans="1:30" ht="35.1" hidden="1" customHeight="1" x14ac:dyDescent="0.25">
      <c r="A838" s="83"/>
      <c r="B838" s="7"/>
      <c r="C838" s="8"/>
      <c r="D838" s="8"/>
      <c r="E838" s="60"/>
      <c r="F838" s="84" t="str">
        <f>IFERROR(VLOOKUP(CONCATENATE($B838,"_",F$3),materiali!$C:$K,5,0),"")</f>
        <v/>
      </c>
      <c r="G838" s="85" t="str">
        <f>IFERROR(VLOOKUP(CONCATENATE($B838,"_",G$3),materiali!$C:$K,6,0),"")</f>
        <v/>
      </c>
      <c r="H838" s="86"/>
      <c r="I838" s="84" t="str">
        <f>IFERROR(VLOOKUP(CONCATENATE($B838,"_",I$3),materiali!$C:$K,5,0),"")</f>
        <v/>
      </c>
      <c r="J838" s="85" t="str">
        <f>IFERROR(VLOOKUP(CONCATENATE($B838,"_",J$3),materiali!$C:$K,6,0),"")</f>
        <v/>
      </c>
      <c r="K838" s="86"/>
      <c r="L838" s="84" t="str">
        <f>IFERROR(VLOOKUP(CONCATENATE($B838,"_",L$3),materiali!$C:$K,5,0),"")</f>
        <v/>
      </c>
      <c r="M838" s="85" t="str">
        <f>IFERROR(VLOOKUP(CONCATENATE($B838,"_",M$3),materiali!$C:$K,6,0),"")</f>
        <v/>
      </c>
      <c r="N838" s="86"/>
      <c r="O838" s="84" t="str">
        <f>IFERROR(VLOOKUP(CONCATENATE($B838,"_",O$3),materiali!$C:$K,5,0),"")</f>
        <v/>
      </c>
      <c r="P838" s="85" t="str">
        <f>IFERROR(VLOOKUP(CONCATENATE($B838,"_",P$3),materiali!$C:$K,6,0),"")</f>
        <v/>
      </c>
      <c r="Q838" s="86"/>
      <c r="R838" s="84" t="str">
        <f>IFERROR(VLOOKUP(CONCATENATE($B838,"_",R$3),materiali!$C:$K,5,0),"")</f>
        <v/>
      </c>
      <c r="S838" s="85" t="str">
        <f>IFERROR(VLOOKUP(CONCATENATE($B838,"_",S$3),materiali!$C:$K,6,0),"")</f>
        <v/>
      </c>
      <c r="T838" s="86"/>
      <c r="U838" s="31"/>
      <c r="AD838" s="97"/>
    </row>
    <row r="839" spans="1:30" ht="35.1" hidden="1" customHeight="1" x14ac:dyDescent="0.25">
      <c r="A839" s="83"/>
      <c r="B839" s="7"/>
      <c r="C839" s="8"/>
      <c r="D839" s="8"/>
      <c r="E839" s="60"/>
      <c r="F839" s="84" t="str">
        <f>IFERROR(VLOOKUP(CONCATENATE($B839,"_",F$3),materiali!$C:$K,5,0),"")</f>
        <v/>
      </c>
      <c r="G839" s="85" t="str">
        <f>IFERROR(VLOOKUP(CONCATENATE($B839,"_",G$3),materiali!$C:$K,6,0),"")</f>
        <v/>
      </c>
      <c r="H839" s="86"/>
      <c r="I839" s="84" t="str">
        <f>IFERROR(VLOOKUP(CONCATENATE($B839,"_",I$3),materiali!$C:$K,5,0),"")</f>
        <v/>
      </c>
      <c r="J839" s="85" t="str">
        <f>IFERROR(VLOOKUP(CONCATENATE($B839,"_",J$3),materiali!$C:$K,6,0),"")</f>
        <v/>
      </c>
      <c r="K839" s="86"/>
      <c r="L839" s="84" t="str">
        <f>IFERROR(VLOOKUP(CONCATENATE($B839,"_",L$3),materiali!$C:$K,5,0),"")</f>
        <v/>
      </c>
      <c r="M839" s="85" t="str">
        <f>IFERROR(VLOOKUP(CONCATENATE($B839,"_",M$3),materiali!$C:$K,6,0),"")</f>
        <v/>
      </c>
      <c r="N839" s="86"/>
      <c r="O839" s="84" t="str">
        <f>IFERROR(VLOOKUP(CONCATENATE($B839,"_",O$3),materiali!$C:$K,5,0),"")</f>
        <v/>
      </c>
      <c r="P839" s="85" t="str">
        <f>IFERROR(VLOOKUP(CONCATENATE($B839,"_",P$3),materiali!$C:$K,6,0),"")</f>
        <v/>
      </c>
      <c r="Q839" s="86"/>
      <c r="R839" s="84" t="str">
        <f>IFERROR(VLOOKUP(CONCATENATE($B839,"_",R$3),materiali!$C:$K,5,0),"")</f>
        <v/>
      </c>
      <c r="S839" s="85" t="str">
        <f>IFERROR(VLOOKUP(CONCATENATE($B839,"_",S$3),materiali!$C:$K,6,0),"")</f>
        <v/>
      </c>
      <c r="T839" s="86"/>
      <c r="U839" s="31"/>
      <c r="AD839" s="97"/>
    </row>
    <row r="840" spans="1:30" ht="35.1" hidden="1" customHeight="1" x14ac:dyDescent="0.25">
      <c r="A840" s="83"/>
      <c r="B840" s="7"/>
      <c r="C840" s="8"/>
      <c r="D840" s="8"/>
      <c r="E840" s="60"/>
      <c r="F840" s="84" t="str">
        <f>IFERROR(VLOOKUP(CONCATENATE($B840,"_",F$3),materiali!$C:$K,5,0),"")</f>
        <v/>
      </c>
      <c r="G840" s="85" t="str">
        <f>IFERROR(VLOOKUP(CONCATENATE($B840,"_",G$3),materiali!$C:$K,6,0),"")</f>
        <v/>
      </c>
      <c r="H840" s="86"/>
      <c r="I840" s="84" t="str">
        <f>IFERROR(VLOOKUP(CONCATENATE($B840,"_",I$3),materiali!$C:$K,5,0),"")</f>
        <v/>
      </c>
      <c r="J840" s="85" t="str">
        <f>IFERROR(VLOOKUP(CONCATENATE($B840,"_",J$3),materiali!$C:$K,6,0),"")</f>
        <v/>
      </c>
      <c r="K840" s="86"/>
      <c r="L840" s="84" t="str">
        <f>IFERROR(VLOOKUP(CONCATENATE($B840,"_",L$3),materiali!$C:$K,5,0),"")</f>
        <v/>
      </c>
      <c r="M840" s="85" t="str">
        <f>IFERROR(VLOOKUP(CONCATENATE($B840,"_",M$3),materiali!$C:$K,6,0),"")</f>
        <v/>
      </c>
      <c r="N840" s="86"/>
      <c r="O840" s="84" t="str">
        <f>IFERROR(VLOOKUP(CONCATENATE($B840,"_",O$3),materiali!$C:$K,5,0),"")</f>
        <v/>
      </c>
      <c r="P840" s="85" t="str">
        <f>IFERROR(VLOOKUP(CONCATENATE($B840,"_",P$3),materiali!$C:$K,6,0),"")</f>
        <v/>
      </c>
      <c r="Q840" s="86"/>
      <c r="R840" s="84" t="str">
        <f>IFERROR(VLOOKUP(CONCATENATE($B840,"_",R$3),materiali!$C:$K,5,0),"")</f>
        <v/>
      </c>
      <c r="S840" s="85" t="str">
        <f>IFERROR(VLOOKUP(CONCATENATE($B840,"_",S$3),materiali!$C:$K,6,0),"")</f>
        <v/>
      </c>
      <c r="T840" s="86"/>
      <c r="U840" s="31"/>
      <c r="AD840" s="97"/>
    </row>
    <row r="841" spans="1:30" ht="35.1" hidden="1" customHeight="1" x14ac:dyDescent="0.25">
      <c r="A841" s="83"/>
      <c r="B841" s="7"/>
      <c r="C841" s="8"/>
      <c r="D841" s="8"/>
      <c r="E841" s="60"/>
      <c r="F841" s="84" t="str">
        <f>IFERROR(VLOOKUP(CONCATENATE($B841,"_",F$3),materiali!$C:$K,5,0),"")</f>
        <v/>
      </c>
      <c r="G841" s="85" t="str">
        <f>IFERROR(VLOOKUP(CONCATENATE($B841,"_",G$3),materiali!$C:$K,6,0),"")</f>
        <v/>
      </c>
      <c r="H841" s="86"/>
      <c r="I841" s="84" t="str">
        <f>IFERROR(VLOOKUP(CONCATENATE($B841,"_",I$3),materiali!$C:$K,5,0),"")</f>
        <v/>
      </c>
      <c r="J841" s="85" t="str">
        <f>IFERROR(VLOOKUP(CONCATENATE($B841,"_",J$3),materiali!$C:$K,6,0),"")</f>
        <v/>
      </c>
      <c r="K841" s="86"/>
      <c r="L841" s="84" t="str">
        <f>IFERROR(VLOOKUP(CONCATENATE($B841,"_",L$3),materiali!$C:$K,5,0),"")</f>
        <v/>
      </c>
      <c r="M841" s="85" t="str">
        <f>IFERROR(VLOOKUP(CONCATENATE($B841,"_",M$3),materiali!$C:$K,6,0),"")</f>
        <v/>
      </c>
      <c r="N841" s="86"/>
      <c r="O841" s="84" t="str">
        <f>IFERROR(VLOOKUP(CONCATENATE($B841,"_",O$3),materiali!$C:$K,5,0),"")</f>
        <v/>
      </c>
      <c r="P841" s="85" t="str">
        <f>IFERROR(VLOOKUP(CONCATENATE($B841,"_",P$3),materiali!$C:$K,6,0),"")</f>
        <v/>
      </c>
      <c r="Q841" s="86"/>
      <c r="R841" s="84" t="str">
        <f>IFERROR(VLOOKUP(CONCATENATE($B841,"_",R$3),materiali!$C:$K,5,0),"")</f>
        <v/>
      </c>
      <c r="S841" s="85" t="str">
        <f>IFERROR(VLOOKUP(CONCATENATE($B841,"_",S$3),materiali!$C:$K,6,0),"")</f>
        <v/>
      </c>
      <c r="T841" s="86"/>
      <c r="U841" s="31"/>
      <c r="AD841" s="97"/>
    </row>
    <row r="842" spans="1:30" ht="35.1" hidden="1" customHeight="1" x14ac:dyDescent="0.25">
      <c r="A842" s="83"/>
      <c r="B842" s="7"/>
      <c r="C842" s="8"/>
      <c r="D842" s="8"/>
      <c r="E842" s="60"/>
      <c r="F842" s="84" t="str">
        <f>IFERROR(VLOOKUP(CONCATENATE($B842,"_",F$3),materiali!$C:$K,5,0),"")</f>
        <v/>
      </c>
      <c r="G842" s="85" t="str">
        <f>IFERROR(VLOOKUP(CONCATENATE($B842,"_",G$3),materiali!$C:$K,6,0),"")</f>
        <v/>
      </c>
      <c r="H842" s="86"/>
      <c r="I842" s="84" t="str">
        <f>IFERROR(VLOOKUP(CONCATENATE($B842,"_",I$3),materiali!$C:$K,5,0),"")</f>
        <v/>
      </c>
      <c r="J842" s="85" t="str">
        <f>IFERROR(VLOOKUP(CONCATENATE($B842,"_",J$3),materiali!$C:$K,6,0),"")</f>
        <v/>
      </c>
      <c r="K842" s="86"/>
      <c r="L842" s="84" t="str">
        <f>IFERROR(VLOOKUP(CONCATENATE($B842,"_",L$3),materiali!$C:$K,5,0),"")</f>
        <v/>
      </c>
      <c r="M842" s="85" t="str">
        <f>IFERROR(VLOOKUP(CONCATENATE($B842,"_",M$3),materiali!$C:$K,6,0),"")</f>
        <v/>
      </c>
      <c r="N842" s="86"/>
      <c r="O842" s="84" t="str">
        <f>IFERROR(VLOOKUP(CONCATENATE($B842,"_",O$3),materiali!$C:$K,5,0),"")</f>
        <v/>
      </c>
      <c r="P842" s="85" t="str">
        <f>IFERROR(VLOOKUP(CONCATENATE($B842,"_",P$3),materiali!$C:$K,6,0),"")</f>
        <v/>
      </c>
      <c r="Q842" s="86"/>
      <c r="R842" s="84" t="str">
        <f>IFERROR(VLOOKUP(CONCATENATE($B842,"_",R$3),materiali!$C:$K,5,0),"")</f>
        <v/>
      </c>
      <c r="S842" s="85" t="str">
        <f>IFERROR(VLOOKUP(CONCATENATE($B842,"_",S$3),materiali!$C:$K,6,0),"")</f>
        <v/>
      </c>
      <c r="T842" s="86"/>
      <c r="U842" s="31"/>
      <c r="AD842" s="97"/>
    </row>
    <row r="843" spans="1:30" ht="35.1" hidden="1" customHeight="1" x14ac:dyDescent="0.25">
      <c r="A843" s="83"/>
      <c r="B843" s="7"/>
      <c r="C843" s="8"/>
      <c r="D843" s="8"/>
      <c r="E843" s="60"/>
      <c r="F843" s="84" t="str">
        <f>IFERROR(VLOOKUP(CONCATENATE($B843,"_",F$3),materiali!$C:$K,5,0),"")</f>
        <v/>
      </c>
      <c r="G843" s="85" t="str">
        <f>IFERROR(VLOOKUP(CONCATENATE($B843,"_",G$3),materiali!$C:$K,6,0),"")</f>
        <v/>
      </c>
      <c r="H843" s="86"/>
      <c r="I843" s="84" t="str">
        <f>IFERROR(VLOOKUP(CONCATENATE($B843,"_",I$3),materiali!$C:$K,5,0),"")</f>
        <v/>
      </c>
      <c r="J843" s="85" t="str">
        <f>IFERROR(VLOOKUP(CONCATENATE($B843,"_",J$3),materiali!$C:$K,6,0),"")</f>
        <v/>
      </c>
      <c r="K843" s="86"/>
      <c r="L843" s="84" t="str">
        <f>IFERROR(VLOOKUP(CONCATENATE($B843,"_",L$3),materiali!$C:$K,5,0),"")</f>
        <v/>
      </c>
      <c r="M843" s="85" t="str">
        <f>IFERROR(VLOOKUP(CONCATENATE($B843,"_",M$3),materiali!$C:$K,6,0),"")</f>
        <v/>
      </c>
      <c r="N843" s="86"/>
      <c r="O843" s="84" t="str">
        <f>IFERROR(VLOOKUP(CONCATENATE($B843,"_",O$3),materiali!$C:$K,5,0),"")</f>
        <v/>
      </c>
      <c r="P843" s="85" t="str">
        <f>IFERROR(VLOOKUP(CONCATENATE($B843,"_",P$3),materiali!$C:$K,6,0),"")</f>
        <v/>
      </c>
      <c r="Q843" s="86"/>
      <c r="R843" s="84" t="str">
        <f>IFERROR(VLOOKUP(CONCATENATE($B843,"_",R$3),materiali!$C:$K,5,0),"")</f>
        <v/>
      </c>
      <c r="S843" s="85" t="str">
        <f>IFERROR(VLOOKUP(CONCATENATE($B843,"_",S$3),materiali!$C:$K,6,0),"")</f>
        <v/>
      </c>
      <c r="T843" s="86"/>
      <c r="U843" s="31"/>
      <c r="AD843" s="97"/>
    </row>
    <row r="844" spans="1:30" ht="35.1" hidden="1" customHeight="1" x14ac:dyDescent="0.25">
      <c r="A844" s="83"/>
      <c r="B844" s="7"/>
      <c r="C844" s="8"/>
      <c r="D844" s="8"/>
      <c r="E844" s="60"/>
      <c r="F844" s="84" t="str">
        <f>IFERROR(VLOOKUP(CONCATENATE($B844,"_",F$3),materiali!$C:$K,5,0),"")</f>
        <v/>
      </c>
      <c r="G844" s="85" t="str">
        <f>IFERROR(VLOOKUP(CONCATENATE($B844,"_",G$3),materiali!$C:$K,6,0),"")</f>
        <v/>
      </c>
      <c r="H844" s="86"/>
      <c r="I844" s="84" t="str">
        <f>IFERROR(VLOOKUP(CONCATENATE($B844,"_",I$3),materiali!$C:$K,5,0),"")</f>
        <v/>
      </c>
      <c r="J844" s="85" t="str">
        <f>IFERROR(VLOOKUP(CONCATENATE($B844,"_",J$3),materiali!$C:$K,6,0),"")</f>
        <v/>
      </c>
      <c r="K844" s="86"/>
      <c r="L844" s="84" t="str">
        <f>IFERROR(VLOOKUP(CONCATENATE($B844,"_",L$3),materiali!$C:$K,5,0),"")</f>
        <v/>
      </c>
      <c r="M844" s="85" t="str">
        <f>IFERROR(VLOOKUP(CONCATENATE($B844,"_",M$3),materiali!$C:$K,6,0),"")</f>
        <v/>
      </c>
      <c r="N844" s="86"/>
      <c r="O844" s="84" t="str">
        <f>IFERROR(VLOOKUP(CONCATENATE($B844,"_",O$3),materiali!$C:$K,5,0),"")</f>
        <v/>
      </c>
      <c r="P844" s="85" t="str">
        <f>IFERROR(VLOOKUP(CONCATENATE($B844,"_",P$3),materiali!$C:$K,6,0),"")</f>
        <v/>
      </c>
      <c r="Q844" s="86"/>
      <c r="R844" s="84" t="str">
        <f>IFERROR(VLOOKUP(CONCATENATE($B844,"_",R$3),materiali!$C:$K,5,0),"")</f>
        <v/>
      </c>
      <c r="S844" s="85" t="str">
        <f>IFERROR(VLOOKUP(CONCATENATE($B844,"_",S$3),materiali!$C:$K,6,0),"")</f>
        <v/>
      </c>
      <c r="T844" s="86"/>
      <c r="U844" s="31"/>
      <c r="AD844" s="97"/>
    </row>
    <row r="845" spans="1:30" ht="35.1" hidden="1" customHeight="1" x14ac:dyDescent="0.25">
      <c r="A845" s="83"/>
      <c r="B845" s="7"/>
      <c r="C845" s="8"/>
      <c r="D845" s="8"/>
      <c r="E845" s="60"/>
      <c r="F845" s="84" t="str">
        <f>IFERROR(VLOOKUP(CONCATENATE($B845,"_",F$3),materiali!$C:$K,5,0),"")</f>
        <v/>
      </c>
      <c r="G845" s="85" t="str">
        <f>IFERROR(VLOOKUP(CONCATENATE($B845,"_",G$3),materiali!$C:$K,6,0),"")</f>
        <v/>
      </c>
      <c r="H845" s="86"/>
      <c r="I845" s="84" t="str">
        <f>IFERROR(VLOOKUP(CONCATENATE($B845,"_",I$3),materiali!$C:$K,5,0),"")</f>
        <v/>
      </c>
      <c r="J845" s="85" t="str">
        <f>IFERROR(VLOOKUP(CONCATENATE($B845,"_",J$3),materiali!$C:$K,6,0),"")</f>
        <v/>
      </c>
      <c r="K845" s="86"/>
      <c r="L845" s="84" t="str">
        <f>IFERROR(VLOOKUP(CONCATENATE($B845,"_",L$3),materiali!$C:$K,5,0),"")</f>
        <v/>
      </c>
      <c r="M845" s="85" t="str">
        <f>IFERROR(VLOOKUP(CONCATENATE($B845,"_",M$3),materiali!$C:$K,6,0),"")</f>
        <v/>
      </c>
      <c r="N845" s="86"/>
      <c r="O845" s="84" t="str">
        <f>IFERROR(VLOOKUP(CONCATENATE($B845,"_",O$3),materiali!$C:$K,5,0),"")</f>
        <v/>
      </c>
      <c r="P845" s="85" t="str">
        <f>IFERROR(VLOOKUP(CONCATENATE($B845,"_",P$3),materiali!$C:$K,6,0),"")</f>
        <v/>
      </c>
      <c r="Q845" s="86"/>
      <c r="R845" s="84" t="str">
        <f>IFERROR(VLOOKUP(CONCATENATE($B845,"_",R$3),materiali!$C:$K,5,0),"")</f>
        <v/>
      </c>
      <c r="S845" s="85" t="str">
        <f>IFERROR(VLOOKUP(CONCATENATE($B845,"_",S$3),materiali!$C:$K,6,0),"")</f>
        <v/>
      </c>
      <c r="T845" s="86"/>
      <c r="U845" s="31"/>
      <c r="AD845" s="97"/>
    </row>
    <row r="846" spans="1:30" ht="35.1" hidden="1" customHeight="1" x14ac:dyDescent="0.25">
      <c r="A846" s="83"/>
      <c r="B846" s="7"/>
      <c r="C846" s="8"/>
      <c r="D846" s="8"/>
      <c r="E846" s="60"/>
      <c r="F846" s="84" t="str">
        <f>IFERROR(VLOOKUP(CONCATENATE($B846,"_",F$3),materiali!$C:$K,5,0),"")</f>
        <v/>
      </c>
      <c r="G846" s="85" t="str">
        <f>IFERROR(VLOOKUP(CONCATENATE($B846,"_",G$3),materiali!$C:$K,6,0),"")</f>
        <v/>
      </c>
      <c r="H846" s="86"/>
      <c r="I846" s="84" t="str">
        <f>IFERROR(VLOOKUP(CONCATENATE($B846,"_",I$3),materiali!$C:$K,5,0),"")</f>
        <v/>
      </c>
      <c r="J846" s="85" t="str">
        <f>IFERROR(VLOOKUP(CONCATENATE($B846,"_",J$3),materiali!$C:$K,6,0),"")</f>
        <v/>
      </c>
      <c r="K846" s="86"/>
      <c r="L846" s="84" t="str">
        <f>IFERROR(VLOOKUP(CONCATENATE($B846,"_",L$3),materiali!$C:$K,5,0),"")</f>
        <v/>
      </c>
      <c r="M846" s="85" t="str">
        <f>IFERROR(VLOOKUP(CONCATENATE($B846,"_",M$3),materiali!$C:$K,6,0),"")</f>
        <v/>
      </c>
      <c r="N846" s="86"/>
      <c r="O846" s="84" t="str">
        <f>IFERROR(VLOOKUP(CONCATENATE($B846,"_",O$3),materiali!$C:$K,5,0),"")</f>
        <v/>
      </c>
      <c r="P846" s="85" t="str">
        <f>IFERROR(VLOOKUP(CONCATENATE($B846,"_",P$3),materiali!$C:$K,6,0),"")</f>
        <v/>
      </c>
      <c r="Q846" s="86"/>
      <c r="R846" s="84" t="str">
        <f>IFERROR(VLOOKUP(CONCATENATE($B846,"_",R$3),materiali!$C:$K,5,0),"")</f>
        <v/>
      </c>
      <c r="S846" s="85" t="str">
        <f>IFERROR(VLOOKUP(CONCATENATE($B846,"_",S$3),materiali!$C:$K,6,0),"")</f>
        <v/>
      </c>
      <c r="T846" s="86"/>
      <c r="U846" s="31"/>
      <c r="AD846" s="97"/>
    </row>
    <row r="847" spans="1:30" ht="35.1" hidden="1" customHeight="1" x14ac:dyDescent="0.25">
      <c r="A847" s="83"/>
      <c r="B847" s="7"/>
      <c r="C847" s="8"/>
      <c r="D847" s="8"/>
      <c r="E847" s="60"/>
      <c r="F847" s="84" t="str">
        <f>IFERROR(VLOOKUP(CONCATENATE($B847,"_",F$3),materiali!$C:$K,5,0),"")</f>
        <v/>
      </c>
      <c r="G847" s="85" t="str">
        <f>IFERROR(VLOOKUP(CONCATENATE($B847,"_",G$3),materiali!$C:$K,6,0),"")</f>
        <v/>
      </c>
      <c r="H847" s="86"/>
      <c r="I847" s="84" t="str">
        <f>IFERROR(VLOOKUP(CONCATENATE($B847,"_",I$3),materiali!$C:$K,5,0),"")</f>
        <v/>
      </c>
      <c r="J847" s="85" t="str">
        <f>IFERROR(VLOOKUP(CONCATENATE($B847,"_",J$3),materiali!$C:$K,6,0),"")</f>
        <v/>
      </c>
      <c r="K847" s="86"/>
      <c r="L847" s="84" t="str">
        <f>IFERROR(VLOOKUP(CONCATENATE($B847,"_",L$3),materiali!$C:$K,5,0),"")</f>
        <v/>
      </c>
      <c r="M847" s="85" t="str">
        <f>IFERROR(VLOOKUP(CONCATENATE($B847,"_",M$3),materiali!$C:$K,6,0),"")</f>
        <v/>
      </c>
      <c r="N847" s="86"/>
      <c r="O847" s="84" t="str">
        <f>IFERROR(VLOOKUP(CONCATENATE($B847,"_",O$3),materiali!$C:$K,5,0),"")</f>
        <v/>
      </c>
      <c r="P847" s="85" t="str">
        <f>IFERROR(VLOOKUP(CONCATENATE($B847,"_",P$3),materiali!$C:$K,6,0),"")</f>
        <v/>
      </c>
      <c r="Q847" s="86"/>
      <c r="R847" s="84" t="str">
        <f>IFERROR(VLOOKUP(CONCATENATE($B847,"_",R$3),materiali!$C:$K,5,0),"")</f>
        <v/>
      </c>
      <c r="S847" s="85" t="str">
        <f>IFERROR(VLOOKUP(CONCATENATE($B847,"_",S$3),materiali!$C:$K,6,0),"")</f>
        <v/>
      </c>
      <c r="T847" s="86"/>
      <c r="U847" s="31"/>
      <c r="AD847" s="97"/>
    </row>
    <row r="848" spans="1:30" ht="35.1" hidden="1" customHeight="1" x14ac:dyDescent="0.25">
      <c r="A848" s="83"/>
      <c r="B848" s="7"/>
      <c r="C848" s="8"/>
      <c r="D848" s="8"/>
      <c r="E848" s="60"/>
      <c r="F848" s="84" t="str">
        <f>IFERROR(VLOOKUP(CONCATENATE($B848,"_",F$3),materiali!$C:$K,5,0),"")</f>
        <v/>
      </c>
      <c r="G848" s="85" t="str">
        <f>IFERROR(VLOOKUP(CONCATENATE($B848,"_",G$3),materiali!$C:$K,6,0),"")</f>
        <v/>
      </c>
      <c r="H848" s="86"/>
      <c r="I848" s="84" t="str">
        <f>IFERROR(VLOOKUP(CONCATENATE($B848,"_",I$3),materiali!$C:$K,5,0),"")</f>
        <v/>
      </c>
      <c r="J848" s="85" t="str">
        <f>IFERROR(VLOOKUP(CONCATENATE($B848,"_",J$3),materiali!$C:$K,6,0),"")</f>
        <v/>
      </c>
      <c r="K848" s="86"/>
      <c r="L848" s="84" t="str">
        <f>IFERROR(VLOOKUP(CONCATENATE($B848,"_",L$3),materiali!$C:$K,5,0),"")</f>
        <v/>
      </c>
      <c r="M848" s="85" t="str">
        <f>IFERROR(VLOOKUP(CONCATENATE($B848,"_",M$3),materiali!$C:$K,6,0),"")</f>
        <v/>
      </c>
      <c r="N848" s="86"/>
      <c r="O848" s="84" t="str">
        <f>IFERROR(VLOOKUP(CONCATENATE($B848,"_",O$3),materiali!$C:$K,5,0),"")</f>
        <v/>
      </c>
      <c r="P848" s="85" t="str">
        <f>IFERROR(VLOOKUP(CONCATENATE($B848,"_",P$3),materiali!$C:$K,6,0),"")</f>
        <v/>
      </c>
      <c r="Q848" s="86"/>
      <c r="R848" s="84" t="str">
        <f>IFERROR(VLOOKUP(CONCATENATE($B848,"_",R$3),materiali!$C:$K,5,0),"")</f>
        <v/>
      </c>
      <c r="S848" s="85" t="str">
        <f>IFERROR(VLOOKUP(CONCATENATE($B848,"_",S$3),materiali!$C:$K,6,0),"")</f>
        <v/>
      </c>
      <c r="T848" s="86"/>
      <c r="U848" s="31"/>
      <c r="AD848" s="97"/>
    </row>
    <row r="849" spans="1:30" ht="35.1" hidden="1" customHeight="1" x14ac:dyDescent="0.25">
      <c r="A849" s="83"/>
      <c r="B849" s="7"/>
      <c r="C849" s="8"/>
      <c r="D849" s="8"/>
      <c r="E849" s="60"/>
      <c r="F849" s="84" t="str">
        <f>IFERROR(VLOOKUP(CONCATENATE($B849,"_",F$3),materiali!$C:$K,5,0),"")</f>
        <v/>
      </c>
      <c r="G849" s="85" t="str">
        <f>IFERROR(VLOOKUP(CONCATENATE($B849,"_",G$3),materiali!$C:$K,6,0),"")</f>
        <v/>
      </c>
      <c r="H849" s="86"/>
      <c r="I849" s="84" t="str">
        <f>IFERROR(VLOOKUP(CONCATENATE($B849,"_",I$3),materiali!$C:$K,5,0),"")</f>
        <v/>
      </c>
      <c r="J849" s="85" t="str">
        <f>IFERROR(VLOOKUP(CONCATENATE($B849,"_",J$3),materiali!$C:$K,6,0),"")</f>
        <v/>
      </c>
      <c r="K849" s="86"/>
      <c r="L849" s="84" t="str">
        <f>IFERROR(VLOOKUP(CONCATENATE($B849,"_",L$3),materiali!$C:$K,5,0),"")</f>
        <v/>
      </c>
      <c r="M849" s="85" t="str">
        <f>IFERROR(VLOOKUP(CONCATENATE($B849,"_",M$3),materiali!$C:$K,6,0),"")</f>
        <v/>
      </c>
      <c r="N849" s="86"/>
      <c r="O849" s="84" t="str">
        <f>IFERROR(VLOOKUP(CONCATENATE($B849,"_",O$3),materiali!$C:$K,5,0),"")</f>
        <v/>
      </c>
      <c r="P849" s="85" t="str">
        <f>IFERROR(VLOOKUP(CONCATENATE($B849,"_",P$3),materiali!$C:$K,6,0),"")</f>
        <v/>
      </c>
      <c r="Q849" s="86"/>
      <c r="R849" s="84" t="str">
        <f>IFERROR(VLOOKUP(CONCATENATE($B849,"_",R$3),materiali!$C:$K,5,0),"")</f>
        <v/>
      </c>
      <c r="S849" s="85" t="str">
        <f>IFERROR(VLOOKUP(CONCATENATE($B849,"_",S$3),materiali!$C:$K,6,0),"")</f>
        <v/>
      </c>
      <c r="T849" s="86"/>
      <c r="U849" s="31"/>
      <c r="AD849" s="97"/>
    </row>
    <row r="850" spans="1:30" ht="35.1" hidden="1" customHeight="1" x14ac:dyDescent="0.25">
      <c r="A850" s="83"/>
      <c r="B850" s="7"/>
      <c r="C850" s="8"/>
      <c r="D850" s="8"/>
      <c r="E850" s="60"/>
      <c r="F850" s="84" t="str">
        <f>IFERROR(VLOOKUP(CONCATENATE($B850,"_",F$3),materiali!$C:$K,5,0),"")</f>
        <v/>
      </c>
      <c r="G850" s="85" t="str">
        <f>IFERROR(VLOOKUP(CONCATENATE($B850,"_",G$3),materiali!$C:$K,6,0),"")</f>
        <v/>
      </c>
      <c r="H850" s="86"/>
      <c r="I850" s="84" t="str">
        <f>IFERROR(VLOOKUP(CONCATENATE($B850,"_",I$3),materiali!$C:$K,5,0),"")</f>
        <v/>
      </c>
      <c r="J850" s="85" t="str">
        <f>IFERROR(VLOOKUP(CONCATENATE($B850,"_",J$3),materiali!$C:$K,6,0),"")</f>
        <v/>
      </c>
      <c r="K850" s="86"/>
      <c r="L850" s="84" t="str">
        <f>IFERROR(VLOOKUP(CONCATENATE($B850,"_",L$3),materiali!$C:$K,5,0),"")</f>
        <v/>
      </c>
      <c r="M850" s="85" t="str">
        <f>IFERROR(VLOOKUP(CONCATENATE($B850,"_",M$3),materiali!$C:$K,6,0),"")</f>
        <v/>
      </c>
      <c r="N850" s="86"/>
      <c r="O850" s="84" t="str">
        <f>IFERROR(VLOOKUP(CONCATENATE($B850,"_",O$3),materiali!$C:$K,5,0),"")</f>
        <v/>
      </c>
      <c r="P850" s="85" t="str">
        <f>IFERROR(VLOOKUP(CONCATENATE($B850,"_",P$3),materiali!$C:$K,6,0),"")</f>
        <v/>
      </c>
      <c r="Q850" s="86"/>
      <c r="R850" s="84" t="str">
        <f>IFERROR(VLOOKUP(CONCATENATE($B850,"_",R$3),materiali!$C:$K,5,0),"")</f>
        <v/>
      </c>
      <c r="S850" s="85" t="str">
        <f>IFERROR(VLOOKUP(CONCATENATE($B850,"_",S$3),materiali!$C:$K,6,0),"")</f>
        <v/>
      </c>
      <c r="T850" s="86"/>
      <c r="U850" s="31"/>
      <c r="AD850" s="97"/>
    </row>
    <row r="851" spans="1:30" ht="35.1" hidden="1" customHeight="1" x14ac:dyDescent="0.25">
      <c r="A851" s="83"/>
      <c r="B851" s="7"/>
      <c r="C851" s="8"/>
      <c r="D851" s="8"/>
      <c r="E851" s="60"/>
      <c r="F851" s="84" t="str">
        <f>IFERROR(VLOOKUP(CONCATENATE($B851,"_",F$3),materiali!$C:$K,5,0),"")</f>
        <v/>
      </c>
      <c r="G851" s="85" t="str">
        <f>IFERROR(VLOOKUP(CONCATENATE($B851,"_",G$3),materiali!$C:$K,6,0),"")</f>
        <v/>
      </c>
      <c r="H851" s="86"/>
      <c r="I851" s="84" t="str">
        <f>IFERROR(VLOOKUP(CONCATENATE($B851,"_",I$3),materiali!$C:$K,5,0),"")</f>
        <v/>
      </c>
      <c r="J851" s="85" t="str">
        <f>IFERROR(VLOOKUP(CONCATENATE($B851,"_",J$3),materiali!$C:$K,6,0),"")</f>
        <v/>
      </c>
      <c r="K851" s="86"/>
      <c r="L851" s="84" t="str">
        <f>IFERROR(VLOOKUP(CONCATENATE($B851,"_",L$3),materiali!$C:$K,5,0),"")</f>
        <v/>
      </c>
      <c r="M851" s="85" t="str">
        <f>IFERROR(VLOOKUP(CONCATENATE($B851,"_",M$3),materiali!$C:$K,6,0),"")</f>
        <v/>
      </c>
      <c r="N851" s="86"/>
      <c r="O851" s="84" t="str">
        <f>IFERROR(VLOOKUP(CONCATENATE($B851,"_",O$3),materiali!$C:$K,5,0),"")</f>
        <v/>
      </c>
      <c r="P851" s="85" t="str">
        <f>IFERROR(VLOOKUP(CONCATENATE($B851,"_",P$3),materiali!$C:$K,6,0),"")</f>
        <v/>
      </c>
      <c r="Q851" s="86"/>
      <c r="R851" s="84" t="str">
        <f>IFERROR(VLOOKUP(CONCATENATE($B851,"_",R$3),materiali!$C:$K,5,0),"")</f>
        <v/>
      </c>
      <c r="S851" s="85" t="str">
        <f>IFERROR(VLOOKUP(CONCATENATE($B851,"_",S$3),materiali!$C:$K,6,0),"")</f>
        <v/>
      </c>
      <c r="T851" s="86"/>
      <c r="U851" s="31"/>
      <c r="AD851" s="97"/>
    </row>
    <row r="852" spans="1:30" ht="35.1" hidden="1" customHeight="1" x14ac:dyDescent="0.25">
      <c r="A852" s="83"/>
      <c r="B852" s="7"/>
      <c r="C852" s="8"/>
      <c r="D852" s="8"/>
      <c r="E852" s="60"/>
      <c r="F852" s="84" t="str">
        <f>IFERROR(VLOOKUP(CONCATENATE($B852,"_",F$3),materiali!$C:$K,5,0),"")</f>
        <v/>
      </c>
      <c r="G852" s="85" t="str">
        <f>IFERROR(VLOOKUP(CONCATENATE($B852,"_",G$3),materiali!$C:$K,6,0),"")</f>
        <v/>
      </c>
      <c r="H852" s="86"/>
      <c r="I852" s="84" t="str">
        <f>IFERROR(VLOOKUP(CONCATENATE($B852,"_",I$3),materiali!$C:$K,5,0),"")</f>
        <v/>
      </c>
      <c r="J852" s="85" t="str">
        <f>IFERROR(VLOOKUP(CONCATENATE($B852,"_",J$3),materiali!$C:$K,6,0),"")</f>
        <v/>
      </c>
      <c r="K852" s="86"/>
      <c r="L852" s="84" t="str">
        <f>IFERROR(VLOOKUP(CONCATENATE($B852,"_",L$3),materiali!$C:$K,5,0),"")</f>
        <v/>
      </c>
      <c r="M852" s="85" t="str">
        <f>IFERROR(VLOOKUP(CONCATENATE($B852,"_",M$3),materiali!$C:$K,6,0),"")</f>
        <v/>
      </c>
      <c r="N852" s="86"/>
      <c r="O852" s="84" t="str">
        <f>IFERROR(VLOOKUP(CONCATENATE($B852,"_",O$3),materiali!$C:$K,5,0),"")</f>
        <v/>
      </c>
      <c r="P852" s="85" t="str">
        <f>IFERROR(VLOOKUP(CONCATENATE($B852,"_",P$3),materiali!$C:$K,6,0),"")</f>
        <v/>
      </c>
      <c r="Q852" s="86"/>
      <c r="R852" s="84" t="str">
        <f>IFERROR(VLOOKUP(CONCATENATE($B852,"_",R$3),materiali!$C:$K,5,0),"")</f>
        <v/>
      </c>
      <c r="S852" s="85" t="str">
        <f>IFERROR(VLOOKUP(CONCATENATE($B852,"_",S$3),materiali!$C:$K,6,0),"")</f>
        <v/>
      </c>
      <c r="T852" s="86"/>
      <c r="U852" s="31"/>
      <c r="AD852" s="97"/>
    </row>
    <row r="853" spans="1:30" ht="35.1" hidden="1" customHeight="1" x14ac:dyDescent="0.25">
      <c r="A853" s="83"/>
      <c r="B853" s="7"/>
      <c r="C853" s="8"/>
      <c r="D853" s="8"/>
      <c r="E853" s="60"/>
      <c r="F853" s="84" t="str">
        <f>IFERROR(VLOOKUP(CONCATENATE($B853,"_",F$3),materiali!$C:$K,5,0),"")</f>
        <v/>
      </c>
      <c r="G853" s="85" t="str">
        <f>IFERROR(VLOOKUP(CONCATENATE($B853,"_",G$3),materiali!$C:$K,6,0),"")</f>
        <v/>
      </c>
      <c r="H853" s="86"/>
      <c r="I853" s="84" t="str">
        <f>IFERROR(VLOOKUP(CONCATENATE($B853,"_",I$3),materiali!$C:$K,5,0),"")</f>
        <v/>
      </c>
      <c r="J853" s="85" t="str">
        <f>IFERROR(VLOOKUP(CONCATENATE($B853,"_",J$3),materiali!$C:$K,6,0),"")</f>
        <v/>
      </c>
      <c r="K853" s="86"/>
      <c r="L853" s="84" t="str">
        <f>IFERROR(VLOOKUP(CONCATENATE($B853,"_",L$3),materiali!$C:$K,5,0),"")</f>
        <v/>
      </c>
      <c r="M853" s="85" t="str">
        <f>IFERROR(VLOOKUP(CONCATENATE($B853,"_",M$3),materiali!$C:$K,6,0),"")</f>
        <v/>
      </c>
      <c r="N853" s="86"/>
      <c r="O853" s="84" t="str">
        <f>IFERROR(VLOOKUP(CONCATENATE($B853,"_",O$3),materiali!$C:$K,5,0),"")</f>
        <v/>
      </c>
      <c r="P853" s="85" t="str">
        <f>IFERROR(VLOOKUP(CONCATENATE($B853,"_",P$3),materiali!$C:$K,6,0),"")</f>
        <v/>
      </c>
      <c r="Q853" s="86"/>
      <c r="R853" s="84" t="str">
        <f>IFERROR(VLOOKUP(CONCATENATE($B853,"_",R$3),materiali!$C:$K,5,0),"")</f>
        <v/>
      </c>
      <c r="S853" s="85" t="str">
        <f>IFERROR(VLOOKUP(CONCATENATE($B853,"_",S$3),materiali!$C:$K,6,0),"")</f>
        <v/>
      </c>
      <c r="T853" s="86"/>
      <c r="U853" s="31"/>
      <c r="AD853" s="97"/>
    </row>
    <row r="854" spans="1:30" ht="35.1" hidden="1" customHeight="1" x14ac:dyDescent="0.25">
      <c r="A854" s="83"/>
      <c r="B854" s="7"/>
      <c r="C854" s="8"/>
      <c r="D854" s="8"/>
      <c r="E854" s="60"/>
      <c r="F854" s="84" t="str">
        <f>IFERROR(VLOOKUP(CONCATENATE($B854,"_",F$3),materiali!$C:$K,5,0),"")</f>
        <v/>
      </c>
      <c r="G854" s="85" t="str">
        <f>IFERROR(VLOOKUP(CONCATENATE($B854,"_",G$3),materiali!$C:$K,6,0),"")</f>
        <v/>
      </c>
      <c r="H854" s="86"/>
      <c r="I854" s="84" t="str">
        <f>IFERROR(VLOOKUP(CONCATENATE($B854,"_",I$3),materiali!$C:$K,5,0),"")</f>
        <v/>
      </c>
      <c r="J854" s="85" t="str">
        <f>IFERROR(VLOOKUP(CONCATENATE($B854,"_",J$3),materiali!$C:$K,6,0),"")</f>
        <v/>
      </c>
      <c r="K854" s="86"/>
      <c r="L854" s="84" t="str">
        <f>IFERROR(VLOOKUP(CONCATENATE($B854,"_",L$3),materiali!$C:$K,5,0),"")</f>
        <v/>
      </c>
      <c r="M854" s="85" t="str">
        <f>IFERROR(VLOOKUP(CONCATENATE($B854,"_",M$3),materiali!$C:$K,6,0),"")</f>
        <v/>
      </c>
      <c r="N854" s="86"/>
      <c r="O854" s="84" t="str">
        <f>IFERROR(VLOOKUP(CONCATENATE($B854,"_",O$3),materiali!$C:$K,5,0),"")</f>
        <v/>
      </c>
      <c r="P854" s="85" t="str">
        <f>IFERROR(VLOOKUP(CONCATENATE($B854,"_",P$3),materiali!$C:$K,6,0),"")</f>
        <v/>
      </c>
      <c r="Q854" s="86"/>
      <c r="R854" s="84" t="str">
        <f>IFERROR(VLOOKUP(CONCATENATE($B854,"_",R$3),materiali!$C:$K,5,0),"")</f>
        <v/>
      </c>
      <c r="S854" s="85" t="str">
        <f>IFERROR(VLOOKUP(CONCATENATE($B854,"_",S$3),materiali!$C:$K,6,0),"")</f>
        <v/>
      </c>
      <c r="T854" s="86"/>
      <c r="U854" s="31"/>
      <c r="AD854" s="97"/>
    </row>
    <row r="855" spans="1:30" ht="35.1" hidden="1" customHeight="1" x14ac:dyDescent="0.25">
      <c r="A855" s="83"/>
      <c r="B855" s="7"/>
      <c r="C855" s="8"/>
      <c r="D855" s="8"/>
      <c r="E855" s="60"/>
      <c r="F855" s="84" t="str">
        <f>IFERROR(VLOOKUP(CONCATENATE($B855,"_",F$3),materiali!$C:$K,5,0),"")</f>
        <v/>
      </c>
      <c r="G855" s="85" t="str">
        <f>IFERROR(VLOOKUP(CONCATENATE($B855,"_",G$3),materiali!$C:$K,6,0),"")</f>
        <v/>
      </c>
      <c r="H855" s="86"/>
      <c r="I855" s="84" t="str">
        <f>IFERROR(VLOOKUP(CONCATENATE($B855,"_",I$3),materiali!$C:$K,5,0),"")</f>
        <v/>
      </c>
      <c r="J855" s="85" t="str">
        <f>IFERROR(VLOOKUP(CONCATENATE($B855,"_",J$3),materiali!$C:$K,6,0),"")</f>
        <v/>
      </c>
      <c r="K855" s="86"/>
      <c r="L855" s="84" t="str">
        <f>IFERROR(VLOOKUP(CONCATENATE($B855,"_",L$3),materiali!$C:$K,5,0),"")</f>
        <v/>
      </c>
      <c r="M855" s="85" t="str">
        <f>IFERROR(VLOOKUP(CONCATENATE($B855,"_",M$3),materiali!$C:$K,6,0),"")</f>
        <v/>
      </c>
      <c r="N855" s="86"/>
      <c r="O855" s="84" t="str">
        <f>IFERROR(VLOOKUP(CONCATENATE($B855,"_",O$3),materiali!$C:$K,5,0),"")</f>
        <v/>
      </c>
      <c r="P855" s="85" t="str">
        <f>IFERROR(VLOOKUP(CONCATENATE($B855,"_",P$3),materiali!$C:$K,6,0),"")</f>
        <v/>
      </c>
      <c r="Q855" s="86"/>
      <c r="R855" s="84" t="str">
        <f>IFERROR(VLOOKUP(CONCATENATE($B855,"_",R$3),materiali!$C:$K,5,0),"")</f>
        <v/>
      </c>
      <c r="S855" s="85" t="str">
        <f>IFERROR(VLOOKUP(CONCATENATE($B855,"_",S$3),materiali!$C:$K,6,0),"")</f>
        <v/>
      </c>
      <c r="T855" s="86"/>
      <c r="U855" s="31"/>
      <c r="AD855" s="97"/>
    </row>
    <row r="856" spans="1:30" ht="35.1" hidden="1" customHeight="1" x14ac:dyDescent="0.25">
      <c r="A856" s="83"/>
      <c r="B856" s="7"/>
      <c r="C856" s="8"/>
      <c r="D856" s="8"/>
      <c r="E856" s="60"/>
      <c r="F856" s="84" t="str">
        <f>IFERROR(VLOOKUP(CONCATENATE($B856,"_",F$3),materiali!$C:$K,5,0),"")</f>
        <v/>
      </c>
      <c r="G856" s="85" t="str">
        <f>IFERROR(VLOOKUP(CONCATENATE($B856,"_",G$3),materiali!$C:$K,6,0),"")</f>
        <v/>
      </c>
      <c r="H856" s="86"/>
      <c r="I856" s="84" t="str">
        <f>IFERROR(VLOOKUP(CONCATENATE($B856,"_",I$3),materiali!$C:$K,5,0),"")</f>
        <v/>
      </c>
      <c r="J856" s="85" t="str">
        <f>IFERROR(VLOOKUP(CONCATENATE($B856,"_",J$3),materiali!$C:$K,6,0),"")</f>
        <v/>
      </c>
      <c r="K856" s="86"/>
      <c r="L856" s="84" t="str">
        <f>IFERROR(VLOOKUP(CONCATENATE($B856,"_",L$3),materiali!$C:$K,5,0),"")</f>
        <v/>
      </c>
      <c r="M856" s="85" t="str">
        <f>IFERROR(VLOOKUP(CONCATENATE($B856,"_",M$3),materiali!$C:$K,6,0),"")</f>
        <v/>
      </c>
      <c r="N856" s="86"/>
      <c r="O856" s="84" t="str">
        <f>IFERROR(VLOOKUP(CONCATENATE($B856,"_",O$3),materiali!$C:$K,5,0),"")</f>
        <v/>
      </c>
      <c r="P856" s="85" t="str">
        <f>IFERROR(VLOOKUP(CONCATENATE($B856,"_",P$3),materiali!$C:$K,6,0),"")</f>
        <v/>
      </c>
      <c r="Q856" s="86"/>
      <c r="R856" s="84" t="str">
        <f>IFERROR(VLOOKUP(CONCATENATE($B856,"_",R$3),materiali!$C:$K,5,0),"")</f>
        <v/>
      </c>
      <c r="S856" s="85" t="str">
        <f>IFERROR(VLOOKUP(CONCATENATE($B856,"_",S$3),materiali!$C:$K,6,0),"")</f>
        <v/>
      </c>
      <c r="T856" s="86"/>
      <c r="U856" s="31"/>
      <c r="AD856" s="97"/>
    </row>
    <row r="857" spans="1:30" ht="35.1" hidden="1" customHeight="1" x14ac:dyDescent="0.25">
      <c r="A857" s="83"/>
      <c r="B857" s="7"/>
      <c r="C857" s="8"/>
      <c r="D857" s="8"/>
      <c r="E857" s="60"/>
      <c r="F857" s="84" t="str">
        <f>IFERROR(VLOOKUP(CONCATENATE($B857,"_",F$3),materiali!$C:$K,5,0),"")</f>
        <v/>
      </c>
      <c r="G857" s="85" t="str">
        <f>IFERROR(VLOOKUP(CONCATENATE($B857,"_",G$3),materiali!$C:$K,6,0),"")</f>
        <v/>
      </c>
      <c r="H857" s="86"/>
      <c r="I857" s="84" t="str">
        <f>IFERROR(VLOOKUP(CONCATENATE($B857,"_",I$3),materiali!$C:$K,5,0),"")</f>
        <v/>
      </c>
      <c r="J857" s="85" t="str">
        <f>IFERROR(VLOOKUP(CONCATENATE($B857,"_",J$3),materiali!$C:$K,6,0),"")</f>
        <v/>
      </c>
      <c r="K857" s="86"/>
      <c r="L857" s="84" t="str">
        <f>IFERROR(VLOOKUP(CONCATENATE($B857,"_",L$3),materiali!$C:$K,5,0),"")</f>
        <v/>
      </c>
      <c r="M857" s="85" t="str">
        <f>IFERROR(VLOOKUP(CONCATENATE($B857,"_",M$3),materiali!$C:$K,6,0),"")</f>
        <v/>
      </c>
      <c r="N857" s="86"/>
      <c r="O857" s="84" t="str">
        <f>IFERROR(VLOOKUP(CONCATENATE($B857,"_",O$3),materiali!$C:$K,5,0),"")</f>
        <v/>
      </c>
      <c r="P857" s="85" t="str">
        <f>IFERROR(VLOOKUP(CONCATENATE($B857,"_",P$3),materiali!$C:$K,6,0),"")</f>
        <v/>
      </c>
      <c r="Q857" s="86"/>
      <c r="R857" s="84" t="str">
        <f>IFERROR(VLOOKUP(CONCATENATE($B857,"_",R$3),materiali!$C:$K,5,0),"")</f>
        <v/>
      </c>
      <c r="S857" s="85" t="str">
        <f>IFERROR(VLOOKUP(CONCATENATE($B857,"_",S$3),materiali!$C:$K,6,0),"")</f>
        <v/>
      </c>
      <c r="T857" s="86"/>
      <c r="U857" s="31"/>
      <c r="AD857" s="97"/>
    </row>
    <row r="858" spans="1:30" ht="35.1" hidden="1" customHeight="1" x14ac:dyDescent="0.25">
      <c r="A858" s="83"/>
      <c r="B858" s="7"/>
      <c r="C858" s="8"/>
      <c r="D858" s="8"/>
      <c r="E858" s="60"/>
      <c r="F858" s="84" t="str">
        <f>IFERROR(VLOOKUP(CONCATENATE($B858,"_",F$3),materiali!$C:$K,5,0),"")</f>
        <v/>
      </c>
      <c r="G858" s="85" t="str">
        <f>IFERROR(VLOOKUP(CONCATENATE($B858,"_",G$3),materiali!$C:$K,6,0),"")</f>
        <v/>
      </c>
      <c r="H858" s="86"/>
      <c r="I858" s="84" t="str">
        <f>IFERROR(VLOOKUP(CONCATENATE($B858,"_",I$3),materiali!$C:$K,5,0),"")</f>
        <v/>
      </c>
      <c r="J858" s="85" t="str">
        <f>IFERROR(VLOOKUP(CONCATENATE($B858,"_",J$3),materiali!$C:$K,6,0),"")</f>
        <v/>
      </c>
      <c r="K858" s="86"/>
      <c r="L858" s="84" t="str">
        <f>IFERROR(VLOOKUP(CONCATENATE($B858,"_",L$3),materiali!$C:$K,5,0),"")</f>
        <v/>
      </c>
      <c r="M858" s="85" t="str">
        <f>IFERROR(VLOOKUP(CONCATENATE($B858,"_",M$3),materiali!$C:$K,6,0),"")</f>
        <v/>
      </c>
      <c r="N858" s="86"/>
      <c r="O858" s="84" t="str">
        <f>IFERROR(VLOOKUP(CONCATENATE($B858,"_",O$3),materiali!$C:$K,5,0),"")</f>
        <v/>
      </c>
      <c r="P858" s="85" t="str">
        <f>IFERROR(VLOOKUP(CONCATENATE($B858,"_",P$3),materiali!$C:$K,6,0),"")</f>
        <v/>
      </c>
      <c r="Q858" s="86"/>
      <c r="R858" s="84" t="str">
        <f>IFERROR(VLOOKUP(CONCATENATE($B858,"_",R$3),materiali!$C:$K,5,0),"")</f>
        <v/>
      </c>
      <c r="S858" s="85" t="str">
        <f>IFERROR(VLOOKUP(CONCATENATE($B858,"_",S$3),materiali!$C:$K,6,0),"")</f>
        <v/>
      </c>
      <c r="T858" s="86"/>
      <c r="U858" s="31"/>
      <c r="AD858" s="97"/>
    </row>
    <row r="859" spans="1:30" ht="35.1" hidden="1" customHeight="1" x14ac:dyDescent="0.25">
      <c r="A859" s="83"/>
      <c r="B859" s="7"/>
      <c r="C859" s="8"/>
      <c r="D859" s="8"/>
      <c r="E859" s="60"/>
      <c r="F859" s="84" t="str">
        <f>IFERROR(VLOOKUP(CONCATENATE($B859,"_",F$3),materiali!$C:$K,5,0),"")</f>
        <v/>
      </c>
      <c r="G859" s="85" t="str">
        <f>IFERROR(VLOOKUP(CONCATENATE($B859,"_",G$3),materiali!$C:$K,6,0),"")</f>
        <v/>
      </c>
      <c r="H859" s="86"/>
      <c r="I859" s="84" t="str">
        <f>IFERROR(VLOOKUP(CONCATENATE($B859,"_",I$3),materiali!$C:$K,5,0),"")</f>
        <v/>
      </c>
      <c r="J859" s="85" t="str">
        <f>IFERROR(VLOOKUP(CONCATENATE($B859,"_",J$3),materiali!$C:$K,6,0),"")</f>
        <v/>
      </c>
      <c r="K859" s="86"/>
      <c r="L859" s="84" t="str">
        <f>IFERROR(VLOOKUP(CONCATENATE($B859,"_",L$3),materiali!$C:$K,5,0),"")</f>
        <v/>
      </c>
      <c r="M859" s="85" t="str">
        <f>IFERROR(VLOOKUP(CONCATENATE($B859,"_",M$3),materiali!$C:$K,6,0),"")</f>
        <v/>
      </c>
      <c r="N859" s="86"/>
      <c r="O859" s="84" t="str">
        <f>IFERROR(VLOOKUP(CONCATENATE($B859,"_",O$3),materiali!$C:$K,5,0),"")</f>
        <v/>
      </c>
      <c r="P859" s="85" t="str">
        <f>IFERROR(VLOOKUP(CONCATENATE($B859,"_",P$3),materiali!$C:$K,6,0),"")</f>
        <v/>
      </c>
      <c r="Q859" s="86"/>
      <c r="R859" s="84" t="str">
        <f>IFERROR(VLOOKUP(CONCATENATE($B859,"_",R$3),materiali!$C:$K,5,0),"")</f>
        <v/>
      </c>
      <c r="S859" s="85" t="str">
        <f>IFERROR(VLOOKUP(CONCATENATE($B859,"_",S$3),materiali!$C:$K,6,0),"")</f>
        <v/>
      </c>
      <c r="T859" s="86"/>
      <c r="U859" s="31"/>
      <c r="AD859" s="97"/>
    </row>
    <row r="860" spans="1:30" ht="35.1" hidden="1" customHeight="1" x14ac:dyDescent="0.25">
      <c r="A860" s="83"/>
      <c r="B860" s="7"/>
      <c r="C860" s="8"/>
      <c r="D860" s="8"/>
      <c r="E860" s="60"/>
      <c r="F860" s="84" t="str">
        <f>IFERROR(VLOOKUP(CONCATENATE($B860,"_",F$3),materiali!$C:$K,5,0),"")</f>
        <v/>
      </c>
      <c r="G860" s="85" t="str">
        <f>IFERROR(VLOOKUP(CONCATENATE($B860,"_",G$3),materiali!$C:$K,6,0),"")</f>
        <v/>
      </c>
      <c r="H860" s="86"/>
      <c r="I860" s="84" t="str">
        <f>IFERROR(VLOOKUP(CONCATENATE($B860,"_",I$3),materiali!$C:$K,5,0),"")</f>
        <v/>
      </c>
      <c r="J860" s="85" t="str">
        <f>IFERROR(VLOOKUP(CONCATENATE($B860,"_",J$3),materiali!$C:$K,6,0),"")</f>
        <v/>
      </c>
      <c r="K860" s="86"/>
      <c r="L860" s="84" t="str">
        <f>IFERROR(VLOOKUP(CONCATENATE($B860,"_",L$3),materiali!$C:$K,5,0),"")</f>
        <v/>
      </c>
      <c r="M860" s="85" t="str">
        <f>IFERROR(VLOOKUP(CONCATENATE($B860,"_",M$3),materiali!$C:$K,6,0),"")</f>
        <v/>
      </c>
      <c r="N860" s="86"/>
      <c r="O860" s="84" t="str">
        <f>IFERROR(VLOOKUP(CONCATENATE($B860,"_",O$3),materiali!$C:$K,5,0),"")</f>
        <v/>
      </c>
      <c r="P860" s="85" t="str">
        <f>IFERROR(VLOOKUP(CONCATENATE($B860,"_",P$3),materiali!$C:$K,6,0),"")</f>
        <v/>
      </c>
      <c r="Q860" s="86"/>
      <c r="R860" s="84" t="str">
        <f>IFERROR(VLOOKUP(CONCATENATE($B860,"_",R$3),materiali!$C:$K,5,0),"")</f>
        <v/>
      </c>
      <c r="S860" s="85" t="str">
        <f>IFERROR(VLOOKUP(CONCATENATE($B860,"_",S$3),materiali!$C:$K,6,0),"")</f>
        <v/>
      </c>
      <c r="T860" s="86"/>
      <c r="U860" s="31"/>
      <c r="AD860" s="97"/>
    </row>
    <row r="861" spans="1:30" ht="35.1" hidden="1" customHeight="1" x14ac:dyDescent="0.25">
      <c r="A861" s="83"/>
      <c r="B861" s="7"/>
      <c r="C861" s="8"/>
      <c r="D861" s="8"/>
      <c r="E861" s="60"/>
      <c r="F861" s="84" t="str">
        <f>IFERROR(VLOOKUP(CONCATENATE($B861,"_",F$3),materiali!$C:$K,5,0),"")</f>
        <v/>
      </c>
      <c r="G861" s="85" t="str">
        <f>IFERROR(VLOOKUP(CONCATENATE($B861,"_",G$3),materiali!$C:$K,6,0),"")</f>
        <v/>
      </c>
      <c r="H861" s="86"/>
      <c r="I861" s="84" t="str">
        <f>IFERROR(VLOOKUP(CONCATENATE($B861,"_",I$3),materiali!$C:$K,5,0),"")</f>
        <v/>
      </c>
      <c r="J861" s="85" t="str">
        <f>IFERROR(VLOOKUP(CONCATENATE($B861,"_",J$3),materiali!$C:$K,6,0),"")</f>
        <v/>
      </c>
      <c r="K861" s="86"/>
      <c r="L861" s="84" t="str">
        <f>IFERROR(VLOOKUP(CONCATENATE($B861,"_",L$3),materiali!$C:$K,5,0),"")</f>
        <v/>
      </c>
      <c r="M861" s="85" t="str">
        <f>IFERROR(VLOOKUP(CONCATENATE($B861,"_",M$3),materiali!$C:$K,6,0),"")</f>
        <v/>
      </c>
      <c r="N861" s="86"/>
      <c r="O861" s="84" t="str">
        <f>IFERROR(VLOOKUP(CONCATENATE($B861,"_",O$3),materiali!$C:$K,5,0),"")</f>
        <v/>
      </c>
      <c r="P861" s="85" t="str">
        <f>IFERROR(VLOOKUP(CONCATENATE($B861,"_",P$3),materiali!$C:$K,6,0),"")</f>
        <v/>
      </c>
      <c r="Q861" s="86"/>
      <c r="R861" s="84" t="str">
        <f>IFERROR(VLOOKUP(CONCATENATE($B861,"_",R$3),materiali!$C:$K,5,0),"")</f>
        <v/>
      </c>
      <c r="S861" s="85" t="str">
        <f>IFERROR(VLOOKUP(CONCATENATE($B861,"_",S$3),materiali!$C:$K,6,0),"")</f>
        <v/>
      </c>
      <c r="T861" s="86"/>
      <c r="U861" s="31"/>
      <c r="AD861" s="97"/>
    </row>
    <row r="862" spans="1:30" ht="35.1" hidden="1" customHeight="1" x14ac:dyDescent="0.25">
      <c r="A862" s="83"/>
      <c r="B862" s="7"/>
      <c r="C862" s="8"/>
      <c r="D862" s="8"/>
      <c r="E862" s="60"/>
      <c r="F862" s="84" t="str">
        <f>IFERROR(VLOOKUP(CONCATENATE($B862,"_",F$3),materiali!$C:$K,5,0),"")</f>
        <v/>
      </c>
      <c r="G862" s="85" t="str">
        <f>IFERROR(VLOOKUP(CONCATENATE($B862,"_",G$3),materiali!$C:$K,6,0),"")</f>
        <v/>
      </c>
      <c r="H862" s="86"/>
      <c r="I862" s="84" t="str">
        <f>IFERROR(VLOOKUP(CONCATENATE($B862,"_",I$3),materiali!$C:$K,5,0),"")</f>
        <v/>
      </c>
      <c r="J862" s="85" t="str">
        <f>IFERROR(VLOOKUP(CONCATENATE($B862,"_",J$3),materiali!$C:$K,6,0),"")</f>
        <v/>
      </c>
      <c r="K862" s="86"/>
      <c r="L862" s="84" t="str">
        <f>IFERROR(VLOOKUP(CONCATENATE($B862,"_",L$3),materiali!$C:$K,5,0),"")</f>
        <v/>
      </c>
      <c r="M862" s="85" t="str">
        <f>IFERROR(VLOOKUP(CONCATENATE($B862,"_",M$3),materiali!$C:$K,6,0),"")</f>
        <v/>
      </c>
      <c r="N862" s="86"/>
      <c r="O862" s="84" t="str">
        <f>IFERROR(VLOOKUP(CONCATENATE($B862,"_",O$3),materiali!$C:$K,5,0),"")</f>
        <v/>
      </c>
      <c r="P862" s="85" t="str">
        <f>IFERROR(VLOOKUP(CONCATENATE($B862,"_",P$3),materiali!$C:$K,6,0),"")</f>
        <v/>
      </c>
      <c r="Q862" s="86"/>
      <c r="R862" s="84" t="str">
        <f>IFERROR(VLOOKUP(CONCATENATE($B862,"_",R$3),materiali!$C:$K,5,0),"")</f>
        <v/>
      </c>
      <c r="S862" s="85" t="str">
        <f>IFERROR(VLOOKUP(CONCATENATE($B862,"_",S$3),materiali!$C:$K,6,0),"")</f>
        <v/>
      </c>
      <c r="T862" s="86"/>
      <c r="U862" s="31"/>
      <c r="AD862" s="97"/>
    </row>
    <row r="863" spans="1:30" ht="35.1" hidden="1" customHeight="1" x14ac:dyDescent="0.25">
      <c r="A863" s="83"/>
      <c r="B863" s="7"/>
      <c r="C863" s="8"/>
      <c r="D863" s="8"/>
      <c r="E863" s="60"/>
      <c r="F863" s="84" t="str">
        <f>IFERROR(VLOOKUP(CONCATENATE($B863,"_",F$3),materiali!$C:$K,5,0),"")</f>
        <v/>
      </c>
      <c r="G863" s="85" t="str">
        <f>IFERROR(VLOOKUP(CONCATENATE($B863,"_",G$3),materiali!$C:$K,6,0),"")</f>
        <v/>
      </c>
      <c r="H863" s="86"/>
      <c r="I863" s="84" t="str">
        <f>IFERROR(VLOOKUP(CONCATENATE($B863,"_",I$3),materiali!$C:$K,5,0),"")</f>
        <v/>
      </c>
      <c r="J863" s="85" t="str">
        <f>IFERROR(VLOOKUP(CONCATENATE($B863,"_",J$3),materiali!$C:$K,6,0),"")</f>
        <v/>
      </c>
      <c r="K863" s="86"/>
      <c r="L863" s="84" t="str">
        <f>IFERROR(VLOOKUP(CONCATENATE($B863,"_",L$3),materiali!$C:$K,5,0),"")</f>
        <v/>
      </c>
      <c r="M863" s="85" t="str">
        <f>IFERROR(VLOOKUP(CONCATENATE($B863,"_",M$3),materiali!$C:$K,6,0),"")</f>
        <v/>
      </c>
      <c r="N863" s="86"/>
      <c r="O863" s="84" t="str">
        <f>IFERROR(VLOOKUP(CONCATENATE($B863,"_",O$3),materiali!$C:$K,5,0),"")</f>
        <v/>
      </c>
      <c r="P863" s="85" t="str">
        <f>IFERROR(VLOOKUP(CONCATENATE($B863,"_",P$3),materiali!$C:$K,6,0),"")</f>
        <v/>
      </c>
      <c r="Q863" s="86"/>
      <c r="R863" s="84" t="str">
        <f>IFERROR(VLOOKUP(CONCATENATE($B863,"_",R$3),materiali!$C:$K,5,0),"")</f>
        <v/>
      </c>
      <c r="S863" s="85" t="str">
        <f>IFERROR(VLOOKUP(CONCATENATE($B863,"_",S$3),materiali!$C:$K,6,0),"")</f>
        <v/>
      </c>
      <c r="T863" s="86"/>
      <c r="U863" s="31"/>
      <c r="AD863" s="97"/>
    </row>
    <row r="864" spans="1:30" ht="35.1" hidden="1" customHeight="1" x14ac:dyDescent="0.25">
      <c r="A864" s="83"/>
      <c r="B864" s="7"/>
      <c r="C864" s="8"/>
      <c r="D864" s="8"/>
      <c r="E864" s="60"/>
      <c r="F864" s="84" t="str">
        <f>IFERROR(VLOOKUP(CONCATENATE($B864,"_",F$3),materiali!$C:$K,5,0),"")</f>
        <v/>
      </c>
      <c r="G864" s="85" t="str">
        <f>IFERROR(VLOOKUP(CONCATENATE($B864,"_",G$3),materiali!$C:$K,6,0),"")</f>
        <v/>
      </c>
      <c r="H864" s="86"/>
      <c r="I864" s="84" t="str">
        <f>IFERROR(VLOOKUP(CONCATENATE($B864,"_",I$3),materiali!$C:$K,5,0),"")</f>
        <v/>
      </c>
      <c r="J864" s="85" t="str">
        <f>IFERROR(VLOOKUP(CONCATENATE($B864,"_",J$3),materiali!$C:$K,6,0),"")</f>
        <v/>
      </c>
      <c r="K864" s="86"/>
      <c r="L864" s="84" t="str">
        <f>IFERROR(VLOOKUP(CONCATENATE($B864,"_",L$3),materiali!$C:$K,5,0),"")</f>
        <v/>
      </c>
      <c r="M864" s="85" t="str">
        <f>IFERROR(VLOOKUP(CONCATENATE($B864,"_",M$3),materiali!$C:$K,6,0),"")</f>
        <v/>
      </c>
      <c r="N864" s="86"/>
      <c r="O864" s="84" t="str">
        <f>IFERROR(VLOOKUP(CONCATENATE($B864,"_",O$3),materiali!$C:$K,5,0),"")</f>
        <v/>
      </c>
      <c r="P864" s="85" t="str">
        <f>IFERROR(VLOOKUP(CONCATENATE($B864,"_",P$3),materiali!$C:$K,6,0),"")</f>
        <v/>
      </c>
      <c r="Q864" s="86"/>
      <c r="R864" s="84" t="str">
        <f>IFERROR(VLOOKUP(CONCATENATE($B864,"_",R$3),materiali!$C:$K,5,0),"")</f>
        <v/>
      </c>
      <c r="S864" s="85" t="str">
        <f>IFERROR(VLOOKUP(CONCATENATE($B864,"_",S$3),materiali!$C:$K,6,0),"")</f>
        <v/>
      </c>
      <c r="T864" s="86"/>
      <c r="U864" s="31"/>
      <c r="AD864" s="97"/>
    </row>
    <row r="865" spans="1:30" ht="35.1" hidden="1" customHeight="1" x14ac:dyDescent="0.25">
      <c r="A865" s="83"/>
      <c r="B865" s="7"/>
      <c r="C865" s="8"/>
      <c r="D865" s="8"/>
      <c r="E865" s="60"/>
      <c r="F865" s="84" t="str">
        <f>IFERROR(VLOOKUP(CONCATENATE($B865,"_",F$3),materiali!$C:$K,5,0),"")</f>
        <v/>
      </c>
      <c r="G865" s="85" t="str">
        <f>IFERROR(VLOOKUP(CONCATENATE($B865,"_",G$3),materiali!$C:$K,6,0),"")</f>
        <v/>
      </c>
      <c r="H865" s="86"/>
      <c r="I865" s="84" t="str">
        <f>IFERROR(VLOOKUP(CONCATENATE($B865,"_",I$3),materiali!$C:$K,5,0),"")</f>
        <v/>
      </c>
      <c r="J865" s="85" t="str">
        <f>IFERROR(VLOOKUP(CONCATENATE($B865,"_",J$3),materiali!$C:$K,6,0),"")</f>
        <v/>
      </c>
      <c r="K865" s="86"/>
      <c r="L865" s="84" t="str">
        <f>IFERROR(VLOOKUP(CONCATENATE($B865,"_",L$3),materiali!$C:$K,5,0),"")</f>
        <v/>
      </c>
      <c r="M865" s="85" t="str">
        <f>IFERROR(VLOOKUP(CONCATENATE($B865,"_",M$3),materiali!$C:$K,6,0),"")</f>
        <v/>
      </c>
      <c r="N865" s="86"/>
      <c r="O865" s="84" t="str">
        <f>IFERROR(VLOOKUP(CONCATENATE($B865,"_",O$3),materiali!$C:$K,5,0),"")</f>
        <v/>
      </c>
      <c r="P865" s="85" t="str">
        <f>IFERROR(VLOOKUP(CONCATENATE($B865,"_",P$3),materiali!$C:$K,6,0),"")</f>
        <v/>
      </c>
      <c r="Q865" s="86"/>
      <c r="R865" s="84" t="str">
        <f>IFERROR(VLOOKUP(CONCATENATE($B865,"_",R$3),materiali!$C:$K,5,0),"")</f>
        <v/>
      </c>
      <c r="S865" s="85" t="str">
        <f>IFERROR(VLOOKUP(CONCATENATE($B865,"_",S$3),materiali!$C:$K,6,0),"")</f>
        <v/>
      </c>
      <c r="T865" s="86"/>
      <c r="U865" s="31"/>
      <c r="AD865" s="97"/>
    </row>
    <row r="866" spans="1:30" ht="35.1" hidden="1" customHeight="1" x14ac:dyDescent="0.25">
      <c r="A866" s="83"/>
      <c r="B866" s="7"/>
      <c r="C866" s="8"/>
      <c r="D866" s="8"/>
      <c r="E866" s="60"/>
      <c r="F866" s="84" t="str">
        <f>IFERROR(VLOOKUP(CONCATENATE($B866,"_",F$3),materiali!$C:$K,5,0),"")</f>
        <v/>
      </c>
      <c r="G866" s="85" t="str">
        <f>IFERROR(VLOOKUP(CONCATENATE($B866,"_",G$3),materiali!$C:$K,6,0),"")</f>
        <v/>
      </c>
      <c r="H866" s="86"/>
      <c r="I866" s="84" t="str">
        <f>IFERROR(VLOOKUP(CONCATENATE($B866,"_",I$3),materiali!$C:$K,5,0),"")</f>
        <v/>
      </c>
      <c r="J866" s="85" t="str">
        <f>IFERROR(VLOOKUP(CONCATENATE($B866,"_",J$3),materiali!$C:$K,6,0),"")</f>
        <v/>
      </c>
      <c r="K866" s="86"/>
      <c r="L866" s="84" t="str">
        <f>IFERROR(VLOOKUP(CONCATENATE($B866,"_",L$3),materiali!$C:$K,5,0),"")</f>
        <v/>
      </c>
      <c r="M866" s="85" t="str">
        <f>IFERROR(VLOOKUP(CONCATENATE($B866,"_",M$3),materiali!$C:$K,6,0),"")</f>
        <v/>
      </c>
      <c r="N866" s="86"/>
      <c r="O866" s="84" t="str">
        <f>IFERROR(VLOOKUP(CONCATENATE($B866,"_",O$3),materiali!$C:$K,5,0),"")</f>
        <v/>
      </c>
      <c r="P866" s="85" t="str">
        <f>IFERROR(VLOOKUP(CONCATENATE($B866,"_",P$3),materiali!$C:$K,6,0),"")</f>
        <v/>
      </c>
      <c r="Q866" s="86"/>
      <c r="R866" s="84" t="str">
        <f>IFERROR(VLOOKUP(CONCATENATE($B866,"_",R$3),materiali!$C:$K,5,0),"")</f>
        <v/>
      </c>
      <c r="S866" s="85" t="str">
        <f>IFERROR(VLOOKUP(CONCATENATE($B866,"_",S$3),materiali!$C:$K,6,0),"")</f>
        <v/>
      </c>
      <c r="T866" s="86"/>
      <c r="U866" s="31"/>
      <c r="AD866" s="97"/>
    </row>
    <row r="867" spans="1:30" ht="35.1" hidden="1" customHeight="1" x14ac:dyDescent="0.25">
      <c r="A867" s="83"/>
      <c r="B867" s="7"/>
      <c r="C867" s="8"/>
      <c r="D867" s="8"/>
      <c r="E867" s="60"/>
      <c r="F867" s="84" t="str">
        <f>IFERROR(VLOOKUP(CONCATENATE($B867,"_",F$3),materiali!$C:$K,5,0),"")</f>
        <v/>
      </c>
      <c r="G867" s="85" t="str">
        <f>IFERROR(VLOOKUP(CONCATENATE($B867,"_",G$3),materiali!$C:$K,6,0),"")</f>
        <v/>
      </c>
      <c r="H867" s="86"/>
      <c r="I867" s="84" t="str">
        <f>IFERROR(VLOOKUP(CONCATENATE($B867,"_",I$3),materiali!$C:$K,5,0),"")</f>
        <v/>
      </c>
      <c r="J867" s="85" t="str">
        <f>IFERROR(VLOOKUP(CONCATENATE($B867,"_",J$3),materiali!$C:$K,6,0),"")</f>
        <v/>
      </c>
      <c r="K867" s="86"/>
      <c r="L867" s="84" t="str">
        <f>IFERROR(VLOOKUP(CONCATENATE($B867,"_",L$3),materiali!$C:$K,5,0),"")</f>
        <v/>
      </c>
      <c r="M867" s="85" t="str">
        <f>IFERROR(VLOOKUP(CONCATENATE($B867,"_",M$3),materiali!$C:$K,6,0),"")</f>
        <v/>
      </c>
      <c r="N867" s="86"/>
      <c r="O867" s="84" t="str">
        <f>IFERROR(VLOOKUP(CONCATENATE($B867,"_",O$3),materiali!$C:$K,5,0),"")</f>
        <v/>
      </c>
      <c r="P867" s="85" t="str">
        <f>IFERROR(VLOOKUP(CONCATENATE($B867,"_",P$3),materiali!$C:$K,6,0),"")</f>
        <v/>
      </c>
      <c r="Q867" s="86"/>
      <c r="R867" s="84" t="str">
        <f>IFERROR(VLOOKUP(CONCATENATE($B867,"_",R$3),materiali!$C:$K,5,0),"")</f>
        <v/>
      </c>
      <c r="S867" s="85" t="str">
        <f>IFERROR(VLOOKUP(CONCATENATE($B867,"_",S$3),materiali!$C:$K,6,0),"")</f>
        <v/>
      </c>
      <c r="T867" s="86"/>
      <c r="U867" s="31"/>
      <c r="AD867" s="97"/>
    </row>
    <row r="868" spans="1:30" ht="35.1" hidden="1" customHeight="1" x14ac:dyDescent="0.25">
      <c r="A868" s="83"/>
      <c r="B868" s="7"/>
      <c r="C868" s="8"/>
      <c r="D868" s="8"/>
      <c r="E868" s="60"/>
      <c r="F868" s="84" t="str">
        <f>IFERROR(VLOOKUP(CONCATENATE($B868,"_",F$3),materiali!$C:$K,5,0),"")</f>
        <v/>
      </c>
      <c r="G868" s="85" t="str">
        <f>IFERROR(VLOOKUP(CONCATENATE($B868,"_",G$3),materiali!$C:$K,6,0),"")</f>
        <v/>
      </c>
      <c r="H868" s="86"/>
      <c r="I868" s="84" t="str">
        <f>IFERROR(VLOOKUP(CONCATENATE($B868,"_",I$3),materiali!$C:$K,5,0),"")</f>
        <v/>
      </c>
      <c r="J868" s="85" t="str">
        <f>IFERROR(VLOOKUP(CONCATENATE($B868,"_",J$3),materiali!$C:$K,6,0),"")</f>
        <v/>
      </c>
      <c r="K868" s="86"/>
      <c r="L868" s="84" t="str">
        <f>IFERROR(VLOOKUP(CONCATENATE($B868,"_",L$3),materiali!$C:$K,5,0),"")</f>
        <v/>
      </c>
      <c r="M868" s="85" t="str">
        <f>IFERROR(VLOOKUP(CONCATENATE($B868,"_",M$3),materiali!$C:$K,6,0),"")</f>
        <v/>
      </c>
      <c r="N868" s="86"/>
      <c r="O868" s="84" t="str">
        <f>IFERROR(VLOOKUP(CONCATENATE($B868,"_",O$3),materiali!$C:$K,5,0),"")</f>
        <v/>
      </c>
      <c r="P868" s="85" t="str">
        <f>IFERROR(VLOOKUP(CONCATENATE($B868,"_",P$3),materiali!$C:$K,6,0),"")</f>
        <v/>
      </c>
      <c r="Q868" s="86"/>
      <c r="R868" s="84" t="str">
        <f>IFERROR(VLOOKUP(CONCATENATE($B868,"_",R$3),materiali!$C:$K,5,0),"")</f>
        <v/>
      </c>
      <c r="S868" s="85" t="str">
        <f>IFERROR(VLOOKUP(CONCATENATE($B868,"_",S$3),materiali!$C:$K,6,0),"")</f>
        <v/>
      </c>
      <c r="T868" s="86"/>
      <c r="U868" s="31"/>
      <c r="AD868" s="97"/>
    </row>
    <row r="869" spans="1:30" ht="35.1" hidden="1" customHeight="1" x14ac:dyDescent="0.25">
      <c r="A869" s="83"/>
      <c r="B869" s="7"/>
      <c r="C869" s="8"/>
      <c r="D869" s="8"/>
      <c r="E869" s="60"/>
      <c r="F869" s="84" t="str">
        <f>IFERROR(VLOOKUP(CONCATENATE($B869,"_",F$3),materiali!$C:$K,5,0),"")</f>
        <v/>
      </c>
      <c r="G869" s="85" t="str">
        <f>IFERROR(VLOOKUP(CONCATENATE($B869,"_",G$3),materiali!$C:$K,6,0),"")</f>
        <v/>
      </c>
      <c r="H869" s="86"/>
      <c r="I869" s="84" t="str">
        <f>IFERROR(VLOOKUP(CONCATENATE($B869,"_",I$3),materiali!$C:$K,5,0),"")</f>
        <v/>
      </c>
      <c r="J869" s="85" t="str">
        <f>IFERROR(VLOOKUP(CONCATENATE($B869,"_",J$3),materiali!$C:$K,6,0),"")</f>
        <v/>
      </c>
      <c r="K869" s="86"/>
      <c r="L869" s="84" t="str">
        <f>IFERROR(VLOOKUP(CONCATENATE($B869,"_",L$3),materiali!$C:$K,5,0),"")</f>
        <v/>
      </c>
      <c r="M869" s="85" t="str">
        <f>IFERROR(VLOOKUP(CONCATENATE($B869,"_",M$3),materiali!$C:$K,6,0),"")</f>
        <v/>
      </c>
      <c r="N869" s="86"/>
      <c r="O869" s="84" t="str">
        <f>IFERROR(VLOOKUP(CONCATENATE($B869,"_",O$3),materiali!$C:$K,5,0),"")</f>
        <v/>
      </c>
      <c r="P869" s="85" t="str">
        <f>IFERROR(VLOOKUP(CONCATENATE($B869,"_",P$3),materiali!$C:$K,6,0),"")</f>
        <v/>
      </c>
      <c r="Q869" s="86"/>
      <c r="R869" s="84" t="str">
        <f>IFERROR(VLOOKUP(CONCATENATE($B869,"_",R$3),materiali!$C:$K,5,0),"")</f>
        <v/>
      </c>
      <c r="S869" s="85" t="str">
        <f>IFERROR(VLOOKUP(CONCATENATE($B869,"_",S$3),materiali!$C:$K,6,0),"")</f>
        <v/>
      </c>
      <c r="T869" s="86"/>
      <c r="U869" s="31"/>
      <c r="AD869" s="97"/>
    </row>
    <row r="870" spans="1:30" ht="35.1" hidden="1" customHeight="1" x14ac:dyDescent="0.25">
      <c r="A870" s="83"/>
      <c r="B870" s="7"/>
      <c r="C870" s="8"/>
      <c r="D870" s="8"/>
      <c r="E870" s="60"/>
      <c r="F870" s="84" t="str">
        <f>IFERROR(VLOOKUP(CONCATENATE($B870,"_",F$3),materiali!$C:$K,5,0),"")</f>
        <v/>
      </c>
      <c r="G870" s="85" t="str">
        <f>IFERROR(VLOOKUP(CONCATENATE($B870,"_",G$3),materiali!$C:$K,6,0),"")</f>
        <v/>
      </c>
      <c r="H870" s="86"/>
      <c r="I870" s="84" t="str">
        <f>IFERROR(VLOOKUP(CONCATENATE($B870,"_",I$3),materiali!$C:$K,5,0),"")</f>
        <v/>
      </c>
      <c r="J870" s="85" t="str">
        <f>IFERROR(VLOOKUP(CONCATENATE($B870,"_",J$3),materiali!$C:$K,6,0),"")</f>
        <v/>
      </c>
      <c r="K870" s="86"/>
      <c r="L870" s="84" t="str">
        <f>IFERROR(VLOOKUP(CONCATENATE($B870,"_",L$3),materiali!$C:$K,5,0),"")</f>
        <v/>
      </c>
      <c r="M870" s="85" t="str">
        <f>IFERROR(VLOOKUP(CONCATENATE($B870,"_",M$3),materiali!$C:$K,6,0),"")</f>
        <v/>
      </c>
      <c r="N870" s="86"/>
      <c r="O870" s="84" t="str">
        <f>IFERROR(VLOOKUP(CONCATENATE($B870,"_",O$3),materiali!$C:$K,5,0),"")</f>
        <v/>
      </c>
      <c r="P870" s="85" t="str">
        <f>IFERROR(VLOOKUP(CONCATENATE($B870,"_",P$3),materiali!$C:$K,6,0),"")</f>
        <v/>
      </c>
      <c r="Q870" s="86"/>
      <c r="R870" s="84" t="str">
        <f>IFERROR(VLOOKUP(CONCATENATE($B870,"_",R$3),materiali!$C:$K,5,0),"")</f>
        <v/>
      </c>
      <c r="S870" s="85" t="str">
        <f>IFERROR(VLOOKUP(CONCATENATE($B870,"_",S$3),materiali!$C:$K,6,0),"")</f>
        <v/>
      </c>
      <c r="T870" s="86"/>
      <c r="U870" s="31"/>
      <c r="AD870" s="97"/>
    </row>
    <row r="871" spans="1:30" ht="35.1" hidden="1" customHeight="1" x14ac:dyDescent="0.25">
      <c r="A871" s="83"/>
      <c r="B871" s="7"/>
      <c r="C871" s="8"/>
      <c r="D871" s="8"/>
      <c r="E871" s="60"/>
      <c r="F871" s="84" t="str">
        <f>IFERROR(VLOOKUP(CONCATENATE($B871,"_",F$3),materiali!$C:$K,5,0),"")</f>
        <v/>
      </c>
      <c r="G871" s="85" t="str">
        <f>IFERROR(VLOOKUP(CONCATENATE($B871,"_",G$3),materiali!$C:$K,6,0),"")</f>
        <v/>
      </c>
      <c r="H871" s="86"/>
      <c r="I871" s="84" t="str">
        <f>IFERROR(VLOOKUP(CONCATENATE($B871,"_",I$3),materiali!$C:$K,5,0),"")</f>
        <v/>
      </c>
      <c r="J871" s="85" t="str">
        <f>IFERROR(VLOOKUP(CONCATENATE($B871,"_",J$3),materiali!$C:$K,6,0),"")</f>
        <v/>
      </c>
      <c r="K871" s="86"/>
      <c r="L871" s="84" t="str">
        <f>IFERROR(VLOOKUP(CONCATENATE($B871,"_",L$3),materiali!$C:$K,5,0),"")</f>
        <v/>
      </c>
      <c r="M871" s="85" t="str">
        <f>IFERROR(VLOOKUP(CONCATENATE($B871,"_",M$3),materiali!$C:$K,6,0),"")</f>
        <v/>
      </c>
      <c r="N871" s="86"/>
      <c r="O871" s="84" t="str">
        <f>IFERROR(VLOOKUP(CONCATENATE($B871,"_",O$3),materiali!$C:$K,5,0),"")</f>
        <v/>
      </c>
      <c r="P871" s="85" t="str">
        <f>IFERROR(VLOOKUP(CONCATENATE($B871,"_",P$3),materiali!$C:$K,6,0),"")</f>
        <v/>
      </c>
      <c r="Q871" s="86"/>
      <c r="R871" s="84" t="str">
        <f>IFERROR(VLOOKUP(CONCATENATE($B871,"_",R$3),materiali!$C:$K,5,0),"")</f>
        <v/>
      </c>
      <c r="S871" s="85" t="str">
        <f>IFERROR(VLOOKUP(CONCATENATE($B871,"_",S$3),materiali!$C:$K,6,0),"")</f>
        <v/>
      </c>
      <c r="T871" s="86"/>
      <c r="U871" s="31"/>
      <c r="AD871" s="97"/>
    </row>
    <row r="872" spans="1:30" ht="35.1" hidden="1" customHeight="1" x14ac:dyDescent="0.25">
      <c r="A872" s="83"/>
      <c r="B872" s="7"/>
      <c r="C872" s="8"/>
      <c r="D872" s="8"/>
      <c r="E872" s="60"/>
      <c r="F872" s="84" t="str">
        <f>IFERROR(VLOOKUP(CONCATENATE($B872,"_",F$3),materiali!$C:$K,5,0),"")</f>
        <v/>
      </c>
      <c r="G872" s="85" t="str">
        <f>IFERROR(VLOOKUP(CONCATENATE($B872,"_",G$3),materiali!$C:$K,6,0),"")</f>
        <v/>
      </c>
      <c r="H872" s="86"/>
      <c r="I872" s="84" t="str">
        <f>IFERROR(VLOOKUP(CONCATENATE($B872,"_",I$3),materiali!$C:$K,5,0),"")</f>
        <v/>
      </c>
      <c r="J872" s="85" t="str">
        <f>IFERROR(VLOOKUP(CONCATENATE($B872,"_",J$3),materiali!$C:$K,6,0),"")</f>
        <v/>
      </c>
      <c r="K872" s="86"/>
      <c r="L872" s="84" t="str">
        <f>IFERROR(VLOOKUP(CONCATENATE($B872,"_",L$3),materiali!$C:$K,5,0),"")</f>
        <v/>
      </c>
      <c r="M872" s="85" t="str">
        <f>IFERROR(VLOOKUP(CONCATENATE($B872,"_",M$3),materiali!$C:$K,6,0),"")</f>
        <v/>
      </c>
      <c r="N872" s="86"/>
      <c r="O872" s="84" t="str">
        <f>IFERROR(VLOOKUP(CONCATENATE($B872,"_",O$3),materiali!$C:$K,5,0),"")</f>
        <v/>
      </c>
      <c r="P872" s="85" t="str">
        <f>IFERROR(VLOOKUP(CONCATENATE($B872,"_",P$3),materiali!$C:$K,6,0),"")</f>
        <v/>
      </c>
      <c r="Q872" s="86"/>
      <c r="R872" s="84" t="str">
        <f>IFERROR(VLOOKUP(CONCATENATE($B872,"_",R$3),materiali!$C:$K,5,0),"")</f>
        <v/>
      </c>
      <c r="S872" s="85" t="str">
        <f>IFERROR(VLOOKUP(CONCATENATE($B872,"_",S$3),materiali!$C:$K,6,0),"")</f>
        <v/>
      </c>
      <c r="T872" s="86"/>
      <c r="U872" s="31"/>
      <c r="AD872" s="97"/>
    </row>
    <row r="873" spans="1:30" ht="35.1" hidden="1" customHeight="1" x14ac:dyDescent="0.25">
      <c r="A873" s="83"/>
      <c r="B873" s="7"/>
      <c r="C873" s="8"/>
      <c r="D873" s="8"/>
      <c r="E873" s="60"/>
      <c r="F873" s="84" t="str">
        <f>IFERROR(VLOOKUP(CONCATENATE($B873,"_",F$3),materiali!$C:$K,5,0),"")</f>
        <v/>
      </c>
      <c r="G873" s="85" t="str">
        <f>IFERROR(VLOOKUP(CONCATENATE($B873,"_",G$3),materiali!$C:$K,6,0),"")</f>
        <v/>
      </c>
      <c r="H873" s="86"/>
      <c r="I873" s="84" t="str">
        <f>IFERROR(VLOOKUP(CONCATENATE($B873,"_",I$3),materiali!$C:$K,5,0),"")</f>
        <v/>
      </c>
      <c r="J873" s="85" t="str">
        <f>IFERROR(VLOOKUP(CONCATENATE($B873,"_",J$3),materiali!$C:$K,6,0),"")</f>
        <v/>
      </c>
      <c r="K873" s="86"/>
      <c r="L873" s="84" t="str">
        <f>IFERROR(VLOOKUP(CONCATENATE($B873,"_",L$3),materiali!$C:$K,5,0),"")</f>
        <v/>
      </c>
      <c r="M873" s="85" t="str">
        <f>IFERROR(VLOOKUP(CONCATENATE($B873,"_",M$3),materiali!$C:$K,6,0),"")</f>
        <v/>
      </c>
      <c r="N873" s="86"/>
      <c r="O873" s="84" t="str">
        <f>IFERROR(VLOOKUP(CONCATENATE($B873,"_",O$3),materiali!$C:$K,5,0),"")</f>
        <v/>
      </c>
      <c r="P873" s="85" t="str">
        <f>IFERROR(VLOOKUP(CONCATENATE($B873,"_",P$3),materiali!$C:$K,6,0),"")</f>
        <v/>
      </c>
      <c r="Q873" s="86"/>
      <c r="R873" s="84" t="str">
        <f>IFERROR(VLOOKUP(CONCATENATE($B873,"_",R$3),materiali!$C:$K,5,0),"")</f>
        <v/>
      </c>
      <c r="S873" s="85" t="str">
        <f>IFERROR(VLOOKUP(CONCATENATE($B873,"_",S$3),materiali!$C:$K,6,0),"")</f>
        <v/>
      </c>
      <c r="T873" s="86"/>
      <c r="U873" s="31"/>
      <c r="AD873" s="97"/>
    </row>
    <row r="874" spans="1:30" ht="35.1" hidden="1" customHeight="1" x14ac:dyDescent="0.25">
      <c r="A874" s="83"/>
      <c r="B874" s="7"/>
      <c r="C874" s="8"/>
      <c r="D874" s="8"/>
      <c r="E874" s="60"/>
      <c r="F874" s="84" t="str">
        <f>IFERROR(VLOOKUP(CONCATENATE($B874,"_",F$3),materiali!$C:$K,5,0),"")</f>
        <v/>
      </c>
      <c r="G874" s="85" t="str">
        <f>IFERROR(VLOOKUP(CONCATENATE($B874,"_",G$3),materiali!$C:$K,6,0),"")</f>
        <v/>
      </c>
      <c r="H874" s="86"/>
      <c r="I874" s="84" t="str">
        <f>IFERROR(VLOOKUP(CONCATENATE($B874,"_",I$3),materiali!$C:$K,5,0),"")</f>
        <v/>
      </c>
      <c r="J874" s="85" t="str">
        <f>IFERROR(VLOOKUP(CONCATENATE($B874,"_",J$3),materiali!$C:$K,6,0),"")</f>
        <v/>
      </c>
      <c r="K874" s="86"/>
      <c r="L874" s="84" t="str">
        <f>IFERROR(VLOOKUP(CONCATENATE($B874,"_",L$3),materiali!$C:$K,5,0),"")</f>
        <v/>
      </c>
      <c r="M874" s="85" t="str">
        <f>IFERROR(VLOOKUP(CONCATENATE($B874,"_",M$3),materiali!$C:$K,6,0),"")</f>
        <v/>
      </c>
      <c r="N874" s="86"/>
      <c r="O874" s="84" t="str">
        <f>IFERROR(VLOOKUP(CONCATENATE($B874,"_",O$3),materiali!$C:$K,5,0),"")</f>
        <v/>
      </c>
      <c r="P874" s="85" t="str">
        <f>IFERROR(VLOOKUP(CONCATENATE($B874,"_",P$3),materiali!$C:$K,6,0),"")</f>
        <v/>
      </c>
      <c r="Q874" s="86"/>
      <c r="R874" s="84" t="str">
        <f>IFERROR(VLOOKUP(CONCATENATE($B874,"_",R$3),materiali!$C:$K,5,0),"")</f>
        <v/>
      </c>
      <c r="S874" s="85" t="str">
        <f>IFERROR(VLOOKUP(CONCATENATE($B874,"_",S$3),materiali!$C:$K,6,0),"")</f>
        <v/>
      </c>
      <c r="T874" s="86"/>
      <c r="U874" s="31"/>
      <c r="AD874" s="97"/>
    </row>
    <row r="875" spans="1:30" ht="35.1" hidden="1" customHeight="1" x14ac:dyDescent="0.25">
      <c r="A875" s="83"/>
      <c r="B875" s="7"/>
      <c r="C875" s="8"/>
      <c r="D875" s="8"/>
      <c r="E875" s="60"/>
      <c r="F875" s="84" t="str">
        <f>IFERROR(VLOOKUP(CONCATENATE($B875,"_",F$3),materiali!$C:$K,5,0),"")</f>
        <v/>
      </c>
      <c r="G875" s="85" t="str">
        <f>IFERROR(VLOOKUP(CONCATENATE($B875,"_",G$3),materiali!$C:$K,6,0),"")</f>
        <v/>
      </c>
      <c r="H875" s="86"/>
      <c r="I875" s="84" t="str">
        <f>IFERROR(VLOOKUP(CONCATENATE($B875,"_",I$3),materiali!$C:$K,5,0),"")</f>
        <v/>
      </c>
      <c r="J875" s="85" t="str">
        <f>IFERROR(VLOOKUP(CONCATENATE($B875,"_",J$3),materiali!$C:$K,6,0),"")</f>
        <v/>
      </c>
      <c r="K875" s="86"/>
      <c r="L875" s="84" t="str">
        <f>IFERROR(VLOOKUP(CONCATENATE($B875,"_",L$3),materiali!$C:$K,5,0),"")</f>
        <v/>
      </c>
      <c r="M875" s="85" t="str">
        <f>IFERROR(VLOOKUP(CONCATENATE($B875,"_",M$3),materiali!$C:$K,6,0),"")</f>
        <v/>
      </c>
      <c r="N875" s="86"/>
      <c r="O875" s="84" t="str">
        <f>IFERROR(VLOOKUP(CONCATENATE($B875,"_",O$3),materiali!$C:$K,5,0),"")</f>
        <v/>
      </c>
      <c r="P875" s="85" t="str">
        <f>IFERROR(VLOOKUP(CONCATENATE($B875,"_",P$3),materiali!$C:$K,6,0),"")</f>
        <v/>
      </c>
      <c r="Q875" s="86"/>
      <c r="R875" s="84" t="str">
        <f>IFERROR(VLOOKUP(CONCATENATE($B875,"_",R$3),materiali!$C:$K,5,0),"")</f>
        <v/>
      </c>
      <c r="S875" s="85" t="str">
        <f>IFERROR(VLOOKUP(CONCATENATE($B875,"_",S$3),materiali!$C:$K,6,0),"")</f>
        <v/>
      </c>
      <c r="T875" s="86"/>
      <c r="U875" s="31"/>
      <c r="AD875" s="97"/>
    </row>
    <row r="876" spans="1:30" ht="35.1" hidden="1" customHeight="1" x14ac:dyDescent="0.25">
      <c r="A876" s="83"/>
      <c r="B876" s="7"/>
      <c r="C876" s="8"/>
      <c r="D876" s="8"/>
      <c r="E876" s="60"/>
      <c r="F876" s="84" t="str">
        <f>IFERROR(VLOOKUP(CONCATENATE($B876,"_",F$3),materiali!$C:$K,5,0),"")</f>
        <v/>
      </c>
      <c r="G876" s="85" t="str">
        <f>IFERROR(VLOOKUP(CONCATENATE($B876,"_",G$3),materiali!$C:$K,6,0),"")</f>
        <v/>
      </c>
      <c r="H876" s="86"/>
      <c r="I876" s="84" t="str">
        <f>IFERROR(VLOOKUP(CONCATENATE($B876,"_",I$3),materiali!$C:$K,5,0),"")</f>
        <v/>
      </c>
      <c r="J876" s="85" t="str">
        <f>IFERROR(VLOOKUP(CONCATENATE($B876,"_",J$3),materiali!$C:$K,6,0),"")</f>
        <v/>
      </c>
      <c r="K876" s="86"/>
      <c r="L876" s="84" t="str">
        <f>IFERROR(VLOOKUP(CONCATENATE($B876,"_",L$3),materiali!$C:$K,5,0),"")</f>
        <v/>
      </c>
      <c r="M876" s="85" t="str">
        <f>IFERROR(VLOOKUP(CONCATENATE($B876,"_",M$3),materiali!$C:$K,6,0),"")</f>
        <v/>
      </c>
      <c r="N876" s="86"/>
      <c r="O876" s="84" t="str">
        <f>IFERROR(VLOOKUP(CONCATENATE($B876,"_",O$3),materiali!$C:$K,5,0),"")</f>
        <v/>
      </c>
      <c r="P876" s="85" t="str">
        <f>IFERROR(VLOOKUP(CONCATENATE($B876,"_",P$3),materiali!$C:$K,6,0),"")</f>
        <v/>
      </c>
      <c r="Q876" s="86"/>
      <c r="R876" s="84" t="str">
        <f>IFERROR(VLOOKUP(CONCATENATE($B876,"_",R$3),materiali!$C:$K,5,0),"")</f>
        <v/>
      </c>
      <c r="S876" s="85" t="str">
        <f>IFERROR(VLOOKUP(CONCATENATE($B876,"_",S$3),materiali!$C:$K,6,0),"")</f>
        <v/>
      </c>
      <c r="T876" s="86"/>
      <c r="U876" s="31"/>
      <c r="AD876" s="97"/>
    </row>
    <row r="877" spans="1:30" ht="35.1" hidden="1" customHeight="1" x14ac:dyDescent="0.25">
      <c r="A877" s="83"/>
      <c r="B877" s="7"/>
      <c r="C877" s="8"/>
      <c r="D877" s="8"/>
      <c r="E877" s="60"/>
      <c r="F877" s="84" t="str">
        <f>IFERROR(VLOOKUP(CONCATENATE($B877,"_",F$3),materiali!$C:$K,5,0),"")</f>
        <v/>
      </c>
      <c r="G877" s="85" t="str">
        <f>IFERROR(VLOOKUP(CONCATENATE($B877,"_",G$3),materiali!$C:$K,6,0),"")</f>
        <v/>
      </c>
      <c r="H877" s="86"/>
      <c r="I877" s="84" t="str">
        <f>IFERROR(VLOOKUP(CONCATENATE($B877,"_",I$3),materiali!$C:$K,5,0),"")</f>
        <v/>
      </c>
      <c r="J877" s="85" t="str">
        <f>IFERROR(VLOOKUP(CONCATENATE($B877,"_",J$3),materiali!$C:$K,6,0),"")</f>
        <v/>
      </c>
      <c r="K877" s="86"/>
      <c r="L877" s="84" t="str">
        <f>IFERROR(VLOOKUP(CONCATENATE($B877,"_",L$3),materiali!$C:$K,5,0),"")</f>
        <v/>
      </c>
      <c r="M877" s="85" t="str">
        <f>IFERROR(VLOOKUP(CONCATENATE($B877,"_",M$3),materiali!$C:$K,6,0),"")</f>
        <v/>
      </c>
      <c r="N877" s="86"/>
      <c r="O877" s="84" t="str">
        <f>IFERROR(VLOOKUP(CONCATENATE($B877,"_",O$3),materiali!$C:$K,5,0),"")</f>
        <v/>
      </c>
      <c r="P877" s="85" t="str">
        <f>IFERROR(VLOOKUP(CONCATENATE($B877,"_",P$3),materiali!$C:$K,6,0),"")</f>
        <v/>
      </c>
      <c r="Q877" s="86"/>
      <c r="R877" s="84" t="str">
        <f>IFERROR(VLOOKUP(CONCATENATE($B877,"_",R$3),materiali!$C:$K,5,0),"")</f>
        <v/>
      </c>
      <c r="S877" s="85" t="str">
        <f>IFERROR(VLOOKUP(CONCATENATE($B877,"_",S$3),materiali!$C:$K,6,0),"")</f>
        <v/>
      </c>
      <c r="T877" s="86"/>
      <c r="U877" s="31"/>
      <c r="AD877" s="97"/>
    </row>
    <row r="878" spans="1:30" ht="35.1" hidden="1" customHeight="1" x14ac:dyDescent="0.25">
      <c r="A878" s="83"/>
      <c r="B878" s="7"/>
      <c r="C878" s="8"/>
      <c r="D878" s="8"/>
      <c r="E878" s="60"/>
      <c r="F878" s="84" t="str">
        <f>IFERROR(VLOOKUP(CONCATENATE($B878,"_",F$3),materiali!$C:$K,5,0),"")</f>
        <v/>
      </c>
      <c r="G878" s="85" t="str">
        <f>IFERROR(VLOOKUP(CONCATENATE($B878,"_",G$3),materiali!$C:$K,6,0),"")</f>
        <v/>
      </c>
      <c r="H878" s="86"/>
      <c r="I878" s="84" t="str">
        <f>IFERROR(VLOOKUP(CONCATENATE($B878,"_",I$3),materiali!$C:$K,5,0),"")</f>
        <v/>
      </c>
      <c r="J878" s="85" t="str">
        <f>IFERROR(VLOOKUP(CONCATENATE($B878,"_",J$3),materiali!$C:$K,6,0),"")</f>
        <v/>
      </c>
      <c r="K878" s="86"/>
      <c r="L878" s="84" t="str">
        <f>IFERROR(VLOOKUP(CONCATENATE($B878,"_",L$3),materiali!$C:$K,5,0),"")</f>
        <v/>
      </c>
      <c r="M878" s="85" t="str">
        <f>IFERROR(VLOOKUP(CONCATENATE($B878,"_",M$3),materiali!$C:$K,6,0),"")</f>
        <v/>
      </c>
      <c r="N878" s="86"/>
      <c r="O878" s="84" t="str">
        <f>IFERROR(VLOOKUP(CONCATENATE($B878,"_",O$3),materiali!$C:$K,5,0),"")</f>
        <v/>
      </c>
      <c r="P878" s="85" t="str">
        <f>IFERROR(VLOOKUP(CONCATENATE($B878,"_",P$3),materiali!$C:$K,6,0),"")</f>
        <v/>
      </c>
      <c r="Q878" s="86"/>
      <c r="R878" s="84" t="str">
        <f>IFERROR(VLOOKUP(CONCATENATE($B878,"_",R$3),materiali!$C:$K,5,0),"")</f>
        <v/>
      </c>
      <c r="S878" s="85" t="str">
        <f>IFERROR(VLOOKUP(CONCATENATE($B878,"_",S$3),materiali!$C:$K,6,0),"")</f>
        <v/>
      </c>
      <c r="T878" s="86"/>
      <c r="U878" s="31"/>
      <c r="AD878" s="97"/>
    </row>
    <row r="879" spans="1:30" ht="35.1" hidden="1" customHeight="1" x14ac:dyDescent="0.25">
      <c r="A879" s="83"/>
      <c r="B879" s="7"/>
      <c r="C879" s="8"/>
      <c r="D879" s="8"/>
      <c r="E879" s="60"/>
      <c r="F879" s="84" t="str">
        <f>IFERROR(VLOOKUP(CONCATENATE($B879,"_",F$3),materiali!$C:$K,5,0),"")</f>
        <v/>
      </c>
      <c r="G879" s="85" t="str">
        <f>IFERROR(VLOOKUP(CONCATENATE($B879,"_",G$3),materiali!$C:$K,6,0),"")</f>
        <v/>
      </c>
      <c r="H879" s="86"/>
      <c r="I879" s="84" t="str">
        <f>IFERROR(VLOOKUP(CONCATENATE($B879,"_",I$3),materiali!$C:$K,5,0),"")</f>
        <v/>
      </c>
      <c r="J879" s="85" t="str">
        <f>IFERROR(VLOOKUP(CONCATENATE($B879,"_",J$3),materiali!$C:$K,6,0),"")</f>
        <v/>
      </c>
      <c r="K879" s="86"/>
      <c r="L879" s="84" t="str">
        <f>IFERROR(VLOOKUP(CONCATENATE($B879,"_",L$3),materiali!$C:$K,5,0),"")</f>
        <v/>
      </c>
      <c r="M879" s="85" t="str">
        <f>IFERROR(VLOOKUP(CONCATENATE($B879,"_",M$3),materiali!$C:$K,6,0),"")</f>
        <v/>
      </c>
      <c r="N879" s="86"/>
      <c r="O879" s="84" t="str">
        <f>IFERROR(VLOOKUP(CONCATENATE($B879,"_",O$3),materiali!$C:$K,5,0),"")</f>
        <v/>
      </c>
      <c r="P879" s="85" t="str">
        <f>IFERROR(VLOOKUP(CONCATENATE($B879,"_",P$3),materiali!$C:$K,6,0),"")</f>
        <v/>
      </c>
      <c r="Q879" s="86"/>
      <c r="R879" s="84" t="str">
        <f>IFERROR(VLOOKUP(CONCATENATE($B879,"_",R$3),materiali!$C:$K,5,0),"")</f>
        <v/>
      </c>
      <c r="S879" s="85" t="str">
        <f>IFERROR(VLOOKUP(CONCATENATE($B879,"_",S$3),materiali!$C:$K,6,0),"")</f>
        <v/>
      </c>
      <c r="T879" s="86"/>
      <c r="U879" s="31"/>
      <c r="AD879" s="97"/>
    </row>
    <row r="880" spans="1:30" ht="35.1" hidden="1" customHeight="1" x14ac:dyDescent="0.25">
      <c r="A880" s="83"/>
      <c r="B880" s="7"/>
      <c r="C880" s="8"/>
      <c r="D880" s="8"/>
      <c r="E880" s="60"/>
      <c r="F880" s="84" t="str">
        <f>IFERROR(VLOOKUP(CONCATENATE($B880,"_",F$3),materiali!$C:$K,5,0),"")</f>
        <v/>
      </c>
      <c r="G880" s="85" t="str">
        <f>IFERROR(VLOOKUP(CONCATENATE($B880,"_",G$3),materiali!$C:$K,6,0),"")</f>
        <v/>
      </c>
      <c r="H880" s="86"/>
      <c r="I880" s="84" t="str">
        <f>IFERROR(VLOOKUP(CONCATENATE($B880,"_",I$3),materiali!$C:$K,5,0),"")</f>
        <v/>
      </c>
      <c r="J880" s="85" t="str">
        <f>IFERROR(VLOOKUP(CONCATENATE($B880,"_",J$3),materiali!$C:$K,6,0),"")</f>
        <v/>
      </c>
      <c r="K880" s="86"/>
      <c r="L880" s="84" t="str">
        <f>IFERROR(VLOOKUP(CONCATENATE($B880,"_",L$3),materiali!$C:$K,5,0),"")</f>
        <v/>
      </c>
      <c r="M880" s="85" t="str">
        <f>IFERROR(VLOOKUP(CONCATENATE($B880,"_",M$3),materiali!$C:$K,6,0),"")</f>
        <v/>
      </c>
      <c r="N880" s="86"/>
      <c r="O880" s="84" t="str">
        <f>IFERROR(VLOOKUP(CONCATENATE($B880,"_",O$3),materiali!$C:$K,5,0),"")</f>
        <v/>
      </c>
      <c r="P880" s="85" t="str">
        <f>IFERROR(VLOOKUP(CONCATENATE($B880,"_",P$3),materiali!$C:$K,6,0),"")</f>
        <v/>
      </c>
      <c r="Q880" s="86"/>
      <c r="R880" s="84" t="str">
        <f>IFERROR(VLOOKUP(CONCATENATE($B880,"_",R$3),materiali!$C:$K,5,0),"")</f>
        <v/>
      </c>
      <c r="S880" s="85" t="str">
        <f>IFERROR(VLOOKUP(CONCATENATE($B880,"_",S$3),materiali!$C:$K,6,0),"")</f>
        <v/>
      </c>
      <c r="T880" s="86"/>
      <c r="U880" s="31"/>
      <c r="AD880" s="97"/>
    </row>
    <row r="881" spans="1:30" ht="35.1" hidden="1" customHeight="1" x14ac:dyDescent="0.25">
      <c r="A881" s="83"/>
      <c r="B881" s="7"/>
      <c r="C881" s="8"/>
      <c r="D881" s="8"/>
      <c r="E881" s="60"/>
      <c r="F881" s="84" t="str">
        <f>IFERROR(VLOOKUP(CONCATENATE($B881,"_",F$3),materiali!$C:$K,5,0),"")</f>
        <v/>
      </c>
      <c r="G881" s="85" t="str">
        <f>IFERROR(VLOOKUP(CONCATENATE($B881,"_",G$3),materiali!$C:$K,6,0),"")</f>
        <v/>
      </c>
      <c r="H881" s="86"/>
      <c r="I881" s="84" t="str">
        <f>IFERROR(VLOOKUP(CONCATENATE($B881,"_",I$3),materiali!$C:$K,5,0),"")</f>
        <v/>
      </c>
      <c r="J881" s="85" t="str">
        <f>IFERROR(VLOOKUP(CONCATENATE($B881,"_",J$3),materiali!$C:$K,6,0),"")</f>
        <v/>
      </c>
      <c r="K881" s="86"/>
      <c r="L881" s="84" t="str">
        <f>IFERROR(VLOOKUP(CONCATENATE($B881,"_",L$3),materiali!$C:$K,5,0),"")</f>
        <v/>
      </c>
      <c r="M881" s="85" t="str">
        <f>IFERROR(VLOOKUP(CONCATENATE($B881,"_",M$3),materiali!$C:$K,6,0),"")</f>
        <v/>
      </c>
      <c r="N881" s="86"/>
      <c r="O881" s="84" t="str">
        <f>IFERROR(VLOOKUP(CONCATENATE($B881,"_",O$3),materiali!$C:$K,5,0),"")</f>
        <v/>
      </c>
      <c r="P881" s="85" t="str">
        <f>IFERROR(VLOOKUP(CONCATENATE($B881,"_",P$3),materiali!$C:$K,6,0),"")</f>
        <v/>
      </c>
      <c r="Q881" s="86"/>
      <c r="R881" s="84" t="str">
        <f>IFERROR(VLOOKUP(CONCATENATE($B881,"_",R$3),materiali!$C:$K,5,0),"")</f>
        <v/>
      </c>
      <c r="S881" s="85" t="str">
        <f>IFERROR(VLOOKUP(CONCATENATE($B881,"_",S$3),materiali!$C:$K,6,0),"")</f>
        <v/>
      </c>
      <c r="T881" s="86"/>
      <c r="U881" s="31"/>
      <c r="AD881" s="97"/>
    </row>
    <row r="882" spans="1:30" ht="35.1" hidden="1" customHeight="1" x14ac:dyDescent="0.25">
      <c r="A882" s="83"/>
      <c r="B882" s="7"/>
      <c r="C882" s="8"/>
      <c r="D882" s="8"/>
      <c r="E882" s="60"/>
      <c r="F882" s="84" t="str">
        <f>IFERROR(VLOOKUP(CONCATENATE($B882,"_",F$3),materiali!$C:$K,5,0),"")</f>
        <v/>
      </c>
      <c r="G882" s="85" t="str">
        <f>IFERROR(VLOOKUP(CONCATENATE($B882,"_",G$3),materiali!$C:$K,6,0),"")</f>
        <v/>
      </c>
      <c r="H882" s="86"/>
      <c r="I882" s="84" t="str">
        <f>IFERROR(VLOOKUP(CONCATENATE($B882,"_",I$3),materiali!$C:$K,5,0),"")</f>
        <v/>
      </c>
      <c r="J882" s="85" t="str">
        <f>IFERROR(VLOOKUP(CONCATENATE($B882,"_",J$3),materiali!$C:$K,6,0),"")</f>
        <v/>
      </c>
      <c r="K882" s="86"/>
      <c r="L882" s="84" t="str">
        <f>IFERROR(VLOOKUP(CONCATENATE($B882,"_",L$3),materiali!$C:$K,5,0),"")</f>
        <v/>
      </c>
      <c r="M882" s="85" t="str">
        <f>IFERROR(VLOOKUP(CONCATENATE($B882,"_",M$3),materiali!$C:$K,6,0),"")</f>
        <v/>
      </c>
      <c r="N882" s="86"/>
      <c r="O882" s="84" t="str">
        <f>IFERROR(VLOOKUP(CONCATENATE($B882,"_",O$3),materiali!$C:$K,5,0),"")</f>
        <v/>
      </c>
      <c r="P882" s="85" t="str">
        <f>IFERROR(VLOOKUP(CONCATENATE($B882,"_",P$3),materiali!$C:$K,6,0),"")</f>
        <v/>
      </c>
      <c r="Q882" s="86"/>
      <c r="R882" s="84" t="str">
        <f>IFERROR(VLOOKUP(CONCATENATE($B882,"_",R$3),materiali!$C:$K,5,0),"")</f>
        <v/>
      </c>
      <c r="S882" s="85" t="str">
        <f>IFERROR(VLOOKUP(CONCATENATE($B882,"_",S$3),materiali!$C:$K,6,0),"")</f>
        <v/>
      </c>
      <c r="T882" s="86"/>
      <c r="U882" s="31"/>
      <c r="AD882" s="97"/>
    </row>
    <row r="883" spans="1:30" ht="35.1" hidden="1" customHeight="1" x14ac:dyDescent="0.25">
      <c r="A883" s="83"/>
      <c r="B883" s="7"/>
      <c r="C883" s="8"/>
      <c r="D883" s="8"/>
      <c r="E883" s="60"/>
      <c r="F883" s="84" t="str">
        <f>IFERROR(VLOOKUP(CONCATENATE($B883,"_",F$3),materiali!$C:$K,5,0),"")</f>
        <v/>
      </c>
      <c r="G883" s="85" t="str">
        <f>IFERROR(VLOOKUP(CONCATENATE($B883,"_",G$3),materiali!$C:$K,6,0),"")</f>
        <v/>
      </c>
      <c r="H883" s="86"/>
      <c r="I883" s="84" t="str">
        <f>IFERROR(VLOOKUP(CONCATENATE($B883,"_",I$3),materiali!$C:$K,5,0),"")</f>
        <v/>
      </c>
      <c r="J883" s="85" t="str">
        <f>IFERROR(VLOOKUP(CONCATENATE($B883,"_",J$3),materiali!$C:$K,6,0),"")</f>
        <v/>
      </c>
      <c r="K883" s="86"/>
      <c r="L883" s="84" t="str">
        <f>IFERROR(VLOOKUP(CONCATENATE($B883,"_",L$3),materiali!$C:$K,5,0),"")</f>
        <v/>
      </c>
      <c r="M883" s="85" t="str">
        <f>IFERROR(VLOOKUP(CONCATENATE($B883,"_",M$3),materiali!$C:$K,6,0),"")</f>
        <v/>
      </c>
      <c r="N883" s="86"/>
      <c r="O883" s="84" t="str">
        <f>IFERROR(VLOOKUP(CONCATENATE($B883,"_",O$3),materiali!$C:$K,5,0),"")</f>
        <v/>
      </c>
      <c r="P883" s="85" t="str">
        <f>IFERROR(VLOOKUP(CONCATENATE($B883,"_",P$3),materiali!$C:$K,6,0),"")</f>
        <v/>
      </c>
      <c r="Q883" s="86"/>
      <c r="R883" s="84" t="str">
        <f>IFERROR(VLOOKUP(CONCATENATE($B883,"_",R$3),materiali!$C:$K,5,0),"")</f>
        <v/>
      </c>
      <c r="S883" s="85" t="str">
        <f>IFERROR(VLOOKUP(CONCATENATE($B883,"_",S$3),materiali!$C:$K,6,0),"")</f>
        <v/>
      </c>
      <c r="T883" s="86"/>
      <c r="U883" s="31"/>
      <c r="AD883" s="97"/>
    </row>
    <row r="884" spans="1:30" ht="35.1" hidden="1" customHeight="1" x14ac:dyDescent="0.25">
      <c r="A884" s="83"/>
      <c r="B884" s="7"/>
      <c r="C884" s="8"/>
      <c r="D884" s="8"/>
      <c r="E884" s="60"/>
      <c r="F884" s="84" t="str">
        <f>IFERROR(VLOOKUP(CONCATENATE($B884,"_",F$3),materiali!$C:$K,5,0),"")</f>
        <v/>
      </c>
      <c r="G884" s="85" t="str">
        <f>IFERROR(VLOOKUP(CONCATENATE($B884,"_",G$3),materiali!$C:$K,6,0),"")</f>
        <v/>
      </c>
      <c r="H884" s="86"/>
      <c r="I884" s="84" t="str">
        <f>IFERROR(VLOOKUP(CONCATENATE($B884,"_",I$3),materiali!$C:$K,5,0),"")</f>
        <v/>
      </c>
      <c r="J884" s="85" t="str">
        <f>IFERROR(VLOOKUP(CONCATENATE($B884,"_",J$3),materiali!$C:$K,6,0),"")</f>
        <v/>
      </c>
      <c r="K884" s="86"/>
      <c r="L884" s="84" t="str">
        <f>IFERROR(VLOOKUP(CONCATENATE($B884,"_",L$3),materiali!$C:$K,5,0),"")</f>
        <v/>
      </c>
      <c r="M884" s="85" t="str">
        <f>IFERROR(VLOOKUP(CONCATENATE($B884,"_",M$3),materiali!$C:$K,6,0),"")</f>
        <v/>
      </c>
      <c r="N884" s="86"/>
      <c r="O884" s="84" t="str">
        <f>IFERROR(VLOOKUP(CONCATENATE($B884,"_",O$3),materiali!$C:$K,5,0),"")</f>
        <v/>
      </c>
      <c r="P884" s="85" t="str">
        <f>IFERROR(VLOOKUP(CONCATENATE($B884,"_",P$3),materiali!$C:$K,6,0),"")</f>
        <v/>
      </c>
      <c r="Q884" s="86"/>
      <c r="R884" s="84" t="str">
        <f>IFERROR(VLOOKUP(CONCATENATE($B884,"_",R$3),materiali!$C:$K,5,0),"")</f>
        <v/>
      </c>
      <c r="S884" s="85" t="str">
        <f>IFERROR(VLOOKUP(CONCATENATE($B884,"_",S$3),materiali!$C:$K,6,0),"")</f>
        <v/>
      </c>
      <c r="T884" s="86"/>
      <c r="U884" s="31"/>
      <c r="AD884" s="97"/>
    </row>
    <row r="885" spans="1:30" ht="35.1" hidden="1" customHeight="1" x14ac:dyDescent="0.25">
      <c r="A885" s="83"/>
      <c r="B885" s="7"/>
      <c r="C885" s="8"/>
      <c r="D885" s="8"/>
      <c r="E885" s="60"/>
      <c r="F885" s="84" t="str">
        <f>IFERROR(VLOOKUP(CONCATENATE($B885,"_",F$3),materiali!$C:$K,5,0),"")</f>
        <v/>
      </c>
      <c r="G885" s="85" t="str">
        <f>IFERROR(VLOOKUP(CONCATENATE($B885,"_",G$3),materiali!$C:$K,6,0),"")</f>
        <v/>
      </c>
      <c r="H885" s="86"/>
      <c r="I885" s="84" t="str">
        <f>IFERROR(VLOOKUP(CONCATENATE($B885,"_",I$3),materiali!$C:$K,5,0),"")</f>
        <v/>
      </c>
      <c r="J885" s="85" t="str">
        <f>IFERROR(VLOOKUP(CONCATENATE($B885,"_",J$3),materiali!$C:$K,6,0),"")</f>
        <v/>
      </c>
      <c r="K885" s="86"/>
      <c r="L885" s="84" t="str">
        <f>IFERROR(VLOOKUP(CONCATENATE($B885,"_",L$3),materiali!$C:$K,5,0),"")</f>
        <v/>
      </c>
      <c r="M885" s="85" t="str">
        <f>IFERROR(VLOOKUP(CONCATENATE($B885,"_",M$3),materiali!$C:$K,6,0),"")</f>
        <v/>
      </c>
      <c r="N885" s="86"/>
      <c r="O885" s="84" t="str">
        <f>IFERROR(VLOOKUP(CONCATENATE($B885,"_",O$3),materiali!$C:$K,5,0),"")</f>
        <v/>
      </c>
      <c r="P885" s="85" t="str">
        <f>IFERROR(VLOOKUP(CONCATENATE($B885,"_",P$3),materiali!$C:$K,6,0),"")</f>
        <v/>
      </c>
      <c r="Q885" s="86"/>
      <c r="R885" s="84" t="str">
        <f>IFERROR(VLOOKUP(CONCATENATE($B885,"_",R$3),materiali!$C:$K,5,0),"")</f>
        <v/>
      </c>
      <c r="S885" s="85" t="str">
        <f>IFERROR(VLOOKUP(CONCATENATE($B885,"_",S$3),materiali!$C:$K,6,0),"")</f>
        <v/>
      </c>
      <c r="T885" s="86"/>
      <c r="U885" s="31"/>
      <c r="AD885" s="97"/>
    </row>
    <row r="886" spans="1:30" ht="35.1" hidden="1" customHeight="1" x14ac:dyDescent="0.25">
      <c r="A886" s="83"/>
      <c r="B886" s="7"/>
      <c r="C886" s="8"/>
      <c r="D886" s="8"/>
      <c r="E886" s="60"/>
      <c r="F886" s="84" t="str">
        <f>IFERROR(VLOOKUP(CONCATENATE($B886,"_",F$3),materiali!$C:$K,5,0),"")</f>
        <v/>
      </c>
      <c r="G886" s="85" t="str">
        <f>IFERROR(VLOOKUP(CONCATENATE($B886,"_",G$3),materiali!$C:$K,6,0),"")</f>
        <v/>
      </c>
      <c r="H886" s="86"/>
      <c r="I886" s="84" t="str">
        <f>IFERROR(VLOOKUP(CONCATENATE($B886,"_",I$3),materiali!$C:$K,5,0),"")</f>
        <v/>
      </c>
      <c r="J886" s="85" t="str">
        <f>IFERROR(VLOOKUP(CONCATENATE($B886,"_",J$3),materiali!$C:$K,6,0),"")</f>
        <v/>
      </c>
      <c r="K886" s="86"/>
      <c r="L886" s="84" t="str">
        <f>IFERROR(VLOOKUP(CONCATENATE($B886,"_",L$3),materiali!$C:$K,5,0),"")</f>
        <v/>
      </c>
      <c r="M886" s="85" t="str">
        <f>IFERROR(VLOOKUP(CONCATENATE($B886,"_",M$3),materiali!$C:$K,6,0),"")</f>
        <v/>
      </c>
      <c r="N886" s="86"/>
      <c r="O886" s="84" t="str">
        <f>IFERROR(VLOOKUP(CONCATENATE($B886,"_",O$3),materiali!$C:$K,5,0),"")</f>
        <v/>
      </c>
      <c r="P886" s="85" t="str">
        <f>IFERROR(VLOOKUP(CONCATENATE($B886,"_",P$3),materiali!$C:$K,6,0),"")</f>
        <v/>
      </c>
      <c r="Q886" s="86"/>
      <c r="R886" s="84" t="str">
        <f>IFERROR(VLOOKUP(CONCATENATE($B886,"_",R$3),materiali!$C:$K,5,0),"")</f>
        <v/>
      </c>
      <c r="S886" s="85" t="str">
        <f>IFERROR(VLOOKUP(CONCATENATE($B886,"_",S$3),materiali!$C:$K,6,0),"")</f>
        <v/>
      </c>
      <c r="T886" s="86"/>
      <c r="U886" s="31"/>
      <c r="AD886" s="97"/>
    </row>
    <row r="887" spans="1:30" ht="35.1" hidden="1" customHeight="1" x14ac:dyDescent="0.25">
      <c r="A887" s="83"/>
      <c r="B887" s="7"/>
      <c r="C887" s="8"/>
      <c r="D887" s="8"/>
      <c r="E887" s="60"/>
      <c r="F887" s="84" t="str">
        <f>IFERROR(VLOOKUP(CONCATENATE($B887,"_",F$3),materiali!$C:$K,5,0),"")</f>
        <v/>
      </c>
      <c r="G887" s="85" t="str">
        <f>IFERROR(VLOOKUP(CONCATENATE($B887,"_",G$3),materiali!$C:$K,6,0),"")</f>
        <v/>
      </c>
      <c r="H887" s="86"/>
      <c r="I887" s="84" t="str">
        <f>IFERROR(VLOOKUP(CONCATENATE($B887,"_",I$3),materiali!$C:$K,5,0),"")</f>
        <v/>
      </c>
      <c r="J887" s="85" t="str">
        <f>IFERROR(VLOOKUP(CONCATENATE($B887,"_",J$3),materiali!$C:$K,6,0),"")</f>
        <v/>
      </c>
      <c r="K887" s="86"/>
      <c r="L887" s="84" t="str">
        <f>IFERROR(VLOOKUP(CONCATENATE($B887,"_",L$3),materiali!$C:$K,5,0),"")</f>
        <v/>
      </c>
      <c r="M887" s="85" t="str">
        <f>IFERROR(VLOOKUP(CONCATENATE($B887,"_",M$3),materiali!$C:$K,6,0),"")</f>
        <v/>
      </c>
      <c r="N887" s="86"/>
      <c r="O887" s="84" t="str">
        <f>IFERROR(VLOOKUP(CONCATENATE($B887,"_",O$3),materiali!$C:$K,5,0),"")</f>
        <v/>
      </c>
      <c r="P887" s="85" t="str">
        <f>IFERROR(VLOOKUP(CONCATENATE($B887,"_",P$3),materiali!$C:$K,6,0),"")</f>
        <v/>
      </c>
      <c r="Q887" s="86"/>
      <c r="R887" s="84" t="str">
        <f>IFERROR(VLOOKUP(CONCATENATE($B887,"_",R$3),materiali!$C:$K,5,0),"")</f>
        <v/>
      </c>
      <c r="S887" s="85" t="str">
        <f>IFERROR(VLOOKUP(CONCATENATE($B887,"_",S$3),materiali!$C:$K,6,0),"")</f>
        <v/>
      </c>
      <c r="T887" s="86"/>
      <c r="U887" s="31"/>
      <c r="AD887" s="97"/>
    </row>
    <row r="888" spans="1:30" ht="35.1" hidden="1" customHeight="1" x14ac:dyDescent="0.25">
      <c r="A888" s="83"/>
      <c r="B888" s="7"/>
      <c r="C888" s="8"/>
      <c r="D888" s="8"/>
      <c r="E888" s="60"/>
      <c r="F888" s="84" t="str">
        <f>IFERROR(VLOOKUP(CONCATENATE($B888,"_",F$3),materiali!$C:$K,5,0),"")</f>
        <v/>
      </c>
      <c r="G888" s="85" t="str">
        <f>IFERROR(VLOOKUP(CONCATENATE($B888,"_",G$3),materiali!$C:$K,6,0),"")</f>
        <v/>
      </c>
      <c r="H888" s="86"/>
      <c r="I888" s="84" t="str">
        <f>IFERROR(VLOOKUP(CONCATENATE($B888,"_",I$3),materiali!$C:$K,5,0),"")</f>
        <v/>
      </c>
      <c r="J888" s="85" t="str">
        <f>IFERROR(VLOOKUP(CONCATENATE($B888,"_",J$3),materiali!$C:$K,6,0),"")</f>
        <v/>
      </c>
      <c r="K888" s="86"/>
      <c r="L888" s="84" t="str">
        <f>IFERROR(VLOOKUP(CONCATENATE($B888,"_",L$3),materiali!$C:$K,5,0),"")</f>
        <v/>
      </c>
      <c r="M888" s="85" t="str">
        <f>IFERROR(VLOOKUP(CONCATENATE($B888,"_",M$3),materiali!$C:$K,6,0),"")</f>
        <v/>
      </c>
      <c r="N888" s="86"/>
      <c r="O888" s="84" t="str">
        <f>IFERROR(VLOOKUP(CONCATENATE($B888,"_",O$3),materiali!$C:$K,5,0),"")</f>
        <v/>
      </c>
      <c r="P888" s="85" t="str">
        <f>IFERROR(VLOOKUP(CONCATENATE($B888,"_",P$3),materiali!$C:$K,6,0),"")</f>
        <v/>
      </c>
      <c r="Q888" s="86"/>
      <c r="R888" s="84" t="str">
        <f>IFERROR(VLOOKUP(CONCATENATE($B888,"_",R$3),materiali!$C:$K,5,0),"")</f>
        <v/>
      </c>
      <c r="S888" s="85" t="str">
        <f>IFERROR(VLOOKUP(CONCATENATE($B888,"_",S$3),materiali!$C:$K,6,0),"")</f>
        <v/>
      </c>
      <c r="T888" s="86"/>
      <c r="U888" s="31"/>
      <c r="AD888" s="97"/>
    </row>
    <row r="889" spans="1:30" ht="35.1" hidden="1" customHeight="1" x14ac:dyDescent="0.25">
      <c r="A889" s="83"/>
      <c r="B889" s="7"/>
      <c r="C889" s="8"/>
      <c r="D889" s="8"/>
      <c r="E889" s="60"/>
      <c r="F889" s="84" t="str">
        <f>IFERROR(VLOOKUP(CONCATENATE($B889,"_",F$3),materiali!$C:$K,5,0),"")</f>
        <v/>
      </c>
      <c r="G889" s="85" t="str">
        <f>IFERROR(VLOOKUP(CONCATENATE($B889,"_",G$3),materiali!$C:$K,6,0),"")</f>
        <v/>
      </c>
      <c r="H889" s="86"/>
      <c r="I889" s="84" t="str">
        <f>IFERROR(VLOOKUP(CONCATENATE($B889,"_",I$3),materiali!$C:$K,5,0),"")</f>
        <v/>
      </c>
      <c r="J889" s="85" t="str">
        <f>IFERROR(VLOOKUP(CONCATENATE($B889,"_",J$3),materiali!$C:$K,6,0),"")</f>
        <v/>
      </c>
      <c r="K889" s="86"/>
      <c r="L889" s="84" t="str">
        <f>IFERROR(VLOOKUP(CONCATENATE($B889,"_",L$3),materiali!$C:$K,5,0),"")</f>
        <v/>
      </c>
      <c r="M889" s="85" t="str">
        <f>IFERROR(VLOOKUP(CONCATENATE($B889,"_",M$3),materiali!$C:$K,6,0),"")</f>
        <v/>
      </c>
      <c r="N889" s="86"/>
      <c r="O889" s="84" t="str">
        <f>IFERROR(VLOOKUP(CONCATENATE($B889,"_",O$3),materiali!$C:$K,5,0),"")</f>
        <v/>
      </c>
      <c r="P889" s="85" t="str">
        <f>IFERROR(VLOOKUP(CONCATENATE($B889,"_",P$3),materiali!$C:$K,6,0),"")</f>
        <v/>
      </c>
      <c r="Q889" s="86"/>
      <c r="R889" s="84" t="str">
        <f>IFERROR(VLOOKUP(CONCATENATE($B889,"_",R$3),materiali!$C:$K,5,0),"")</f>
        <v/>
      </c>
      <c r="S889" s="85" t="str">
        <f>IFERROR(VLOOKUP(CONCATENATE($B889,"_",S$3),materiali!$C:$K,6,0),"")</f>
        <v/>
      </c>
      <c r="T889" s="86"/>
      <c r="U889" s="31"/>
      <c r="AD889" s="97"/>
    </row>
    <row r="890" spans="1:30" ht="35.1" hidden="1" customHeight="1" x14ac:dyDescent="0.25">
      <c r="A890" s="83"/>
      <c r="B890" s="7"/>
      <c r="C890" s="8"/>
      <c r="D890" s="8"/>
      <c r="E890" s="60"/>
      <c r="F890" s="84" t="str">
        <f>IFERROR(VLOOKUP(CONCATENATE($B890,"_",F$3),materiali!$C:$K,5,0),"")</f>
        <v/>
      </c>
      <c r="G890" s="85" t="str">
        <f>IFERROR(VLOOKUP(CONCATENATE($B890,"_",G$3),materiali!$C:$K,6,0),"")</f>
        <v/>
      </c>
      <c r="H890" s="86"/>
      <c r="I890" s="84" t="str">
        <f>IFERROR(VLOOKUP(CONCATENATE($B890,"_",I$3),materiali!$C:$K,5,0),"")</f>
        <v/>
      </c>
      <c r="J890" s="85" t="str">
        <f>IFERROR(VLOOKUP(CONCATENATE($B890,"_",J$3),materiali!$C:$K,6,0),"")</f>
        <v/>
      </c>
      <c r="K890" s="86"/>
      <c r="L890" s="84" t="str">
        <f>IFERROR(VLOOKUP(CONCATENATE($B890,"_",L$3),materiali!$C:$K,5,0),"")</f>
        <v/>
      </c>
      <c r="M890" s="85" t="str">
        <f>IFERROR(VLOOKUP(CONCATENATE($B890,"_",M$3),materiali!$C:$K,6,0),"")</f>
        <v/>
      </c>
      <c r="N890" s="86"/>
      <c r="O890" s="84" t="str">
        <f>IFERROR(VLOOKUP(CONCATENATE($B890,"_",O$3),materiali!$C:$K,5,0),"")</f>
        <v/>
      </c>
      <c r="P890" s="85" t="str">
        <f>IFERROR(VLOOKUP(CONCATENATE($B890,"_",P$3),materiali!$C:$K,6,0),"")</f>
        <v/>
      </c>
      <c r="Q890" s="86"/>
      <c r="R890" s="84" t="str">
        <f>IFERROR(VLOOKUP(CONCATENATE($B890,"_",R$3),materiali!$C:$K,5,0),"")</f>
        <v/>
      </c>
      <c r="S890" s="85" t="str">
        <f>IFERROR(VLOOKUP(CONCATENATE($B890,"_",S$3),materiali!$C:$K,6,0),"")</f>
        <v/>
      </c>
      <c r="T890" s="86"/>
      <c r="U890" s="31"/>
      <c r="AD890" s="97"/>
    </row>
    <row r="891" spans="1:30" ht="35.1" hidden="1" customHeight="1" x14ac:dyDescent="0.25">
      <c r="A891" s="83"/>
      <c r="B891" s="7"/>
      <c r="C891" s="8"/>
      <c r="D891" s="8"/>
      <c r="E891" s="60"/>
      <c r="F891" s="84" t="str">
        <f>IFERROR(VLOOKUP(CONCATENATE($B891,"_",F$3),materiali!$C:$K,5,0),"")</f>
        <v/>
      </c>
      <c r="G891" s="85" t="str">
        <f>IFERROR(VLOOKUP(CONCATENATE($B891,"_",G$3),materiali!$C:$K,6,0),"")</f>
        <v/>
      </c>
      <c r="H891" s="86"/>
      <c r="I891" s="84" t="str">
        <f>IFERROR(VLOOKUP(CONCATENATE($B891,"_",I$3),materiali!$C:$K,5,0),"")</f>
        <v/>
      </c>
      <c r="J891" s="85" t="str">
        <f>IFERROR(VLOOKUP(CONCATENATE($B891,"_",J$3),materiali!$C:$K,6,0),"")</f>
        <v/>
      </c>
      <c r="K891" s="86"/>
      <c r="L891" s="84" t="str">
        <f>IFERROR(VLOOKUP(CONCATENATE($B891,"_",L$3),materiali!$C:$K,5,0),"")</f>
        <v/>
      </c>
      <c r="M891" s="85" t="str">
        <f>IFERROR(VLOOKUP(CONCATENATE($B891,"_",M$3),materiali!$C:$K,6,0),"")</f>
        <v/>
      </c>
      <c r="N891" s="86"/>
      <c r="O891" s="84" t="str">
        <f>IFERROR(VLOOKUP(CONCATENATE($B891,"_",O$3),materiali!$C:$K,5,0),"")</f>
        <v/>
      </c>
      <c r="P891" s="85" t="str">
        <f>IFERROR(VLOOKUP(CONCATENATE($B891,"_",P$3),materiali!$C:$K,6,0),"")</f>
        <v/>
      </c>
      <c r="Q891" s="86"/>
      <c r="R891" s="84" t="str">
        <f>IFERROR(VLOOKUP(CONCATENATE($B891,"_",R$3),materiali!$C:$K,5,0),"")</f>
        <v/>
      </c>
      <c r="S891" s="85" t="str">
        <f>IFERROR(VLOOKUP(CONCATENATE($B891,"_",S$3),materiali!$C:$K,6,0),"")</f>
        <v/>
      </c>
      <c r="T891" s="86"/>
      <c r="U891" s="31"/>
      <c r="AD891" s="97"/>
    </row>
    <row r="892" spans="1:30" ht="35.1" hidden="1" customHeight="1" x14ac:dyDescent="0.25">
      <c r="A892" s="83"/>
      <c r="B892" s="7"/>
      <c r="C892" s="8"/>
      <c r="D892" s="8"/>
      <c r="E892" s="60"/>
      <c r="F892" s="84" t="str">
        <f>IFERROR(VLOOKUP(CONCATENATE($B892,"_",F$3),materiali!$C:$K,5,0),"")</f>
        <v/>
      </c>
      <c r="G892" s="85" t="str">
        <f>IFERROR(VLOOKUP(CONCATENATE($B892,"_",G$3),materiali!$C:$K,6,0),"")</f>
        <v/>
      </c>
      <c r="H892" s="86"/>
      <c r="I892" s="84" t="str">
        <f>IFERROR(VLOOKUP(CONCATENATE($B892,"_",I$3),materiali!$C:$K,5,0),"")</f>
        <v/>
      </c>
      <c r="J892" s="85" t="str">
        <f>IFERROR(VLOOKUP(CONCATENATE($B892,"_",J$3),materiali!$C:$K,6,0),"")</f>
        <v/>
      </c>
      <c r="K892" s="86"/>
      <c r="L892" s="84" t="str">
        <f>IFERROR(VLOOKUP(CONCATENATE($B892,"_",L$3),materiali!$C:$K,5,0),"")</f>
        <v/>
      </c>
      <c r="M892" s="85" t="str">
        <f>IFERROR(VLOOKUP(CONCATENATE($B892,"_",M$3),materiali!$C:$K,6,0),"")</f>
        <v/>
      </c>
      <c r="N892" s="86"/>
      <c r="O892" s="84" t="str">
        <f>IFERROR(VLOOKUP(CONCATENATE($B892,"_",O$3),materiali!$C:$K,5,0),"")</f>
        <v/>
      </c>
      <c r="P892" s="85" t="str">
        <f>IFERROR(VLOOKUP(CONCATENATE($B892,"_",P$3),materiali!$C:$K,6,0),"")</f>
        <v/>
      </c>
      <c r="Q892" s="86"/>
      <c r="R892" s="84" t="str">
        <f>IFERROR(VLOOKUP(CONCATENATE($B892,"_",R$3),materiali!$C:$K,5,0),"")</f>
        <v/>
      </c>
      <c r="S892" s="85" t="str">
        <f>IFERROR(VLOOKUP(CONCATENATE($B892,"_",S$3),materiali!$C:$K,6,0),"")</f>
        <v/>
      </c>
      <c r="T892" s="86"/>
      <c r="U892" s="31"/>
      <c r="AD892" s="97"/>
    </row>
    <row r="893" spans="1:30" ht="35.1" hidden="1" customHeight="1" x14ac:dyDescent="0.25">
      <c r="A893" s="83"/>
      <c r="B893" s="7"/>
      <c r="C893" s="8"/>
      <c r="D893" s="8"/>
      <c r="E893" s="60"/>
      <c r="F893" s="84" t="str">
        <f>IFERROR(VLOOKUP(CONCATENATE($B893,"_",F$3),materiali!$C:$K,5,0),"")</f>
        <v/>
      </c>
      <c r="G893" s="85" t="str">
        <f>IFERROR(VLOOKUP(CONCATENATE($B893,"_",G$3),materiali!$C:$K,6,0),"")</f>
        <v/>
      </c>
      <c r="H893" s="86"/>
      <c r="I893" s="84" t="str">
        <f>IFERROR(VLOOKUP(CONCATENATE($B893,"_",I$3),materiali!$C:$K,5,0),"")</f>
        <v/>
      </c>
      <c r="J893" s="85" t="str">
        <f>IFERROR(VLOOKUP(CONCATENATE($B893,"_",J$3),materiali!$C:$K,6,0),"")</f>
        <v/>
      </c>
      <c r="K893" s="86"/>
      <c r="L893" s="84" t="str">
        <f>IFERROR(VLOOKUP(CONCATENATE($B893,"_",L$3),materiali!$C:$K,5,0),"")</f>
        <v/>
      </c>
      <c r="M893" s="85" t="str">
        <f>IFERROR(VLOOKUP(CONCATENATE($B893,"_",M$3),materiali!$C:$K,6,0),"")</f>
        <v/>
      </c>
      <c r="N893" s="86"/>
      <c r="O893" s="84" t="str">
        <f>IFERROR(VLOOKUP(CONCATENATE($B893,"_",O$3),materiali!$C:$K,5,0),"")</f>
        <v/>
      </c>
      <c r="P893" s="85" t="str">
        <f>IFERROR(VLOOKUP(CONCATENATE($B893,"_",P$3),materiali!$C:$K,6,0),"")</f>
        <v/>
      </c>
      <c r="Q893" s="86"/>
      <c r="R893" s="84" t="str">
        <f>IFERROR(VLOOKUP(CONCATENATE($B893,"_",R$3),materiali!$C:$K,5,0),"")</f>
        <v/>
      </c>
      <c r="S893" s="85" t="str">
        <f>IFERROR(VLOOKUP(CONCATENATE($B893,"_",S$3),materiali!$C:$K,6,0),"")</f>
        <v/>
      </c>
      <c r="T893" s="86"/>
      <c r="U893" s="31"/>
      <c r="AD893" s="97"/>
    </row>
    <row r="894" spans="1:30" ht="35.1" hidden="1" customHeight="1" x14ac:dyDescent="0.25">
      <c r="A894" s="83"/>
      <c r="B894" s="7"/>
      <c r="C894" s="8"/>
      <c r="D894" s="8"/>
      <c r="E894" s="60"/>
      <c r="F894" s="84" t="str">
        <f>IFERROR(VLOOKUP(CONCATENATE($B894,"_",F$3),materiali!$C:$K,5,0),"")</f>
        <v/>
      </c>
      <c r="G894" s="85" t="str">
        <f>IFERROR(VLOOKUP(CONCATENATE($B894,"_",G$3),materiali!$C:$K,6,0),"")</f>
        <v/>
      </c>
      <c r="H894" s="86"/>
      <c r="I894" s="84" t="str">
        <f>IFERROR(VLOOKUP(CONCATENATE($B894,"_",I$3),materiali!$C:$K,5,0),"")</f>
        <v/>
      </c>
      <c r="J894" s="85" t="str">
        <f>IFERROR(VLOOKUP(CONCATENATE($B894,"_",J$3),materiali!$C:$K,6,0),"")</f>
        <v/>
      </c>
      <c r="K894" s="86"/>
      <c r="L894" s="84" t="str">
        <f>IFERROR(VLOOKUP(CONCATENATE($B894,"_",L$3),materiali!$C:$K,5,0),"")</f>
        <v/>
      </c>
      <c r="M894" s="85" t="str">
        <f>IFERROR(VLOOKUP(CONCATENATE($B894,"_",M$3),materiali!$C:$K,6,0),"")</f>
        <v/>
      </c>
      <c r="N894" s="86"/>
      <c r="O894" s="84" t="str">
        <f>IFERROR(VLOOKUP(CONCATENATE($B894,"_",O$3),materiali!$C:$K,5,0),"")</f>
        <v/>
      </c>
      <c r="P894" s="85" t="str">
        <f>IFERROR(VLOOKUP(CONCATENATE($B894,"_",P$3),materiali!$C:$K,6,0),"")</f>
        <v/>
      </c>
      <c r="Q894" s="86"/>
      <c r="R894" s="84" t="str">
        <f>IFERROR(VLOOKUP(CONCATENATE($B894,"_",R$3),materiali!$C:$K,5,0),"")</f>
        <v/>
      </c>
      <c r="S894" s="85" t="str">
        <f>IFERROR(VLOOKUP(CONCATENATE($B894,"_",S$3),materiali!$C:$K,6,0),"")</f>
        <v/>
      </c>
      <c r="T894" s="86"/>
      <c r="U894" s="31"/>
      <c r="AD894" s="97"/>
    </row>
    <row r="895" spans="1:30" ht="35.1" hidden="1" customHeight="1" x14ac:dyDescent="0.25">
      <c r="A895" s="83"/>
      <c r="B895" s="7"/>
      <c r="C895" s="8"/>
      <c r="D895" s="8"/>
      <c r="E895" s="60"/>
      <c r="F895" s="84" t="str">
        <f>IFERROR(VLOOKUP(CONCATENATE($B895,"_",F$3),materiali!$C:$K,5,0),"")</f>
        <v/>
      </c>
      <c r="G895" s="85" t="str">
        <f>IFERROR(VLOOKUP(CONCATENATE($B895,"_",G$3),materiali!$C:$K,6,0),"")</f>
        <v/>
      </c>
      <c r="H895" s="86"/>
      <c r="I895" s="84" t="str">
        <f>IFERROR(VLOOKUP(CONCATENATE($B895,"_",I$3),materiali!$C:$K,5,0),"")</f>
        <v/>
      </c>
      <c r="J895" s="85" t="str">
        <f>IFERROR(VLOOKUP(CONCATENATE($B895,"_",J$3),materiali!$C:$K,6,0),"")</f>
        <v/>
      </c>
      <c r="K895" s="86"/>
      <c r="L895" s="84" t="str">
        <f>IFERROR(VLOOKUP(CONCATENATE($B895,"_",L$3),materiali!$C:$K,5,0),"")</f>
        <v/>
      </c>
      <c r="M895" s="85" t="str">
        <f>IFERROR(VLOOKUP(CONCATENATE($B895,"_",M$3),materiali!$C:$K,6,0),"")</f>
        <v/>
      </c>
      <c r="N895" s="86"/>
      <c r="O895" s="84" t="str">
        <f>IFERROR(VLOOKUP(CONCATENATE($B895,"_",O$3),materiali!$C:$K,5,0),"")</f>
        <v/>
      </c>
      <c r="P895" s="85" t="str">
        <f>IFERROR(VLOOKUP(CONCATENATE($B895,"_",P$3),materiali!$C:$K,6,0),"")</f>
        <v/>
      </c>
      <c r="Q895" s="86"/>
      <c r="R895" s="84" t="str">
        <f>IFERROR(VLOOKUP(CONCATENATE($B895,"_",R$3),materiali!$C:$K,5,0),"")</f>
        <v/>
      </c>
      <c r="S895" s="85" t="str">
        <f>IFERROR(VLOOKUP(CONCATENATE($B895,"_",S$3),materiali!$C:$K,6,0),"")</f>
        <v/>
      </c>
      <c r="T895" s="86"/>
      <c r="U895" s="31"/>
      <c r="AD895" s="97"/>
    </row>
    <row r="896" spans="1:30" ht="35.1" hidden="1" customHeight="1" x14ac:dyDescent="0.25">
      <c r="A896" s="83"/>
      <c r="B896" s="7"/>
      <c r="C896" s="8"/>
      <c r="D896" s="8"/>
      <c r="E896" s="60"/>
      <c r="F896" s="84" t="str">
        <f>IFERROR(VLOOKUP(CONCATENATE($B896,"_",F$3),materiali!$C:$K,5,0),"")</f>
        <v/>
      </c>
      <c r="G896" s="85" t="str">
        <f>IFERROR(VLOOKUP(CONCATENATE($B896,"_",G$3),materiali!$C:$K,6,0),"")</f>
        <v/>
      </c>
      <c r="H896" s="86"/>
      <c r="I896" s="84" t="str">
        <f>IFERROR(VLOOKUP(CONCATENATE($B896,"_",I$3),materiali!$C:$K,5,0),"")</f>
        <v/>
      </c>
      <c r="J896" s="85" t="str">
        <f>IFERROR(VLOOKUP(CONCATENATE($B896,"_",J$3),materiali!$C:$K,6,0),"")</f>
        <v/>
      </c>
      <c r="K896" s="86"/>
      <c r="L896" s="84" t="str">
        <f>IFERROR(VLOOKUP(CONCATENATE($B896,"_",L$3),materiali!$C:$K,5,0),"")</f>
        <v/>
      </c>
      <c r="M896" s="85" t="str">
        <f>IFERROR(VLOOKUP(CONCATENATE($B896,"_",M$3),materiali!$C:$K,6,0),"")</f>
        <v/>
      </c>
      <c r="N896" s="86"/>
      <c r="O896" s="84" t="str">
        <f>IFERROR(VLOOKUP(CONCATENATE($B896,"_",O$3),materiali!$C:$K,5,0),"")</f>
        <v/>
      </c>
      <c r="P896" s="85" t="str">
        <f>IFERROR(VLOOKUP(CONCATENATE($B896,"_",P$3),materiali!$C:$K,6,0),"")</f>
        <v/>
      </c>
      <c r="Q896" s="86"/>
      <c r="R896" s="84" t="str">
        <f>IFERROR(VLOOKUP(CONCATENATE($B896,"_",R$3),materiali!$C:$K,5,0),"")</f>
        <v/>
      </c>
      <c r="S896" s="85" t="str">
        <f>IFERROR(VLOOKUP(CONCATENATE($B896,"_",S$3),materiali!$C:$K,6,0),"")</f>
        <v/>
      </c>
      <c r="T896" s="86"/>
      <c r="U896" s="31"/>
      <c r="AD896" s="97"/>
    </row>
    <row r="897" spans="1:30" ht="35.1" hidden="1" customHeight="1" x14ac:dyDescent="0.25">
      <c r="A897" s="83"/>
      <c r="B897" s="7"/>
      <c r="C897" s="8"/>
      <c r="D897" s="8"/>
      <c r="E897" s="60"/>
      <c r="F897" s="84" t="str">
        <f>IFERROR(VLOOKUP(CONCATENATE($B897,"_",F$3),materiali!$C:$K,5,0),"")</f>
        <v/>
      </c>
      <c r="G897" s="85" t="str">
        <f>IFERROR(VLOOKUP(CONCATENATE($B897,"_",G$3),materiali!$C:$K,6,0),"")</f>
        <v/>
      </c>
      <c r="H897" s="86"/>
      <c r="I897" s="84" t="str">
        <f>IFERROR(VLOOKUP(CONCATENATE($B897,"_",I$3),materiali!$C:$K,5,0),"")</f>
        <v/>
      </c>
      <c r="J897" s="85" t="str">
        <f>IFERROR(VLOOKUP(CONCATENATE($B897,"_",J$3),materiali!$C:$K,6,0),"")</f>
        <v/>
      </c>
      <c r="K897" s="86"/>
      <c r="L897" s="84" t="str">
        <f>IFERROR(VLOOKUP(CONCATENATE($B897,"_",L$3),materiali!$C:$K,5,0),"")</f>
        <v/>
      </c>
      <c r="M897" s="85" t="str">
        <f>IFERROR(VLOOKUP(CONCATENATE($B897,"_",M$3),materiali!$C:$K,6,0),"")</f>
        <v/>
      </c>
      <c r="N897" s="86"/>
      <c r="O897" s="84" t="str">
        <f>IFERROR(VLOOKUP(CONCATENATE($B897,"_",O$3),materiali!$C:$K,5,0),"")</f>
        <v/>
      </c>
      <c r="P897" s="85" t="str">
        <f>IFERROR(VLOOKUP(CONCATENATE($B897,"_",P$3),materiali!$C:$K,6,0),"")</f>
        <v/>
      </c>
      <c r="Q897" s="86"/>
      <c r="R897" s="84" t="str">
        <f>IFERROR(VLOOKUP(CONCATENATE($B897,"_",R$3),materiali!$C:$K,5,0),"")</f>
        <v/>
      </c>
      <c r="S897" s="85" t="str">
        <f>IFERROR(VLOOKUP(CONCATENATE($B897,"_",S$3),materiali!$C:$K,6,0),"")</f>
        <v/>
      </c>
      <c r="T897" s="86"/>
      <c r="U897" s="31"/>
      <c r="AD897" s="97"/>
    </row>
    <row r="898" spans="1:30" ht="35.1" hidden="1" customHeight="1" x14ac:dyDescent="0.25">
      <c r="A898" s="83"/>
      <c r="B898" s="7"/>
      <c r="C898" s="8"/>
      <c r="D898" s="8"/>
      <c r="E898" s="60"/>
      <c r="F898" s="84" t="str">
        <f>IFERROR(VLOOKUP(CONCATENATE($B898,"_",F$3),materiali!$C:$K,5,0),"")</f>
        <v/>
      </c>
      <c r="G898" s="85" t="str">
        <f>IFERROR(VLOOKUP(CONCATENATE($B898,"_",G$3),materiali!$C:$K,6,0),"")</f>
        <v/>
      </c>
      <c r="H898" s="86"/>
      <c r="I898" s="84" t="str">
        <f>IFERROR(VLOOKUP(CONCATENATE($B898,"_",I$3),materiali!$C:$K,5,0),"")</f>
        <v/>
      </c>
      <c r="J898" s="85" t="str">
        <f>IFERROR(VLOOKUP(CONCATENATE($B898,"_",J$3),materiali!$C:$K,6,0),"")</f>
        <v/>
      </c>
      <c r="K898" s="86"/>
      <c r="L898" s="84" t="str">
        <f>IFERROR(VLOOKUP(CONCATENATE($B898,"_",L$3),materiali!$C:$K,5,0),"")</f>
        <v/>
      </c>
      <c r="M898" s="85" t="str">
        <f>IFERROR(VLOOKUP(CONCATENATE($B898,"_",M$3),materiali!$C:$K,6,0),"")</f>
        <v/>
      </c>
      <c r="N898" s="86"/>
      <c r="O898" s="84" t="str">
        <f>IFERROR(VLOOKUP(CONCATENATE($B898,"_",O$3),materiali!$C:$K,5,0),"")</f>
        <v/>
      </c>
      <c r="P898" s="85" t="str">
        <f>IFERROR(VLOOKUP(CONCATENATE($B898,"_",P$3),materiali!$C:$K,6,0),"")</f>
        <v/>
      </c>
      <c r="Q898" s="86"/>
      <c r="R898" s="84" t="str">
        <f>IFERROR(VLOOKUP(CONCATENATE($B898,"_",R$3),materiali!$C:$K,5,0),"")</f>
        <v/>
      </c>
      <c r="S898" s="85" t="str">
        <f>IFERROR(VLOOKUP(CONCATENATE($B898,"_",S$3),materiali!$C:$K,6,0),"")</f>
        <v/>
      </c>
      <c r="T898" s="86"/>
      <c r="U898" s="31"/>
      <c r="AD898" s="97"/>
    </row>
    <row r="899" spans="1:30" ht="35.1" hidden="1" customHeight="1" x14ac:dyDescent="0.25">
      <c r="A899" s="83"/>
      <c r="B899" s="7"/>
      <c r="C899" s="8"/>
      <c r="D899" s="8"/>
      <c r="E899" s="60"/>
      <c r="F899" s="84" t="str">
        <f>IFERROR(VLOOKUP(CONCATENATE($B899,"_",F$3),materiali!$C:$K,5,0),"")</f>
        <v/>
      </c>
      <c r="G899" s="85" t="str">
        <f>IFERROR(VLOOKUP(CONCATENATE($B899,"_",G$3),materiali!$C:$K,6,0),"")</f>
        <v/>
      </c>
      <c r="H899" s="86"/>
      <c r="I899" s="84" t="str">
        <f>IFERROR(VLOOKUP(CONCATENATE($B899,"_",I$3),materiali!$C:$K,5,0),"")</f>
        <v/>
      </c>
      <c r="J899" s="85" t="str">
        <f>IFERROR(VLOOKUP(CONCATENATE($B899,"_",J$3),materiali!$C:$K,6,0),"")</f>
        <v/>
      </c>
      <c r="K899" s="86"/>
      <c r="L899" s="84" t="str">
        <f>IFERROR(VLOOKUP(CONCATENATE($B899,"_",L$3),materiali!$C:$K,5,0),"")</f>
        <v/>
      </c>
      <c r="M899" s="85" t="str">
        <f>IFERROR(VLOOKUP(CONCATENATE($B899,"_",M$3),materiali!$C:$K,6,0),"")</f>
        <v/>
      </c>
      <c r="N899" s="86"/>
      <c r="O899" s="84" t="str">
        <f>IFERROR(VLOOKUP(CONCATENATE($B899,"_",O$3),materiali!$C:$K,5,0),"")</f>
        <v/>
      </c>
      <c r="P899" s="85" t="str">
        <f>IFERROR(VLOOKUP(CONCATENATE($B899,"_",P$3),materiali!$C:$K,6,0),"")</f>
        <v/>
      </c>
      <c r="Q899" s="86"/>
      <c r="R899" s="84" t="str">
        <f>IFERROR(VLOOKUP(CONCATENATE($B899,"_",R$3),materiali!$C:$K,5,0),"")</f>
        <v/>
      </c>
      <c r="S899" s="85" t="str">
        <f>IFERROR(VLOOKUP(CONCATENATE($B899,"_",S$3),materiali!$C:$K,6,0),"")</f>
        <v/>
      </c>
      <c r="T899" s="86"/>
      <c r="U899" s="31"/>
      <c r="AD899" s="97"/>
    </row>
    <row r="900" spans="1:30" ht="35.1" hidden="1" customHeight="1" x14ac:dyDescent="0.25">
      <c r="A900" s="83"/>
      <c r="B900" s="7"/>
      <c r="C900" s="8"/>
      <c r="D900" s="8"/>
      <c r="E900" s="60"/>
      <c r="F900" s="84" t="str">
        <f>IFERROR(VLOOKUP(CONCATENATE($B900,"_",F$3),materiali!$C:$K,5,0),"")</f>
        <v/>
      </c>
      <c r="G900" s="85" t="str">
        <f>IFERROR(VLOOKUP(CONCATENATE($B900,"_",G$3),materiali!$C:$K,6,0),"")</f>
        <v/>
      </c>
      <c r="H900" s="86"/>
      <c r="I900" s="84" t="str">
        <f>IFERROR(VLOOKUP(CONCATENATE($B900,"_",I$3),materiali!$C:$K,5,0),"")</f>
        <v/>
      </c>
      <c r="J900" s="85" t="str">
        <f>IFERROR(VLOOKUP(CONCATENATE($B900,"_",J$3),materiali!$C:$K,6,0),"")</f>
        <v/>
      </c>
      <c r="K900" s="86"/>
      <c r="L900" s="84" t="str">
        <f>IFERROR(VLOOKUP(CONCATENATE($B900,"_",L$3),materiali!$C:$K,5,0),"")</f>
        <v/>
      </c>
      <c r="M900" s="85" t="str">
        <f>IFERROR(VLOOKUP(CONCATENATE($B900,"_",M$3),materiali!$C:$K,6,0),"")</f>
        <v/>
      </c>
      <c r="N900" s="86"/>
      <c r="O900" s="84" t="str">
        <f>IFERROR(VLOOKUP(CONCATENATE($B900,"_",O$3),materiali!$C:$K,5,0),"")</f>
        <v/>
      </c>
      <c r="P900" s="85" t="str">
        <f>IFERROR(VLOOKUP(CONCATENATE($B900,"_",P$3),materiali!$C:$K,6,0),"")</f>
        <v/>
      </c>
      <c r="Q900" s="86"/>
      <c r="R900" s="84" t="str">
        <f>IFERROR(VLOOKUP(CONCATENATE($B900,"_",R$3),materiali!$C:$K,5,0),"")</f>
        <v/>
      </c>
      <c r="S900" s="85" t="str">
        <f>IFERROR(VLOOKUP(CONCATENATE($B900,"_",S$3),materiali!$C:$K,6,0),"")</f>
        <v/>
      </c>
      <c r="T900" s="86"/>
      <c r="U900" s="31"/>
      <c r="AD900" s="97"/>
    </row>
    <row r="901" spans="1:30" ht="35.1" hidden="1" customHeight="1" x14ac:dyDescent="0.25">
      <c r="A901" s="83"/>
      <c r="B901" s="7"/>
      <c r="C901" s="8"/>
      <c r="D901" s="8"/>
      <c r="E901" s="60"/>
      <c r="F901" s="84" t="str">
        <f>IFERROR(VLOOKUP(CONCATENATE($B901,"_",F$3),materiali!$C:$K,5,0),"")</f>
        <v/>
      </c>
      <c r="G901" s="85" t="str">
        <f>IFERROR(VLOOKUP(CONCATENATE($B901,"_",G$3),materiali!$C:$K,6,0),"")</f>
        <v/>
      </c>
      <c r="H901" s="86"/>
      <c r="I901" s="84" t="str">
        <f>IFERROR(VLOOKUP(CONCATENATE($B901,"_",I$3),materiali!$C:$K,5,0),"")</f>
        <v/>
      </c>
      <c r="J901" s="85" t="str">
        <f>IFERROR(VLOOKUP(CONCATENATE($B901,"_",J$3),materiali!$C:$K,6,0),"")</f>
        <v/>
      </c>
      <c r="K901" s="86"/>
      <c r="L901" s="84" t="str">
        <f>IFERROR(VLOOKUP(CONCATENATE($B901,"_",L$3),materiali!$C:$K,5,0),"")</f>
        <v/>
      </c>
      <c r="M901" s="85" t="str">
        <f>IFERROR(VLOOKUP(CONCATENATE($B901,"_",M$3),materiali!$C:$K,6,0),"")</f>
        <v/>
      </c>
      <c r="N901" s="86"/>
      <c r="O901" s="84" t="str">
        <f>IFERROR(VLOOKUP(CONCATENATE($B901,"_",O$3),materiali!$C:$K,5,0),"")</f>
        <v/>
      </c>
      <c r="P901" s="85" t="str">
        <f>IFERROR(VLOOKUP(CONCATENATE($B901,"_",P$3),materiali!$C:$K,6,0),"")</f>
        <v/>
      </c>
      <c r="Q901" s="86"/>
      <c r="R901" s="84" t="str">
        <f>IFERROR(VLOOKUP(CONCATENATE($B901,"_",R$3),materiali!$C:$K,5,0),"")</f>
        <v/>
      </c>
      <c r="S901" s="85" t="str">
        <f>IFERROR(VLOOKUP(CONCATENATE($B901,"_",S$3),materiali!$C:$K,6,0),"")</f>
        <v/>
      </c>
      <c r="T901" s="86"/>
      <c r="U901" s="31"/>
      <c r="AD901" s="97"/>
    </row>
    <row r="902" spans="1:30" ht="35.1" hidden="1" customHeight="1" x14ac:dyDescent="0.25">
      <c r="A902" s="83"/>
      <c r="B902" s="7"/>
      <c r="C902" s="8"/>
      <c r="D902" s="8"/>
      <c r="E902" s="60"/>
      <c r="F902" s="84" t="str">
        <f>IFERROR(VLOOKUP(CONCATENATE($B902,"_",F$3),materiali!$C:$K,5,0),"")</f>
        <v/>
      </c>
      <c r="G902" s="85" t="str">
        <f>IFERROR(VLOOKUP(CONCATENATE($B902,"_",G$3),materiali!$C:$K,6,0),"")</f>
        <v/>
      </c>
      <c r="H902" s="86"/>
      <c r="I902" s="84" t="str">
        <f>IFERROR(VLOOKUP(CONCATENATE($B902,"_",I$3),materiali!$C:$K,5,0),"")</f>
        <v/>
      </c>
      <c r="J902" s="85" t="str">
        <f>IFERROR(VLOOKUP(CONCATENATE($B902,"_",J$3),materiali!$C:$K,6,0),"")</f>
        <v/>
      </c>
      <c r="K902" s="86"/>
      <c r="L902" s="84" t="str">
        <f>IFERROR(VLOOKUP(CONCATENATE($B902,"_",L$3),materiali!$C:$K,5,0),"")</f>
        <v/>
      </c>
      <c r="M902" s="85" t="str">
        <f>IFERROR(VLOOKUP(CONCATENATE($B902,"_",M$3),materiali!$C:$K,6,0),"")</f>
        <v/>
      </c>
      <c r="N902" s="86"/>
      <c r="O902" s="84" t="str">
        <f>IFERROR(VLOOKUP(CONCATENATE($B902,"_",O$3),materiali!$C:$K,5,0),"")</f>
        <v/>
      </c>
      <c r="P902" s="85" t="str">
        <f>IFERROR(VLOOKUP(CONCATENATE($B902,"_",P$3),materiali!$C:$K,6,0),"")</f>
        <v/>
      </c>
      <c r="Q902" s="86"/>
      <c r="R902" s="84" t="str">
        <f>IFERROR(VLOOKUP(CONCATENATE($B902,"_",R$3),materiali!$C:$K,5,0),"")</f>
        <v/>
      </c>
      <c r="S902" s="85" t="str">
        <f>IFERROR(VLOOKUP(CONCATENATE($B902,"_",S$3),materiali!$C:$K,6,0),"")</f>
        <v/>
      </c>
      <c r="T902" s="86"/>
      <c r="U902" s="31"/>
      <c r="AD902" s="97"/>
    </row>
    <row r="903" spans="1:30" ht="35.1" hidden="1" customHeight="1" x14ac:dyDescent="0.25">
      <c r="A903" s="83"/>
      <c r="B903" s="7"/>
      <c r="C903" s="8"/>
      <c r="D903" s="8"/>
      <c r="E903" s="60"/>
      <c r="F903" s="84" t="str">
        <f>IFERROR(VLOOKUP(CONCATENATE($B903,"_",F$3),materiali!$C:$K,5,0),"")</f>
        <v/>
      </c>
      <c r="G903" s="85" t="str">
        <f>IFERROR(VLOOKUP(CONCATENATE($B903,"_",G$3),materiali!$C:$K,6,0),"")</f>
        <v/>
      </c>
      <c r="H903" s="86"/>
      <c r="I903" s="84" t="str">
        <f>IFERROR(VLOOKUP(CONCATENATE($B903,"_",I$3),materiali!$C:$K,5,0),"")</f>
        <v/>
      </c>
      <c r="J903" s="85" t="str">
        <f>IFERROR(VLOOKUP(CONCATENATE($B903,"_",J$3),materiali!$C:$K,6,0),"")</f>
        <v/>
      </c>
      <c r="K903" s="86"/>
      <c r="L903" s="84" t="str">
        <f>IFERROR(VLOOKUP(CONCATENATE($B903,"_",L$3),materiali!$C:$K,5,0),"")</f>
        <v/>
      </c>
      <c r="M903" s="85" t="str">
        <f>IFERROR(VLOOKUP(CONCATENATE($B903,"_",M$3),materiali!$C:$K,6,0),"")</f>
        <v/>
      </c>
      <c r="N903" s="86"/>
      <c r="O903" s="84" t="str">
        <f>IFERROR(VLOOKUP(CONCATENATE($B903,"_",O$3),materiali!$C:$K,5,0),"")</f>
        <v/>
      </c>
      <c r="P903" s="85" t="str">
        <f>IFERROR(VLOOKUP(CONCATENATE($B903,"_",P$3),materiali!$C:$K,6,0),"")</f>
        <v/>
      </c>
      <c r="Q903" s="86"/>
      <c r="R903" s="84" t="str">
        <f>IFERROR(VLOOKUP(CONCATENATE($B903,"_",R$3),materiali!$C:$K,5,0),"")</f>
        <v/>
      </c>
      <c r="S903" s="85" t="str">
        <f>IFERROR(VLOOKUP(CONCATENATE($B903,"_",S$3),materiali!$C:$K,6,0),"")</f>
        <v/>
      </c>
      <c r="T903" s="86"/>
      <c r="U903" s="31"/>
      <c r="AD903" s="97"/>
    </row>
    <row r="904" spans="1:30" ht="35.1" hidden="1" customHeight="1" x14ac:dyDescent="0.25">
      <c r="A904" s="83"/>
      <c r="B904" s="7"/>
      <c r="C904" s="8"/>
      <c r="D904" s="8"/>
      <c r="E904" s="60"/>
      <c r="F904" s="84" t="str">
        <f>IFERROR(VLOOKUP(CONCATENATE($B904,"_",F$3),materiali!$C:$K,5,0),"")</f>
        <v/>
      </c>
      <c r="G904" s="85" t="str">
        <f>IFERROR(VLOOKUP(CONCATENATE($B904,"_",G$3),materiali!$C:$K,6,0),"")</f>
        <v/>
      </c>
      <c r="H904" s="86"/>
      <c r="I904" s="84" t="str">
        <f>IFERROR(VLOOKUP(CONCATENATE($B904,"_",I$3),materiali!$C:$K,5,0),"")</f>
        <v/>
      </c>
      <c r="J904" s="85" t="str">
        <f>IFERROR(VLOOKUP(CONCATENATE($B904,"_",J$3),materiali!$C:$K,6,0),"")</f>
        <v/>
      </c>
      <c r="K904" s="86"/>
      <c r="L904" s="84" t="str">
        <f>IFERROR(VLOOKUP(CONCATENATE($B904,"_",L$3),materiali!$C:$K,5,0),"")</f>
        <v/>
      </c>
      <c r="M904" s="85" t="str">
        <f>IFERROR(VLOOKUP(CONCATENATE($B904,"_",M$3),materiali!$C:$K,6,0),"")</f>
        <v/>
      </c>
      <c r="N904" s="86"/>
      <c r="O904" s="84" t="str">
        <f>IFERROR(VLOOKUP(CONCATENATE($B904,"_",O$3),materiali!$C:$K,5,0),"")</f>
        <v/>
      </c>
      <c r="P904" s="85" t="str">
        <f>IFERROR(VLOOKUP(CONCATENATE($B904,"_",P$3),materiali!$C:$K,6,0),"")</f>
        <v/>
      </c>
      <c r="Q904" s="86"/>
      <c r="R904" s="84" t="str">
        <f>IFERROR(VLOOKUP(CONCATENATE($B904,"_",R$3),materiali!$C:$K,5,0),"")</f>
        <v/>
      </c>
      <c r="S904" s="85" t="str">
        <f>IFERROR(VLOOKUP(CONCATENATE($B904,"_",S$3),materiali!$C:$K,6,0),"")</f>
        <v/>
      </c>
      <c r="T904" s="86"/>
      <c r="U904" s="31"/>
      <c r="AD904" s="97"/>
    </row>
    <row r="905" spans="1:30" ht="35.1" hidden="1" customHeight="1" x14ac:dyDescent="0.25">
      <c r="A905" s="83"/>
      <c r="B905" s="7"/>
      <c r="C905" s="8"/>
      <c r="D905" s="8"/>
      <c r="E905" s="60"/>
      <c r="F905" s="84" t="str">
        <f>IFERROR(VLOOKUP(CONCATENATE($B905,"_",F$3),materiali!$C:$K,5,0),"")</f>
        <v/>
      </c>
      <c r="G905" s="85" t="str">
        <f>IFERROR(VLOOKUP(CONCATENATE($B905,"_",G$3),materiali!$C:$K,6,0),"")</f>
        <v/>
      </c>
      <c r="H905" s="86"/>
      <c r="I905" s="84" t="str">
        <f>IFERROR(VLOOKUP(CONCATENATE($B905,"_",I$3),materiali!$C:$K,5,0),"")</f>
        <v/>
      </c>
      <c r="J905" s="85" t="str">
        <f>IFERROR(VLOOKUP(CONCATENATE($B905,"_",J$3),materiali!$C:$K,6,0),"")</f>
        <v/>
      </c>
      <c r="K905" s="86"/>
      <c r="L905" s="84" t="str">
        <f>IFERROR(VLOOKUP(CONCATENATE($B905,"_",L$3),materiali!$C:$K,5,0),"")</f>
        <v/>
      </c>
      <c r="M905" s="85" t="str">
        <f>IFERROR(VLOOKUP(CONCATENATE($B905,"_",M$3),materiali!$C:$K,6,0),"")</f>
        <v/>
      </c>
      <c r="N905" s="86"/>
      <c r="O905" s="84" t="str">
        <f>IFERROR(VLOOKUP(CONCATENATE($B905,"_",O$3),materiali!$C:$K,5,0),"")</f>
        <v/>
      </c>
      <c r="P905" s="85" t="str">
        <f>IFERROR(VLOOKUP(CONCATENATE($B905,"_",P$3),materiali!$C:$K,6,0),"")</f>
        <v/>
      </c>
      <c r="Q905" s="86"/>
      <c r="R905" s="84" t="str">
        <f>IFERROR(VLOOKUP(CONCATENATE($B905,"_",R$3),materiali!$C:$K,5,0),"")</f>
        <v/>
      </c>
      <c r="S905" s="85" t="str">
        <f>IFERROR(VLOOKUP(CONCATENATE($B905,"_",S$3),materiali!$C:$K,6,0),"")</f>
        <v/>
      </c>
      <c r="T905" s="86"/>
      <c r="U905" s="31"/>
      <c r="AD905" s="97"/>
    </row>
    <row r="906" spans="1:30" ht="35.1" hidden="1" customHeight="1" x14ac:dyDescent="0.25">
      <c r="A906" s="83"/>
      <c r="B906" s="7"/>
      <c r="C906" s="8"/>
      <c r="D906" s="8"/>
      <c r="E906" s="60"/>
      <c r="F906" s="84" t="str">
        <f>IFERROR(VLOOKUP(CONCATENATE($B906,"_",F$3),materiali!$C:$K,5,0),"")</f>
        <v/>
      </c>
      <c r="G906" s="85" t="str">
        <f>IFERROR(VLOOKUP(CONCATENATE($B906,"_",G$3),materiali!$C:$K,6,0),"")</f>
        <v/>
      </c>
      <c r="H906" s="86"/>
      <c r="I906" s="84" t="str">
        <f>IFERROR(VLOOKUP(CONCATENATE($B906,"_",I$3),materiali!$C:$K,5,0),"")</f>
        <v/>
      </c>
      <c r="J906" s="85" t="str">
        <f>IFERROR(VLOOKUP(CONCATENATE($B906,"_",J$3),materiali!$C:$K,6,0),"")</f>
        <v/>
      </c>
      <c r="K906" s="86"/>
      <c r="L906" s="84" t="str">
        <f>IFERROR(VLOOKUP(CONCATENATE($B906,"_",L$3),materiali!$C:$K,5,0),"")</f>
        <v/>
      </c>
      <c r="M906" s="85" t="str">
        <f>IFERROR(VLOOKUP(CONCATENATE($B906,"_",M$3),materiali!$C:$K,6,0),"")</f>
        <v/>
      </c>
      <c r="N906" s="86"/>
      <c r="O906" s="84" t="str">
        <f>IFERROR(VLOOKUP(CONCATENATE($B906,"_",O$3),materiali!$C:$K,5,0),"")</f>
        <v/>
      </c>
      <c r="P906" s="85" t="str">
        <f>IFERROR(VLOOKUP(CONCATENATE($B906,"_",P$3),materiali!$C:$K,6,0),"")</f>
        <v/>
      </c>
      <c r="Q906" s="86"/>
      <c r="R906" s="84" t="str">
        <f>IFERROR(VLOOKUP(CONCATENATE($B906,"_",R$3),materiali!$C:$K,5,0),"")</f>
        <v/>
      </c>
      <c r="S906" s="85" t="str">
        <f>IFERROR(VLOOKUP(CONCATENATE($B906,"_",S$3),materiali!$C:$K,6,0),"")</f>
        <v/>
      </c>
      <c r="T906" s="86"/>
      <c r="U906" s="31"/>
      <c r="AD906" s="97"/>
    </row>
    <row r="907" spans="1:30" ht="35.1" hidden="1" customHeight="1" x14ac:dyDescent="0.25">
      <c r="A907" s="83"/>
      <c r="B907" s="7"/>
      <c r="C907" s="8"/>
      <c r="D907" s="8"/>
      <c r="E907" s="60"/>
      <c r="F907" s="84" t="str">
        <f>IFERROR(VLOOKUP(CONCATENATE($B907,"_",F$3),materiali!$C:$K,5,0),"")</f>
        <v/>
      </c>
      <c r="G907" s="85" t="str">
        <f>IFERROR(VLOOKUP(CONCATENATE($B907,"_",G$3),materiali!$C:$K,6,0),"")</f>
        <v/>
      </c>
      <c r="H907" s="86"/>
      <c r="I907" s="84" t="str">
        <f>IFERROR(VLOOKUP(CONCATENATE($B907,"_",I$3),materiali!$C:$K,5,0),"")</f>
        <v/>
      </c>
      <c r="J907" s="85" t="str">
        <f>IFERROR(VLOOKUP(CONCATENATE($B907,"_",J$3),materiali!$C:$K,6,0),"")</f>
        <v/>
      </c>
      <c r="K907" s="86"/>
      <c r="L907" s="84" t="str">
        <f>IFERROR(VLOOKUP(CONCATENATE($B907,"_",L$3),materiali!$C:$K,5,0),"")</f>
        <v/>
      </c>
      <c r="M907" s="85" t="str">
        <f>IFERROR(VLOOKUP(CONCATENATE($B907,"_",M$3),materiali!$C:$K,6,0),"")</f>
        <v/>
      </c>
      <c r="N907" s="86"/>
      <c r="O907" s="84" t="str">
        <f>IFERROR(VLOOKUP(CONCATENATE($B907,"_",O$3),materiali!$C:$K,5,0),"")</f>
        <v/>
      </c>
      <c r="P907" s="85" t="str">
        <f>IFERROR(VLOOKUP(CONCATENATE($B907,"_",P$3),materiali!$C:$K,6,0),"")</f>
        <v/>
      </c>
      <c r="Q907" s="86"/>
      <c r="R907" s="84" t="str">
        <f>IFERROR(VLOOKUP(CONCATENATE($B907,"_",R$3),materiali!$C:$K,5,0),"")</f>
        <v/>
      </c>
      <c r="S907" s="85" t="str">
        <f>IFERROR(VLOOKUP(CONCATENATE($B907,"_",S$3),materiali!$C:$K,6,0),"")</f>
        <v/>
      </c>
      <c r="T907" s="86"/>
      <c r="U907" s="31"/>
      <c r="AD907" s="97"/>
    </row>
    <row r="908" spans="1:30" ht="35.1" hidden="1" customHeight="1" x14ac:dyDescent="0.25">
      <c r="A908" s="83"/>
      <c r="B908" s="7"/>
      <c r="C908" s="8"/>
      <c r="D908" s="8"/>
      <c r="E908" s="60"/>
      <c r="F908" s="84" t="str">
        <f>IFERROR(VLOOKUP(CONCATENATE($B908,"_",F$3),materiali!$C:$K,5,0),"")</f>
        <v/>
      </c>
      <c r="G908" s="85" t="str">
        <f>IFERROR(VLOOKUP(CONCATENATE($B908,"_",G$3),materiali!$C:$K,6,0),"")</f>
        <v/>
      </c>
      <c r="H908" s="86"/>
      <c r="I908" s="84" t="str">
        <f>IFERROR(VLOOKUP(CONCATENATE($B908,"_",I$3),materiali!$C:$K,5,0),"")</f>
        <v/>
      </c>
      <c r="J908" s="85" t="str">
        <f>IFERROR(VLOOKUP(CONCATENATE($B908,"_",J$3),materiali!$C:$K,6,0),"")</f>
        <v/>
      </c>
      <c r="K908" s="86"/>
      <c r="L908" s="84" t="str">
        <f>IFERROR(VLOOKUP(CONCATENATE($B908,"_",L$3),materiali!$C:$K,5,0),"")</f>
        <v/>
      </c>
      <c r="M908" s="85" t="str">
        <f>IFERROR(VLOOKUP(CONCATENATE($B908,"_",M$3),materiali!$C:$K,6,0),"")</f>
        <v/>
      </c>
      <c r="N908" s="86"/>
      <c r="O908" s="84" t="str">
        <f>IFERROR(VLOOKUP(CONCATENATE($B908,"_",O$3),materiali!$C:$K,5,0),"")</f>
        <v/>
      </c>
      <c r="P908" s="85" t="str">
        <f>IFERROR(VLOOKUP(CONCATENATE($B908,"_",P$3),materiali!$C:$K,6,0),"")</f>
        <v/>
      </c>
      <c r="Q908" s="86"/>
      <c r="R908" s="84" t="str">
        <f>IFERROR(VLOOKUP(CONCATENATE($B908,"_",R$3),materiali!$C:$K,5,0),"")</f>
        <v/>
      </c>
      <c r="S908" s="85" t="str">
        <f>IFERROR(VLOOKUP(CONCATENATE($B908,"_",S$3),materiali!$C:$K,6,0),"")</f>
        <v/>
      </c>
      <c r="T908" s="86"/>
      <c r="U908" s="31"/>
      <c r="AD908" s="97"/>
    </row>
    <row r="909" spans="1:30" ht="35.1" hidden="1" customHeight="1" x14ac:dyDescent="0.25">
      <c r="A909" s="83"/>
      <c r="B909" s="7"/>
      <c r="C909" s="8"/>
      <c r="D909" s="8"/>
      <c r="E909" s="60"/>
      <c r="F909" s="84" t="str">
        <f>IFERROR(VLOOKUP(CONCATENATE($B909,"_",F$3),materiali!$C:$K,5,0),"")</f>
        <v/>
      </c>
      <c r="G909" s="85" t="str">
        <f>IFERROR(VLOOKUP(CONCATENATE($B909,"_",G$3),materiali!$C:$K,6,0),"")</f>
        <v/>
      </c>
      <c r="H909" s="86"/>
      <c r="I909" s="84" t="str">
        <f>IFERROR(VLOOKUP(CONCATENATE($B909,"_",I$3),materiali!$C:$K,5,0),"")</f>
        <v/>
      </c>
      <c r="J909" s="85" t="str">
        <f>IFERROR(VLOOKUP(CONCATENATE($B909,"_",J$3),materiali!$C:$K,6,0),"")</f>
        <v/>
      </c>
      <c r="K909" s="86"/>
      <c r="L909" s="84" t="str">
        <f>IFERROR(VLOOKUP(CONCATENATE($B909,"_",L$3),materiali!$C:$K,5,0),"")</f>
        <v/>
      </c>
      <c r="M909" s="85" t="str">
        <f>IFERROR(VLOOKUP(CONCATENATE($B909,"_",M$3),materiali!$C:$K,6,0),"")</f>
        <v/>
      </c>
      <c r="N909" s="86"/>
      <c r="O909" s="84" t="str">
        <f>IFERROR(VLOOKUP(CONCATENATE($B909,"_",O$3),materiali!$C:$K,5,0),"")</f>
        <v/>
      </c>
      <c r="P909" s="85" t="str">
        <f>IFERROR(VLOOKUP(CONCATENATE($B909,"_",P$3),materiali!$C:$K,6,0),"")</f>
        <v/>
      </c>
      <c r="Q909" s="86"/>
      <c r="R909" s="84" t="str">
        <f>IFERROR(VLOOKUP(CONCATENATE($B909,"_",R$3),materiali!$C:$K,5,0),"")</f>
        <v/>
      </c>
      <c r="S909" s="85" t="str">
        <f>IFERROR(VLOOKUP(CONCATENATE($B909,"_",S$3),materiali!$C:$K,6,0),"")</f>
        <v/>
      </c>
      <c r="T909" s="86"/>
      <c r="U909" s="31"/>
      <c r="AD909" s="97"/>
    </row>
    <row r="910" spans="1:30" ht="35.1" hidden="1" customHeight="1" x14ac:dyDescent="0.25">
      <c r="A910" s="83"/>
      <c r="B910" s="7"/>
      <c r="C910" s="8"/>
      <c r="D910" s="8"/>
      <c r="E910" s="60"/>
      <c r="F910" s="84" t="str">
        <f>IFERROR(VLOOKUP(CONCATENATE($B910,"_",F$3),materiali!$C:$K,5,0),"")</f>
        <v/>
      </c>
      <c r="G910" s="85" t="str">
        <f>IFERROR(VLOOKUP(CONCATENATE($B910,"_",G$3),materiali!$C:$K,6,0),"")</f>
        <v/>
      </c>
      <c r="H910" s="86"/>
      <c r="I910" s="84" t="str">
        <f>IFERROR(VLOOKUP(CONCATENATE($B910,"_",I$3),materiali!$C:$K,5,0),"")</f>
        <v/>
      </c>
      <c r="J910" s="85" t="str">
        <f>IFERROR(VLOOKUP(CONCATENATE($B910,"_",J$3),materiali!$C:$K,6,0),"")</f>
        <v/>
      </c>
      <c r="K910" s="86"/>
      <c r="L910" s="84" t="str">
        <f>IFERROR(VLOOKUP(CONCATENATE($B910,"_",L$3),materiali!$C:$K,5,0),"")</f>
        <v/>
      </c>
      <c r="M910" s="85" t="str">
        <f>IFERROR(VLOOKUP(CONCATENATE($B910,"_",M$3),materiali!$C:$K,6,0),"")</f>
        <v/>
      </c>
      <c r="N910" s="86"/>
      <c r="O910" s="84" t="str">
        <f>IFERROR(VLOOKUP(CONCATENATE($B910,"_",O$3),materiali!$C:$K,5,0),"")</f>
        <v/>
      </c>
      <c r="P910" s="85" t="str">
        <f>IFERROR(VLOOKUP(CONCATENATE($B910,"_",P$3),materiali!$C:$K,6,0),"")</f>
        <v/>
      </c>
      <c r="Q910" s="86"/>
      <c r="R910" s="84" t="str">
        <f>IFERROR(VLOOKUP(CONCATENATE($B910,"_",R$3),materiali!$C:$K,5,0),"")</f>
        <v/>
      </c>
      <c r="S910" s="85" t="str">
        <f>IFERROR(VLOOKUP(CONCATENATE($B910,"_",S$3),materiali!$C:$K,6,0),"")</f>
        <v/>
      </c>
      <c r="T910" s="86"/>
      <c r="U910" s="31"/>
      <c r="AD910" s="97"/>
    </row>
    <row r="911" spans="1:30" ht="35.1" hidden="1" customHeight="1" x14ac:dyDescent="0.25">
      <c r="A911" s="83"/>
      <c r="B911" s="7"/>
      <c r="C911" s="8"/>
      <c r="D911" s="8"/>
      <c r="E911" s="60"/>
      <c r="F911" s="84" t="str">
        <f>IFERROR(VLOOKUP(CONCATENATE($B911,"_",F$3),materiali!$C:$K,5,0),"")</f>
        <v/>
      </c>
      <c r="G911" s="85" t="str">
        <f>IFERROR(VLOOKUP(CONCATENATE($B911,"_",G$3),materiali!$C:$K,6,0),"")</f>
        <v/>
      </c>
      <c r="H911" s="86"/>
      <c r="I911" s="84" t="str">
        <f>IFERROR(VLOOKUP(CONCATENATE($B911,"_",I$3),materiali!$C:$K,5,0),"")</f>
        <v/>
      </c>
      <c r="J911" s="85" t="str">
        <f>IFERROR(VLOOKUP(CONCATENATE($B911,"_",J$3),materiali!$C:$K,6,0),"")</f>
        <v/>
      </c>
      <c r="K911" s="86"/>
      <c r="L911" s="84" t="str">
        <f>IFERROR(VLOOKUP(CONCATENATE($B911,"_",L$3),materiali!$C:$K,5,0),"")</f>
        <v/>
      </c>
      <c r="M911" s="85" t="str">
        <f>IFERROR(VLOOKUP(CONCATENATE($B911,"_",M$3),materiali!$C:$K,6,0),"")</f>
        <v/>
      </c>
      <c r="N911" s="86"/>
      <c r="O911" s="84" t="str">
        <f>IFERROR(VLOOKUP(CONCATENATE($B911,"_",O$3),materiali!$C:$K,5,0),"")</f>
        <v/>
      </c>
      <c r="P911" s="85" t="str">
        <f>IFERROR(VLOOKUP(CONCATENATE($B911,"_",P$3),materiali!$C:$K,6,0),"")</f>
        <v/>
      </c>
      <c r="Q911" s="86"/>
      <c r="R911" s="84" t="str">
        <f>IFERROR(VLOOKUP(CONCATENATE($B911,"_",R$3),materiali!$C:$K,5,0),"")</f>
        <v/>
      </c>
      <c r="S911" s="85" t="str">
        <f>IFERROR(VLOOKUP(CONCATENATE($B911,"_",S$3),materiali!$C:$K,6,0),"")</f>
        <v/>
      </c>
      <c r="T911" s="86"/>
      <c r="U911" s="31"/>
      <c r="AD911" s="97"/>
    </row>
    <row r="912" spans="1:30" ht="35.1" hidden="1" customHeight="1" x14ac:dyDescent="0.25">
      <c r="A912" s="83"/>
      <c r="B912" s="7"/>
      <c r="C912" s="8"/>
      <c r="D912" s="8"/>
      <c r="E912" s="60"/>
      <c r="F912" s="84" t="str">
        <f>IFERROR(VLOOKUP(CONCATENATE($B912,"_",F$3),materiali!$C:$K,5,0),"")</f>
        <v/>
      </c>
      <c r="G912" s="85" t="str">
        <f>IFERROR(VLOOKUP(CONCATENATE($B912,"_",G$3),materiali!$C:$K,6,0),"")</f>
        <v/>
      </c>
      <c r="H912" s="86"/>
      <c r="I912" s="84" t="str">
        <f>IFERROR(VLOOKUP(CONCATENATE($B912,"_",I$3),materiali!$C:$K,5,0),"")</f>
        <v/>
      </c>
      <c r="J912" s="85" t="str">
        <f>IFERROR(VLOOKUP(CONCATENATE($B912,"_",J$3),materiali!$C:$K,6,0),"")</f>
        <v/>
      </c>
      <c r="K912" s="86"/>
      <c r="L912" s="84" t="str">
        <f>IFERROR(VLOOKUP(CONCATENATE($B912,"_",L$3),materiali!$C:$K,5,0),"")</f>
        <v/>
      </c>
      <c r="M912" s="85" t="str">
        <f>IFERROR(VLOOKUP(CONCATENATE($B912,"_",M$3),materiali!$C:$K,6,0),"")</f>
        <v/>
      </c>
      <c r="N912" s="86"/>
      <c r="O912" s="84" t="str">
        <f>IFERROR(VLOOKUP(CONCATENATE($B912,"_",O$3),materiali!$C:$K,5,0),"")</f>
        <v/>
      </c>
      <c r="P912" s="85" t="str">
        <f>IFERROR(VLOOKUP(CONCATENATE($B912,"_",P$3),materiali!$C:$K,6,0),"")</f>
        <v/>
      </c>
      <c r="Q912" s="86"/>
      <c r="R912" s="84" t="str">
        <f>IFERROR(VLOOKUP(CONCATENATE($B912,"_",R$3),materiali!$C:$K,5,0),"")</f>
        <v/>
      </c>
      <c r="S912" s="85" t="str">
        <f>IFERROR(VLOOKUP(CONCATENATE($B912,"_",S$3),materiali!$C:$K,6,0),"")</f>
        <v/>
      </c>
      <c r="T912" s="86"/>
      <c r="U912" s="31"/>
      <c r="AD912" s="97"/>
    </row>
    <row r="913" spans="1:30" ht="35.1" hidden="1" customHeight="1" x14ac:dyDescent="0.25">
      <c r="A913" s="83"/>
      <c r="B913" s="7"/>
      <c r="C913" s="8"/>
      <c r="D913" s="8"/>
      <c r="E913" s="60"/>
      <c r="F913" s="84" t="str">
        <f>IFERROR(VLOOKUP(CONCATENATE($B913,"_",F$3),materiali!$C:$K,5,0),"")</f>
        <v/>
      </c>
      <c r="G913" s="85" t="str">
        <f>IFERROR(VLOOKUP(CONCATENATE($B913,"_",G$3),materiali!$C:$K,6,0),"")</f>
        <v/>
      </c>
      <c r="H913" s="86"/>
      <c r="I913" s="84" t="str">
        <f>IFERROR(VLOOKUP(CONCATENATE($B913,"_",I$3),materiali!$C:$K,5,0),"")</f>
        <v/>
      </c>
      <c r="J913" s="85" t="str">
        <f>IFERROR(VLOOKUP(CONCATENATE($B913,"_",J$3),materiali!$C:$K,6,0),"")</f>
        <v/>
      </c>
      <c r="K913" s="86"/>
      <c r="L913" s="84" t="str">
        <f>IFERROR(VLOOKUP(CONCATENATE($B913,"_",L$3),materiali!$C:$K,5,0),"")</f>
        <v/>
      </c>
      <c r="M913" s="85" t="str">
        <f>IFERROR(VLOOKUP(CONCATENATE($B913,"_",M$3),materiali!$C:$K,6,0),"")</f>
        <v/>
      </c>
      <c r="N913" s="86"/>
      <c r="O913" s="84" t="str">
        <f>IFERROR(VLOOKUP(CONCATENATE($B913,"_",O$3),materiali!$C:$K,5,0),"")</f>
        <v/>
      </c>
      <c r="P913" s="85" t="str">
        <f>IFERROR(VLOOKUP(CONCATENATE($B913,"_",P$3),materiali!$C:$K,6,0),"")</f>
        <v/>
      </c>
      <c r="Q913" s="86"/>
      <c r="R913" s="84" t="str">
        <f>IFERROR(VLOOKUP(CONCATENATE($B913,"_",R$3),materiali!$C:$K,5,0),"")</f>
        <v/>
      </c>
      <c r="S913" s="85" t="str">
        <f>IFERROR(VLOOKUP(CONCATENATE($B913,"_",S$3),materiali!$C:$K,6,0),"")</f>
        <v/>
      </c>
      <c r="T913" s="86"/>
      <c r="U913" s="31"/>
      <c r="AD913" s="97"/>
    </row>
    <row r="914" spans="1:30" ht="35.1" hidden="1" customHeight="1" x14ac:dyDescent="0.25">
      <c r="A914" s="83"/>
      <c r="B914" s="7"/>
      <c r="C914" s="8"/>
      <c r="D914" s="8"/>
      <c r="E914" s="60"/>
      <c r="F914" s="84" t="str">
        <f>IFERROR(VLOOKUP(CONCATENATE($B914,"_",F$3),materiali!$C:$K,5,0),"")</f>
        <v/>
      </c>
      <c r="G914" s="85" t="str">
        <f>IFERROR(VLOOKUP(CONCATENATE($B914,"_",G$3),materiali!$C:$K,6,0),"")</f>
        <v/>
      </c>
      <c r="H914" s="86"/>
      <c r="I914" s="84" t="str">
        <f>IFERROR(VLOOKUP(CONCATENATE($B914,"_",I$3),materiali!$C:$K,5,0),"")</f>
        <v/>
      </c>
      <c r="J914" s="85" t="str">
        <f>IFERROR(VLOOKUP(CONCATENATE($B914,"_",J$3),materiali!$C:$K,6,0),"")</f>
        <v/>
      </c>
      <c r="K914" s="86"/>
      <c r="L914" s="84" t="str">
        <f>IFERROR(VLOOKUP(CONCATENATE($B914,"_",L$3),materiali!$C:$K,5,0),"")</f>
        <v/>
      </c>
      <c r="M914" s="85" t="str">
        <f>IFERROR(VLOOKUP(CONCATENATE($B914,"_",M$3),materiali!$C:$K,6,0),"")</f>
        <v/>
      </c>
      <c r="N914" s="86"/>
      <c r="O914" s="84" t="str">
        <f>IFERROR(VLOOKUP(CONCATENATE($B914,"_",O$3),materiali!$C:$K,5,0),"")</f>
        <v/>
      </c>
      <c r="P914" s="85" t="str">
        <f>IFERROR(VLOOKUP(CONCATENATE($B914,"_",P$3),materiali!$C:$K,6,0),"")</f>
        <v/>
      </c>
      <c r="Q914" s="86"/>
      <c r="R914" s="84" t="str">
        <f>IFERROR(VLOOKUP(CONCATENATE($B914,"_",R$3),materiali!$C:$K,5,0),"")</f>
        <v/>
      </c>
      <c r="S914" s="85" t="str">
        <f>IFERROR(VLOOKUP(CONCATENATE($B914,"_",S$3),materiali!$C:$K,6,0),"")</f>
        <v/>
      </c>
      <c r="T914" s="86"/>
      <c r="U914" s="31"/>
      <c r="AD914" s="97"/>
    </row>
    <row r="915" spans="1:30" ht="35.1" hidden="1" customHeight="1" x14ac:dyDescent="0.25">
      <c r="A915" s="83"/>
      <c r="B915" s="7"/>
      <c r="C915" s="8"/>
      <c r="D915" s="8"/>
      <c r="E915" s="60"/>
      <c r="F915" s="84" t="str">
        <f>IFERROR(VLOOKUP(CONCATENATE($B915,"_",F$3),materiali!$C:$K,5,0),"")</f>
        <v/>
      </c>
      <c r="G915" s="85" t="str">
        <f>IFERROR(VLOOKUP(CONCATENATE($B915,"_",G$3),materiali!$C:$K,6,0),"")</f>
        <v/>
      </c>
      <c r="H915" s="86"/>
      <c r="I915" s="84" t="str">
        <f>IFERROR(VLOOKUP(CONCATENATE($B915,"_",I$3),materiali!$C:$K,5,0),"")</f>
        <v/>
      </c>
      <c r="J915" s="85" t="str">
        <f>IFERROR(VLOOKUP(CONCATENATE($B915,"_",J$3),materiali!$C:$K,6,0),"")</f>
        <v/>
      </c>
      <c r="K915" s="86"/>
      <c r="L915" s="84" t="str">
        <f>IFERROR(VLOOKUP(CONCATENATE($B915,"_",L$3),materiali!$C:$K,5,0),"")</f>
        <v/>
      </c>
      <c r="M915" s="85" t="str">
        <f>IFERROR(VLOOKUP(CONCATENATE($B915,"_",M$3),materiali!$C:$K,6,0),"")</f>
        <v/>
      </c>
      <c r="N915" s="86"/>
      <c r="O915" s="84" t="str">
        <f>IFERROR(VLOOKUP(CONCATENATE($B915,"_",O$3),materiali!$C:$K,5,0),"")</f>
        <v/>
      </c>
      <c r="P915" s="85" t="str">
        <f>IFERROR(VLOOKUP(CONCATENATE($B915,"_",P$3),materiali!$C:$K,6,0),"")</f>
        <v/>
      </c>
      <c r="Q915" s="86"/>
      <c r="R915" s="84" t="str">
        <f>IFERROR(VLOOKUP(CONCATENATE($B915,"_",R$3),materiali!$C:$K,5,0),"")</f>
        <v/>
      </c>
      <c r="S915" s="85" t="str">
        <f>IFERROR(VLOOKUP(CONCATENATE($B915,"_",S$3),materiali!$C:$K,6,0),"")</f>
        <v/>
      </c>
      <c r="T915" s="86"/>
      <c r="U915" s="31"/>
      <c r="AD915" s="97"/>
    </row>
    <row r="916" spans="1:30" ht="35.1" hidden="1" customHeight="1" x14ac:dyDescent="0.25">
      <c r="A916" s="83"/>
      <c r="B916" s="7"/>
      <c r="C916" s="8"/>
      <c r="D916" s="8"/>
      <c r="E916" s="60"/>
      <c r="F916" s="84" t="str">
        <f>IFERROR(VLOOKUP(CONCATENATE($B916,"_",F$3),materiali!$C:$K,5,0),"")</f>
        <v/>
      </c>
      <c r="G916" s="85" t="str">
        <f>IFERROR(VLOOKUP(CONCATENATE($B916,"_",G$3),materiali!$C:$K,6,0),"")</f>
        <v/>
      </c>
      <c r="H916" s="86"/>
      <c r="I916" s="84" t="str">
        <f>IFERROR(VLOOKUP(CONCATENATE($B916,"_",I$3),materiali!$C:$K,5,0),"")</f>
        <v/>
      </c>
      <c r="J916" s="85" t="str">
        <f>IFERROR(VLOOKUP(CONCATENATE($B916,"_",J$3),materiali!$C:$K,6,0),"")</f>
        <v/>
      </c>
      <c r="K916" s="86"/>
      <c r="L916" s="84" t="str">
        <f>IFERROR(VLOOKUP(CONCATENATE($B916,"_",L$3),materiali!$C:$K,5,0),"")</f>
        <v/>
      </c>
      <c r="M916" s="85" t="str">
        <f>IFERROR(VLOOKUP(CONCATENATE($B916,"_",M$3),materiali!$C:$K,6,0),"")</f>
        <v/>
      </c>
      <c r="N916" s="86"/>
      <c r="O916" s="84" t="str">
        <f>IFERROR(VLOOKUP(CONCATENATE($B916,"_",O$3),materiali!$C:$K,5,0),"")</f>
        <v/>
      </c>
      <c r="P916" s="85" t="str">
        <f>IFERROR(VLOOKUP(CONCATENATE($B916,"_",P$3),materiali!$C:$K,6,0),"")</f>
        <v/>
      </c>
      <c r="Q916" s="86"/>
      <c r="R916" s="84" t="str">
        <f>IFERROR(VLOOKUP(CONCATENATE($B916,"_",R$3),materiali!$C:$K,5,0),"")</f>
        <v/>
      </c>
      <c r="S916" s="85" t="str">
        <f>IFERROR(VLOOKUP(CONCATENATE($B916,"_",S$3),materiali!$C:$K,6,0),"")</f>
        <v/>
      </c>
      <c r="T916" s="86"/>
      <c r="U916" s="31"/>
      <c r="AD916" s="97"/>
    </row>
    <row r="917" spans="1:30" ht="35.1" hidden="1" customHeight="1" x14ac:dyDescent="0.25">
      <c r="A917" s="83"/>
      <c r="B917" s="7"/>
      <c r="C917" s="8"/>
      <c r="D917" s="8"/>
      <c r="E917" s="60"/>
      <c r="F917" s="84" t="str">
        <f>IFERROR(VLOOKUP(CONCATENATE($B917,"_",F$3),materiali!$C:$K,5,0),"")</f>
        <v/>
      </c>
      <c r="G917" s="85" t="str">
        <f>IFERROR(VLOOKUP(CONCATENATE($B917,"_",G$3),materiali!$C:$K,6,0),"")</f>
        <v/>
      </c>
      <c r="H917" s="86"/>
      <c r="I917" s="84" t="str">
        <f>IFERROR(VLOOKUP(CONCATENATE($B917,"_",I$3),materiali!$C:$K,5,0),"")</f>
        <v/>
      </c>
      <c r="J917" s="85" t="str">
        <f>IFERROR(VLOOKUP(CONCATENATE($B917,"_",J$3),materiali!$C:$K,6,0),"")</f>
        <v/>
      </c>
      <c r="K917" s="86"/>
      <c r="L917" s="84" t="str">
        <f>IFERROR(VLOOKUP(CONCATENATE($B917,"_",L$3),materiali!$C:$K,5,0),"")</f>
        <v/>
      </c>
      <c r="M917" s="85" t="str">
        <f>IFERROR(VLOOKUP(CONCATENATE($B917,"_",M$3),materiali!$C:$K,6,0),"")</f>
        <v/>
      </c>
      <c r="N917" s="86"/>
      <c r="O917" s="84" t="str">
        <f>IFERROR(VLOOKUP(CONCATENATE($B917,"_",O$3),materiali!$C:$K,5,0),"")</f>
        <v/>
      </c>
      <c r="P917" s="85" t="str">
        <f>IFERROR(VLOOKUP(CONCATENATE($B917,"_",P$3),materiali!$C:$K,6,0),"")</f>
        <v/>
      </c>
      <c r="Q917" s="86"/>
      <c r="R917" s="84" t="str">
        <f>IFERROR(VLOOKUP(CONCATENATE($B917,"_",R$3),materiali!$C:$K,5,0),"")</f>
        <v/>
      </c>
      <c r="S917" s="85" t="str">
        <f>IFERROR(VLOOKUP(CONCATENATE($B917,"_",S$3),materiali!$C:$K,6,0),"")</f>
        <v/>
      </c>
      <c r="T917" s="86"/>
      <c r="U917" s="31"/>
      <c r="AD917" s="97"/>
    </row>
    <row r="918" spans="1:30" ht="35.1" hidden="1" customHeight="1" x14ac:dyDescent="0.25">
      <c r="A918" s="83"/>
      <c r="B918" s="7"/>
      <c r="C918" s="8"/>
      <c r="D918" s="8"/>
      <c r="E918" s="60"/>
      <c r="F918" s="84" t="str">
        <f>IFERROR(VLOOKUP(CONCATENATE($B918,"_",F$3),materiali!$C:$K,5,0),"")</f>
        <v/>
      </c>
      <c r="G918" s="85" t="str">
        <f>IFERROR(VLOOKUP(CONCATENATE($B918,"_",G$3),materiali!$C:$K,6,0),"")</f>
        <v/>
      </c>
      <c r="H918" s="86"/>
      <c r="I918" s="84" t="str">
        <f>IFERROR(VLOOKUP(CONCATENATE($B918,"_",I$3),materiali!$C:$K,5,0),"")</f>
        <v/>
      </c>
      <c r="J918" s="85" t="str">
        <f>IFERROR(VLOOKUP(CONCATENATE($B918,"_",J$3),materiali!$C:$K,6,0),"")</f>
        <v/>
      </c>
      <c r="K918" s="86"/>
      <c r="L918" s="84" t="str">
        <f>IFERROR(VLOOKUP(CONCATENATE($B918,"_",L$3),materiali!$C:$K,5,0),"")</f>
        <v/>
      </c>
      <c r="M918" s="85" t="str">
        <f>IFERROR(VLOOKUP(CONCATENATE($B918,"_",M$3),materiali!$C:$K,6,0),"")</f>
        <v/>
      </c>
      <c r="N918" s="86"/>
      <c r="O918" s="84" t="str">
        <f>IFERROR(VLOOKUP(CONCATENATE($B918,"_",O$3),materiali!$C:$K,5,0),"")</f>
        <v/>
      </c>
      <c r="P918" s="85" t="str">
        <f>IFERROR(VLOOKUP(CONCATENATE($B918,"_",P$3),materiali!$C:$K,6,0),"")</f>
        <v/>
      </c>
      <c r="Q918" s="86"/>
      <c r="R918" s="84" t="str">
        <f>IFERROR(VLOOKUP(CONCATENATE($B918,"_",R$3),materiali!$C:$K,5,0),"")</f>
        <v/>
      </c>
      <c r="S918" s="85" t="str">
        <f>IFERROR(VLOOKUP(CONCATENATE($B918,"_",S$3),materiali!$C:$K,6,0),"")</f>
        <v/>
      </c>
      <c r="T918" s="86"/>
      <c r="U918" s="31"/>
      <c r="AD918" s="97"/>
    </row>
    <row r="919" spans="1:30" ht="35.1" hidden="1" customHeight="1" x14ac:dyDescent="0.25">
      <c r="A919" s="83"/>
      <c r="B919" s="7"/>
      <c r="C919" s="8"/>
      <c r="D919" s="8"/>
      <c r="E919" s="60"/>
      <c r="F919" s="84" t="str">
        <f>IFERROR(VLOOKUP(CONCATENATE($B919,"_",F$3),materiali!$C:$K,5,0),"")</f>
        <v/>
      </c>
      <c r="G919" s="85" t="str">
        <f>IFERROR(VLOOKUP(CONCATENATE($B919,"_",G$3),materiali!$C:$K,6,0),"")</f>
        <v/>
      </c>
      <c r="H919" s="86"/>
      <c r="I919" s="84" t="str">
        <f>IFERROR(VLOOKUP(CONCATENATE($B919,"_",I$3),materiali!$C:$K,5,0),"")</f>
        <v/>
      </c>
      <c r="J919" s="85" t="str">
        <f>IFERROR(VLOOKUP(CONCATENATE($B919,"_",J$3),materiali!$C:$K,6,0),"")</f>
        <v/>
      </c>
      <c r="K919" s="86"/>
      <c r="L919" s="84" t="str">
        <f>IFERROR(VLOOKUP(CONCATENATE($B919,"_",L$3),materiali!$C:$K,5,0),"")</f>
        <v/>
      </c>
      <c r="M919" s="85" t="str">
        <f>IFERROR(VLOOKUP(CONCATENATE($B919,"_",M$3),materiali!$C:$K,6,0),"")</f>
        <v/>
      </c>
      <c r="N919" s="86"/>
      <c r="O919" s="84" t="str">
        <f>IFERROR(VLOOKUP(CONCATENATE($B919,"_",O$3),materiali!$C:$K,5,0),"")</f>
        <v/>
      </c>
      <c r="P919" s="85" t="str">
        <f>IFERROR(VLOOKUP(CONCATENATE($B919,"_",P$3),materiali!$C:$K,6,0),"")</f>
        <v/>
      </c>
      <c r="Q919" s="86"/>
      <c r="R919" s="84" t="str">
        <f>IFERROR(VLOOKUP(CONCATENATE($B919,"_",R$3),materiali!$C:$K,5,0),"")</f>
        <v/>
      </c>
      <c r="S919" s="85" t="str">
        <f>IFERROR(VLOOKUP(CONCATENATE($B919,"_",S$3),materiali!$C:$K,6,0),"")</f>
        <v/>
      </c>
      <c r="T919" s="86"/>
      <c r="U919" s="31"/>
      <c r="AD919" s="97"/>
    </row>
    <row r="920" spans="1:30" ht="35.1" hidden="1" customHeight="1" x14ac:dyDescent="0.25">
      <c r="A920" s="83"/>
      <c r="B920" s="7"/>
      <c r="C920" s="8"/>
      <c r="D920" s="8"/>
      <c r="E920" s="60"/>
      <c r="F920" s="84" t="str">
        <f>IFERROR(VLOOKUP(CONCATENATE($B920,"_",F$3),materiali!$C:$K,5,0),"")</f>
        <v/>
      </c>
      <c r="G920" s="85" t="str">
        <f>IFERROR(VLOOKUP(CONCATENATE($B920,"_",G$3),materiali!$C:$K,6,0),"")</f>
        <v/>
      </c>
      <c r="H920" s="86"/>
      <c r="I920" s="84" t="str">
        <f>IFERROR(VLOOKUP(CONCATENATE($B920,"_",I$3),materiali!$C:$K,5,0),"")</f>
        <v/>
      </c>
      <c r="J920" s="85" t="str">
        <f>IFERROR(VLOOKUP(CONCATENATE($B920,"_",J$3),materiali!$C:$K,6,0),"")</f>
        <v/>
      </c>
      <c r="K920" s="86"/>
      <c r="L920" s="84" t="str">
        <f>IFERROR(VLOOKUP(CONCATENATE($B920,"_",L$3),materiali!$C:$K,5,0),"")</f>
        <v/>
      </c>
      <c r="M920" s="85" t="str">
        <f>IFERROR(VLOOKUP(CONCATENATE($B920,"_",M$3),materiali!$C:$K,6,0),"")</f>
        <v/>
      </c>
      <c r="N920" s="86"/>
      <c r="O920" s="84" t="str">
        <f>IFERROR(VLOOKUP(CONCATENATE($B920,"_",O$3),materiali!$C:$K,5,0),"")</f>
        <v/>
      </c>
      <c r="P920" s="85" t="str">
        <f>IFERROR(VLOOKUP(CONCATENATE($B920,"_",P$3),materiali!$C:$K,6,0),"")</f>
        <v/>
      </c>
      <c r="Q920" s="86"/>
      <c r="R920" s="84" t="str">
        <f>IFERROR(VLOOKUP(CONCATENATE($B920,"_",R$3),materiali!$C:$K,5,0),"")</f>
        <v/>
      </c>
      <c r="S920" s="85" t="str">
        <f>IFERROR(VLOOKUP(CONCATENATE($B920,"_",S$3),materiali!$C:$K,6,0),"")</f>
        <v/>
      </c>
      <c r="T920" s="86"/>
      <c r="U920" s="31"/>
      <c r="AD920" s="97"/>
    </row>
    <row r="921" spans="1:30" ht="35.1" hidden="1" customHeight="1" x14ac:dyDescent="0.25">
      <c r="A921" s="83"/>
      <c r="B921" s="7"/>
      <c r="C921" s="8"/>
      <c r="D921" s="8"/>
      <c r="E921" s="60"/>
      <c r="F921" s="84" t="str">
        <f>IFERROR(VLOOKUP(CONCATENATE($B921,"_",F$3),materiali!$C:$K,5,0),"")</f>
        <v/>
      </c>
      <c r="G921" s="85" t="str">
        <f>IFERROR(VLOOKUP(CONCATENATE($B921,"_",G$3),materiali!$C:$K,6,0),"")</f>
        <v/>
      </c>
      <c r="H921" s="86"/>
      <c r="I921" s="84" t="str">
        <f>IFERROR(VLOOKUP(CONCATENATE($B921,"_",I$3),materiali!$C:$K,5,0),"")</f>
        <v/>
      </c>
      <c r="J921" s="85" t="str">
        <f>IFERROR(VLOOKUP(CONCATENATE($B921,"_",J$3),materiali!$C:$K,6,0),"")</f>
        <v/>
      </c>
      <c r="K921" s="86"/>
      <c r="L921" s="84" t="str">
        <f>IFERROR(VLOOKUP(CONCATENATE($B921,"_",L$3),materiali!$C:$K,5,0),"")</f>
        <v/>
      </c>
      <c r="M921" s="85" t="str">
        <f>IFERROR(VLOOKUP(CONCATENATE($B921,"_",M$3),materiali!$C:$K,6,0),"")</f>
        <v/>
      </c>
      <c r="N921" s="86"/>
      <c r="O921" s="84" t="str">
        <f>IFERROR(VLOOKUP(CONCATENATE($B921,"_",O$3),materiali!$C:$K,5,0),"")</f>
        <v/>
      </c>
      <c r="P921" s="85" t="str">
        <f>IFERROR(VLOOKUP(CONCATENATE($B921,"_",P$3),materiali!$C:$K,6,0),"")</f>
        <v/>
      </c>
      <c r="Q921" s="86"/>
      <c r="R921" s="84" t="str">
        <f>IFERROR(VLOOKUP(CONCATENATE($B921,"_",R$3),materiali!$C:$K,5,0),"")</f>
        <v/>
      </c>
      <c r="S921" s="85" t="str">
        <f>IFERROR(VLOOKUP(CONCATENATE($B921,"_",S$3),materiali!$C:$K,6,0),"")</f>
        <v/>
      </c>
      <c r="T921" s="86"/>
      <c r="U921" s="31"/>
      <c r="AD921" s="97"/>
    </row>
    <row r="922" spans="1:30" ht="35.1" hidden="1" customHeight="1" x14ac:dyDescent="0.25">
      <c r="A922" s="83"/>
      <c r="B922" s="7"/>
      <c r="C922" s="8"/>
      <c r="D922" s="8"/>
      <c r="E922" s="60"/>
      <c r="F922" s="84" t="str">
        <f>IFERROR(VLOOKUP(CONCATENATE($B922,"_",F$3),materiali!$C:$K,5,0),"")</f>
        <v/>
      </c>
      <c r="G922" s="85" t="str">
        <f>IFERROR(VLOOKUP(CONCATENATE($B922,"_",G$3),materiali!$C:$K,6,0),"")</f>
        <v/>
      </c>
      <c r="H922" s="86"/>
      <c r="I922" s="84" t="str">
        <f>IFERROR(VLOOKUP(CONCATENATE($B922,"_",I$3),materiali!$C:$K,5,0),"")</f>
        <v/>
      </c>
      <c r="J922" s="85" t="str">
        <f>IFERROR(VLOOKUP(CONCATENATE($B922,"_",J$3),materiali!$C:$K,6,0),"")</f>
        <v/>
      </c>
      <c r="K922" s="86"/>
      <c r="L922" s="84" t="str">
        <f>IFERROR(VLOOKUP(CONCATENATE($B922,"_",L$3),materiali!$C:$K,5,0),"")</f>
        <v/>
      </c>
      <c r="M922" s="85" t="str">
        <f>IFERROR(VLOOKUP(CONCATENATE($B922,"_",M$3),materiali!$C:$K,6,0),"")</f>
        <v/>
      </c>
      <c r="N922" s="86"/>
      <c r="O922" s="84" t="str">
        <f>IFERROR(VLOOKUP(CONCATENATE($B922,"_",O$3),materiali!$C:$K,5,0),"")</f>
        <v/>
      </c>
      <c r="P922" s="85" t="str">
        <f>IFERROR(VLOOKUP(CONCATENATE($B922,"_",P$3),materiali!$C:$K,6,0),"")</f>
        <v/>
      </c>
      <c r="Q922" s="86"/>
      <c r="R922" s="84" t="str">
        <f>IFERROR(VLOOKUP(CONCATENATE($B922,"_",R$3),materiali!$C:$K,5,0),"")</f>
        <v/>
      </c>
      <c r="S922" s="85" t="str">
        <f>IFERROR(VLOOKUP(CONCATENATE($B922,"_",S$3),materiali!$C:$K,6,0),"")</f>
        <v/>
      </c>
      <c r="T922" s="86"/>
      <c r="U922" s="31"/>
      <c r="AD922" s="97"/>
    </row>
    <row r="923" spans="1:30" ht="35.1" hidden="1" customHeight="1" x14ac:dyDescent="0.25">
      <c r="A923" s="83"/>
      <c r="B923" s="7"/>
      <c r="C923" s="8"/>
      <c r="D923" s="8"/>
      <c r="E923" s="60"/>
      <c r="F923" s="84" t="str">
        <f>IFERROR(VLOOKUP(CONCATENATE($B923,"_",F$3),materiali!$C:$K,5,0),"")</f>
        <v/>
      </c>
      <c r="G923" s="85" t="str">
        <f>IFERROR(VLOOKUP(CONCATENATE($B923,"_",G$3),materiali!$C:$K,6,0),"")</f>
        <v/>
      </c>
      <c r="H923" s="86"/>
      <c r="I923" s="84" t="str">
        <f>IFERROR(VLOOKUP(CONCATENATE($B923,"_",I$3),materiali!$C:$K,5,0),"")</f>
        <v/>
      </c>
      <c r="J923" s="85" t="str">
        <f>IFERROR(VLOOKUP(CONCATENATE($B923,"_",J$3),materiali!$C:$K,6,0),"")</f>
        <v/>
      </c>
      <c r="K923" s="86"/>
      <c r="L923" s="84" t="str">
        <f>IFERROR(VLOOKUP(CONCATENATE($B923,"_",L$3),materiali!$C:$K,5,0),"")</f>
        <v/>
      </c>
      <c r="M923" s="85" t="str">
        <f>IFERROR(VLOOKUP(CONCATENATE($B923,"_",M$3),materiali!$C:$K,6,0),"")</f>
        <v/>
      </c>
      <c r="N923" s="86"/>
      <c r="O923" s="84" t="str">
        <f>IFERROR(VLOOKUP(CONCATENATE($B923,"_",O$3),materiali!$C:$K,5,0),"")</f>
        <v/>
      </c>
      <c r="P923" s="85" t="str">
        <f>IFERROR(VLOOKUP(CONCATENATE($B923,"_",P$3),materiali!$C:$K,6,0),"")</f>
        <v/>
      </c>
      <c r="Q923" s="86"/>
      <c r="R923" s="84" t="str">
        <f>IFERROR(VLOOKUP(CONCATENATE($B923,"_",R$3),materiali!$C:$K,5,0),"")</f>
        <v/>
      </c>
      <c r="S923" s="85" t="str">
        <f>IFERROR(VLOOKUP(CONCATENATE($B923,"_",S$3),materiali!$C:$K,6,0),"")</f>
        <v/>
      </c>
      <c r="T923" s="86"/>
      <c r="U923" s="31"/>
      <c r="AD923" s="97"/>
    </row>
    <row r="924" spans="1:30" ht="35.1" hidden="1" customHeight="1" x14ac:dyDescent="0.25">
      <c r="A924" s="83"/>
      <c r="B924" s="7"/>
      <c r="C924" s="8"/>
      <c r="D924" s="8"/>
      <c r="E924" s="60"/>
      <c r="F924" s="84" t="str">
        <f>IFERROR(VLOOKUP(CONCATENATE($B924,"_",F$3),materiali!$C:$K,5,0),"")</f>
        <v/>
      </c>
      <c r="G924" s="85" t="str">
        <f>IFERROR(VLOOKUP(CONCATENATE($B924,"_",G$3),materiali!$C:$K,6,0),"")</f>
        <v/>
      </c>
      <c r="H924" s="86"/>
      <c r="I924" s="84" t="str">
        <f>IFERROR(VLOOKUP(CONCATENATE($B924,"_",I$3),materiali!$C:$K,5,0),"")</f>
        <v/>
      </c>
      <c r="J924" s="85" t="str">
        <f>IFERROR(VLOOKUP(CONCATENATE($B924,"_",J$3),materiali!$C:$K,6,0),"")</f>
        <v/>
      </c>
      <c r="K924" s="86"/>
      <c r="L924" s="84" t="str">
        <f>IFERROR(VLOOKUP(CONCATENATE($B924,"_",L$3),materiali!$C:$K,5,0),"")</f>
        <v/>
      </c>
      <c r="M924" s="85" t="str">
        <f>IFERROR(VLOOKUP(CONCATENATE($B924,"_",M$3),materiali!$C:$K,6,0),"")</f>
        <v/>
      </c>
      <c r="N924" s="86"/>
      <c r="O924" s="84" t="str">
        <f>IFERROR(VLOOKUP(CONCATENATE($B924,"_",O$3),materiali!$C:$K,5,0),"")</f>
        <v/>
      </c>
      <c r="P924" s="85" t="str">
        <f>IFERROR(VLOOKUP(CONCATENATE($B924,"_",P$3),materiali!$C:$K,6,0),"")</f>
        <v/>
      </c>
      <c r="Q924" s="86"/>
      <c r="R924" s="84" t="str">
        <f>IFERROR(VLOOKUP(CONCATENATE($B924,"_",R$3),materiali!$C:$K,5,0),"")</f>
        <v/>
      </c>
      <c r="S924" s="85" t="str">
        <f>IFERROR(VLOOKUP(CONCATENATE($B924,"_",S$3),materiali!$C:$K,6,0),"")</f>
        <v/>
      </c>
      <c r="T924" s="86"/>
      <c r="U924" s="31"/>
      <c r="AD924" s="97"/>
    </row>
    <row r="925" spans="1:30" ht="35.1" hidden="1" customHeight="1" x14ac:dyDescent="0.25">
      <c r="A925" s="83"/>
      <c r="B925" s="7"/>
      <c r="C925" s="8"/>
      <c r="D925" s="8"/>
      <c r="E925" s="60"/>
      <c r="F925" s="84" t="str">
        <f>IFERROR(VLOOKUP(CONCATENATE($B925,"_",F$3),materiali!$C:$K,5,0),"")</f>
        <v/>
      </c>
      <c r="G925" s="85" t="str">
        <f>IFERROR(VLOOKUP(CONCATENATE($B925,"_",G$3),materiali!$C:$K,6,0),"")</f>
        <v/>
      </c>
      <c r="H925" s="86"/>
      <c r="I925" s="84" t="str">
        <f>IFERROR(VLOOKUP(CONCATENATE($B925,"_",I$3),materiali!$C:$K,5,0),"")</f>
        <v/>
      </c>
      <c r="J925" s="85" t="str">
        <f>IFERROR(VLOOKUP(CONCATENATE($B925,"_",J$3),materiali!$C:$K,6,0),"")</f>
        <v/>
      </c>
      <c r="K925" s="86"/>
      <c r="L925" s="84" t="str">
        <f>IFERROR(VLOOKUP(CONCATENATE($B925,"_",L$3),materiali!$C:$K,5,0),"")</f>
        <v/>
      </c>
      <c r="M925" s="85" t="str">
        <f>IFERROR(VLOOKUP(CONCATENATE($B925,"_",M$3),materiali!$C:$K,6,0),"")</f>
        <v/>
      </c>
      <c r="N925" s="86"/>
      <c r="O925" s="84" t="str">
        <f>IFERROR(VLOOKUP(CONCATENATE($B925,"_",O$3),materiali!$C:$K,5,0),"")</f>
        <v/>
      </c>
      <c r="P925" s="85" t="str">
        <f>IFERROR(VLOOKUP(CONCATENATE($B925,"_",P$3),materiali!$C:$K,6,0),"")</f>
        <v/>
      </c>
      <c r="Q925" s="86"/>
      <c r="R925" s="84" t="str">
        <f>IFERROR(VLOOKUP(CONCATENATE($B925,"_",R$3),materiali!$C:$K,5,0),"")</f>
        <v/>
      </c>
      <c r="S925" s="85" t="str">
        <f>IFERROR(VLOOKUP(CONCATENATE($B925,"_",S$3),materiali!$C:$K,6,0),"")</f>
        <v/>
      </c>
      <c r="T925" s="86"/>
      <c r="U925" s="31"/>
      <c r="AD925" s="97"/>
    </row>
    <row r="926" spans="1:30" ht="35.1" hidden="1" customHeight="1" x14ac:dyDescent="0.25">
      <c r="A926" s="83"/>
      <c r="B926" s="7"/>
      <c r="C926" s="8"/>
      <c r="D926" s="8"/>
      <c r="E926" s="60"/>
      <c r="F926" s="84" t="str">
        <f>IFERROR(VLOOKUP(CONCATENATE($B926,"_",F$3),materiali!$C:$K,5,0),"")</f>
        <v/>
      </c>
      <c r="G926" s="85" t="str">
        <f>IFERROR(VLOOKUP(CONCATENATE($B926,"_",G$3),materiali!$C:$K,6,0),"")</f>
        <v/>
      </c>
      <c r="H926" s="86"/>
      <c r="I926" s="84" t="str">
        <f>IFERROR(VLOOKUP(CONCATENATE($B926,"_",I$3),materiali!$C:$K,5,0),"")</f>
        <v/>
      </c>
      <c r="J926" s="85" t="str">
        <f>IFERROR(VLOOKUP(CONCATENATE($B926,"_",J$3),materiali!$C:$K,6,0),"")</f>
        <v/>
      </c>
      <c r="K926" s="86"/>
      <c r="L926" s="84" t="str">
        <f>IFERROR(VLOOKUP(CONCATENATE($B926,"_",L$3),materiali!$C:$K,5,0),"")</f>
        <v/>
      </c>
      <c r="M926" s="85" t="str">
        <f>IFERROR(VLOOKUP(CONCATENATE($B926,"_",M$3),materiali!$C:$K,6,0),"")</f>
        <v/>
      </c>
      <c r="N926" s="86"/>
      <c r="O926" s="84" t="str">
        <f>IFERROR(VLOOKUP(CONCATENATE($B926,"_",O$3),materiali!$C:$K,5,0),"")</f>
        <v/>
      </c>
      <c r="P926" s="85" t="str">
        <f>IFERROR(VLOOKUP(CONCATENATE($B926,"_",P$3),materiali!$C:$K,6,0),"")</f>
        <v/>
      </c>
      <c r="Q926" s="86"/>
      <c r="R926" s="84" t="str">
        <f>IFERROR(VLOOKUP(CONCATENATE($B926,"_",R$3),materiali!$C:$K,5,0),"")</f>
        <v/>
      </c>
      <c r="S926" s="85" t="str">
        <f>IFERROR(VLOOKUP(CONCATENATE($B926,"_",S$3),materiali!$C:$K,6,0),"")</f>
        <v/>
      </c>
      <c r="T926" s="86"/>
      <c r="U926" s="31"/>
      <c r="AD926" s="97"/>
    </row>
    <row r="927" spans="1:30" ht="35.1" hidden="1" customHeight="1" x14ac:dyDescent="0.25">
      <c r="A927" s="83"/>
      <c r="B927" s="7"/>
      <c r="C927" s="8"/>
      <c r="D927" s="8"/>
      <c r="E927" s="60"/>
      <c r="F927" s="84" t="str">
        <f>IFERROR(VLOOKUP(CONCATENATE($B927,"_",F$3),materiali!$C:$K,5,0),"")</f>
        <v/>
      </c>
      <c r="G927" s="85" t="str">
        <f>IFERROR(VLOOKUP(CONCATENATE($B927,"_",G$3),materiali!$C:$K,6,0),"")</f>
        <v/>
      </c>
      <c r="H927" s="86"/>
      <c r="I927" s="84" t="str">
        <f>IFERROR(VLOOKUP(CONCATENATE($B927,"_",I$3),materiali!$C:$K,5,0),"")</f>
        <v/>
      </c>
      <c r="J927" s="85" t="str">
        <f>IFERROR(VLOOKUP(CONCATENATE($B927,"_",J$3),materiali!$C:$K,6,0),"")</f>
        <v/>
      </c>
      <c r="K927" s="86"/>
      <c r="L927" s="84" t="str">
        <f>IFERROR(VLOOKUP(CONCATENATE($B927,"_",L$3),materiali!$C:$K,5,0),"")</f>
        <v/>
      </c>
      <c r="M927" s="85" t="str">
        <f>IFERROR(VLOOKUP(CONCATENATE($B927,"_",M$3),materiali!$C:$K,6,0),"")</f>
        <v/>
      </c>
      <c r="N927" s="86"/>
      <c r="O927" s="84" t="str">
        <f>IFERROR(VLOOKUP(CONCATENATE($B927,"_",O$3),materiali!$C:$K,5,0),"")</f>
        <v/>
      </c>
      <c r="P927" s="85" t="str">
        <f>IFERROR(VLOOKUP(CONCATENATE($B927,"_",P$3),materiali!$C:$K,6,0),"")</f>
        <v/>
      </c>
      <c r="Q927" s="86"/>
      <c r="R927" s="84" t="str">
        <f>IFERROR(VLOOKUP(CONCATENATE($B927,"_",R$3),materiali!$C:$K,5,0),"")</f>
        <v/>
      </c>
      <c r="S927" s="85" t="str">
        <f>IFERROR(VLOOKUP(CONCATENATE($B927,"_",S$3),materiali!$C:$K,6,0),"")</f>
        <v/>
      </c>
      <c r="T927" s="86"/>
      <c r="U927" s="31"/>
      <c r="AD927" s="97"/>
    </row>
    <row r="928" spans="1:30" ht="35.1" hidden="1" customHeight="1" x14ac:dyDescent="0.25">
      <c r="A928" s="83"/>
      <c r="B928" s="7"/>
      <c r="C928" s="8"/>
      <c r="D928" s="8"/>
      <c r="E928" s="60"/>
      <c r="F928" s="84" t="str">
        <f>IFERROR(VLOOKUP(CONCATENATE($B928,"_",F$3),materiali!$C:$K,5,0),"")</f>
        <v/>
      </c>
      <c r="G928" s="85" t="str">
        <f>IFERROR(VLOOKUP(CONCATENATE($B928,"_",G$3),materiali!$C:$K,6,0),"")</f>
        <v/>
      </c>
      <c r="H928" s="86"/>
      <c r="I928" s="84" t="str">
        <f>IFERROR(VLOOKUP(CONCATENATE($B928,"_",I$3),materiali!$C:$K,5,0),"")</f>
        <v/>
      </c>
      <c r="J928" s="85" t="str">
        <f>IFERROR(VLOOKUP(CONCATENATE($B928,"_",J$3),materiali!$C:$K,6,0),"")</f>
        <v/>
      </c>
      <c r="K928" s="86"/>
      <c r="L928" s="84" t="str">
        <f>IFERROR(VLOOKUP(CONCATENATE($B928,"_",L$3),materiali!$C:$K,5,0),"")</f>
        <v/>
      </c>
      <c r="M928" s="85" t="str">
        <f>IFERROR(VLOOKUP(CONCATENATE($B928,"_",M$3),materiali!$C:$K,6,0),"")</f>
        <v/>
      </c>
      <c r="N928" s="86"/>
      <c r="O928" s="84" t="str">
        <f>IFERROR(VLOOKUP(CONCATENATE($B928,"_",O$3),materiali!$C:$K,5,0),"")</f>
        <v/>
      </c>
      <c r="P928" s="85" t="str">
        <f>IFERROR(VLOOKUP(CONCATENATE($B928,"_",P$3),materiali!$C:$K,6,0),"")</f>
        <v/>
      </c>
      <c r="Q928" s="86"/>
      <c r="R928" s="84" t="str">
        <f>IFERROR(VLOOKUP(CONCATENATE($B928,"_",R$3),materiali!$C:$K,5,0),"")</f>
        <v/>
      </c>
      <c r="S928" s="85" t="str">
        <f>IFERROR(VLOOKUP(CONCATENATE($B928,"_",S$3),materiali!$C:$K,6,0),"")</f>
        <v/>
      </c>
      <c r="T928" s="86"/>
      <c r="U928" s="31"/>
      <c r="AD928" s="97"/>
    </row>
    <row r="929" spans="1:30" ht="35.1" hidden="1" customHeight="1" x14ac:dyDescent="0.25">
      <c r="A929" s="83"/>
      <c r="B929" s="7"/>
      <c r="C929" s="8"/>
      <c r="D929" s="8"/>
      <c r="E929" s="60"/>
      <c r="F929" s="84" t="str">
        <f>IFERROR(VLOOKUP(CONCATENATE($B929,"_",F$3),materiali!$C:$K,5,0),"")</f>
        <v/>
      </c>
      <c r="G929" s="85" t="str">
        <f>IFERROR(VLOOKUP(CONCATENATE($B929,"_",G$3),materiali!$C:$K,6,0),"")</f>
        <v/>
      </c>
      <c r="H929" s="86"/>
      <c r="I929" s="84" t="str">
        <f>IFERROR(VLOOKUP(CONCATENATE($B929,"_",I$3),materiali!$C:$K,5,0),"")</f>
        <v/>
      </c>
      <c r="J929" s="85" t="str">
        <f>IFERROR(VLOOKUP(CONCATENATE($B929,"_",J$3),materiali!$C:$K,6,0),"")</f>
        <v/>
      </c>
      <c r="K929" s="86"/>
      <c r="L929" s="84" t="str">
        <f>IFERROR(VLOOKUP(CONCATENATE($B929,"_",L$3),materiali!$C:$K,5,0),"")</f>
        <v/>
      </c>
      <c r="M929" s="85" t="str">
        <f>IFERROR(VLOOKUP(CONCATENATE($B929,"_",M$3),materiali!$C:$K,6,0),"")</f>
        <v/>
      </c>
      <c r="N929" s="86"/>
      <c r="O929" s="84" t="str">
        <f>IFERROR(VLOOKUP(CONCATENATE($B929,"_",O$3),materiali!$C:$K,5,0),"")</f>
        <v/>
      </c>
      <c r="P929" s="85" t="str">
        <f>IFERROR(VLOOKUP(CONCATENATE($B929,"_",P$3),materiali!$C:$K,6,0),"")</f>
        <v/>
      </c>
      <c r="Q929" s="86"/>
      <c r="R929" s="84" t="str">
        <f>IFERROR(VLOOKUP(CONCATENATE($B929,"_",R$3),materiali!$C:$K,5,0),"")</f>
        <v/>
      </c>
      <c r="S929" s="85" t="str">
        <f>IFERROR(VLOOKUP(CONCATENATE($B929,"_",S$3),materiali!$C:$K,6,0),"")</f>
        <v/>
      </c>
      <c r="T929" s="86"/>
      <c r="U929" s="31"/>
      <c r="AD929" s="97"/>
    </row>
    <row r="930" spans="1:30" ht="35.1" hidden="1" customHeight="1" x14ac:dyDescent="0.25">
      <c r="A930" s="83"/>
      <c r="B930" s="7"/>
      <c r="C930" s="8"/>
      <c r="D930" s="8"/>
      <c r="E930" s="60"/>
      <c r="F930" s="84" t="str">
        <f>IFERROR(VLOOKUP(CONCATENATE($B930,"_",F$3),materiali!$C:$K,5,0),"")</f>
        <v/>
      </c>
      <c r="G930" s="85" t="str">
        <f>IFERROR(VLOOKUP(CONCATENATE($B930,"_",G$3),materiali!$C:$K,6,0),"")</f>
        <v/>
      </c>
      <c r="H930" s="86"/>
      <c r="I930" s="84" t="str">
        <f>IFERROR(VLOOKUP(CONCATENATE($B930,"_",I$3),materiali!$C:$K,5,0),"")</f>
        <v/>
      </c>
      <c r="J930" s="85" t="str">
        <f>IFERROR(VLOOKUP(CONCATENATE($B930,"_",J$3),materiali!$C:$K,6,0),"")</f>
        <v/>
      </c>
      <c r="K930" s="86"/>
      <c r="L930" s="84" t="str">
        <f>IFERROR(VLOOKUP(CONCATENATE($B930,"_",L$3),materiali!$C:$K,5,0),"")</f>
        <v/>
      </c>
      <c r="M930" s="85" t="str">
        <f>IFERROR(VLOOKUP(CONCATENATE($B930,"_",M$3),materiali!$C:$K,6,0),"")</f>
        <v/>
      </c>
      <c r="N930" s="86"/>
      <c r="O930" s="84" t="str">
        <f>IFERROR(VLOOKUP(CONCATENATE($B930,"_",O$3),materiali!$C:$K,5,0),"")</f>
        <v/>
      </c>
      <c r="P930" s="85" t="str">
        <f>IFERROR(VLOOKUP(CONCATENATE($B930,"_",P$3),materiali!$C:$K,6,0),"")</f>
        <v/>
      </c>
      <c r="Q930" s="86"/>
      <c r="R930" s="84" t="str">
        <f>IFERROR(VLOOKUP(CONCATENATE($B930,"_",R$3),materiali!$C:$K,5,0),"")</f>
        <v/>
      </c>
      <c r="S930" s="85" t="str">
        <f>IFERROR(VLOOKUP(CONCATENATE($B930,"_",S$3),materiali!$C:$K,6,0),"")</f>
        <v/>
      </c>
      <c r="T930" s="86"/>
      <c r="U930" s="31"/>
      <c r="AD930" s="97"/>
    </row>
    <row r="931" spans="1:30" ht="35.1" hidden="1" customHeight="1" x14ac:dyDescent="0.25">
      <c r="A931" s="83"/>
      <c r="B931" s="7"/>
      <c r="C931" s="8"/>
      <c r="D931" s="8"/>
      <c r="E931" s="60"/>
      <c r="F931" s="84" t="str">
        <f>IFERROR(VLOOKUP(CONCATENATE($B931,"_",F$3),materiali!$C:$K,5,0),"")</f>
        <v/>
      </c>
      <c r="G931" s="85" t="str">
        <f>IFERROR(VLOOKUP(CONCATENATE($B931,"_",G$3),materiali!$C:$K,6,0),"")</f>
        <v/>
      </c>
      <c r="H931" s="86"/>
      <c r="I931" s="84" t="str">
        <f>IFERROR(VLOOKUP(CONCATENATE($B931,"_",I$3),materiali!$C:$K,5,0),"")</f>
        <v/>
      </c>
      <c r="J931" s="85" t="str">
        <f>IFERROR(VLOOKUP(CONCATENATE($B931,"_",J$3),materiali!$C:$K,6,0),"")</f>
        <v/>
      </c>
      <c r="K931" s="86"/>
      <c r="L931" s="84" t="str">
        <f>IFERROR(VLOOKUP(CONCATENATE($B931,"_",L$3),materiali!$C:$K,5,0),"")</f>
        <v/>
      </c>
      <c r="M931" s="85" t="str">
        <f>IFERROR(VLOOKUP(CONCATENATE($B931,"_",M$3),materiali!$C:$K,6,0),"")</f>
        <v/>
      </c>
      <c r="N931" s="86"/>
      <c r="O931" s="84" t="str">
        <f>IFERROR(VLOOKUP(CONCATENATE($B931,"_",O$3),materiali!$C:$K,5,0),"")</f>
        <v/>
      </c>
      <c r="P931" s="85" t="str">
        <f>IFERROR(VLOOKUP(CONCATENATE($B931,"_",P$3),materiali!$C:$K,6,0),"")</f>
        <v/>
      </c>
      <c r="Q931" s="86"/>
      <c r="R931" s="84" t="str">
        <f>IFERROR(VLOOKUP(CONCATENATE($B931,"_",R$3),materiali!$C:$K,5,0),"")</f>
        <v/>
      </c>
      <c r="S931" s="85" t="str">
        <f>IFERROR(VLOOKUP(CONCATENATE($B931,"_",S$3),materiali!$C:$K,6,0),"")</f>
        <v/>
      </c>
      <c r="T931" s="86"/>
      <c r="U931" s="31"/>
      <c r="AD931" s="97"/>
    </row>
    <row r="932" spans="1:30" ht="35.1" hidden="1" customHeight="1" x14ac:dyDescent="0.25">
      <c r="A932" s="83"/>
      <c r="B932" s="7"/>
      <c r="C932" s="8"/>
      <c r="D932" s="8"/>
      <c r="E932" s="60"/>
      <c r="F932" s="84" t="str">
        <f>IFERROR(VLOOKUP(CONCATENATE($B932,"_",F$3),materiali!$C:$K,5,0),"")</f>
        <v/>
      </c>
      <c r="G932" s="85" t="str">
        <f>IFERROR(VLOOKUP(CONCATENATE($B932,"_",G$3),materiali!$C:$K,6,0),"")</f>
        <v/>
      </c>
      <c r="H932" s="86"/>
      <c r="I932" s="84" t="str">
        <f>IFERROR(VLOOKUP(CONCATENATE($B932,"_",I$3),materiali!$C:$K,5,0),"")</f>
        <v/>
      </c>
      <c r="J932" s="85" t="str">
        <f>IFERROR(VLOOKUP(CONCATENATE($B932,"_",J$3),materiali!$C:$K,6,0),"")</f>
        <v/>
      </c>
      <c r="K932" s="86"/>
      <c r="L932" s="84" t="str">
        <f>IFERROR(VLOOKUP(CONCATENATE($B932,"_",L$3),materiali!$C:$K,5,0),"")</f>
        <v/>
      </c>
      <c r="M932" s="85" t="str">
        <f>IFERROR(VLOOKUP(CONCATENATE($B932,"_",M$3),materiali!$C:$K,6,0),"")</f>
        <v/>
      </c>
      <c r="N932" s="86"/>
      <c r="O932" s="84" t="str">
        <f>IFERROR(VLOOKUP(CONCATENATE($B932,"_",O$3),materiali!$C:$K,5,0),"")</f>
        <v/>
      </c>
      <c r="P932" s="85" t="str">
        <f>IFERROR(VLOOKUP(CONCATENATE($B932,"_",P$3),materiali!$C:$K,6,0),"")</f>
        <v/>
      </c>
      <c r="Q932" s="86"/>
      <c r="R932" s="84" t="str">
        <f>IFERROR(VLOOKUP(CONCATENATE($B932,"_",R$3),materiali!$C:$K,5,0),"")</f>
        <v/>
      </c>
      <c r="S932" s="85" t="str">
        <f>IFERROR(VLOOKUP(CONCATENATE($B932,"_",S$3),materiali!$C:$K,6,0),"")</f>
        <v/>
      </c>
      <c r="T932" s="86"/>
      <c r="U932" s="31"/>
      <c r="AD932" s="97"/>
    </row>
    <row r="933" spans="1:30" ht="35.1" hidden="1" customHeight="1" x14ac:dyDescent="0.25">
      <c r="A933" s="83"/>
      <c r="B933" s="7"/>
      <c r="C933" s="8"/>
      <c r="D933" s="8"/>
      <c r="E933" s="60"/>
      <c r="F933" s="84" t="str">
        <f>IFERROR(VLOOKUP(CONCATENATE($B933,"_",F$3),materiali!$C:$K,5,0),"")</f>
        <v/>
      </c>
      <c r="G933" s="85" t="str">
        <f>IFERROR(VLOOKUP(CONCATENATE($B933,"_",G$3),materiali!$C:$K,6,0),"")</f>
        <v/>
      </c>
      <c r="H933" s="86"/>
      <c r="I933" s="84" t="str">
        <f>IFERROR(VLOOKUP(CONCATENATE($B933,"_",I$3),materiali!$C:$K,5,0),"")</f>
        <v/>
      </c>
      <c r="J933" s="85" t="str">
        <f>IFERROR(VLOOKUP(CONCATENATE($B933,"_",J$3),materiali!$C:$K,6,0),"")</f>
        <v/>
      </c>
      <c r="K933" s="86"/>
      <c r="L933" s="84" t="str">
        <f>IFERROR(VLOOKUP(CONCATENATE($B933,"_",L$3),materiali!$C:$K,5,0),"")</f>
        <v/>
      </c>
      <c r="M933" s="85" t="str">
        <f>IFERROR(VLOOKUP(CONCATENATE($B933,"_",M$3),materiali!$C:$K,6,0),"")</f>
        <v/>
      </c>
      <c r="N933" s="86"/>
      <c r="O933" s="84" t="str">
        <f>IFERROR(VLOOKUP(CONCATENATE($B933,"_",O$3),materiali!$C:$K,5,0),"")</f>
        <v/>
      </c>
      <c r="P933" s="85" t="str">
        <f>IFERROR(VLOOKUP(CONCATENATE($B933,"_",P$3),materiali!$C:$K,6,0),"")</f>
        <v/>
      </c>
      <c r="Q933" s="86"/>
      <c r="R933" s="84" t="str">
        <f>IFERROR(VLOOKUP(CONCATENATE($B933,"_",R$3),materiali!$C:$K,5,0),"")</f>
        <v/>
      </c>
      <c r="S933" s="85" t="str">
        <f>IFERROR(VLOOKUP(CONCATENATE($B933,"_",S$3),materiali!$C:$K,6,0),"")</f>
        <v/>
      </c>
      <c r="T933" s="86"/>
      <c r="U933" s="31"/>
      <c r="AD933" s="97"/>
    </row>
    <row r="934" spans="1:30" ht="35.1" hidden="1" customHeight="1" x14ac:dyDescent="0.25">
      <c r="A934" s="83"/>
      <c r="B934" s="7"/>
      <c r="C934" s="8"/>
      <c r="D934" s="8"/>
      <c r="E934" s="60"/>
      <c r="F934" s="84" t="str">
        <f>IFERROR(VLOOKUP(CONCATENATE($B934,"_",F$3),materiali!$C:$K,5,0),"")</f>
        <v/>
      </c>
      <c r="G934" s="85" t="str">
        <f>IFERROR(VLOOKUP(CONCATENATE($B934,"_",G$3),materiali!$C:$K,6,0),"")</f>
        <v/>
      </c>
      <c r="H934" s="86"/>
      <c r="I934" s="84" t="str">
        <f>IFERROR(VLOOKUP(CONCATENATE($B934,"_",I$3),materiali!$C:$K,5,0),"")</f>
        <v/>
      </c>
      <c r="J934" s="85" t="str">
        <f>IFERROR(VLOOKUP(CONCATENATE($B934,"_",J$3),materiali!$C:$K,6,0),"")</f>
        <v/>
      </c>
      <c r="K934" s="86"/>
      <c r="L934" s="84" t="str">
        <f>IFERROR(VLOOKUP(CONCATENATE($B934,"_",L$3),materiali!$C:$K,5,0),"")</f>
        <v/>
      </c>
      <c r="M934" s="85" t="str">
        <f>IFERROR(VLOOKUP(CONCATENATE($B934,"_",M$3),materiali!$C:$K,6,0),"")</f>
        <v/>
      </c>
      <c r="N934" s="86"/>
      <c r="O934" s="84" t="str">
        <f>IFERROR(VLOOKUP(CONCATENATE($B934,"_",O$3),materiali!$C:$K,5,0),"")</f>
        <v/>
      </c>
      <c r="P934" s="85" t="str">
        <f>IFERROR(VLOOKUP(CONCATENATE($B934,"_",P$3),materiali!$C:$K,6,0),"")</f>
        <v/>
      </c>
      <c r="Q934" s="86"/>
      <c r="R934" s="84" t="str">
        <f>IFERROR(VLOOKUP(CONCATENATE($B934,"_",R$3),materiali!$C:$K,5,0),"")</f>
        <v/>
      </c>
      <c r="S934" s="85" t="str">
        <f>IFERROR(VLOOKUP(CONCATENATE($B934,"_",S$3),materiali!$C:$K,6,0),"")</f>
        <v/>
      </c>
      <c r="T934" s="86"/>
      <c r="U934" s="31"/>
      <c r="AD934" s="97"/>
    </row>
    <row r="935" spans="1:30" ht="35.1" hidden="1" customHeight="1" x14ac:dyDescent="0.25">
      <c r="A935" s="83"/>
      <c r="B935" s="7"/>
      <c r="C935" s="8"/>
      <c r="D935" s="8"/>
      <c r="E935" s="60"/>
      <c r="F935" s="84" t="str">
        <f>IFERROR(VLOOKUP(CONCATENATE($B935,"_",F$3),materiali!$C:$K,5,0),"")</f>
        <v/>
      </c>
      <c r="G935" s="85" t="str">
        <f>IFERROR(VLOOKUP(CONCATENATE($B935,"_",G$3),materiali!$C:$K,6,0),"")</f>
        <v/>
      </c>
      <c r="H935" s="86"/>
      <c r="I935" s="84" t="str">
        <f>IFERROR(VLOOKUP(CONCATENATE($B935,"_",I$3),materiali!$C:$K,5,0),"")</f>
        <v/>
      </c>
      <c r="J935" s="85" t="str">
        <f>IFERROR(VLOOKUP(CONCATENATE($B935,"_",J$3),materiali!$C:$K,6,0),"")</f>
        <v/>
      </c>
      <c r="K935" s="86"/>
      <c r="L935" s="84" t="str">
        <f>IFERROR(VLOOKUP(CONCATENATE($B935,"_",L$3),materiali!$C:$K,5,0),"")</f>
        <v/>
      </c>
      <c r="M935" s="85" t="str">
        <f>IFERROR(VLOOKUP(CONCATENATE($B935,"_",M$3),materiali!$C:$K,6,0),"")</f>
        <v/>
      </c>
      <c r="N935" s="86"/>
      <c r="O935" s="84" t="str">
        <f>IFERROR(VLOOKUP(CONCATENATE($B935,"_",O$3),materiali!$C:$K,5,0),"")</f>
        <v/>
      </c>
      <c r="P935" s="85" t="str">
        <f>IFERROR(VLOOKUP(CONCATENATE($B935,"_",P$3),materiali!$C:$K,6,0),"")</f>
        <v/>
      </c>
      <c r="Q935" s="86"/>
      <c r="R935" s="84" t="str">
        <f>IFERROR(VLOOKUP(CONCATENATE($B935,"_",R$3),materiali!$C:$K,5,0),"")</f>
        <v/>
      </c>
      <c r="S935" s="85" t="str">
        <f>IFERROR(VLOOKUP(CONCATENATE($B935,"_",S$3),materiali!$C:$K,6,0),"")</f>
        <v/>
      </c>
      <c r="T935" s="86"/>
      <c r="U935" s="31"/>
      <c r="AD935" s="97"/>
    </row>
    <row r="936" spans="1:30" ht="35.1" hidden="1" customHeight="1" x14ac:dyDescent="0.25">
      <c r="A936" s="83"/>
      <c r="B936" s="7"/>
      <c r="C936" s="8"/>
      <c r="D936" s="8"/>
      <c r="E936" s="60"/>
      <c r="F936" s="84" t="str">
        <f>IFERROR(VLOOKUP(CONCATENATE($B936,"_",F$3),materiali!$C:$K,5,0),"")</f>
        <v/>
      </c>
      <c r="G936" s="85" t="str">
        <f>IFERROR(VLOOKUP(CONCATENATE($B936,"_",G$3),materiali!$C:$K,6,0),"")</f>
        <v/>
      </c>
      <c r="H936" s="86"/>
      <c r="I936" s="84" t="str">
        <f>IFERROR(VLOOKUP(CONCATENATE($B936,"_",I$3),materiali!$C:$K,5,0),"")</f>
        <v/>
      </c>
      <c r="J936" s="85" t="str">
        <f>IFERROR(VLOOKUP(CONCATENATE($B936,"_",J$3),materiali!$C:$K,6,0),"")</f>
        <v/>
      </c>
      <c r="K936" s="86"/>
      <c r="L936" s="84" t="str">
        <f>IFERROR(VLOOKUP(CONCATENATE($B936,"_",L$3),materiali!$C:$K,5,0),"")</f>
        <v/>
      </c>
      <c r="M936" s="85" t="str">
        <f>IFERROR(VLOOKUP(CONCATENATE($B936,"_",M$3),materiali!$C:$K,6,0),"")</f>
        <v/>
      </c>
      <c r="N936" s="86"/>
      <c r="O936" s="84" t="str">
        <f>IFERROR(VLOOKUP(CONCATENATE($B936,"_",O$3),materiali!$C:$K,5,0),"")</f>
        <v/>
      </c>
      <c r="P936" s="85" t="str">
        <f>IFERROR(VLOOKUP(CONCATENATE($B936,"_",P$3),materiali!$C:$K,6,0),"")</f>
        <v/>
      </c>
      <c r="Q936" s="86"/>
      <c r="R936" s="84" t="str">
        <f>IFERROR(VLOOKUP(CONCATENATE($B936,"_",R$3),materiali!$C:$K,5,0),"")</f>
        <v/>
      </c>
      <c r="S936" s="85" t="str">
        <f>IFERROR(VLOOKUP(CONCATENATE($B936,"_",S$3),materiali!$C:$K,6,0),"")</f>
        <v/>
      </c>
      <c r="T936" s="86"/>
      <c r="U936" s="31"/>
      <c r="AD936" s="97"/>
    </row>
    <row r="937" spans="1:30" ht="35.1" hidden="1" customHeight="1" x14ac:dyDescent="0.25">
      <c r="A937" s="83"/>
      <c r="B937" s="7"/>
      <c r="C937" s="8"/>
      <c r="D937" s="8"/>
      <c r="E937" s="60"/>
      <c r="F937" s="84" t="str">
        <f>IFERROR(VLOOKUP(CONCATENATE($B937,"_",F$3),materiali!$C:$K,5,0),"")</f>
        <v/>
      </c>
      <c r="G937" s="85" t="str">
        <f>IFERROR(VLOOKUP(CONCATENATE($B937,"_",G$3),materiali!$C:$K,6,0),"")</f>
        <v/>
      </c>
      <c r="H937" s="86"/>
      <c r="I937" s="84" t="str">
        <f>IFERROR(VLOOKUP(CONCATENATE($B937,"_",I$3),materiali!$C:$K,5,0),"")</f>
        <v/>
      </c>
      <c r="J937" s="85" t="str">
        <f>IFERROR(VLOOKUP(CONCATENATE($B937,"_",J$3),materiali!$C:$K,6,0),"")</f>
        <v/>
      </c>
      <c r="K937" s="86"/>
      <c r="L937" s="84" t="str">
        <f>IFERROR(VLOOKUP(CONCATENATE($B937,"_",L$3),materiali!$C:$K,5,0),"")</f>
        <v/>
      </c>
      <c r="M937" s="85" t="str">
        <f>IFERROR(VLOOKUP(CONCATENATE($B937,"_",M$3),materiali!$C:$K,6,0),"")</f>
        <v/>
      </c>
      <c r="N937" s="86"/>
      <c r="O937" s="84" t="str">
        <f>IFERROR(VLOOKUP(CONCATENATE($B937,"_",O$3),materiali!$C:$K,5,0),"")</f>
        <v/>
      </c>
      <c r="P937" s="85" t="str">
        <f>IFERROR(VLOOKUP(CONCATENATE($B937,"_",P$3),materiali!$C:$K,6,0),"")</f>
        <v/>
      </c>
      <c r="Q937" s="86"/>
      <c r="R937" s="84" t="str">
        <f>IFERROR(VLOOKUP(CONCATENATE($B937,"_",R$3),materiali!$C:$K,5,0),"")</f>
        <v/>
      </c>
      <c r="S937" s="85" t="str">
        <f>IFERROR(VLOOKUP(CONCATENATE($B937,"_",S$3),materiali!$C:$K,6,0),"")</f>
        <v/>
      </c>
      <c r="T937" s="86"/>
      <c r="U937" s="31"/>
      <c r="AD937" s="97"/>
    </row>
    <row r="938" spans="1:30" ht="35.1" hidden="1" customHeight="1" x14ac:dyDescent="0.25">
      <c r="A938" s="83"/>
      <c r="B938" s="7"/>
      <c r="C938" s="8"/>
      <c r="D938" s="8"/>
      <c r="E938" s="60"/>
      <c r="F938" s="84" t="str">
        <f>IFERROR(VLOOKUP(CONCATENATE($B938,"_",F$3),materiali!$C:$K,5,0),"")</f>
        <v/>
      </c>
      <c r="G938" s="85" t="str">
        <f>IFERROR(VLOOKUP(CONCATENATE($B938,"_",G$3),materiali!$C:$K,6,0),"")</f>
        <v/>
      </c>
      <c r="H938" s="86"/>
      <c r="I938" s="84" t="str">
        <f>IFERROR(VLOOKUP(CONCATENATE($B938,"_",I$3),materiali!$C:$K,5,0),"")</f>
        <v/>
      </c>
      <c r="J938" s="85" t="str">
        <f>IFERROR(VLOOKUP(CONCATENATE($B938,"_",J$3),materiali!$C:$K,6,0),"")</f>
        <v/>
      </c>
      <c r="K938" s="86"/>
      <c r="L938" s="84" t="str">
        <f>IFERROR(VLOOKUP(CONCATENATE($B938,"_",L$3),materiali!$C:$K,5,0),"")</f>
        <v/>
      </c>
      <c r="M938" s="85" t="str">
        <f>IFERROR(VLOOKUP(CONCATENATE($B938,"_",M$3),materiali!$C:$K,6,0),"")</f>
        <v/>
      </c>
      <c r="N938" s="86"/>
      <c r="O938" s="84" t="str">
        <f>IFERROR(VLOOKUP(CONCATENATE($B938,"_",O$3),materiali!$C:$K,5,0),"")</f>
        <v/>
      </c>
      <c r="P938" s="85" t="str">
        <f>IFERROR(VLOOKUP(CONCATENATE($B938,"_",P$3),materiali!$C:$K,6,0),"")</f>
        <v/>
      </c>
      <c r="Q938" s="86"/>
      <c r="R938" s="84" t="str">
        <f>IFERROR(VLOOKUP(CONCATENATE($B938,"_",R$3),materiali!$C:$K,5,0),"")</f>
        <v/>
      </c>
      <c r="S938" s="85" t="str">
        <f>IFERROR(VLOOKUP(CONCATENATE($B938,"_",S$3),materiali!$C:$K,6,0),"")</f>
        <v/>
      </c>
      <c r="T938" s="86"/>
      <c r="U938" s="31"/>
      <c r="AD938" s="97"/>
    </row>
    <row r="939" spans="1:30" ht="35.1" hidden="1" customHeight="1" x14ac:dyDescent="0.25">
      <c r="A939" s="83"/>
      <c r="B939" s="7"/>
      <c r="C939" s="8"/>
      <c r="D939" s="8"/>
      <c r="E939" s="60"/>
      <c r="F939" s="84" t="str">
        <f>IFERROR(VLOOKUP(CONCATENATE($B939,"_",F$3),materiali!$C:$K,5,0),"")</f>
        <v/>
      </c>
      <c r="G939" s="85" t="str">
        <f>IFERROR(VLOOKUP(CONCATENATE($B939,"_",G$3),materiali!$C:$K,6,0),"")</f>
        <v/>
      </c>
      <c r="H939" s="86"/>
      <c r="I939" s="84" t="str">
        <f>IFERROR(VLOOKUP(CONCATENATE($B939,"_",I$3),materiali!$C:$K,5,0),"")</f>
        <v/>
      </c>
      <c r="J939" s="85" t="str">
        <f>IFERROR(VLOOKUP(CONCATENATE($B939,"_",J$3),materiali!$C:$K,6,0),"")</f>
        <v/>
      </c>
      <c r="K939" s="86"/>
      <c r="L939" s="84" t="str">
        <f>IFERROR(VLOOKUP(CONCATENATE($B939,"_",L$3),materiali!$C:$K,5,0),"")</f>
        <v/>
      </c>
      <c r="M939" s="85" t="str">
        <f>IFERROR(VLOOKUP(CONCATENATE($B939,"_",M$3),materiali!$C:$K,6,0),"")</f>
        <v/>
      </c>
      <c r="N939" s="86"/>
      <c r="O939" s="84" t="str">
        <f>IFERROR(VLOOKUP(CONCATENATE($B939,"_",O$3),materiali!$C:$K,5,0),"")</f>
        <v/>
      </c>
      <c r="P939" s="85" t="str">
        <f>IFERROR(VLOOKUP(CONCATENATE($B939,"_",P$3),materiali!$C:$K,6,0),"")</f>
        <v/>
      </c>
      <c r="Q939" s="86"/>
      <c r="R939" s="84" t="str">
        <f>IFERROR(VLOOKUP(CONCATENATE($B939,"_",R$3),materiali!$C:$K,5,0),"")</f>
        <v/>
      </c>
      <c r="S939" s="85" t="str">
        <f>IFERROR(VLOOKUP(CONCATENATE($B939,"_",S$3),materiali!$C:$K,6,0),"")</f>
        <v/>
      </c>
      <c r="T939" s="86"/>
      <c r="U939" s="31"/>
      <c r="AD939" s="97"/>
    </row>
    <row r="940" spans="1:30" ht="35.1" hidden="1" customHeight="1" x14ac:dyDescent="0.25">
      <c r="A940" s="83"/>
      <c r="B940" s="7"/>
      <c r="C940" s="8"/>
      <c r="D940" s="8"/>
      <c r="E940" s="60"/>
      <c r="F940" s="84" t="str">
        <f>IFERROR(VLOOKUP(CONCATENATE($B940,"_",F$3),materiali!$C:$K,5,0),"")</f>
        <v/>
      </c>
      <c r="G940" s="85" t="str">
        <f>IFERROR(VLOOKUP(CONCATENATE($B940,"_",G$3),materiali!$C:$K,6,0),"")</f>
        <v/>
      </c>
      <c r="H940" s="86"/>
      <c r="I940" s="84" t="str">
        <f>IFERROR(VLOOKUP(CONCATENATE($B940,"_",I$3),materiali!$C:$K,5,0),"")</f>
        <v/>
      </c>
      <c r="J940" s="85" t="str">
        <f>IFERROR(VLOOKUP(CONCATENATE($B940,"_",J$3),materiali!$C:$K,6,0),"")</f>
        <v/>
      </c>
      <c r="K940" s="86"/>
      <c r="L940" s="84" t="str">
        <f>IFERROR(VLOOKUP(CONCATENATE($B940,"_",L$3),materiali!$C:$K,5,0),"")</f>
        <v/>
      </c>
      <c r="M940" s="85" t="str">
        <f>IFERROR(VLOOKUP(CONCATENATE($B940,"_",M$3),materiali!$C:$K,6,0),"")</f>
        <v/>
      </c>
      <c r="N940" s="86"/>
      <c r="O940" s="84" t="str">
        <f>IFERROR(VLOOKUP(CONCATENATE($B940,"_",O$3),materiali!$C:$K,5,0),"")</f>
        <v/>
      </c>
      <c r="P940" s="85" t="str">
        <f>IFERROR(VLOOKUP(CONCATENATE($B940,"_",P$3),materiali!$C:$K,6,0),"")</f>
        <v/>
      </c>
      <c r="Q940" s="86"/>
      <c r="R940" s="84" t="str">
        <f>IFERROR(VLOOKUP(CONCATENATE($B940,"_",R$3),materiali!$C:$K,5,0),"")</f>
        <v/>
      </c>
      <c r="S940" s="85" t="str">
        <f>IFERROR(VLOOKUP(CONCATENATE($B940,"_",S$3),materiali!$C:$K,6,0),"")</f>
        <v/>
      </c>
      <c r="T940" s="86"/>
      <c r="U940" s="31"/>
      <c r="AD940" s="97"/>
    </row>
    <row r="941" spans="1:30" ht="35.1" hidden="1" customHeight="1" x14ac:dyDescent="0.25">
      <c r="A941" s="83"/>
      <c r="B941" s="7"/>
      <c r="C941" s="8"/>
      <c r="D941" s="8"/>
      <c r="E941" s="60"/>
      <c r="F941" s="84" t="str">
        <f>IFERROR(VLOOKUP(CONCATENATE($B941,"_",F$3),materiali!$C:$K,5,0),"")</f>
        <v/>
      </c>
      <c r="G941" s="85" t="str">
        <f>IFERROR(VLOOKUP(CONCATENATE($B941,"_",G$3),materiali!$C:$K,6,0),"")</f>
        <v/>
      </c>
      <c r="H941" s="86"/>
      <c r="I941" s="84" t="str">
        <f>IFERROR(VLOOKUP(CONCATENATE($B941,"_",I$3),materiali!$C:$K,5,0),"")</f>
        <v/>
      </c>
      <c r="J941" s="85" t="str">
        <f>IFERROR(VLOOKUP(CONCATENATE($B941,"_",J$3),materiali!$C:$K,6,0),"")</f>
        <v/>
      </c>
      <c r="K941" s="86"/>
      <c r="L941" s="84" t="str">
        <f>IFERROR(VLOOKUP(CONCATENATE($B941,"_",L$3),materiali!$C:$K,5,0),"")</f>
        <v/>
      </c>
      <c r="M941" s="85" t="str">
        <f>IFERROR(VLOOKUP(CONCATENATE($B941,"_",M$3),materiali!$C:$K,6,0),"")</f>
        <v/>
      </c>
      <c r="N941" s="86"/>
      <c r="O941" s="84" t="str">
        <f>IFERROR(VLOOKUP(CONCATENATE($B941,"_",O$3),materiali!$C:$K,5,0),"")</f>
        <v/>
      </c>
      <c r="P941" s="85" t="str">
        <f>IFERROR(VLOOKUP(CONCATENATE($B941,"_",P$3),materiali!$C:$K,6,0),"")</f>
        <v/>
      </c>
      <c r="Q941" s="86"/>
      <c r="R941" s="84" t="str">
        <f>IFERROR(VLOOKUP(CONCATENATE($B941,"_",R$3),materiali!$C:$K,5,0),"")</f>
        <v/>
      </c>
      <c r="S941" s="85" t="str">
        <f>IFERROR(VLOOKUP(CONCATENATE($B941,"_",S$3),materiali!$C:$K,6,0),"")</f>
        <v/>
      </c>
      <c r="T941" s="86"/>
      <c r="U941" s="31"/>
      <c r="AD941" s="97"/>
    </row>
    <row r="942" spans="1:30" ht="35.1" hidden="1" customHeight="1" x14ac:dyDescent="0.25">
      <c r="A942" s="83"/>
      <c r="B942" s="7"/>
      <c r="C942" s="8"/>
      <c r="D942" s="8"/>
      <c r="E942" s="60"/>
      <c r="F942" s="84" t="str">
        <f>IFERROR(VLOOKUP(CONCATENATE($B942,"_",F$3),materiali!$C:$K,5,0),"")</f>
        <v/>
      </c>
      <c r="G942" s="85" t="str">
        <f>IFERROR(VLOOKUP(CONCATENATE($B942,"_",G$3),materiali!$C:$K,6,0),"")</f>
        <v/>
      </c>
      <c r="H942" s="86"/>
      <c r="I942" s="84" t="str">
        <f>IFERROR(VLOOKUP(CONCATENATE($B942,"_",I$3),materiali!$C:$K,5,0),"")</f>
        <v/>
      </c>
      <c r="J942" s="85" t="str">
        <f>IFERROR(VLOOKUP(CONCATENATE($B942,"_",J$3),materiali!$C:$K,6,0),"")</f>
        <v/>
      </c>
      <c r="K942" s="86"/>
      <c r="L942" s="84" t="str">
        <f>IFERROR(VLOOKUP(CONCATENATE($B942,"_",L$3),materiali!$C:$K,5,0),"")</f>
        <v/>
      </c>
      <c r="M942" s="85" t="str">
        <f>IFERROR(VLOOKUP(CONCATENATE($B942,"_",M$3),materiali!$C:$K,6,0),"")</f>
        <v/>
      </c>
      <c r="N942" s="86"/>
      <c r="O942" s="84" t="str">
        <f>IFERROR(VLOOKUP(CONCATENATE($B942,"_",O$3),materiali!$C:$K,5,0),"")</f>
        <v/>
      </c>
      <c r="P942" s="85" t="str">
        <f>IFERROR(VLOOKUP(CONCATENATE($B942,"_",P$3),materiali!$C:$K,6,0),"")</f>
        <v/>
      </c>
      <c r="Q942" s="86"/>
      <c r="R942" s="84" t="str">
        <f>IFERROR(VLOOKUP(CONCATENATE($B942,"_",R$3),materiali!$C:$K,5,0),"")</f>
        <v/>
      </c>
      <c r="S942" s="85" t="str">
        <f>IFERROR(VLOOKUP(CONCATENATE($B942,"_",S$3),materiali!$C:$K,6,0),"")</f>
        <v/>
      </c>
      <c r="T942" s="86"/>
      <c r="U942" s="31"/>
      <c r="AD942" s="97"/>
    </row>
    <row r="943" spans="1:30" ht="35.1" hidden="1" customHeight="1" x14ac:dyDescent="0.25">
      <c r="A943" s="83"/>
      <c r="B943" s="7"/>
      <c r="C943" s="8"/>
      <c r="D943" s="8"/>
      <c r="E943" s="60"/>
      <c r="F943" s="84" t="str">
        <f>IFERROR(VLOOKUP(CONCATENATE($B943,"_",F$3),materiali!$C:$K,5,0),"")</f>
        <v/>
      </c>
      <c r="G943" s="85" t="str">
        <f>IFERROR(VLOOKUP(CONCATENATE($B943,"_",G$3),materiali!$C:$K,6,0),"")</f>
        <v/>
      </c>
      <c r="H943" s="86"/>
      <c r="I943" s="84" t="str">
        <f>IFERROR(VLOOKUP(CONCATENATE($B943,"_",I$3),materiali!$C:$K,5,0),"")</f>
        <v/>
      </c>
      <c r="J943" s="85" t="str">
        <f>IFERROR(VLOOKUP(CONCATENATE($B943,"_",J$3),materiali!$C:$K,6,0),"")</f>
        <v/>
      </c>
      <c r="K943" s="86"/>
      <c r="L943" s="84" t="str">
        <f>IFERROR(VLOOKUP(CONCATENATE($B943,"_",L$3),materiali!$C:$K,5,0),"")</f>
        <v/>
      </c>
      <c r="M943" s="85" t="str">
        <f>IFERROR(VLOOKUP(CONCATENATE($B943,"_",M$3),materiali!$C:$K,6,0),"")</f>
        <v/>
      </c>
      <c r="N943" s="86"/>
      <c r="O943" s="84" t="str">
        <f>IFERROR(VLOOKUP(CONCATENATE($B943,"_",O$3),materiali!$C:$K,5,0),"")</f>
        <v/>
      </c>
      <c r="P943" s="85" t="str">
        <f>IFERROR(VLOOKUP(CONCATENATE($B943,"_",P$3),materiali!$C:$K,6,0),"")</f>
        <v/>
      </c>
      <c r="Q943" s="86"/>
      <c r="R943" s="84" t="str">
        <f>IFERROR(VLOOKUP(CONCATENATE($B943,"_",R$3),materiali!$C:$K,5,0),"")</f>
        <v/>
      </c>
      <c r="S943" s="85" t="str">
        <f>IFERROR(VLOOKUP(CONCATENATE($B943,"_",S$3),materiali!$C:$K,6,0),"")</f>
        <v/>
      </c>
      <c r="T943" s="86"/>
      <c r="U943" s="31"/>
      <c r="AD943" s="97"/>
    </row>
    <row r="944" spans="1:30" ht="35.1" hidden="1" customHeight="1" x14ac:dyDescent="0.25">
      <c r="A944" s="83"/>
      <c r="B944" s="7"/>
      <c r="C944" s="8"/>
      <c r="D944" s="8"/>
      <c r="E944" s="60"/>
      <c r="F944" s="84" t="str">
        <f>IFERROR(VLOOKUP(CONCATENATE($B944,"_",F$3),materiali!$C:$K,5,0),"")</f>
        <v/>
      </c>
      <c r="G944" s="85" t="str">
        <f>IFERROR(VLOOKUP(CONCATENATE($B944,"_",G$3),materiali!$C:$K,6,0),"")</f>
        <v/>
      </c>
      <c r="H944" s="86"/>
      <c r="I944" s="84" t="str">
        <f>IFERROR(VLOOKUP(CONCATENATE($B944,"_",I$3),materiali!$C:$K,5,0),"")</f>
        <v/>
      </c>
      <c r="J944" s="85" t="str">
        <f>IFERROR(VLOOKUP(CONCATENATE($B944,"_",J$3),materiali!$C:$K,6,0),"")</f>
        <v/>
      </c>
      <c r="K944" s="86"/>
      <c r="L944" s="84" t="str">
        <f>IFERROR(VLOOKUP(CONCATENATE($B944,"_",L$3),materiali!$C:$K,5,0),"")</f>
        <v/>
      </c>
      <c r="M944" s="85" t="str">
        <f>IFERROR(VLOOKUP(CONCATENATE($B944,"_",M$3),materiali!$C:$K,6,0),"")</f>
        <v/>
      </c>
      <c r="N944" s="86"/>
      <c r="O944" s="84" t="str">
        <f>IFERROR(VLOOKUP(CONCATENATE($B944,"_",O$3),materiali!$C:$K,5,0),"")</f>
        <v/>
      </c>
      <c r="P944" s="85" t="str">
        <f>IFERROR(VLOOKUP(CONCATENATE($B944,"_",P$3),materiali!$C:$K,6,0),"")</f>
        <v/>
      </c>
      <c r="Q944" s="86"/>
      <c r="R944" s="84" t="str">
        <f>IFERROR(VLOOKUP(CONCATENATE($B944,"_",R$3),materiali!$C:$K,5,0),"")</f>
        <v/>
      </c>
      <c r="S944" s="85" t="str">
        <f>IFERROR(VLOOKUP(CONCATENATE($B944,"_",S$3),materiali!$C:$K,6,0),"")</f>
        <v/>
      </c>
      <c r="T944" s="86"/>
      <c r="U944" s="31"/>
      <c r="AD944" s="97"/>
    </row>
    <row r="945" spans="1:30" ht="35.1" hidden="1" customHeight="1" x14ac:dyDescent="0.25">
      <c r="A945" s="83"/>
      <c r="B945" s="7"/>
      <c r="C945" s="8"/>
      <c r="D945" s="8"/>
      <c r="E945" s="60"/>
      <c r="F945" s="84" t="str">
        <f>IFERROR(VLOOKUP(CONCATENATE($B945,"_",F$3),materiali!$C:$K,5,0),"")</f>
        <v/>
      </c>
      <c r="G945" s="85" t="str">
        <f>IFERROR(VLOOKUP(CONCATENATE($B945,"_",G$3),materiali!$C:$K,6,0),"")</f>
        <v/>
      </c>
      <c r="H945" s="86"/>
      <c r="I945" s="84" t="str">
        <f>IFERROR(VLOOKUP(CONCATENATE($B945,"_",I$3),materiali!$C:$K,5,0),"")</f>
        <v/>
      </c>
      <c r="J945" s="85" t="str">
        <f>IFERROR(VLOOKUP(CONCATENATE($B945,"_",J$3),materiali!$C:$K,6,0),"")</f>
        <v/>
      </c>
      <c r="K945" s="86"/>
      <c r="L945" s="84" t="str">
        <f>IFERROR(VLOOKUP(CONCATENATE($B945,"_",L$3),materiali!$C:$K,5,0),"")</f>
        <v/>
      </c>
      <c r="M945" s="85" t="str">
        <f>IFERROR(VLOOKUP(CONCATENATE($B945,"_",M$3),materiali!$C:$K,6,0),"")</f>
        <v/>
      </c>
      <c r="N945" s="86"/>
      <c r="O945" s="84" t="str">
        <f>IFERROR(VLOOKUP(CONCATENATE($B945,"_",O$3),materiali!$C:$K,5,0),"")</f>
        <v/>
      </c>
      <c r="P945" s="85" t="str">
        <f>IFERROR(VLOOKUP(CONCATENATE($B945,"_",P$3),materiali!$C:$K,6,0),"")</f>
        <v/>
      </c>
      <c r="Q945" s="86"/>
      <c r="R945" s="84" t="str">
        <f>IFERROR(VLOOKUP(CONCATENATE($B945,"_",R$3),materiali!$C:$K,5,0),"")</f>
        <v/>
      </c>
      <c r="S945" s="85" t="str">
        <f>IFERROR(VLOOKUP(CONCATENATE($B945,"_",S$3),materiali!$C:$K,6,0),"")</f>
        <v/>
      </c>
      <c r="T945" s="86"/>
      <c r="U945" s="31"/>
      <c r="AD945" s="97"/>
    </row>
    <row r="946" spans="1:30" ht="35.1" hidden="1" customHeight="1" x14ac:dyDescent="0.25">
      <c r="A946" s="83"/>
      <c r="B946" s="7"/>
      <c r="C946" s="8"/>
      <c r="D946" s="8"/>
      <c r="E946" s="60"/>
      <c r="F946" s="84" t="str">
        <f>IFERROR(VLOOKUP(CONCATENATE($B946,"_",F$3),materiali!$C:$K,5,0),"")</f>
        <v/>
      </c>
      <c r="G946" s="85" t="str">
        <f>IFERROR(VLOOKUP(CONCATENATE($B946,"_",G$3),materiali!$C:$K,6,0),"")</f>
        <v/>
      </c>
      <c r="H946" s="86"/>
      <c r="I946" s="84" t="str">
        <f>IFERROR(VLOOKUP(CONCATENATE($B946,"_",I$3),materiali!$C:$K,5,0),"")</f>
        <v/>
      </c>
      <c r="J946" s="85" t="str">
        <f>IFERROR(VLOOKUP(CONCATENATE($B946,"_",J$3),materiali!$C:$K,6,0),"")</f>
        <v/>
      </c>
      <c r="K946" s="86"/>
      <c r="L946" s="84" t="str">
        <f>IFERROR(VLOOKUP(CONCATENATE($B946,"_",L$3),materiali!$C:$K,5,0),"")</f>
        <v/>
      </c>
      <c r="M946" s="85" t="str">
        <f>IFERROR(VLOOKUP(CONCATENATE($B946,"_",M$3),materiali!$C:$K,6,0),"")</f>
        <v/>
      </c>
      <c r="N946" s="86"/>
      <c r="O946" s="84" t="str">
        <f>IFERROR(VLOOKUP(CONCATENATE($B946,"_",O$3),materiali!$C:$K,5,0),"")</f>
        <v/>
      </c>
      <c r="P946" s="85" t="str">
        <f>IFERROR(VLOOKUP(CONCATENATE($B946,"_",P$3),materiali!$C:$K,6,0),"")</f>
        <v/>
      </c>
      <c r="Q946" s="86"/>
      <c r="R946" s="84" t="str">
        <f>IFERROR(VLOOKUP(CONCATENATE($B946,"_",R$3),materiali!$C:$K,5,0),"")</f>
        <v/>
      </c>
      <c r="S946" s="85" t="str">
        <f>IFERROR(VLOOKUP(CONCATENATE($B946,"_",S$3),materiali!$C:$K,6,0),"")</f>
        <v/>
      </c>
      <c r="T946" s="86"/>
      <c r="U946" s="31"/>
      <c r="AD946" s="97"/>
    </row>
    <row r="947" spans="1:30" ht="35.1" hidden="1" customHeight="1" x14ac:dyDescent="0.25">
      <c r="A947" s="83"/>
      <c r="B947" s="7"/>
      <c r="C947" s="8"/>
      <c r="D947" s="8"/>
      <c r="E947" s="60"/>
      <c r="F947" s="84" t="str">
        <f>IFERROR(VLOOKUP(CONCATENATE($B947,"_",F$3),materiali!$C:$K,5,0),"")</f>
        <v/>
      </c>
      <c r="G947" s="85" t="str">
        <f>IFERROR(VLOOKUP(CONCATENATE($B947,"_",G$3),materiali!$C:$K,6,0),"")</f>
        <v/>
      </c>
      <c r="H947" s="86"/>
      <c r="I947" s="84" t="str">
        <f>IFERROR(VLOOKUP(CONCATENATE($B947,"_",I$3),materiali!$C:$K,5,0),"")</f>
        <v/>
      </c>
      <c r="J947" s="85" t="str">
        <f>IFERROR(VLOOKUP(CONCATENATE($B947,"_",J$3),materiali!$C:$K,6,0),"")</f>
        <v/>
      </c>
      <c r="K947" s="86"/>
      <c r="L947" s="84" t="str">
        <f>IFERROR(VLOOKUP(CONCATENATE($B947,"_",L$3),materiali!$C:$K,5,0),"")</f>
        <v/>
      </c>
      <c r="M947" s="85" t="str">
        <f>IFERROR(VLOOKUP(CONCATENATE($B947,"_",M$3),materiali!$C:$K,6,0),"")</f>
        <v/>
      </c>
      <c r="N947" s="86"/>
      <c r="O947" s="84" t="str">
        <f>IFERROR(VLOOKUP(CONCATENATE($B947,"_",O$3),materiali!$C:$K,5,0),"")</f>
        <v/>
      </c>
      <c r="P947" s="85" t="str">
        <f>IFERROR(VLOOKUP(CONCATENATE($B947,"_",P$3),materiali!$C:$K,6,0),"")</f>
        <v/>
      </c>
      <c r="Q947" s="86"/>
      <c r="R947" s="84" t="str">
        <f>IFERROR(VLOOKUP(CONCATENATE($B947,"_",R$3),materiali!$C:$K,5,0),"")</f>
        <v/>
      </c>
      <c r="S947" s="85" t="str">
        <f>IFERROR(VLOOKUP(CONCATENATE($B947,"_",S$3),materiali!$C:$K,6,0),"")</f>
        <v/>
      </c>
      <c r="T947" s="86"/>
      <c r="U947" s="31"/>
      <c r="AD947" s="97"/>
    </row>
    <row r="948" spans="1:30" ht="35.1" hidden="1" customHeight="1" x14ac:dyDescent="0.25">
      <c r="A948" s="83"/>
      <c r="B948" s="7"/>
      <c r="C948" s="8"/>
      <c r="D948" s="8"/>
      <c r="E948" s="60"/>
      <c r="F948" s="84" t="str">
        <f>IFERROR(VLOOKUP(CONCATENATE($B948,"_",F$3),materiali!$C:$K,5,0),"")</f>
        <v/>
      </c>
      <c r="G948" s="85" t="str">
        <f>IFERROR(VLOOKUP(CONCATENATE($B948,"_",G$3),materiali!$C:$K,6,0),"")</f>
        <v/>
      </c>
      <c r="H948" s="86"/>
      <c r="I948" s="84" t="str">
        <f>IFERROR(VLOOKUP(CONCATENATE($B948,"_",I$3),materiali!$C:$K,5,0),"")</f>
        <v/>
      </c>
      <c r="J948" s="85" t="str">
        <f>IFERROR(VLOOKUP(CONCATENATE($B948,"_",J$3),materiali!$C:$K,6,0),"")</f>
        <v/>
      </c>
      <c r="K948" s="86"/>
      <c r="L948" s="84" t="str">
        <f>IFERROR(VLOOKUP(CONCATENATE($B948,"_",L$3),materiali!$C:$K,5,0),"")</f>
        <v/>
      </c>
      <c r="M948" s="85" t="str">
        <f>IFERROR(VLOOKUP(CONCATENATE($B948,"_",M$3),materiali!$C:$K,6,0),"")</f>
        <v/>
      </c>
      <c r="N948" s="86"/>
      <c r="O948" s="84" t="str">
        <f>IFERROR(VLOOKUP(CONCATENATE($B948,"_",O$3),materiali!$C:$K,5,0),"")</f>
        <v/>
      </c>
      <c r="P948" s="85" t="str">
        <f>IFERROR(VLOOKUP(CONCATENATE($B948,"_",P$3),materiali!$C:$K,6,0),"")</f>
        <v/>
      </c>
      <c r="Q948" s="86"/>
      <c r="R948" s="84" t="str">
        <f>IFERROR(VLOOKUP(CONCATENATE($B948,"_",R$3),materiali!$C:$K,5,0),"")</f>
        <v/>
      </c>
      <c r="S948" s="85" t="str">
        <f>IFERROR(VLOOKUP(CONCATENATE($B948,"_",S$3),materiali!$C:$K,6,0),"")</f>
        <v/>
      </c>
      <c r="T948" s="86"/>
      <c r="U948" s="31"/>
      <c r="AD948" s="97"/>
    </row>
    <row r="949" spans="1:30" ht="35.1" hidden="1" customHeight="1" x14ac:dyDescent="0.25">
      <c r="A949" s="83"/>
      <c r="B949" s="7"/>
      <c r="C949" s="8"/>
      <c r="D949" s="8"/>
      <c r="E949" s="60"/>
      <c r="F949" s="84" t="str">
        <f>IFERROR(VLOOKUP(CONCATENATE($B949,"_",F$3),materiali!$C:$K,5,0),"")</f>
        <v/>
      </c>
      <c r="G949" s="85" t="str">
        <f>IFERROR(VLOOKUP(CONCATENATE($B949,"_",G$3),materiali!$C:$K,6,0),"")</f>
        <v/>
      </c>
      <c r="H949" s="86"/>
      <c r="I949" s="84" t="str">
        <f>IFERROR(VLOOKUP(CONCATENATE($B949,"_",I$3),materiali!$C:$K,5,0),"")</f>
        <v/>
      </c>
      <c r="J949" s="85" t="str">
        <f>IFERROR(VLOOKUP(CONCATENATE($B949,"_",J$3),materiali!$C:$K,6,0),"")</f>
        <v/>
      </c>
      <c r="K949" s="86"/>
      <c r="L949" s="84" t="str">
        <f>IFERROR(VLOOKUP(CONCATENATE($B949,"_",L$3),materiali!$C:$K,5,0),"")</f>
        <v/>
      </c>
      <c r="M949" s="85" t="str">
        <f>IFERROR(VLOOKUP(CONCATENATE($B949,"_",M$3),materiali!$C:$K,6,0),"")</f>
        <v/>
      </c>
      <c r="N949" s="86"/>
      <c r="O949" s="84" t="str">
        <f>IFERROR(VLOOKUP(CONCATENATE($B949,"_",O$3),materiali!$C:$K,5,0),"")</f>
        <v/>
      </c>
      <c r="P949" s="85" t="str">
        <f>IFERROR(VLOOKUP(CONCATENATE($B949,"_",P$3),materiali!$C:$K,6,0),"")</f>
        <v/>
      </c>
      <c r="Q949" s="86"/>
      <c r="R949" s="84" t="str">
        <f>IFERROR(VLOOKUP(CONCATENATE($B949,"_",R$3),materiali!$C:$K,5,0),"")</f>
        <v/>
      </c>
      <c r="S949" s="85" t="str">
        <f>IFERROR(VLOOKUP(CONCATENATE($B949,"_",S$3),materiali!$C:$K,6,0),"")</f>
        <v/>
      </c>
      <c r="T949" s="86"/>
      <c r="U949" s="31"/>
      <c r="AD949" s="97"/>
    </row>
    <row r="950" spans="1:30" ht="35.1" hidden="1" customHeight="1" x14ac:dyDescent="0.25">
      <c r="A950" s="83"/>
      <c r="B950" s="7"/>
      <c r="C950" s="8"/>
      <c r="D950" s="8"/>
      <c r="E950" s="60"/>
      <c r="F950" s="84" t="str">
        <f>IFERROR(VLOOKUP(CONCATENATE($B950,"_",F$3),materiali!$C:$K,5,0),"")</f>
        <v/>
      </c>
      <c r="G950" s="85" t="str">
        <f>IFERROR(VLOOKUP(CONCATENATE($B950,"_",G$3),materiali!$C:$K,6,0),"")</f>
        <v/>
      </c>
      <c r="H950" s="86"/>
      <c r="I950" s="84" t="str">
        <f>IFERROR(VLOOKUP(CONCATENATE($B950,"_",I$3),materiali!$C:$K,5,0),"")</f>
        <v/>
      </c>
      <c r="J950" s="85" t="str">
        <f>IFERROR(VLOOKUP(CONCATENATE($B950,"_",J$3),materiali!$C:$K,6,0),"")</f>
        <v/>
      </c>
      <c r="K950" s="86"/>
      <c r="L950" s="84" t="str">
        <f>IFERROR(VLOOKUP(CONCATENATE($B950,"_",L$3),materiali!$C:$K,5,0),"")</f>
        <v/>
      </c>
      <c r="M950" s="85" t="str">
        <f>IFERROR(VLOOKUP(CONCATENATE($B950,"_",M$3),materiali!$C:$K,6,0),"")</f>
        <v/>
      </c>
      <c r="N950" s="86"/>
      <c r="O950" s="84" t="str">
        <f>IFERROR(VLOOKUP(CONCATENATE($B950,"_",O$3),materiali!$C:$K,5,0),"")</f>
        <v/>
      </c>
      <c r="P950" s="85" t="str">
        <f>IFERROR(VLOOKUP(CONCATENATE($B950,"_",P$3),materiali!$C:$K,6,0),"")</f>
        <v/>
      </c>
      <c r="Q950" s="86"/>
      <c r="R950" s="84" t="str">
        <f>IFERROR(VLOOKUP(CONCATENATE($B950,"_",R$3),materiali!$C:$K,5,0),"")</f>
        <v/>
      </c>
      <c r="S950" s="85" t="str">
        <f>IFERROR(VLOOKUP(CONCATENATE($B950,"_",S$3),materiali!$C:$K,6,0),"")</f>
        <v/>
      </c>
      <c r="T950" s="86"/>
      <c r="U950" s="31"/>
      <c r="AD950" s="97"/>
    </row>
    <row r="951" spans="1:30" ht="35.1" hidden="1" customHeight="1" x14ac:dyDescent="0.25">
      <c r="A951" s="83"/>
      <c r="B951" s="7"/>
      <c r="C951" s="8"/>
      <c r="D951" s="8"/>
      <c r="E951" s="60"/>
      <c r="F951" s="84" t="str">
        <f>IFERROR(VLOOKUP(CONCATENATE($B951,"_",F$3),materiali!$C:$K,5,0),"")</f>
        <v/>
      </c>
      <c r="G951" s="85" t="str">
        <f>IFERROR(VLOOKUP(CONCATENATE($B951,"_",G$3),materiali!$C:$K,6,0),"")</f>
        <v/>
      </c>
      <c r="H951" s="86"/>
      <c r="I951" s="84" t="str">
        <f>IFERROR(VLOOKUP(CONCATENATE($B951,"_",I$3),materiali!$C:$K,5,0),"")</f>
        <v/>
      </c>
      <c r="J951" s="85" t="str">
        <f>IFERROR(VLOOKUP(CONCATENATE($B951,"_",J$3),materiali!$C:$K,6,0),"")</f>
        <v/>
      </c>
      <c r="K951" s="86"/>
      <c r="L951" s="84" t="str">
        <f>IFERROR(VLOOKUP(CONCATENATE($B951,"_",L$3),materiali!$C:$K,5,0),"")</f>
        <v/>
      </c>
      <c r="M951" s="85" t="str">
        <f>IFERROR(VLOOKUP(CONCATENATE($B951,"_",M$3),materiali!$C:$K,6,0),"")</f>
        <v/>
      </c>
      <c r="N951" s="86"/>
      <c r="O951" s="84" t="str">
        <f>IFERROR(VLOOKUP(CONCATENATE($B951,"_",O$3),materiali!$C:$K,5,0),"")</f>
        <v/>
      </c>
      <c r="P951" s="85" t="str">
        <f>IFERROR(VLOOKUP(CONCATENATE($B951,"_",P$3),materiali!$C:$K,6,0),"")</f>
        <v/>
      </c>
      <c r="Q951" s="86"/>
      <c r="R951" s="84" t="str">
        <f>IFERROR(VLOOKUP(CONCATENATE($B951,"_",R$3),materiali!$C:$K,5,0),"")</f>
        <v/>
      </c>
      <c r="S951" s="85" t="str">
        <f>IFERROR(VLOOKUP(CONCATENATE($B951,"_",S$3),materiali!$C:$K,6,0),"")</f>
        <v/>
      </c>
      <c r="T951" s="86"/>
      <c r="U951" s="31"/>
      <c r="AD951" s="97"/>
    </row>
    <row r="952" spans="1:30" ht="35.1" hidden="1" customHeight="1" x14ac:dyDescent="0.25">
      <c r="A952" s="83"/>
      <c r="B952" s="7"/>
      <c r="C952" s="8"/>
      <c r="D952" s="8"/>
      <c r="E952" s="60"/>
      <c r="F952" s="84" t="str">
        <f>IFERROR(VLOOKUP(CONCATENATE($B952,"_",F$3),materiali!$C:$K,5,0),"")</f>
        <v/>
      </c>
      <c r="G952" s="85" t="str">
        <f>IFERROR(VLOOKUP(CONCATENATE($B952,"_",G$3),materiali!$C:$K,6,0),"")</f>
        <v/>
      </c>
      <c r="H952" s="86"/>
      <c r="I952" s="84" t="str">
        <f>IFERROR(VLOOKUP(CONCATENATE($B952,"_",I$3),materiali!$C:$K,5,0),"")</f>
        <v/>
      </c>
      <c r="J952" s="85" t="str">
        <f>IFERROR(VLOOKUP(CONCATENATE($B952,"_",J$3),materiali!$C:$K,6,0),"")</f>
        <v/>
      </c>
      <c r="K952" s="86"/>
      <c r="L952" s="84" t="str">
        <f>IFERROR(VLOOKUP(CONCATENATE($B952,"_",L$3),materiali!$C:$K,5,0),"")</f>
        <v/>
      </c>
      <c r="M952" s="85" t="str">
        <f>IFERROR(VLOOKUP(CONCATENATE($B952,"_",M$3),materiali!$C:$K,6,0),"")</f>
        <v/>
      </c>
      <c r="N952" s="86"/>
      <c r="O952" s="84" t="str">
        <f>IFERROR(VLOOKUP(CONCATENATE($B952,"_",O$3),materiali!$C:$K,5,0),"")</f>
        <v/>
      </c>
      <c r="P952" s="85" t="str">
        <f>IFERROR(VLOOKUP(CONCATENATE($B952,"_",P$3),materiali!$C:$K,6,0),"")</f>
        <v/>
      </c>
      <c r="Q952" s="86"/>
      <c r="R952" s="84" t="str">
        <f>IFERROR(VLOOKUP(CONCATENATE($B952,"_",R$3),materiali!$C:$K,5,0),"")</f>
        <v/>
      </c>
      <c r="S952" s="85" t="str">
        <f>IFERROR(VLOOKUP(CONCATENATE($B952,"_",S$3),materiali!$C:$K,6,0),"")</f>
        <v/>
      </c>
      <c r="T952" s="86"/>
      <c r="U952" s="31"/>
      <c r="AD952" s="97"/>
    </row>
    <row r="953" spans="1:30" ht="35.1" hidden="1" customHeight="1" x14ac:dyDescent="0.25">
      <c r="A953" s="83"/>
      <c r="B953" s="7"/>
      <c r="C953" s="8"/>
      <c r="D953" s="8"/>
      <c r="E953" s="60"/>
      <c r="F953" s="84" t="str">
        <f>IFERROR(VLOOKUP(CONCATENATE($B953,"_",F$3),materiali!$C:$K,5,0),"")</f>
        <v/>
      </c>
      <c r="G953" s="85" t="str">
        <f>IFERROR(VLOOKUP(CONCATENATE($B953,"_",G$3),materiali!$C:$K,6,0),"")</f>
        <v/>
      </c>
      <c r="H953" s="86"/>
      <c r="I953" s="84" t="str">
        <f>IFERROR(VLOOKUP(CONCATENATE($B953,"_",I$3),materiali!$C:$K,5,0),"")</f>
        <v/>
      </c>
      <c r="J953" s="85" t="str">
        <f>IFERROR(VLOOKUP(CONCATENATE($B953,"_",J$3),materiali!$C:$K,6,0),"")</f>
        <v/>
      </c>
      <c r="K953" s="86"/>
      <c r="L953" s="84" t="str">
        <f>IFERROR(VLOOKUP(CONCATENATE($B953,"_",L$3),materiali!$C:$K,5,0),"")</f>
        <v/>
      </c>
      <c r="M953" s="85" t="str">
        <f>IFERROR(VLOOKUP(CONCATENATE($B953,"_",M$3),materiali!$C:$K,6,0),"")</f>
        <v/>
      </c>
      <c r="N953" s="86"/>
      <c r="O953" s="84" t="str">
        <f>IFERROR(VLOOKUP(CONCATENATE($B953,"_",O$3),materiali!$C:$K,5,0),"")</f>
        <v/>
      </c>
      <c r="P953" s="85" t="str">
        <f>IFERROR(VLOOKUP(CONCATENATE($B953,"_",P$3),materiali!$C:$K,6,0),"")</f>
        <v/>
      </c>
      <c r="Q953" s="86"/>
      <c r="R953" s="84" t="str">
        <f>IFERROR(VLOOKUP(CONCATENATE($B953,"_",R$3),materiali!$C:$K,5,0),"")</f>
        <v/>
      </c>
      <c r="S953" s="85" t="str">
        <f>IFERROR(VLOOKUP(CONCATENATE($B953,"_",S$3),materiali!$C:$K,6,0),"")</f>
        <v/>
      </c>
      <c r="T953" s="86"/>
      <c r="U953" s="31"/>
      <c r="AD953" s="97"/>
    </row>
    <row r="954" spans="1:30" ht="35.1" hidden="1" customHeight="1" x14ac:dyDescent="0.25">
      <c r="A954" s="83"/>
      <c r="B954" s="7"/>
      <c r="C954" s="8"/>
      <c r="D954" s="8"/>
      <c r="E954" s="60"/>
      <c r="F954" s="84" t="str">
        <f>IFERROR(VLOOKUP(CONCATENATE($B954,"_",F$3),materiali!$C:$K,5,0),"")</f>
        <v/>
      </c>
      <c r="G954" s="85" t="str">
        <f>IFERROR(VLOOKUP(CONCATENATE($B954,"_",G$3),materiali!$C:$K,6,0),"")</f>
        <v/>
      </c>
      <c r="H954" s="86"/>
      <c r="I954" s="84" t="str">
        <f>IFERROR(VLOOKUP(CONCATENATE($B954,"_",I$3),materiali!$C:$K,5,0),"")</f>
        <v/>
      </c>
      <c r="J954" s="85" t="str">
        <f>IFERROR(VLOOKUP(CONCATENATE($B954,"_",J$3),materiali!$C:$K,6,0),"")</f>
        <v/>
      </c>
      <c r="K954" s="86"/>
      <c r="L954" s="84" t="str">
        <f>IFERROR(VLOOKUP(CONCATENATE($B954,"_",L$3),materiali!$C:$K,5,0),"")</f>
        <v/>
      </c>
      <c r="M954" s="85" t="str">
        <f>IFERROR(VLOOKUP(CONCATENATE($B954,"_",M$3),materiali!$C:$K,6,0),"")</f>
        <v/>
      </c>
      <c r="N954" s="86"/>
      <c r="O954" s="84" t="str">
        <f>IFERROR(VLOOKUP(CONCATENATE($B954,"_",O$3),materiali!$C:$K,5,0),"")</f>
        <v/>
      </c>
      <c r="P954" s="85" t="str">
        <f>IFERROR(VLOOKUP(CONCATENATE($B954,"_",P$3),materiali!$C:$K,6,0),"")</f>
        <v/>
      </c>
      <c r="Q954" s="86"/>
      <c r="R954" s="84" t="str">
        <f>IFERROR(VLOOKUP(CONCATENATE($B954,"_",R$3),materiali!$C:$K,5,0),"")</f>
        <v/>
      </c>
      <c r="S954" s="85" t="str">
        <f>IFERROR(VLOOKUP(CONCATENATE($B954,"_",S$3),materiali!$C:$K,6,0),"")</f>
        <v/>
      </c>
      <c r="T954" s="86"/>
      <c r="U954" s="31"/>
      <c r="AD954" s="97"/>
    </row>
    <row r="955" spans="1:30" ht="35.1" hidden="1" customHeight="1" x14ac:dyDescent="0.25">
      <c r="A955" s="83"/>
      <c r="B955" s="7"/>
      <c r="C955" s="8"/>
      <c r="D955" s="8"/>
      <c r="E955" s="60"/>
      <c r="F955" s="84" t="str">
        <f>IFERROR(VLOOKUP(CONCATENATE($B955,"_",F$3),materiali!$C:$K,5,0),"")</f>
        <v/>
      </c>
      <c r="G955" s="85" t="str">
        <f>IFERROR(VLOOKUP(CONCATENATE($B955,"_",G$3),materiali!$C:$K,6,0),"")</f>
        <v/>
      </c>
      <c r="H955" s="86"/>
      <c r="I955" s="84" t="str">
        <f>IFERROR(VLOOKUP(CONCATENATE($B955,"_",I$3),materiali!$C:$K,5,0),"")</f>
        <v/>
      </c>
      <c r="J955" s="85" t="str">
        <f>IFERROR(VLOOKUP(CONCATENATE($B955,"_",J$3),materiali!$C:$K,6,0),"")</f>
        <v/>
      </c>
      <c r="K955" s="86"/>
      <c r="L955" s="84" t="str">
        <f>IFERROR(VLOOKUP(CONCATENATE($B955,"_",L$3),materiali!$C:$K,5,0),"")</f>
        <v/>
      </c>
      <c r="M955" s="85" t="str">
        <f>IFERROR(VLOOKUP(CONCATENATE($B955,"_",M$3),materiali!$C:$K,6,0),"")</f>
        <v/>
      </c>
      <c r="N955" s="86"/>
      <c r="O955" s="84" t="str">
        <f>IFERROR(VLOOKUP(CONCATENATE($B955,"_",O$3),materiali!$C:$K,5,0),"")</f>
        <v/>
      </c>
      <c r="P955" s="85" t="str">
        <f>IFERROR(VLOOKUP(CONCATENATE($B955,"_",P$3),materiali!$C:$K,6,0),"")</f>
        <v/>
      </c>
      <c r="Q955" s="86"/>
      <c r="R955" s="84" t="str">
        <f>IFERROR(VLOOKUP(CONCATENATE($B955,"_",R$3),materiali!$C:$K,5,0),"")</f>
        <v/>
      </c>
      <c r="S955" s="85" t="str">
        <f>IFERROR(VLOOKUP(CONCATENATE($B955,"_",S$3),materiali!$C:$K,6,0),"")</f>
        <v/>
      </c>
      <c r="T955" s="86"/>
      <c r="U955" s="31"/>
      <c r="AD955" s="97"/>
    </row>
    <row r="956" spans="1:30" ht="35.1" hidden="1" customHeight="1" x14ac:dyDescent="0.25">
      <c r="A956" s="83"/>
      <c r="B956" s="7"/>
      <c r="C956" s="8"/>
      <c r="D956" s="8"/>
      <c r="E956" s="60"/>
      <c r="F956" s="84" t="str">
        <f>IFERROR(VLOOKUP(CONCATENATE($B956,"_",F$3),materiali!$C:$K,5,0),"")</f>
        <v/>
      </c>
      <c r="G956" s="85" t="str">
        <f>IFERROR(VLOOKUP(CONCATENATE($B956,"_",G$3),materiali!$C:$K,6,0),"")</f>
        <v/>
      </c>
      <c r="H956" s="86"/>
      <c r="I956" s="84" t="str">
        <f>IFERROR(VLOOKUP(CONCATENATE($B956,"_",I$3),materiali!$C:$K,5,0),"")</f>
        <v/>
      </c>
      <c r="J956" s="85" t="str">
        <f>IFERROR(VLOOKUP(CONCATENATE($B956,"_",J$3),materiali!$C:$K,6,0),"")</f>
        <v/>
      </c>
      <c r="K956" s="86"/>
      <c r="L956" s="84" t="str">
        <f>IFERROR(VLOOKUP(CONCATENATE($B956,"_",L$3),materiali!$C:$K,5,0),"")</f>
        <v/>
      </c>
      <c r="M956" s="85" t="str">
        <f>IFERROR(VLOOKUP(CONCATENATE($B956,"_",M$3),materiali!$C:$K,6,0),"")</f>
        <v/>
      </c>
      <c r="N956" s="86"/>
      <c r="O956" s="84" t="str">
        <f>IFERROR(VLOOKUP(CONCATENATE($B956,"_",O$3),materiali!$C:$K,5,0),"")</f>
        <v/>
      </c>
      <c r="P956" s="85" t="str">
        <f>IFERROR(VLOOKUP(CONCATENATE($B956,"_",P$3),materiali!$C:$K,6,0),"")</f>
        <v/>
      </c>
      <c r="Q956" s="86"/>
      <c r="R956" s="84" t="str">
        <f>IFERROR(VLOOKUP(CONCATENATE($B956,"_",R$3),materiali!$C:$K,5,0),"")</f>
        <v/>
      </c>
      <c r="S956" s="85" t="str">
        <f>IFERROR(VLOOKUP(CONCATENATE($B956,"_",S$3),materiali!$C:$K,6,0),"")</f>
        <v/>
      </c>
      <c r="T956" s="86"/>
      <c r="U956" s="31"/>
      <c r="AD956" s="97"/>
    </row>
    <row r="957" spans="1:30" ht="35.1" hidden="1" customHeight="1" x14ac:dyDescent="0.25">
      <c r="A957" s="83"/>
      <c r="B957" s="7"/>
      <c r="C957" s="8"/>
      <c r="D957" s="8"/>
      <c r="E957" s="60"/>
      <c r="F957" s="84" t="str">
        <f>IFERROR(VLOOKUP(CONCATENATE($B957,"_",F$3),materiali!$C:$K,5,0),"")</f>
        <v/>
      </c>
      <c r="G957" s="85" t="str">
        <f>IFERROR(VLOOKUP(CONCATENATE($B957,"_",G$3),materiali!$C:$K,6,0),"")</f>
        <v/>
      </c>
      <c r="H957" s="86"/>
      <c r="I957" s="84" t="str">
        <f>IFERROR(VLOOKUP(CONCATENATE($B957,"_",I$3),materiali!$C:$K,5,0),"")</f>
        <v/>
      </c>
      <c r="J957" s="85" t="str">
        <f>IFERROR(VLOOKUP(CONCATENATE($B957,"_",J$3),materiali!$C:$K,6,0),"")</f>
        <v/>
      </c>
      <c r="K957" s="86"/>
      <c r="L957" s="84" t="str">
        <f>IFERROR(VLOOKUP(CONCATENATE($B957,"_",L$3),materiali!$C:$K,5,0),"")</f>
        <v/>
      </c>
      <c r="M957" s="85" t="str">
        <f>IFERROR(VLOOKUP(CONCATENATE($B957,"_",M$3),materiali!$C:$K,6,0),"")</f>
        <v/>
      </c>
      <c r="N957" s="86"/>
      <c r="O957" s="84" t="str">
        <f>IFERROR(VLOOKUP(CONCATENATE($B957,"_",O$3),materiali!$C:$K,5,0),"")</f>
        <v/>
      </c>
      <c r="P957" s="85" t="str">
        <f>IFERROR(VLOOKUP(CONCATENATE($B957,"_",P$3),materiali!$C:$K,6,0),"")</f>
        <v/>
      </c>
      <c r="Q957" s="86"/>
      <c r="R957" s="84" t="str">
        <f>IFERROR(VLOOKUP(CONCATENATE($B957,"_",R$3),materiali!$C:$K,5,0),"")</f>
        <v/>
      </c>
      <c r="S957" s="85" t="str">
        <f>IFERROR(VLOOKUP(CONCATENATE($B957,"_",S$3),materiali!$C:$K,6,0),"")</f>
        <v/>
      </c>
      <c r="T957" s="86"/>
      <c r="U957" s="31"/>
      <c r="AD957" s="97"/>
    </row>
    <row r="958" spans="1:30" ht="35.1" hidden="1" customHeight="1" x14ac:dyDescent="0.25">
      <c r="A958" s="83"/>
      <c r="B958" s="7"/>
      <c r="C958" s="8"/>
      <c r="D958" s="8"/>
      <c r="E958" s="60"/>
      <c r="F958" s="84" t="str">
        <f>IFERROR(VLOOKUP(CONCATENATE($B958,"_",F$3),materiali!$C:$K,5,0),"")</f>
        <v/>
      </c>
      <c r="G958" s="85" t="str">
        <f>IFERROR(VLOOKUP(CONCATENATE($B958,"_",G$3),materiali!$C:$K,6,0),"")</f>
        <v/>
      </c>
      <c r="H958" s="86"/>
      <c r="I958" s="84" t="str">
        <f>IFERROR(VLOOKUP(CONCATENATE($B958,"_",I$3),materiali!$C:$K,5,0),"")</f>
        <v/>
      </c>
      <c r="J958" s="85" t="str">
        <f>IFERROR(VLOOKUP(CONCATENATE($B958,"_",J$3),materiali!$C:$K,6,0),"")</f>
        <v/>
      </c>
      <c r="K958" s="86"/>
      <c r="L958" s="84" t="str">
        <f>IFERROR(VLOOKUP(CONCATENATE($B958,"_",L$3),materiali!$C:$K,5,0),"")</f>
        <v/>
      </c>
      <c r="M958" s="85" t="str">
        <f>IFERROR(VLOOKUP(CONCATENATE($B958,"_",M$3),materiali!$C:$K,6,0),"")</f>
        <v/>
      </c>
      <c r="N958" s="86"/>
      <c r="O958" s="84" t="str">
        <f>IFERROR(VLOOKUP(CONCATENATE($B958,"_",O$3),materiali!$C:$K,5,0),"")</f>
        <v/>
      </c>
      <c r="P958" s="85" t="str">
        <f>IFERROR(VLOOKUP(CONCATENATE($B958,"_",P$3),materiali!$C:$K,6,0),"")</f>
        <v/>
      </c>
      <c r="Q958" s="86"/>
      <c r="R958" s="84" t="str">
        <f>IFERROR(VLOOKUP(CONCATENATE($B958,"_",R$3),materiali!$C:$K,5,0),"")</f>
        <v/>
      </c>
      <c r="S958" s="85" t="str">
        <f>IFERROR(VLOOKUP(CONCATENATE($B958,"_",S$3),materiali!$C:$K,6,0),"")</f>
        <v/>
      </c>
      <c r="T958" s="86"/>
      <c r="U958" s="31"/>
      <c r="AD958" s="97"/>
    </row>
    <row r="959" spans="1:30" ht="35.1" hidden="1" customHeight="1" x14ac:dyDescent="0.25">
      <c r="A959" s="83"/>
      <c r="B959" s="7"/>
      <c r="C959" s="8"/>
      <c r="D959" s="8"/>
      <c r="E959" s="60"/>
      <c r="F959" s="84" t="str">
        <f>IFERROR(VLOOKUP(CONCATENATE($B959,"_",F$3),materiali!$C:$K,5,0),"")</f>
        <v/>
      </c>
      <c r="G959" s="85" t="str">
        <f>IFERROR(VLOOKUP(CONCATENATE($B959,"_",G$3),materiali!$C:$K,6,0),"")</f>
        <v/>
      </c>
      <c r="H959" s="86"/>
      <c r="I959" s="84" t="str">
        <f>IFERROR(VLOOKUP(CONCATENATE($B959,"_",I$3),materiali!$C:$K,5,0),"")</f>
        <v/>
      </c>
      <c r="J959" s="85" t="str">
        <f>IFERROR(VLOOKUP(CONCATENATE($B959,"_",J$3),materiali!$C:$K,6,0),"")</f>
        <v/>
      </c>
      <c r="K959" s="86"/>
      <c r="L959" s="84" t="str">
        <f>IFERROR(VLOOKUP(CONCATENATE($B959,"_",L$3),materiali!$C:$K,5,0),"")</f>
        <v/>
      </c>
      <c r="M959" s="85" t="str">
        <f>IFERROR(VLOOKUP(CONCATENATE($B959,"_",M$3),materiali!$C:$K,6,0),"")</f>
        <v/>
      </c>
      <c r="N959" s="86"/>
      <c r="O959" s="84" t="str">
        <f>IFERROR(VLOOKUP(CONCATENATE($B959,"_",O$3),materiali!$C:$K,5,0),"")</f>
        <v/>
      </c>
      <c r="P959" s="85" t="str">
        <f>IFERROR(VLOOKUP(CONCATENATE($B959,"_",P$3),materiali!$C:$K,6,0),"")</f>
        <v/>
      </c>
      <c r="Q959" s="86"/>
      <c r="R959" s="84" t="str">
        <f>IFERROR(VLOOKUP(CONCATENATE($B959,"_",R$3),materiali!$C:$K,5,0),"")</f>
        <v/>
      </c>
      <c r="S959" s="85" t="str">
        <f>IFERROR(VLOOKUP(CONCATENATE($B959,"_",S$3),materiali!$C:$K,6,0),"")</f>
        <v/>
      </c>
      <c r="T959" s="86"/>
      <c r="U959" s="31"/>
      <c r="AD959" s="97"/>
    </row>
    <row r="960" spans="1:30" ht="35.1" hidden="1" customHeight="1" x14ac:dyDescent="0.25">
      <c r="A960" s="83"/>
      <c r="B960" s="7"/>
      <c r="C960" s="8"/>
      <c r="D960" s="8"/>
      <c r="E960" s="60"/>
      <c r="F960" s="84" t="str">
        <f>IFERROR(VLOOKUP(CONCATENATE($B960,"_",F$3),materiali!$C:$K,5,0),"")</f>
        <v/>
      </c>
      <c r="G960" s="85" t="str">
        <f>IFERROR(VLOOKUP(CONCATENATE($B960,"_",G$3),materiali!$C:$K,6,0),"")</f>
        <v/>
      </c>
      <c r="H960" s="86"/>
      <c r="I960" s="84" t="str">
        <f>IFERROR(VLOOKUP(CONCATENATE($B960,"_",I$3),materiali!$C:$K,5,0),"")</f>
        <v/>
      </c>
      <c r="J960" s="85" t="str">
        <f>IFERROR(VLOOKUP(CONCATENATE($B960,"_",J$3),materiali!$C:$K,6,0),"")</f>
        <v/>
      </c>
      <c r="K960" s="86"/>
      <c r="L960" s="84" t="str">
        <f>IFERROR(VLOOKUP(CONCATENATE($B960,"_",L$3),materiali!$C:$K,5,0),"")</f>
        <v/>
      </c>
      <c r="M960" s="85" t="str">
        <f>IFERROR(VLOOKUP(CONCATENATE($B960,"_",M$3),materiali!$C:$K,6,0),"")</f>
        <v/>
      </c>
      <c r="N960" s="86"/>
      <c r="O960" s="84" t="str">
        <f>IFERROR(VLOOKUP(CONCATENATE($B960,"_",O$3),materiali!$C:$K,5,0),"")</f>
        <v/>
      </c>
      <c r="P960" s="85" t="str">
        <f>IFERROR(VLOOKUP(CONCATENATE($B960,"_",P$3),materiali!$C:$K,6,0),"")</f>
        <v/>
      </c>
      <c r="Q960" s="86"/>
      <c r="R960" s="84" t="str">
        <f>IFERROR(VLOOKUP(CONCATENATE($B960,"_",R$3),materiali!$C:$K,5,0),"")</f>
        <v/>
      </c>
      <c r="S960" s="85" t="str">
        <f>IFERROR(VLOOKUP(CONCATENATE($B960,"_",S$3),materiali!$C:$K,6,0),"")</f>
        <v/>
      </c>
      <c r="T960" s="86"/>
      <c r="U960" s="31"/>
      <c r="AD960" s="97"/>
    </row>
    <row r="961" spans="1:30" ht="35.1" hidden="1" customHeight="1" x14ac:dyDescent="0.25">
      <c r="A961" s="83"/>
      <c r="B961" s="7"/>
      <c r="C961" s="8"/>
      <c r="D961" s="8"/>
      <c r="E961" s="60"/>
      <c r="F961" s="84" t="str">
        <f>IFERROR(VLOOKUP(CONCATENATE($B961,"_",F$3),materiali!$C:$K,5,0),"")</f>
        <v/>
      </c>
      <c r="G961" s="85" t="str">
        <f>IFERROR(VLOOKUP(CONCATENATE($B961,"_",G$3),materiali!$C:$K,6,0),"")</f>
        <v/>
      </c>
      <c r="H961" s="86"/>
      <c r="I961" s="84" t="str">
        <f>IFERROR(VLOOKUP(CONCATENATE($B961,"_",I$3),materiali!$C:$K,5,0),"")</f>
        <v/>
      </c>
      <c r="J961" s="85" t="str">
        <f>IFERROR(VLOOKUP(CONCATENATE($B961,"_",J$3),materiali!$C:$K,6,0),"")</f>
        <v/>
      </c>
      <c r="K961" s="86"/>
      <c r="L961" s="84" t="str">
        <f>IFERROR(VLOOKUP(CONCATENATE($B961,"_",L$3),materiali!$C:$K,5,0),"")</f>
        <v/>
      </c>
      <c r="M961" s="85" t="str">
        <f>IFERROR(VLOOKUP(CONCATENATE($B961,"_",M$3),materiali!$C:$K,6,0),"")</f>
        <v/>
      </c>
      <c r="N961" s="86"/>
      <c r="O961" s="84" t="str">
        <f>IFERROR(VLOOKUP(CONCATENATE($B961,"_",O$3),materiali!$C:$K,5,0),"")</f>
        <v/>
      </c>
      <c r="P961" s="85" t="str">
        <f>IFERROR(VLOOKUP(CONCATENATE($B961,"_",P$3),materiali!$C:$K,6,0),"")</f>
        <v/>
      </c>
      <c r="Q961" s="86"/>
      <c r="R961" s="84" t="str">
        <f>IFERROR(VLOOKUP(CONCATENATE($B961,"_",R$3),materiali!$C:$K,5,0),"")</f>
        <v/>
      </c>
      <c r="S961" s="85" t="str">
        <f>IFERROR(VLOOKUP(CONCATENATE($B961,"_",S$3),materiali!$C:$K,6,0),"")</f>
        <v/>
      </c>
      <c r="T961" s="86"/>
      <c r="U961" s="31"/>
      <c r="AD961" s="97"/>
    </row>
    <row r="962" spans="1:30" ht="35.1" hidden="1" customHeight="1" x14ac:dyDescent="0.25">
      <c r="A962" s="83"/>
      <c r="B962" s="7"/>
      <c r="C962" s="8"/>
      <c r="D962" s="8"/>
      <c r="E962" s="60"/>
      <c r="F962" s="84" t="str">
        <f>IFERROR(VLOOKUP(CONCATENATE($B962,"_",F$3),materiali!$C:$K,5,0),"")</f>
        <v/>
      </c>
      <c r="G962" s="85" t="str">
        <f>IFERROR(VLOOKUP(CONCATENATE($B962,"_",G$3),materiali!$C:$K,6,0),"")</f>
        <v/>
      </c>
      <c r="H962" s="86"/>
      <c r="I962" s="84" t="str">
        <f>IFERROR(VLOOKUP(CONCATENATE($B962,"_",I$3),materiali!$C:$K,5,0),"")</f>
        <v/>
      </c>
      <c r="J962" s="85" t="str">
        <f>IFERROR(VLOOKUP(CONCATENATE($B962,"_",J$3),materiali!$C:$K,6,0),"")</f>
        <v/>
      </c>
      <c r="K962" s="86"/>
      <c r="L962" s="84" t="str">
        <f>IFERROR(VLOOKUP(CONCATENATE($B962,"_",L$3),materiali!$C:$K,5,0),"")</f>
        <v/>
      </c>
      <c r="M962" s="85" t="str">
        <f>IFERROR(VLOOKUP(CONCATENATE($B962,"_",M$3),materiali!$C:$K,6,0),"")</f>
        <v/>
      </c>
      <c r="N962" s="86"/>
      <c r="O962" s="84" t="str">
        <f>IFERROR(VLOOKUP(CONCATENATE($B962,"_",O$3),materiali!$C:$K,5,0),"")</f>
        <v/>
      </c>
      <c r="P962" s="85" t="str">
        <f>IFERROR(VLOOKUP(CONCATENATE($B962,"_",P$3),materiali!$C:$K,6,0),"")</f>
        <v/>
      </c>
      <c r="Q962" s="86"/>
      <c r="R962" s="84" t="str">
        <f>IFERROR(VLOOKUP(CONCATENATE($B962,"_",R$3),materiali!$C:$K,5,0),"")</f>
        <v/>
      </c>
      <c r="S962" s="85" t="str">
        <f>IFERROR(VLOOKUP(CONCATENATE($B962,"_",S$3),materiali!$C:$K,6,0),"")</f>
        <v/>
      </c>
      <c r="T962" s="86"/>
      <c r="U962" s="31"/>
      <c r="AD962" s="97"/>
    </row>
    <row r="963" spans="1:30" ht="35.1" hidden="1" customHeight="1" x14ac:dyDescent="0.25">
      <c r="A963" s="83"/>
      <c r="B963" s="7"/>
      <c r="C963" s="8"/>
      <c r="D963" s="8"/>
      <c r="E963" s="60"/>
      <c r="F963" s="84" t="str">
        <f>IFERROR(VLOOKUP(CONCATENATE($B963,"_",F$3),materiali!$C:$K,5,0),"")</f>
        <v/>
      </c>
      <c r="G963" s="85" t="str">
        <f>IFERROR(VLOOKUP(CONCATENATE($B963,"_",G$3),materiali!$C:$K,6,0),"")</f>
        <v/>
      </c>
      <c r="H963" s="86"/>
      <c r="I963" s="84" t="str">
        <f>IFERROR(VLOOKUP(CONCATENATE($B963,"_",I$3),materiali!$C:$K,5,0),"")</f>
        <v/>
      </c>
      <c r="J963" s="85" t="str">
        <f>IFERROR(VLOOKUP(CONCATENATE($B963,"_",J$3),materiali!$C:$K,6,0),"")</f>
        <v/>
      </c>
      <c r="K963" s="86"/>
      <c r="L963" s="84" t="str">
        <f>IFERROR(VLOOKUP(CONCATENATE($B963,"_",L$3),materiali!$C:$K,5,0),"")</f>
        <v/>
      </c>
      <c r="M963" s="85" t="str">
        <f>IFERROR(VLOOKUP(CONCATENATE($B963,"_",M$3),materiali!$C:$K,6,0),"")</f>
        <v/>
      </c>
      <c r="N963" s="86"/>
      <c r="O963" s="84" t="str">
        <f>IFERROR(VLOOKUP(CONCATENATE($B963,"_",O$3),materiali!$C:$K,5,0),"")</f>
        <v/>
      </c>
      <c r="P963" s="85" t="str">
        <f>IFERROR(VLOOKUP(CONCATENATE($B963,"_",P$3),materiali!$C:$K,6,0),"")</f>
        <v/>
      </c>
      <c r="Q963" s="86"/>
      <c r="R963" s="84" t="str">
        <f>IFERROR(VLOOKUP(CONCATENATE($B963,"_",R$3),materiali!$C:$K,5,0),"")</f>
        <v/>
      </c>
      <c r="S963" s="85" t="str">
        <f>IFERROR(VLOOKUP(CONCATENATE($B963,"_",S$3),materiali!$C:$K,6,0),"")</f>
        <v/>
      </c>
      <c r="T963" s="86"/>
      <c r="U963" s="31"/>
      <c r="AD963" s="97"/>
    </row>
    <row r="964" spans="1:30" ht="35.1" hidden="1" customHeight="1" x14ac:dyDescent="0.25">
      <c r="A964" s="83"/>
      <c r="B964" s="7"/>
      <c r="C964" s="8"/>
      <c r="D964" s="8"/>
      <c r="E964" s="60"/>
      <c r="F964" s="84" t="str">
        <f>IFERROR(VLOOKUP(CONCATENATE($B964,"_",F$3),materiali!$C:$K,5,0),"")</f>
        <v/>
      </c>
      <c r="G964" s="85" t="str">
        <f>IFERROR(VLOOKUP(CONCATENATE($B964,"_",G$3),materiali!$C:$K,6,0),"")</f>
        <v/>
      </c>
      <c r="H964" s="86"/>
      <c r="I964" s="84" t="str">
        <f>IFERROR(VLOOKUP(CONCATENATE($B964,"_",I$3),materiali!$C:$K,5,0),"")</f>
        <v/>
      </c>
      <c r="J964" s="85" t="str">
        <f>IFERROR(VLOOKUP(CONCATENATE($B964,"_",J$3),materiali!$C:$K,6,0),"")</f>
        <v/>
      </c>
      <c r="K964" s="86"/>
      <c r="L964" s="84" t="str">
        <f>IFERROR(VLOOKUP(CONCATENATE($B964,"_",L$3),materiali!$C:$K,5,0),"")</f>
        <v/>
      </c>
      <c r="M964" s="85" t="str">
        <f>IFERROR(VLOOKUP(CONCATENATE($B964,"_",M$3),materiali!$C:$K,6,0),"")</f>
        <v/>
      </c>
      <c r="N964" s="86"/>
      <c r="O964" s="84" t="str">
        <f>IFERROR(VLOOKUP(CONCATENATE($B964,"_",O$3),materiali!$C:$K,5,0),"")</f>
        <v/>
      </c>
      <c r="P964" s="85" t="str">
        <f>IFERROR(VLOOKUP(CONCATENATE($B964,"_",P$3),materiali!$C:$K,6,0),"")</f>
        <v/>
      </c>
      <c r="Q964" s="86"/>
      <c r="R964" s="84" t="str">
        <f>IFERROR(VLOOKUP(CONCATENATE($B964,"_",R$3),materiali!$C:$K,5,0),"")</f>
        <v/>
      </c>
      <c r="S964" s="85" t="str">
        <f>IFERROR(VLOOKUP(CONCATENATE($B964,"_",S$3),materiali!$C:$K,6,0),"")</f>
        <v/>
      </c>
      <c r="T964" s="86"/>
      <c r="U964" s="31"/>
      <c r="AD964" s="97"/>
    </row>
    <row r="965" spans="1:30" ht="35.1" hidden="1" customHeight="1" x14ac:dyDescent="0.25">
      <c r="A965" s="83"/>
      <c r="B965" s="7"/>
      <c r="C965" s="8"/>
      <c r="D965" s="8"/>
      <c r="E965" s="60"/>
      <c r="F965" s="84" t="str">
        <f>IFERROR(VLOOKUP(CONCATENATE($B965,"_",F$3),materiali!$C:$K,5,0),"")</f>
        <v/>
      </c>
      <c r="G965" s="85" t="str">
        <f>IFERROR(VLOOKUP(CONCATENATE($B965,"_",G$3),materiali!$C:$K,6,0),"")</f>
        <v/>
      </c>
      <c r="H965" s="86"/>
      <c r="I965" s="84" t="str">
        <f>IFERROR(VLOOKUP(CONCATENATE($B965,"_",I$3),materiali!$C:$K,5,0),"")</f>
        <v/>
      </c>
      <c r="J965" s="85" t="str">
        <f>IFERROR(VLOOKUP(CONCATENATE($B965,"_",J$3),materiali!$C:$K,6,0),"")</f>
        <v/>
      </c>
      <c r="K965" s="86"/>
      <c r="L965" s="84" t="str">
        <f>IFERROR(VLOOKUP(CONCATENATE($B965,"_",L$3),materiali!$C:$K,5,0),"")</f>
        <v/>
      </c>
      <c r="M965" s="85" t="str">
        <f>IFERROR(VLOOKUP(CONCATENATE($B965,"_",M$3),materiali!$C:$K,6,0),"")</f>
        <v/>
      </c>
      <c r="N965" s="86"/>
      <c r="O965" s="84" t="str">
        <f>IFERROR(VLOOKUP(CONCATENATE($B965,"_",O$3),materiali!$C:$K,5,0),"")</f>
        <v/>
      </c>
      <c r="P965" s="85" t="str">
        <f>IFERROR(VLOOKUP(CONCATENATE($B965,"_",P$3),materiali!$C:$K,6,0),"")</f>
        <v/>
      </c>
      <c r="Q965" s="86"/>
      <c r="R965" s="84" t="str">
        <f>IFERROR(VLOOKUP(CONCATENATE($B965,"_",R$3),materiali!$C:$K,5,0),"")</f>
        <v/>
      </c>
      <c r="S965" s="85" t="str">
        <f>IFERROR(VLOOKUP(CONCATENATE($B965,"_",S$3),materiali!$C:$K,6,0),"")</f>
        <v/>
      </c>
      <c r="T965" s="86"/>
      <c r="U965" s="31"/>
      <c r="AD965" s="97"/>
    </row>
    <row r="966" spans="1:30" ht="35.1" hidden="1" customHeight="1" x14ac:dyDescent="0.25">
      <c r="A966" s="83"/>
      <c r="B966" s="7"/>
      <c r="C966" s="8"/>
      <c r="D966" s="8"/>
      <c r="E966" s="60"/>
      <c r="F966" s="84" t="str">
        <f>IFERROR(VLOOKUP(CONCATENATE($B966,"_",F$3),materiali!$C:$K,5,0),"")</f>
        <v/>
      </c>
      <c r="G966" s="85" t="str">
        <f>IFERROR(VLOOKUP(CONCATENATE($B966,"_",G$3),materiali!$C:$K,6,0),"")</f>
        <v/>
      </c>
      <c r="H966" s="86"/>
      <c r="I966" s="84" t="str">
        <f>IFERROR(VLOOKUP(CONCATENATE($B966,"_",I$3),materiali!$C:$K,5,0),"")</f>
        <v/>
      </c>
      <c r="J966" s="85" t="str">
        <f>IFERROR(VLOOKUP(CONCATENATE($B966,"_",J$3),materiali!$C:$K,6,0),"")</f>
        <v/>
      </c>
      <c r="K966" s="86"/>
      <c r="L966" s="84" t="str">
        <f>IFERROR(VLOOKUP(CONCATENATE($B966,"_",L$3),materiali!$C:$K,5,0),"")</f>
        <v/>
      </c>
      <c r="M966" s="85" t="str">
        <f>IFERROR(VLOOKUP(CONCATENATE($B966,"_",M$3),materiali!$C:$K,6,0),"")</f>
        <v/>
      </c>
      <c r="N966" s="86"/>
      <c r="O966" s="84" t="str">
        <f>IFERROR(VLOOKUP(CONCATENATE($B966,"_",O$3),materiali!$C:$K,5,0),"")</f>
        <v/>
      </c>
      <c r="P966" s="85" t="str">
        <f>IFERROR(VLOOKUP(CONCATENATE($B966,"_",P$3),materiali!$C:$K,6,0),"")</f>
        <v/>
      </c>
      <c r="Q966" s="86"/>
      <c r="R966" s="84" t="str">
        <f>IFERROR(VLOOKUP(CONCATENATE($B966,"_",R$3),materiali!$C:$K,5,0),"")</f>
        <v/>
      </c>
      <c r="S966" s="85" t="str">
        <f>IFERROR(VLOOKUP(CONCATENATE($B966,"_",S$3),materiali!$C:$K,6,0),"")</f>
        <v/>
      </c>
      <c r="T966" s="86"/>
      <c r="U966" s="31"/>
      <c r="AD966" s="97"/>
    </row>
    <row r="967" spans="1:30" ht="35.1" hidden="1" customHeight="1" x14ac:dyDescent="0.25">
      <c r="A967" s="83"/>
      <c r="B967" s="7"/>
      <c r="C967" s="8"/>
      <c r="D967" s="8"/>
      <c r="E967" s="60"/>
      <c r="F967" s="84" t="str">
        <f>IFERROR(VLOOKUP(CONCATENATE($B967,"_",F$3),materiali!$C:$K,5,0),"")</f>
        <v/>
      </c>
      <c r="G967" s="85" t="str">
        <f>IFERROR(VLOOKUP(CONCATENATE($B967,"_",G$3),materiali!$C:$K,6,0),"")</f>
        <v/>
      </c>
      <c r="H967" s="86"/>
      <c r="I967" s="84" t="str">
        <f>IFERROR(VLOOKUP(CONCATENATE($B967,"_",I$3),materiali!$C:$K,5,0),"")</f>
        <v/>
      </c>
      <c r="J967" s="85" t="str">
        <f>IFERROR(VLOOKUP(CONCATENATE($B967,"_",J$3),materiali!$C:$K,6,0),"")</f>
        <v/>
      </c>
      <c r="K967" s="86"/>
      <c r="L967" s="84" t="str">
        <f>IFERROR(VLOOKUP(CONCATENATE($B967,"_",L$3),materiali!$C:$K,5,0),"")</f>
        <v/>
      </c>
      <c r="M967" s="85" t="str">
        <f>IFERROR(VLOOKUP(CONCATENATE($B967,"_",M$3),materiali!$C:$K,6,0),"")</f>
        <v/>
      </c>
      <c r="N967" s="86"/>
      <c r="O967" s="84" t="str">
        <f>IFERROR(VLOOKUP(CONCATENATE($B967,"_",O$3),materiali!$C:$K,5,0),"")</f>
        <v/>
      </c>
      <c r="P967" s="85" t="str">
        <f>IFERROR(VLOOKUP(CONCATENATE($B967,"_",P$3),materiali!$C:$K,6,0),"")</f>
        <v/>
      </c>
      <c r="Q967" s="86"/>
      <c r="R967" s="84" t="str">
        <f>IFERROR(VLOOKUP(CONCATENATE($B967,"_",R$3),materiali!$C:$K,5,0),"")</f>
        <v/>
      </c>
      <c r="S967" s="85" t="str">
        <f>IFERROR(VLOOKUP(CONCATENATE($B967,"_",S$3),materiali!$C:$K,6,0),"")</f>
        <v/>
      </c>
      <c r="T967" s="86"/>
      <c r="U967" s="31"/>
      <c r="AD967" s="97"/>
    </row>
    <row r="968" spans="1:30" ht="35.1" hidden="1" customHeight="1" x14ac:dyDescent="0.25">
      <c r="A968" s="83"/>
      <c r="B968" s="7"/>
      <c r="C968" s="8"/>
      <c r="D968" s="8"/>
      <c r="E968" s="60"/>
      <c r="F968" s="84" t="str">
        <f>IFERROR(VLOOKUP(CONCATENATE($B968,"_",F$3),materiali!$C:$K,5,0),"")</f>
        <v/>
      </c>
      <c r="G968" s="85" t="str">
        <f>IFERROR(VLOOKUP(CONCATENATE($B968,"_",G$3),materiali!$C:$K,6,0),"")</f>
        <v/>
      </c>
      <c r="H968" s="86"/>
      <c r="I968" s="84" t="str">
        <f>IFERROR(VLOOKUP(CONCATENATE($B968,"_",I$3),materiali!$C:$K,5,0),"")</f>
        <v/>
      </c>
      <c r="J968" s="85" t="str">
        <f>IFERROR(VLOOKUP(CONCATENATE($B968,"_",J$3),materiali!$C:$K,6,0),"")</f>
        <v/>
      </c>
      <c r="K968" s="86"/>
      <c r="L968" s="84" t="str">
        <f>IFERROR(VLOOKUP(CONCATENATE($B968,"_",L$3),materiali!$C:$K,5,0),"")</f>
        <v/>
      </c>
      <c r="M968" s="85" t="str">
        <f>IFERROR(VLOOKUP(CONCATENATE($B968,"_",M$3),materiali!$C:$K,6,0),"")</f>
        <v/>
      </c>
      <c r="N968" s="86"/>
      <c r="O968" s="84" t="str">
        <f>IFERROR(VLOOKUP(CONCATENATE($B968,"_",O$3),materiali!$C:$K,5,0),"")</f>
        <v/>
      </c>
      <c r="P968" s="85" t="str">
        <f>IFERROR(VLOOKUP(CONCATENATE($B968,"_",P$3),materiali!$C:$K,6,0),"")</f>
        <v/>
      </c>
      <c r="Q968" s="86"/>
      <c r="R968" s="84" t="str">
        <f>IFERROR(VLOOKUP(CONCATENATE($B968,"_",R$3),materiali!$C:$K,5,0),"")</f>
        <v/>
      </c>
      <c r="S968" s="85" t="str">
        <f>IFERROR(VLOOKUP(CONCATENATE($B968,"_",S$3),materiali!$C:$K,6,0),"")</f>
        <v/>
      </c>
      <c r="T968" s="86"/>
      <c r="U968" s="31"/>
      <c r="AD968" s="97"/>
    </row>
    <row r="969" spans="1:30" ht="35.1" hidden="1" customHeight="1" x14ac:dyDescent="0.25">
      <c r="A969" s="83"/>
      <c r="B969" s="7"/>
      <c r="C969" s="8"/>
      <c r="D969" s="8"/>
      <c r="E969" s="60"/>
      <c r="F969" s="84" t="str">
        <f>IFERROR(VLOOKUP(CONCATENATE($B969,"_",F$3),materiali!$C:$K,5,0),"")</f>
        <v/>
      </c>
      <c r="G969" s="85" t="str">
        <f>IFERROR(VLOOKUP(CONCATENATE($B969,"_",G$3),materiali!$C:$K,6,0),"")</f>
        <v/>
      </c>
      <c r="H969" s="86"/>
      <c r="I969" s="84" t="str">
        <f>IFERROR(VLOOKUP(CONCATENATE($B969,"_",I$3),materiali!$C:$K,5,0),"")</f>
        <v/>
      </c>
      <c r="J969" s="85" t="str">
        <f>IFERROR(VLOOKUP(CONCATENATE($B969,"_",J$3),materiali!$C:$K,6,0),"")</f>
        <v/>
      </c>
      <c r="K969" s="86"/>
      <c r="L969" s="84" t="str">
        <f>IFERROR(VLOOKUP(CONCATENATE($B969,"_",L$3),materiali!$C:$K,5,0),"")</f>
        <v/>
      </c>
      <c r="M969" s="85" t="str">
        <f>IFERROR(VLOOKUP(CONCATENATE($B969,"_",M$3),materiali!$C:$K,6,0),"")</f>
        <v/>
      </c>
      <c r="N969" s="86"/>
      <c r="O969" s="84" t="str">
        <f>IFERROR(VLOOKUP(CONCATENATE($B969,"_",O$3),materiali!$C:$K,5,0),"")</f>
        <v/>
      </c>
      <c r="P969" s="85" t="str">
        <f>IFERROR(VLOOKUP(CONCATENATE($B969,"_",P$3),materiali!$C:$K,6,0),"")</f>
        <v/>
      </c>
      <c r="Q969" s="86"/>
      <c r="R969" s="84" t="str">
        <f>IFERROR(VLOOKUP(CONCATENATE($B969,"_",R$3),materiali!$C:$K,5,0),"")</f>
        <v/>
      </c>
      <c r="S969" s="85" t="str">
        <f>IFERROR(VLOOKUP(CONCATENATE($B969,"_",S$3),materiali!$C:$K,6,0),"")</f>
        <v/>
      </c>
      <c r="T969" s="86"/>
      <c r="U969" s="31"/>
      <c r="AD969" s="97"/>
    </row>
    <row r="970" spans="1:30" ht="35.1" hidden="1" customHeight="1" x14ac:dyDescent="0.25">
      <c r="A970" s="83"/>
      <c r="B970" s="7"/>
      <c r="C970" s="8"/>
      <c r="D970" s="8"/>
      <c r="E970" s="60"/>
      <c r="F970" s="84" t="str">
        <f>IFERROR(VLOOKUP(CONCATENATE($B970,"_",F$3),materiali!$C:$K,5,0),"")</f>
        <v/>
      </c>
      <c r="G970" s="85" t="str">
        <f>IFERROR(VLOOKUP(CONCATENATE($B970,"_",G$3),materiali!$C:$K,6,0),"")</f>
        <v/>
      </c>
      <c r="H970" s="86"/>
      <c r="I970" s="84" t="str">
        <f>IFERROR(VLOOKUP(CONCATENATE($B970,"_",I$3),materiali!$C:$K,5,0),"")</f>
        <v/>
      </c>
      <c r="J970" s="85" t="str">
        <f>IFERROR(VLOOKUP(CONCATENATE($B970,"_",J$3),materiali!$C:$K,6,0),"")</f>
        <v/>
      </c>
      <c r="K970" s="86"/>
      <c r="L970" s="84" t="str">
        <f>IFERROR(VLOOKUP(CONCATENATE($B970,"_",L$3),materiali!$C:$K,5,0),"")</f>
        <v/>
      </c>
      <c r="M970" s="85" t="str">
        <f>IFERROR(VLOOKUP(CONCATENATE($B970,"_",M$3),materiali!$C:$K,6,0),"")</f>
        <v/>
      </c>
      <c r="N970" s="86"/>
      <c r="O970" s="84" t="str">
        <f>IFERROR(VLOOKUP(CONCATENATE($B970,"_",O$3),materiali!$C:$K,5,0),"")</f>
        <v/>
      </c>
      <c r="P970" s="85" t="str">
        <f>IFERROR(VLOOKUP(CONCATENATE($B970,"_",P$3),materiali!$C:$K,6,0),"")</f>
        <v/>
      </c>
      <c r="Q970" s="86"/>
      <c r="R970" s="84" t="str">
        <f>IFERROR(VLOOKUP(CONCATENATE($B970,"_",R$3),materiali!$C:$K,5,0),"")</f>
        <v/>
      </c>
      <c r="S970" s="85" t="str">
        <f>IFERROR(VLOOKUP(CONCATENATE($B970,"_",S$3),materiali!$C:$K,6,0),"")</f>
        <v/>
      </c>
      <c r="T970" s="86"/>
      <c r="U970" s="31"/>
      <c r="AD970" s="97"/>
    </row>
    <row r="971" spans="1:30" ht="35.1" hidden="1" customHeight="1" x14ac:dyDescent="0.25">
      <c r="A971" s="83"/>
      <c r="B971" s="7"/>
      <c r="C971" s="8"/>
      <c r="D971" s="8"/>
      <c r="E971" s="60"/>
      <c r="F971" s="84" t="str">
        <f>IFERROR(VLOOKUP(CONCATENATE($B971,"_",F$3),materiali!$C:$K,5,0),"")</f>
        <v/>
      </c>
      <c r="G971" s="85" t="str">
        <f>IFERROR(VLOOKUP(CONCATENATE($B971,"_",G$3),materiali!$C:$K,6,0),"")</f>
        <v/>
      </c>
      <c r="H971" s="86"/>
      <c r="I971" s="84" t="str">
        <f>IFERROR(VLOOKUP(CONCATENATE($B971,"_",I$3),materiali!$C:$K,5,0),"")</f>
        <v/>
      </c>
      <c r="J971" s="85" t="str">
        <f>IFERROR(VLOOKUP(CONCATENATE($B971,"_",J$3),materiali!$C:$K,6,0),"")</f>
        <v/>
      </c>
      <c r="K971" s="86"/>
      <c r="L971" s="84" t="str">
        <f>IFERROR(VLOOKUP(CONCATENATE($B971,"_",L$3),materiali!$C:$K,5,0),"")</f>
        <v/>
      </c>
      <c r="M971" s="85" t="str">
        <f>IFERROR(VLOOKUP(CONCATENATE($B971,"_",M$3),materiali!$C:$K,6,0),"")</f>
        <v/>
      </c>
      <c r="N971" s="86"/>
      <c r="O971" s="84" t="str">
        <f>IFERROR(VLOOKUP(CONCATENATE($B971,"_",O$3),materiali!$C:$K,5,0),"")</f>
        <v/>
      </c>
      <c r="P971" s="85" t="str">
        <f>IFERROR(VLOOKUP(CONCATENATE($B971,"_",P$3),materiali!$C:$K,6,0),"")</f>
        <v/>
      </c>
      <c r="Q971" s="86"/>
      <c r="R971" s="84" t="str">
        <f>IFERROR(VLOOKUP(CONCATENATE($B971,"_",R$3),materiali!$C:$K,5,0),"")</f>
        <v/>
      </c>
      <c r="S971" s="85" t="str">
        <f>IFERROR(VLOOKUP(CONCATENATE($B971,"_",S$3),materiali!$C:$K,6,0),"")</f>
        <v/>
      </c>
      <c r="T971" s="86"/>
      <c r="U971" s="31"/>
      <c r="AD971" s="97"/>
    </row>
    <row r="972" spans="1:30" ht="35.1" hidden="1" customHeight="1" x14ac:dyDescent="0.25">
      <c r="A972" s="83"/>
      <c r="B972" s="7"/>
      <c r="C972" s="8"/>
      <c r="D972" s="8"/>
      <c r="E972" s="60"/>
      <c r="F972" s="84" t="str">
        <f>IFERROR(VLOOKUP(CONCATENATE($B972,"_",F$3),materiali!$C:$K,5,0),"")</f>
        <v/>
      </c>
      <c r="G972" s="85" t="str">
        <f>IFERROR(VLOOKUP(CONCATENATE($B972,"_",G$3),materiali!$C:$K,6,0),"")</f>
        <v/>
      </c>
      <c r="H972" s="86"/>
      <c r="I972" s="84" t="str">
        <f>IFERROR(VLOOKUP(CONCATENATE($B972,"_",I$3),materiali!$C:$K,5,0),"")</f>
        <v/>
      </c>
      <c r="J972" s="85" t="str">
        <f>IFERROR(VLOOKUP(CONCATENATE($B972,"_",J$3),materiali!$C:$K,6,0),"")</f>
        <v/>
      </c>
      <c r="K972" s="86"/>
      <c r="L972" s="84" t="str">
        <f>IFERROR(VLOOKUP(CONCATENATE($B972,"_",L$3),materiali!$C:$K,5,0),"")</f>
        <v/>
      </c>
      <c r="M972" s="85" t="str">
        <f>IFERROR(VLOOKUP(CONCATENATE($B972,"_",M$3),materiali!$C:$K,6,0),"")</f>
        <v/>
      </c>
      <c r="N972" s="86"/>
      <c r="O972" s="84" t="str">
        <f>IFERROR(VLOOKUP(CONCATENATE($B972,"_",O$3),materiali!$C:$K,5,0),"")</f>
        <v/>
      </c>
      <c r="P972" s="85" t="str">
        <f>IFERROR(VLOOKUP(CONCATENATE($B972,"_",P$3),materiali!$C:$K,6,0),"")</f>
        <v/>
      </c>
      <c r="Q972" s="86"/>
      <c r="R972" s="84" t="str">
        <f>IFERROR(VLOOKUP(CONCATENATE($B972,"_",R$3),materiali!$C:$K,5,0),"")</f>
        <v/>
      </c>
      <c r="S972" s="85" t="str">
        <f>IFERROR(VLOOKUP(CONCATENATE($B972,"_",S$3),materiali!$C:$K,6,0),"")</f>
        <v/>
      </c>
      <c r="T972" s="86"/>
      <c r="U972" s="31"/>
      <c r="AD972" s="97"/>
    </row>
    <row r="973" spans="1:30" ht="35.1" hidden="1" customHeight="1" x14ac:dyDescent="0.25">
      <c r="A973" s="83"/>
      <c r="B973" s="7"/>
      <c r="C973" s="8"/>
      <c r="D973" s="8"/>
      <c r="E973" s="60"/>
      <c r="F973" s="84" t="str">
        <f>IFERROR(VLOOKUP(CONCATENATE($B973,"_",F$3),materiali!$C:$K,5,0),"")</f>
        <v/>
      </c>
      <c r="G973" s="85" t="str">
        <f>IFERROR(VLOOKUP(CONCATENATE($B973,"_",G$3),materiali!$C:$K,6,0),"")</f>
        <v/>
      </c>
      <c r="H973" s="86"/>
      <c r="I973" s="84" t="str">
        <f>IFERROR(VLOOKUP(CONCATENATE($B973,"_",I$3),materiali!$C:$K,5,0),"")</f>
        <v/>
      </c>
      <c r="J973" s="85" t="str">
        <f>IFERROR(VLOOKUP(CONCATENATE($B973,"_",J$3),materiali!$C:$K,6,0),"")</f>
        <v/>
      </c>
      <c r="K973" s="86"/>
      <c r="L973" s="84" t="str">
        <f>IFERROR(VLOOKUP(CONCATENATE($B973,"_",L$3),materiali!$C:$K,5,0),"")</f>
        <v/>
      </c>
      <c r="M973" s="85" t="str">
        <f>IFERROR(VLOOKUP(CONCATENATE($B973,"_",M$3),materiali!$C:$K,6,0),"")</f>
        <v/>
      </c>
      <c r="N973" s="86"/>
      <c r="O973" s="84" t="str">
        <f>IFERROR(VLOOKUP(CONCATENATE($B973,"_",O$3),materiali!$C:$K,5,0),"")</f>
        <v/>
      </c>
      <c r="P973" s="85" t="str">
        <f>IFERROR(VLOOKUP(CONCATENATE($B973,"_",P$3),materiali!$C:$K,6,0),"")</f>
        <v/>
      </c>
      <c r="Q973" s="86"/>
      <c r="R973" s="84" t="str">
        <f>IFERROR(VLOOKUP(CONCATENATE($B973,"_",R$3),materiali!$C:$K,5,0),"")</f>
        <v/>
      </c>
      <c r="S973" s="85" t="str">
        <f>IFERROR(VLOOKUP(CONCATENATE($B973,"_",S$3),materiali!$C:$K,6,0),"")</f>
        <v/>
      </c>
      <c r="T973" s="86"/>
      <c r="U973" s="31"/>
      <c r="AD973" s="97"/>
    </row>
    <row r="974" spans="1:30" ht="35.1" hidden="1" customHeight="1" x14ac:dyDescent="0.25">
      <c r="A974" s="83"/>
      <c r="B974" s="7"/>
      <c r="C974" s="8"/>
      <c r="D974" s="8"/>
      <c r="E974" s="60"/>
      <c r="F974" s="84" t="str">
        <f>IFERROR(VLOOKUP(CONCATENATE($B974,"_",F$3),materiali!$C:$K,5,0),"")</f>
        <v/>
      </c>
      <c r="G974" s="85" t="str">
        <f>IFERROR(VLOOKUP(CONCATENATE($B974,"_",G$3),materiali!$C:$K,6,0),"")</f>
        <v/>
      </c>
      <c r="H974" s="86"/>
      <c r="I974" s="84" t="str">
        <f>IFERROR(VLOOKUP(CONCATENATE($B974,"_",I$3),materiali!$C:$K,5,0),"")</f>
        <v/>
      </c>
      <c r="J974" s="85" t="str">
        <f>IFERROR(VLOOKUP(CONCATENATE($B974,"_",J$3),materiali!$C:$K,6,0),"")</f>
        <v/>
      </c>
      <c r="K974" s="86"/>
      <c r="L974" s="84" t="str">
        <f>IFERROR(VLOOKUP(CONCATENATE($B974,"_",L$3),materiali!$C:$K,5,0),"")</f>
        <v/>
      </c>
      <c r="M974" s="85" t="str">
        <f>IFERROR(VLOOKUP(CONCATENATE($B974,"_",M$3),materiali!$C:$K,6,0),"")</f>
        <v/>
      </c>
      <c r="N974" s="86"/>
      <c r="O974" s="84" t="str">
        <f>IFERROR(VLOOKUP(CONCATENATE($B974,"_",O$3),materiali!$C:$K,5,0),"")</f>
        <v/>
      </c>
      <c r="P974" s="85" t="str">
        <f>IFERROR(VLOOKUP(CONCATENATE($B974,"_",P$3),materiali!$C:$K,6,0),"")</f>
        <v/>
      </c>
      <c r="Q974" s="86"/>
      <c r="R974" s="84" t="str">
        <f>IFERROR(VLOOKUP(CONCATENATE($B974,"_",R$3),materiali!$C:$K,5,0),"")</f>
        <v/>
      </c>
      <c r="S974" s="85" t="str">
        <f>IFERROR(VLOOKUP(CONCATENATE($B974,"_",S$3),materiali!$C:$K,6,0),"")</f>
        <v/>
      </c>
      <c r="T974" s="86"/>
      <c r="U974" s="31"/>
      <c r="AD974" s="97"/>
    </row>
    <row r="975" spans="1:30" ht="35.1" hidden="1" customHeight="1" x14ac:dyDescent="0.25">
      <c r="A975" s="83"/>
      <c r="B975" s="7"/>
      <c r="C975" s="8"/>
      <c r="D975" s="8"/>
      <c r="E975" s="60"/>
      <c r="F975" s="84" t="str">
        <f>IFERROR(VLOOKUP(CONCATENATE($B975,"_",F$3),materiali!$C:$K,5,0),"")</f>
        <v/>
      </c>
      <c r="G975" s="85" t="str">
        <f>IFERROR(VLOOKUP(CONCATENATE($B975,"_",G$3),materiali!$C:$K,6,0),"")</f>
        <v/>
      </c>
      <c r="H975" s="86"/>
      <c r="I975" s="84" t="str">
        <f>IFERROR(VLOOKUP(CONCATENATE($B975,"_",I$3),materiali!$C:$K,5,0),"")</f>
        <v/>
      </c>
      <c r="J975" s="85" t="str">
        <f>IFERROR(VLOOKUP(CONCATENATE($B975,"_",J$3),materiali!$C:$K,6,0),"")</f>
        <v/>
      </c>
      <c r="K975" s="86"/>
      <c r="L975" s="84" t="str">
        <f>IFERROR(VLOOKUP(CONCATENATE($B975,"_",L$3),materiali!$C:$K,5,0),"")</f>
        <v/>
      </c>
      <c r="M975" s="85" t="str">
        <f>IFERROR(VLOOKUP(CONCATENATE($B975,"_",M$3),materiali!$C:$K,6,0),"")</f>
        <v/>
      </c>
      <c r="N975" s="86"/>
      <c r="O975" s="84" t="str">
        <f>IFERROR(VLOOKUP(CONCATENATE($B975,"_",O$3),materiali!$C:$K,5,0),"")</f>
        <v/>
      </c>
      <c r="P975" s="85" t="str">
        <f>IFERROR(VLOOKUP(CONCATENATE($B975,"_",P$3),materiali!$C:$K,6,0),"")</f>
        <v/>
      </c>
      <c r="Q975" s="86"/>
      <c r="R975" s="84" t="str">
        <f>IFERROR(VLOOKUP(CONCATENATE($B975,"_",R$3),materiali!$C:$K,5,0),"")</f>
        <v/>
      </c>
      <c r="S975" s="85" t="str">
        <f>IFERROR(VLOOKUP(CONCATENATE($B975,"_",S$3),materiali!$C:$K,6,0),"")</f>
        <v/>
      </c>
      <c r="T975" s="86"/>
      <c r="U975" s="31"/>
      <c r="AD975" s="97"/>
    </row>
    <row r="976" spans="1:30" ht="35.1" hidden="1" customHeight="1" x14ac:dyDescent="0.25">
      <c r="A976" s="83"/>
      <c r="B976" s="7"/>
      <c r="C976" s="8"/>
      <c r="D976" s="8"/>
      <c r="E976" s="60"/>
      <c r="F976" s="84" t="str">
        <f>IFERROR(VLOOKUP(CONCATENATE($B976,"_",F$3),materiali!$C:$K,5,0),"")</f>
        <v/>
      </c>
      <c r="G976" s="85" t="str">
        <f>IFERROR(VLOOKUP(CONCATENATE($B976,"_",G$3),materiali!$C:$K,6,0),"")</f>
        <v/>
      </c>
      <c r="H976" s="86"/>
      <c r="I976" s="84" t="str">
        <f>IFERROR(VLOOKUP(CONCATENATE($B976,"_",I$3),materiali!$C:$K,5,0),"")</f>
        <v/>
      </c>
      <c r="J976" s="85" t="str">
        <f>IFERROR(VLOOKUP(CONCATENATE($B976,"_",J$3),materiali!$C:$K,6,0),"")</f>
        <v/>
      </c>
      <c r="K976" s="86"/>
      <c r="L976" s="84" t="str">
        <f>IFERROR(VLOOKUP(CONCATENATE($B976,"_",L$3),materiali!$C:$K,5,0),"")</f>
        <v/>
      </c>
      <c r="M976" s="85" t="str">
        <f>IFERROR(VLOOKUP(CONCATENATE($B976,"_",M$3),materiali!$C:$K,6,0),"")</f>
        <v/>
      </c>
      <c r="N976" s="86"/>
      <c r="O976" s="84" t="str">
        <f>IFERROR(VLOOKUP(CONCATENATE($B976,"_",O$3),materiali!$C:$K,5,0),"")</f>
        <v/>
      </c>
      <c r="P976" s="85" t="str">
        <f>IFERROR(VLOOKUP(CONCATENATE($B976,"_",P$3),materiali!$C:$K,6,0),"")</f>
        <v/>
      </c>
      <c r="Q976" s="86"/>
      <c r="R976" s="84" t="str">
        <f>IFERROR(VLOOKUP(CONCATENATE($B976,"_",R$3),materiali!$C:$K,5,0),"")</f>
        <v/>
      </c>
      <c r="S976" s="85" t="str">
        <f>IFERROR(VLOOKUP(CONCATENATE($B976,"_",S$3),materiali!$C:$K,6,0),"")</f>
        <v/>
      </c>
      <c r="T976" s="86"/>
      <c r="U976" s="31"/>
      <c r="AD976" s="97"/>
    </row>
    <row r="977" spans="1:30" ht="35.1" hidden="1" customHeight="1" x14ac:dyDescent="0.25">
      <c r="A977" s="83"/>
      <c r="B977" s="7"/>
      <c r="C977" s="8"/>
      <c r="D977" s="8"/>
      <c r="E977" s="60"/>
      <c r="F977" s="84" t="str">
        <f>IFERROR(VLOOKUP(CONCATENATE($B977,"_",F$3),materiali!$C:$K,5,0),"")</f>
        <v/>
      </c>
      <c r="G977" s="85" t="str">
        <f>IFERROR(VLOOKUP(CONCATENATE($B977,"_",G$3),materiali!$C:$K,6,0),"")</f>
        <v/>
      </c>
      <c r="H977" s="86"/>
      <c r="I977" s="84" t="str">
        <f>IFERROR(VLOOKUP(CONCATENATE($B977,"_",I$3),materiali!$C:$K,5,0),"")</f>
        <v/>
      </c>
      <c r="J977" s="85" t="str">
        <f>IFERROR(VLOOKUP(CONCATENATE($B977,"_",J$3),materiali!$C:$K,6,0),"")</f>
        <v/>
      </c>
      <c r="K977" s="86"/>
      <c r="L977" s="84" t="str">
        <f>IFERROR(VLOOKUP(CONCATENATE($B977,"_",L$3),materiali!$C:$K,5,0),"")</f>
        <v/>
      </c>
      <c r="M977" s="85" t="str">
        <f>IFERROR(VLOOKUP(CONCATENATE($B977,"_",M$3),materiali!$C:$K,6,0),"")</f>
        <v/>
      </c>
      <c r="N977" s="86"/>
      <c r="O977" s="84" t="str">
        <f>IFERROR(VLOOKUP(CONCATENATE($B977,"_",O$3),materiali!$C:$K,5,0),"")</f>
        <v/>
      </c>
      <c r="P977" s="85" t="str">
        <f>IFERROR(VLOOKUP(CONCATENATE($B977,"_",P$3),materiali!$C:$K,6,0),"")</f>
        <v/>
      </c>
      <c r="Q977" s="86"/>
      <c r="R977" s="84" t="str">
        <f>IFERROR(VLOOKUP(CONCATENATE($B977,"_",R$3),materiali!$C:$K,5,0),"")</f>
        <v/>
      </c>
      <c r="S977" s="85" t="str">
        <f>IFERROR(VLOOKUP(CONCATENATE($B977,"_",S$3),materiali!$C:$K,6,0),"")</f>
        <v/>
      </c>
      <c r="T977" s="86"/>
      <c r="U977" s="31"/>
      <c r="AD977" s="97"/>
    </row>
    <row r="978" spans="1:30" ht="35.1" hidden="1" customHeight="1" x14ac:dyDescent="0.25">
      <c r="A978" s="83"/>
      <c r="B978" s="7"/>
      <c r="C978" s="8"/>
      <c r="D978" s="8"/>
      <c r="E978" s="60"/>
      <c r="F978" s="84" t="str">
        <f>IFERROR(VLOOKUP(CONCATENATE($B978,"_",F$3),materiali!$C:$K,5,0),"")</f>
        <v/>
      </c>
      <c r="G978" s="85" t="str">
        <f>IFERROR(VLOOKUP(CONCATENATE($B978,"_",G$3),materiali!$C:$K,6,0),"")</f>
        <v/>
      </c>
      <c r="H978" s="86"/>
      <c r="I978" s="84" t="str">
        <f>IFERROR(VLOOKUP(CONCATENATE($B978,"_",I$3),materiali!$C:$K,5,0),"")</f>
        <v/>
      </c>
      <c r="J978" s="85" t="str">
        <f>IFERROR(VLOOKUP(CONCATENATE($B978,"_",J$3),materiali!$C:$K,6,0),"")</f>
        <v/>
      </c>
      <c r="K978" s="86"/>
      <c r="L978" s="84" t="str">
        <f>IFERROR(VLOOKUP(CONCATENATE($B978,"_",L$3),materiali!$C:$K,5,0),"")</f>
        <v/>
      </c>
      <c r="M978" s="85" t="str">
        <f>IFERROR(VLOOKUP(CONCATENATE($B978,"_",M$3),materiali!$C:$K,6,0),"")</f>
        <v/>
      </c>
      <c r="N978" s="86"/>
      <c r="O978" s="84" t="str">
        <f>IFERROR(VLOOKUP(CONCATENATE($B978,"_",O$3),materiali!$C:$K,5,0),"")</f>
        <v/>
      </c>
      <c r="P978" s="85" t="str">
        <f>IFERROR(VLOOKUP(CONCATENATE($B978,"_",P$3),materiali!$C:$K,6,0),"")</f>
        <v/>
      </c>
      <c r="Q978" s="86"/>
      <c r="R978" s="84" t="str">
        <f>IFERROR(VLOOKUP(CONCATENATE($B978,"_",R$3),materiali!$C:$K,5,0),"")</f>
        <v/>
      </c>
      <c r="S978" s="85" t="str">
        <f>IFERROR(VLOOKUP(CONCATENATE($B978,"_",S$3),materiali!$C:$K,6,0),"")</f>
        <v/>
      </c>
      <c r="T978" s="86"/>
      <c r="U978" s="31"/>
      <c r="AD978" s="97"/>
    </row>
    <row r="979" spans="1:30" ht="35.1" hidden="1" customHeight="1" x14ac:dyDescent="0.25">
      <c r="A979" s="83"/>
      <c r="B979" s="7"/>
      <c r="C979" s="8"/>
      <c r="D979" s="8"/>
      <c r="E979" s="60"/>
      <c r="F979" s="84" t="str">
        <f>IFERROR(VLOOKUP(CONCATENATE($B979,"_",F$3),materiali!$C:$K,5,0),"")</f>
        <v/>
      </c>
      <c r="G979" s="85" t="str">
        <f>IFERROR(VLOOKUP(CONCATENATE($B979,"_",G$3),materiali!$C:$K,6,0),"")</f>
        <v/>
      </c>
      <c r="H979" s="86"/>
      <c r="I979" s="84" t="str">
        <f>IFERROR(VLOOKUP(CONCATENATE($B979,"_",I$3),materiali!$C:$K,5,0),"")</f>
        <v/>
      </c>
      <c r="J979" s="85" t="str">
        <f>IFERROR(VLOOKUP(CONCATENATE($B979,"_",J$3),materiali!$C:$K,6,0),"")</f>
        <v/>
      </c>
      <c r="K979" s="86"/>
      <c r="L979" s="84" t="str">
        <f>IFERROR(VLOOKUP(CONCATENATE($B979,"_",L$3),materiali!$C:$K,5,0),"")</f>
        <v/>
      </c>
      <c r="M979" s="85" t="str">
        <f>IFERROR(VLOOKUP(CONCATENATE($B979,"_",M$3),materiali!$C:$K,6,0),"")</f>
        <v/>
      </c>
      <c r="N979" s="86"/>
      <c r="O979" s="84" t="str">
        <f>IFERROR(VLOOKUP(CONCATENATE($B979,"_",O$3),materiali!$C:$K,5,0),"")</f>
        <v/>
      </c>
      <c r="P979" s="85" t="str">
        <f>IFERROR(VLOOKUP(CONCATENATE($B979,"_",P$3),materiali!$C:$K,6,0),"")</f>
        <v/>
      </c>
      <c r="Q979" s="86"/>
      <c r="R979" s="84" t="str">
        <f>IFERROR(VLOOKUP(CONCATENATE($B979,"_",R$3),materiali!$C:$K,5,0),"")</f>
        <v/>
      </c>
      <c r="S979" s="85" t="str">
        <f>IFERROR(VLOOKUP(CONCATENATE($B979,"_",S$3),materiali!$C:$K,6,0),"")</f>
        <v/>
      </c>
      <c r="T979" s="86"/>
      <c r="U979" s="31"/>
      <c r="AD979" s="97"/>
    </row>
    <row r="980" spans="1:30" ht="35.1" hidden="1" customHeight="1" x14ac:dyDescent="0.25">
      <c r="A980" s="83"/>
      <c r="B980" s="7"/>
      <c r="C980" s="8"/>
      <c r="D980" s="8"/>
      <c r="E980" s="60"/>
      <c r="F980" s="84" t="str">
        <f>IFERROR(VLOOKUP(CONCATENATE($B980,"_",F$3),materiali!$C:$K,5,0),"")</f>
        <v/>
      </c>
      <c r="G980" s="85" t="str">
        <f>IFERROR(VLOOKUP(CONCATENATE($B980,"_",G$3),materiali!$C:$K,6,0),"")</f>
        <v/>
      </c>
      <c r="H980" s="86"/>
      <c r="I980" s="84" t="str">
        <f>IFERROR(VLOOKUP(CONCATENATE($B980,"_",I$3),materiali!$C:$K,5,0),"")</f>
        <v/>
      </c>
      <c r="J980" s="85" t="str">
        <f>IFERROR(VLOOKUP(CONCATENATE($B980,"_",J$3),materiali!$C:$K,6,0),"")</f>
        <v/>
      </c>
      <c r="K980" s="86"/>
      <c r="L980" s="84" t="str">
        <f>IFERROR(VLOOKUP(CONCATENATE($B980,"_",L$3),materiali!$C:$K,5,0),"")</f>
        <v/>
      </c>
      <c r="M980" s="85" t="str">
        <f>IFERROR(VLOOKUP(CONCATENATE($B980,"_",M$3),materiali!$C:$K,6,0),"")</f>
        <v/>
      </c>
      <c r="N980" s="86"/>
      <c r="O980" s="84" t="str">
        <f>IFERROR(VLOOKUP(CONCATENATE($B980,"_",O$3),materiali!$C:$K,5,0),"")</f>
        <v/>
      </c>
      <c r="P980" s="85" t="str">
        <f>IFERROR(VLOOKUP(CONCATENATE($B980,"_",P$3),materiali!$C:$K,6,0),"")</f>
        <v/>
      </c>
      <c r="Q980" s="86"/>
      <c r="R980" s="84" t="str">
        <f>IFERROR(VLOOKUP(CONCATENATE($B980,"_",R$3),materiali!$C:$K,5,0),"")</f>
        <v/>
      </c>
      <c r="S980" s="85" t="str">
        <f>IFERROR(VLOOKUP(CONCATENATE($B980,"_",S$3),materiali!$C:$K,6,0),"")</f>
        <v/>
      </c>
      <c r="T980" s="86"/>
      <c r="U980" s="31"/>
      <c r="AD980" s="97"/>
    </row>
    <row r="981" spans="1:30" ht="35.1" hidden="1" customHeight="1" x14ac:dyDescent="0.25">
      <c r="A981" s="83"/>
      <c r="B981" s="7"/>
      <c r="C981" s="8"/>
      <c r="D981" s="8"/>
      <c r="E981" s="60"/>
      <c r="F981" s="84" t="str">
        <f>IFERROR(VLOOKUP(CONCATENATE($B981,"_",F$3),materiali!$C:$K,5,0),"")</f>
        <v/>
      </c>
      <c r="G981" s="85" t="str">
        <f>IFERROR(VLOOKUP(CONCATENATE($B981,"_",G$3),materiali!$C:$K,6,0),"")</f>
        <v/>
      </c>
      <c r="H981" s="86"/>
      <c r="I981" s="84" t="str">
        <f>IFERROR(VLOOKUP(CONCATENATE($B981,"_",I$3),materiali!$C:$K,5,0),"")</f>
        <v/>
      </c>
      <c r="J981" s="85" t="str">
        <f>IFERROR(VLOOKUP(CONCATENATE($B981,"_",J$3),materiali!$C:$K,6,0),"")</f>
        <v/>
      </c>
      <c r="K981" s="86"/>
      <c r="L981" s="84" t="str">
        <f>IFERROR(VLOOKUP(CONCATENATE($B981,"_",L$3),materiali!$C:$K,5,0),"")</f>
        <v/>
      </c>
      <c r="M981" s="85" t="str">
        <f>IFERROR(VLOOKUP(CONCATENATE($B981,"_",M$3),materiali!$C:$K,6,0),"")</f>
        <v/>
      </c>
      <c r="N981" s="86"/>
      <c r="O981" s="84" t="str">
        <f>IFERROR(VLOOKUP(CONCATENATE($B981,"_",O$3),materiali!$C:$K,5,0),"")</f>
        <v/>
      </c>
      <c r="P981" s="85" t="str">
        <f>IFERROR(VLOOKUP(CONCATENATE($B981,"_",P$3),materiali!$C:$K,6,0),"")</f>
        <v/>
      </c>
      <c r="Q981" s="86"/>
      <c r="R981" s="84" t="str">
        <f>IFERROR(VLOOKUP(CONCATENATE($B981,"_",R$3),materiali!$C:$K,5,0),"")</f>
        <v/>
      </c>
      <c r="S981" s="85" t="str">
        <f>IFERROR(VLOOKUP(CONCATENATE($B981,"_",S$3),materiali!$C:$K,6,0),"")</f>
        <v/>
      </c>
      <c r="T981" s="86"/>
      <c r="U981" s="31"/>
      <c r="AD981" s="97"/>
    </row>
    <row r="982" spans="1:30" ht="35.1" hidden="1" customHeight="1" x14ac:dyDescent="0.25">
      <c r="A982" s="83"/>
      <c r="B982" s="7"/>
      <c r="C982" s="8"/>
      <c r="D982" s="8"/>
      <c r="E982" s="60"/>
      <c r="F982" s="84" t="str">
        <f>IFERROR(VLOOKUP(CONCATENATE($B982,"_",F$3),materiali!$C:$K,5,0),"")</f>
        <v/>
      </c>
      <c r="G982" s="85" t="str">
        <f>IFERROR(VLOOKUP(CONCATENATE($B982,"_",G$3),materiali!$C:$K,6,0),"")</f>
        <v/>
      </c>
      <c r="H982" s="86"/>
      <c r="I982" s="84" t="str">
        <f>IFERROR(VLOOKUP(CONCATENATE($B982,"_",I$3),materiali!$C:$K,5,0),"")</f>
        <v/>
      </c>
      <c r="J982" s="85" t="str">
        <f>IFERROR(VLOOKUP(CONCATENATE($B982,"_",J$3),materiali!$C:$K,6,0),"")</f>
        <v/>
      </c>
      <c r="K982" s="86"/>
      <c r="L982" s="84" t="str">
        <f>IFERROR(VLOOKUP(CONCATENATE($B982,"_",L$3),materiali!$C:$K,5,0),"")</f>
        <v/>
      </c>
      <c r="M982" s="85" t="str">
        <f>IFERROR(VLOOKUP(CONCATENATE($B982,"_",M$3),materiali!$C:$K,6,0),"")</f>
        <v/>
      </c>
      <c r="N982" s="86"/>
      <c r="O982" s="84" t="str">
        <f>IFERROR(VLOOKUP(CONCATENATE($B982,"_",O$3),materiali!$C:$K,5,0),"")</f>
        <v/>
      </c>
      <c r="P982" s="85" t="str">
        <f>IFERROR(VLOOKUP(CONCATENATE($B982,"_",P$3),materiali!$C:$K,6,0),"")</f>
        <v/>
      </c>
      <c r="Q982" s="86"/>
      <c r="R982" s="84" t="str">
        <f>IFERROR(VLOOKUP(CONCATENATE($B982,"_",R$3),materiali!$C:$K,5,0),"")</f>
        <v/>
      </c>
      <c r="S982" s="85" t="str">
        <f>IFERROR(VLOOKUP(CONCATENATE($B982,"_",S$3),materiali!$C:$K,6,0),"")</f>
        <v/>
      </c>
      <c r="T982" s="86"/>
      <c r="U982" s="31"/>
      <c r="AD982" s="97"/>
    </row>
    <row r="983" spans="1:30" ht="35.1" hidden="1" customHeight="1" x14ac:dyDescent="0.25">
      <c r="A983" s="83"/>
      <c r="B983" s="7"/>
      <c r="C983" s="8"/>
      <c r="D983" s="8"/>
      <c r="E983" s="60"/>
      <c r="F983" s="84" t="str">
        <f>IFERROR(VLOOKUP(CONCATENATE($B983,"_",F$3),materiali!$C:$K,5,0),"")</f>
        <v/>
      </c>
      <c r="G983" s="85" t="str">
        <f>IFERROR(VLOOKUP(CONCATENATE($B983,"_",G$3),materiali!$C:$K,6,0),"")</f>
        <v/>
      </c>
      <c r="H983" s="86"/>
      <c r="I983" s="84" t="str">
        <f>IFERROR(VLOOKUP(CONCATENATE($B983,"_",I$3),materiali!$C:$K,5,0),"")</f>
        <v/>
      </c>
      <c r="J983" s="85" t="str">
        <f>IFERROR(VLOOKUP(CONCATENATE($B983,"_",J$3),materiali!$C:$K,6,0),"")</f>
        <v/>
      </c>
      <c r="K983" s="86"/>
      <c r="L983" s="84" t="str">
        <f>IFERROR(VLOOKUP(CONCATENATE($B983,"_",L$3),materiali!$C:$K,5,0),"")</f>
        <v/>
      </c>
      <c r="M983" s="85" t="str">
        <f>IFERROR(VLOOKUP(CONCATENATE($B983,"_",M$3),materiali!$C:$K,6,0),"")</f>
        <v/>
      </c>
      <c r="N983" s="86"/>
      <c r="O983" s="84" t="str">
        <f>IFERROR(VLOOKUP(CONCATENATE($B983,"_",O$3),materiali!$C:$K,5,0),"")</f>
        <v/>
      </c>
      <c r="P983" s="85" t="str">
        <f>IFERROR(VLOOKUP(CONCATENATE($B983,"_",P$3),materiali!$C:$K,6,0),"")</f>
        <v/>
      </c>
      <c r="Q983" s="86"/>
      <c r="R983" s="84" t="str">
        <f>IFERROR(VLOOKUP(CONCATENATE($B983,"_",R$3),materiali!$C:$K,5,0),"")</f>
        <v/>
      </c>
      <c r="S983" s="85" t="str">
        <f>IFERROR(VLOOKUP(CONCATENATE($B983,"_",S$3),materiali!$C:$K,6,0),"")</f>
        <v/>
      </c>
      <c r="T983" s="86"/>
      <c r="U983" s="31"/>
      <c r="AD983" s="97"/>
    </row>
    <row r="984" spans="1:30" ht="35.1" hidden="1" customHeight="1" x14ac:dyDescent="0.25">
      <c r="A984" s="83"/>
      <c r="B984" s="7"/>
      <c r="C984" s="8"/>
      <c r="D984" s="8"/>
      <c r="E984" s="60"/>
      <c r="F984" s="84" t="str">
        <f>IFERROR(VLOOKUP(CONCATENATE($B984,"_",F$3),materiali!$C:$K,5,0),"")</f>
        <v/>
      </c>
      <c r="G984" s="85" t="str">
        <f>IFERROR(VLOOKUP(CONCATENATE($B984,"_",G$3),materiali!$C:$K,6,0),"")</f>
        <v/>
      </c>
      <c r="H984" s="86"/>
      <c r="I984" s="84" t="str">
        <f>IFERROR(VLOOKUP(CONCATENATE($B984,"_",I$3),materiali!$C:$K,5,0),"")</f>
        <v/>
      </c>
      <c r="J984" s="85" t="str">
        <f>IFERROR(VLOOKUP(CONCATENATE($B984,"_",J$3),materiali!$C:$K,6,0),"")</f>
        <v/>
      </c>
      <c r="K984" s="86"/>
      <c r="L984" s="84" t="str">
        <f>IFERROR(VLOOKUP(CONCATENATE($B984,"_",L$3),materiali!$C:$K,5,0),"")</f>
        <v/>
      </c>
      <c r="M984" s="85" t="str">
        <f>IFERROR(VLOOKUP(CONCATENATE($B984,"_",M$3),materiali!$C:$K,6,0),"")</f>
        <v/>
      </c>
      <c r="N984" s="86"/>
      <c r="O984" s="84" t="str">
        <f>IFERROR(VLOOKUP(CONCATENATE($B984,"_",O$3),materiali!$C:$K,5,0),"")</f>
        <v/>
      </c>
      <c r="P984" s="85" t="str">
        <f>IFERROR(VLOOKUP(CONCATENATE($B984,"_",P$3),materiali!$C:$K,6,0),"")</f>
        <v/>
      </c>
      <c r="Q984" s="86"/>
      <c r="R984" s="84" t="str">
        <f>IFERROR(VLOOKUP(CONCATENATE($B984,"_",R$3),materiali!$C:$K,5,0),"")</f>
        <v/>
      </c>
      <c r="S984" s="85" t="str">
        <f>IFERROR(VLOOKUP(CONCATENATE($B984,"_",S$3),materiali!$C:$K,6,0),"")</f>
        <v/>
      </c>
      <c r="T984" s="86"/>
      <c r="U984" s="31"/>
      <c r="AD984" s="97"/>
    </row>
    <row r="985" spans="1:30" ht="35.1" hidden="1" customHeight="1" x14ac:dyDescent="0.25">
      <c r="A985" s="83"/>
      <c r="B985" s="7"/>
      <c r="C985" s="8"/>
      <c r="D985" s="8"/>
      <c r="E985" s="60"/>
      <c r="F985" s="84" t="str">
        <f>IFERROR(VLOOKUP(CONCATENATE($B985,"_",F$3),materiali!$C:$K,5,0),"")</f>
        <v/>
      </c>
      <c r="G985" s="85" t="str">
        <f>IFERROR(VLOOKUP(CONCATENATE($B985,"_",G$3),materiali!$C:$K,6,0),"")</f>
        <v/>
      </c>
      <c r="H985" s="86"/>
      <c r="I985" s="84" t="str">
        <f>IFERROR(VLOOKUP(CONCATENATE($B985,"_",I$3),materiali!$C:$K,5,0),"")</f>
        <v/>
      </c>
      <c r="J985" s="85" t="str">
        <f>IFERROR(VLOOKUP(CONCATENATE($B985,"_",J$3),materiali!$C:$K,6,0),"")</f>
        <v/>
      </c>
      <c r="K985" s="86"/>
      <c r="L985" s="84" t="str">
        <f>IFERROR(VLOOKUP(CONCATENATE($B985,"_",L$3),materiali!$C:$K,5,0),"")</f>
        <v/>
      </c>
      <c r="M985" s="85" t="str">
        <f>IFERROR(VLOOKUP(CONCATENATE($B985,"_",M$3),materiali!$C:$K,6,0),"")</f>
        <v/>
      </c>
      <c r="N985" s="86"/>
      <c r="O985" s="84" t="str">
        <f>IFERROR(VLOOKUP(CONCATENATE($B985,"_",O$3),materiali!$C:$K,5,0),"")</f>
        <v/>
      </c>
      <c r="P985" s="85" t="str">
        <f>IFERROR(VLOOKUP(CONCATENATE($B985,"_",P$3),materiali!$C:$K,6,0),"")</f>
        <v/>
      </c>
      <c r="Q985" s="86"/>
      <c r="R985" s="84" t="str">
        <f>IFERROR(VLOOKUP(CONCATENATE($B985,"_",R$3),materiali!$C:$K,5,0),"")</f>
        <v/>
      </c>
      <c r="S985" s="85" t="str">
        <f>IFERROR(VLOOKUP(CONCATENATE($B985,"_",S$3),materiali!$C:$K,6,0),"")</f>
        <v/>
      </c>
      <c r="T985" s="86"/>
      <c r="U985" s="31"/>
      <c r="AD985" s="97"/>
    </row>
    <row r="986" spans="1:30" ht="35.1" hidden="1" customHeight="1" x14ac:dyDescent="0.25">
      <c r="A986" s="83"/>
      <c r="B986" s="7"/>
      <c r="C986" s="8"/>
      <c r="D986" s="8"/>
      <c r="E986" s="60"/>
      <c r="F986" s="84" t="str">
        <f>IFERROR(VLOOKUP(CONCATENATE($B986,"_",F$3),materiali!$C:$K,5,0),"")</f>
        <v/>
      </c>
      <c r="G986" s="85" t="str">
        <f>IFERROR(VLOOKUP(CONCATENATE($B986,"_",G$3),materiali!$C:$K,6,0),"")</f>
        <v/>
      </c>
      <c r="H986" s="86"/>
      <c r="I986" s="84" t="str">
        <f>IFERROR(VLOOKUP(CONCATENATE($B986,"_",I$3),materiali!$C:$K,5,0),"")</f>
        <v/>
      </c>
      <c r="J986" s="85" t="str">
        <f>IFERROR(VLOOKUP(CONCATENATE($B986,"_",J$3),materiali!$C:$K,6,0),"")</f>
        <v/>
      </c>
      <c r="K986" s="86"/>
      <c r="L986" s="84" t="str">
        <f>IFERROR(VLOOKUP(CONCATENATE($B986,"_",L$3),materiali!$C:$K,5,0),"")</f>
        <v/>
      </c>
      <c r="M986" s="85" t="str">
        <f>IFERROR(VLOOKUP(CONCATENATE($B986,"_",M$3),materiali!$C:$K,6,0),"")</f>
        <v/>
      </c>
      <c r="N986" s="86"/>
      <c r="O986" s="84" t="str">
        <f>IFERROR(VLOOKUP(CONCATENATE($B986,"_",O$3),materiali!$C:$K,5,0),"")</f>
        <v/>
      </c>
      <c r="P986" s="85" t="str">
        <f>IFERROR(VLOOKUP(CONCATENATE($B986,"_",P$3),materiali!$C:$K,6,0),"")</f>
        <v/>
      </c>
      <c r="Q986" s="86"/>
      <c r="R986" s="84" t="str">
        <f>IFERROR(VLOOKUP(CONCATENATE($B986,"_",R$3),materiali!$C:$K,5,0),"")</f>
        <v/>
      </c>
      <c r="S986" s="85" t="str">
        <f>IFERROR(VLOOKUP(CONCATENATE($B986,"_",S$3),materiali!$C:$K,6,0),"")</f>
        <v/>
      </c>
      <c r="T986" s="86"/>
      <c r="U986" s="31"/>
      <c r="AD986" s="97"/>
    </row>
    <row r="987" spans="1:30" ht="35.1" hidden="1" customHeight="1" x14ac:dyDescent="0.25">
      <c r="A987" s="83"/>
      <c r="B987" s="7"/>
      <c r="C987" s="8"/>
      <c r="D987" s="8"/>
      <c r="E987" s="60"/>
      <c r="F987" s="84" t="str">
        <f>IFERROR(VLOOKUP(CONCATENATE($B987,"_",F$3),materiali!$C:$K,5,0),"")</f>
        <v/>
      </c>
      <c r="G987" s="85" t="str">
        <f>IFERROR(VLOOKUP(CONCATENATE($B987,"_",G$3),materiali!$C:$K,6,0),"")</f>
        <v/>
      </c>
      <c r="H987" s="86"/>
      <c r="I987" s="84" t="str">
        <f>IFERROR(VLOOKUP(CONCATENATE($B987,"_",I$3),materiali!$C:$K,5,0),"")</f>
        <v/>
      </c>
      <c r="J987" s="85" t="str">
        <f>IFERROR(VLOOKUP(CONCATENATE($B987,"_",J$3),materiali!$C:$K,6,0),"")</f>
        <v/>
      </c>
      <c r="K987" s="86"/>
      <c r="L987" s="84" t="str">
        <f>IFERROR(VLOOKUP(CONCATENATE($B987,"_",L$3),materiali!$C:$K,5,0),"")</f>
        <v/>
      </c>
      <c r="M987" s="85" t="str">
        <f>IFERROR(VLOOKUP(CONCATENATE($B987,"_",M$3),materiali!$C:$K,6,0),"")</f>
        <v/>
      </c>
      <c r="N987" s="86"/>
      <c r="O987" s="84" t="str">
        <f>IFERROR(VLOOKUP(CONCATENATE($B987,"_",O$3),materiali!$C:$K,5,0),"")</f>
        <v/>
      </c>
      <c r="P987" s="85" t="str">
        <f>IFERROR(VLOOKUP(CONCATENATE($B987,"_",P$3),materiali!$C:$K,6,0),"")</f>
        <v/>
      </c>
      <c r="Q987" s="86"/>
      <c r="R987" s="84" t="str">
        <f>IFERROR(VLOOKUP(CONCATENATE($B987,"_",R$3),materiali!$C:$K,5,0),"")</f>
        <v/>
      </c>
      <c r="S987" s="85" t="str">
        <f>IFERROR(VLOOKUP(CONCATENATE($B987,"_",S$3),materiali!$C:$K,6,0),"")</f>
        <v/>
      </c>
      <c r="T987" s="86"/>
      <c r="U987" s="31"/>
      <c r="AD987" s="97"/>
    </row>
    <row r="988" spans="1:30" ht="35.1" hidden="1" customHeight="1" x14ac:dyDescent="0.25">
      <c r="A988" s="83"/>
      <c r="B988" s="7"/>
      <c r="C988" s="8"/>
      <c r="D988" s="8"/>
      <c r="E988" s="60"/>
      <c r="F988" s="84" t="str">
        <f>IFERROR(VLOOKUP(CONCATENATE($B988,"_",F$3),materiali!$C:$K,5,0),"")</f>
        <v/>
      </c>
      <c r="G988" s="85" t="str">
        <f>IFERROR(VLOOKUP(CONCATENATE($B988,"_",G$3),materiali!$C:$K,6,0),"")</f>
        <v/>
      </c>
      <c r="H988" s="86"/>
      <c r="I988" s="84" t="str">
        <f>IFERROR(VLOOKUP(CONCATENATE($B988,"_",I$3),materiali!$C:$K,5,0),"")</f>
        <v/>
      </c>
      <c r="J988" s="85" t="str">
        <f>IFERROR(VLOOKUP(CONCATENATE($B988,"_",J$3),materiali!$C:$K,6,0),"")</f>
        <v/>
      </c>
      <c r="K988" s="86"/>
      <c r="L988" s="84" t="str">
        <f>IFERROR(VLOOKUP(CONCATENATE($B988,"_",L$3),materiali!$C:$K,5,0),"")</f>
        <v/>
      </c>
      <c r="M988" s="85" t="str">
        <f>IFERROR(VLOOKUP(CONCATENATE($B988,"_",M$3),materiali!$C:$K,6,0),"")</f>
        <v/>
      </c>
      <c r="N988" s="86"/>
      <c r="O988" s="84" t="str">
        <f>IFERROR(VLOOKUP(CONCATENATE($B988,"_",O$3),materiali!$C:$K,5,0),"")</f>
        <v/>
      </c>
      <c r="P988" s="85" t="str">
        <f>IFERROR(VLOOKUP(CONCATENATE($B988,"_",P$3),materiali!$C:$K,6,0),"")</f>
        <v/>
      </c>
      <c r="Q988" s="86"/>
      <c r="R988" s="84" t="str">
        <f>IFERROR(VLOOKUP(CONCATENATE($B988,"_",R$3),materiali!$C:$K,5,0),"")</f>
        <v/>
      </c>
      <c r="S988" s="85" t="str">
        <f>IFERROR(VLOOKUP(CONCATENATE($B988,"_",S$3),materiali!$C:$K,6,0),"")</f>
        <v/>
      </c>
      <c r="T988" s="86"/>
      <c r="U988" s="31"/>
      <c r="AD988" s="97"/>
    </row>
    <row r="989" spans="1:30" ht="35.1" hidden="1" customHeight="1" x14ac:dyDescent="0.25">
      <c r="A989" s="83"/>
      <c r="B989" s="7"/>
      <c r="C989" s="8"/>
      <c r="D989" s="8"/>
      <c r="E989" s="60"/>
      <c r="F989" s="84" t="str">
        <f>IFERROR(VLOOKUP(CONCATENATE($B989,"_",F$3),materiali!$C:$K,5,0),"")</f>
        <v/>
      </c>
      <c r="G989" s="85" t="str">
        <f>IFERROR(VLOOKUP(CONCATENATE($B989,"_",G$3),materiali!$C:$K,6,0),"")</f>
        <v/>
      </c>
      <c r="H989" s="86"/>
      <c r="I989" s="84" t="str">
        <f>IFERROR(VLOOKUP(CONCATENATE($B989,"_",I$3),materiali!$C:$K,5,0),"")</f>
        <v/>
      </c>
      <c r="J989" s="85" t="str">
        <f>IFERROR(VLOOKUP(CONCATENATE($B989,"_",J$3),materiali!$C:$K,6,0),"")</f>
        <v/>
      </c>
      <c r="K989" s="86"/>
      <c r="L989" s="84" t="str">
        <f>IFERROR(VLOOKUP(CONCATENATE($B989,"_",L$3),materiali!$C:$K,5,0),"")</f>
        <v/>
      </c>
      <c r="M989" s="85" t="str">
        <f>IFERROR(VLOOKUP(CONCATENATE($B989,"_",M$3),materiali!$C:$K,6,0),"")</f>
        <v/>
      </c>
      <c r="N989" s="86"/>
      <c r="O989" s="84" t="str">
        <f>IFERROR(VLOOKUP(CONCATENATE($B989,"_",O$3),materiali!$C:$K,5,0),"")</f>
        <v/>
      </c>
      <c r="P989" s="85" t="str">
        <f>IFERROR(VLOOKUP(CONCATENATE($B989,"_",P$3),materiali!$C:$K,6,0),"")</f>
        <v/>
      </c>
      <c r="Q989" s="86"/>
      <c r="R989" s="84" t="str">
        <f>IFERROR(VLOOKUP(CONCATENATE($B989,"_",R$3),materiali!$C:$K,5,0),"")</f>
        <v/>
      </c>
      <c r="S989" s="85" t="str">
        <f>IFERROR(VLOOKUP(CONCATENATE($B989,"_",S$3),materiali!$C:$K,6,0),"")</f>
        <v/>
      </c>
      <c r="T989" s="86"/>
      <c r="U989" s="31"/>
      <c r="AD989" s="97"/>
    </row>
    <row r="990" spans="1:30" ht="35.1" hidden="1" customHeight="1" x14ac:dyDescent="0.25">
      <c r="A990" s="83"/>
      <c r="B990" s="7"/>
      <c r="C990" s="8"/>
      <c r="D990" s="8"/>
      <c r="E990" s="60"/>
      <c r="F990" s="84" t="str">
        <f>IFERROR(VLOOKUP(CONCATENATE($B990,"_",F$3),materiali!$C:$K,5,0),"")</f>
        <v/>
      </c>
      <c r="G990" s="85" t="str">
        <f>IFERROR(VLOOKUP(CONCATENATE($B990,"_",G$3),materiali!$C:$K,6,0),"")</f>
        <v/>
      </c>
      <c r="H990" s="86"/>
      <c r="I990" s="84" t="str">
        <f>IFERROR(VLOOKUP(CONCATENATE($B990,"_",I$3),materiali!$C:$K,5,0),"")</f>
        <v/>
      </c>
      <c r="J990" s="85" t="str">
        <f>IFERROR(VLOOKUP(CONCATENATE($B990,"_",J$3),materiali!$C:$K,6,0),"")</f>
        <v/>
      </c>
      <c r="K990" s="86"/>
      <c r="L990" s="84" t="str">
        <f>IFERROR(VLOOKUP(CONCATENATE($B990,"_",L$3),materiali!$C:$K,5,0),"")</f>
        <v/>
      </c>
      <c r="M990" s="85" t="str">
        <f>IFERROR(VLOOKUP(CONCATENATE($B990,"_",M$3),materiali!$C:$K,6,0),"")</f>
        <v/>
      </c>
      <c r="N990" s="86"/>
      <c r="O990" s="84" t="str">
        <f>IFERROR(VLOOKUP(CONCATENATE($B990,"_",O$3),materiali!$C:$K,5,0),"")</f>
        <v/>
      </c>
      <c r="P990" s="85" t="str">
        <f>IFERROR(VLOOKUP(CONCATENATE($B990,"_",P$3),materiali!$C:$K,6,0),"")</f>
        <v/>
      </c>
      <c r="Q990" s="86"/>
      <c r="R990" s="84" t="str">
        <f>IFERROR(VLOOKUP(CONCATENATE($B990,"_",R$3),materiali!$C:$K,5,0),"")</f>
        <v/>
      </c>
      <c r="S990" s="85" t="str">
        <f>IFERROR(VLOOKUP(CONCATENATE($B990,"_",S$3),materiali!$C:$K,6,0),"")</f>
        <v/>
      </c>
      <c r="T990" s="86"/>
      <c r="U990" s="31"/>
      <c r="AD990" s="97"/>
    </row>
    <row r="991" spans="1:30" ht="35.1" hidden="1" customHeight="1" x14ac:dyDescent="0.25">
      <c r="A991" s="83"/>
      <c r="B991" s="7"/>
      <c r="C991" s="8"/>
      <c r="D991" s="8"/>
      <c r="E991" s="60"/>
      <c r="F991" s="84" t="str">
        <f>IFERROR(VLOOKUP(CONCATENATE($B991,"_",F$3),materiali!$C:$K,5,0),"")</f>
        <v/>
      </c>
      <c r="G991" s="85" t="str">
        <f>IFERROR(VLOOKUP(CONCATENATE($B991,"_",G$3),materiali!$C:$K,6,0),"")</f>
        <v/>
      </c>
      <c r="H991" s="86"/>
      <c r="I991" s="84" t="str">
        <f>IFERROR(VLOOKUP(CONCATENATE($B991,"_",I$3),materiali!$C:$K,5,0),"")</f>
        <v/>
      </c>
      <c r="J991" s="85" t="str">
        <f>IFERROR(VLOOKUP(CONCATENATE($B991,"_",J$3),materiali!$C:$K,6,0),"")</f>
        <v/>
      </c>
      <c r="K991" s="86"/>
      <c r="L991" s="84" t="str">
        <f>IFERROR(VLOOKUP(CONCATENATE($B991,"_",L$3),materiali!$C:$K,5,0),"")</f>
        <v/>
      </c>
      <c r="M991" s="85" t="str">
        <f>IFERROR(VLOOKUP(CONCATENATE($B991,"_",M$3),materiali!$C:$K,6,0),"")</f>
        <v/>
      </c>
      <c r="N991" s="86"/>
      <c r="O991" s="84" t="str">
        <f>IFERROR(VLOOKUP(CONCATENATE($B991,"_",O$3),materiali!$C:$K,5,0),"")</f>
        <v/>
      </c>
      <c r="P991" s="85" t="str">
        <f>IFERROR(VLOOKUP(CONCATENATE($B991,"_",P$3),materiali!$C:$K,6,0),"")</f>
        <v/>
      </c>
      <c r="Q991" s="86"/>
      <c r="R991" s="84" t="str">
        <f>IFERROR(VLOOKUP(CONCATENATE($B991,"_",R$3),materiali!$C:$K,5,0),"")</f>
        <v/>
      </c>
      <c r="S991" s="85" t="str">
        <f>IFERROR(VLOOKUP(CONCATENATE($B991,"_",S$3),materiali!$C:$K,6,0),"")</f>
        <v/>
      </c>
      <c r="T991" s="86"/>
      <c r="U991" s="31"/>
      <c r="AD991" s="97"/>
    </row>
    <row r="992" spans="1:30" ht="35.1" hidden="1" customHeight="1" x14ac:dyDescent="0.25">
      <c r="A992" s="83"/>
      <c r="B992" s="7"/>
      <c r="C992" s="8"/>
      <c r="D992" s="8"/>
      <c r="E992" s="60"/>
      <c r="F992" s="84" t="str">
        <f>IFERROR(VLOOKUP(CONCATENATE($B992,"_",F$3),materiali!$C:$K,5,0),"")</f>
        <v/>
      </c>
      <c r="G992" s="85" t="str">
        <f>IFERROR(VLOOKUP(CONCATENATE($B992,"_",G$3),materiali!$C:$K,6,0),"")</f>
        <v/>
      </c>
      <c r="H992" s="86"/>
      <c r="I992" s="84" t="str">
        <f>IFERROR(VLOOKUP(CONCATENATE($B992,"_",I$3),materiali!$C:$K,5,0),"")</f>
        <v/>
      </c>
      <c r="J992" s="85" t="str">
        <f>IFERROR(VLOOKUP(CONCATENATE($B992,"_",J$3),materiali!$C:$K,6,0),"")</f>
        <v/>
      </c>
      <c r="K992" s="86"/>
      <c r="L992" s="84" t="str">
        <f>IFERROR(VLOOKUP(CONCATENATE($B992,"_",L$3),materiali!$C:$K,5,0),"")</f>
        <v/>
      </c>
      <c r="M992" s="85" t="str">
        <f>IFERROR(VLOOKUP(CONCATENATE($B992,"_",M$3),materiali!$C:$K,6,0),"")</f>
        <v/>
      </c>
      <c r="N992" s="86"/>
      <c r="O992" s="84" t="str">
        <f>IFERROR(VLOOKUP(CONCATENATE($B992,"_",O$3),materiali!$C:$K,5,0),"")</f>
        <v/>
      </c>
      <c r="P992" s="85" t="str">
        <f>IFERROR(VLOOKUP(CONCATENATE($B992,"_",P$3),materiali!$C:$K,6,0),"")</f>
        <v/>
      </c>
      <c r="Q992" s="86"/>
      <c r="R992" s="84" t="str">
        <f>IFERROR(VLOOKUP(CONCATENATE($B992,"_",R$3),materiali!$C:$K,5,0),"")</f>
        <v/>
      </c>
      <c r="S992" s="85" t="str">
        <f>IFERROR(VLOOKUP(CONCATENATE($B992,"_",S$3),materiali!$C:$K,6,0),"")</f>
        <v/>
      </c>
      <c r="T992" s="86"/>
      <c r="U992" s="31"/>
      <c r="AD992" s="97"/>
    </row>
    <row r="993" spans="1:30" ht="35.1" hidden="1" customHeight="1" x14ac:dyDescent="0.25">
      <c r="A993" s="83"/>
      <c r="B993" s="7"/>
      <c r="C993" s="8"/>
      <c r="D993" s="8"/>
      <c r="E993" s="60"/>
      <c r="F993" s="84" t="str">
        <f>IFERROR(VLOOKUP(CONCATENATE($B993,"_",F$3),materiali!$C:$K,5,0),"")</f>
        <v/>
      </c>
      <c r="G993" s="85" t="str">
        <f>IFERROR(VLOOKUP(CONCATENATE($B993,"_",G$3),materiali!$C:$K,6,0),"")</f>
        <v/>
      </c>
      <c r="H993" s="86"/>
      <c r="I993" s="84" t="str">
        <f>IFERROR(VLOOKUP(CONCATENATE($B993,"_",I$3),materiali!$C:$K,5,0),"")</f>
        <v/>
      </c>
      <c r="J993" s="85" t="str">
        <f>IFERROR(VLOOKUP(CONCATENATE($B993,"_",J$3),materiali!$C:$K,6,0),"")</f>
        <v/>
      </c>
      <c r="K993" s="86"/>
      <c r="L993" s="84" t="str">
        <f>IFERROR(VLOOKUP(CONCATENATE($B993,"_",L$3),materiali!$C:$K,5,0),"")</f>
        <v/>
      </c>
      <c r="M993" s="85" t="str">
        <f>IFERROR(VLOOKUP(CONCATENATE($B993,"_",M$3),materiali!$C:$K,6,0),"")</f>
        <v/>
      </c>
      <c r="N993" s="86"/>
      <c r="O993" s="84" t="str">
        <f>IFERROR(VLOOKUP(CONCATENATE($B993,"_",O$3),materiali!$C:$K,5,0),"")</f>
        <v/>
      </c>
      <c r="P993" s="85" t="str">
        <f>IFERROR(VLOOKUP(CONCATENATE($B993,"_",P$3),materiali!$C:$K,6,0),"")</f>
        <v/>
      </c>
      <c r="Q993" s="86"/>
      <c r="R993" s="84" t="str">
        <f>IFERROR(VLOOKUP(CONCATENATE($B993,"_",R$3),materiali!$C:$K,5,0),"")</f>
        <v/>
      </c>
      <c r="S993" s="85" t="str">
        <f>IFERROR(VLOOKUP(CONCATENATE($B993,"_",S$3),materiali!$C:$K,6,0),"")</f>
        <v/>
      </c>
      <c r="T993" s="86"/>
      <c r="U993" s="31"/>
      <c r="AD993" s="97"/>
    </row>
    <row r="994" spans="1:30" ht="35.1" hidden="1" customHeight="1" x14ac:dyDescent="0.25">
      <c r="A994" s="83"/>
      <c r="B994" s="7"/>
      <c r="C994" s="8"/>
      <c r="D994" s="8"/>
      <c r="E994" s="60"/>
      <c r="F994" s="84" t="str">
        <f>IFERROR(VLOOKUP(CONCATENATE($B994,"_",F$3),materiali!$C:$K,5,0),"")</f>
        <v/>
      </c>
      <c r="G994" s="85" t="str">
        <f>IFERROR(VLOOKUP(CONCATENATE($B994,"_",G$3),materiali!$C:$K,6,0),"")</f>
        <v/>
      </c>
      <c r="H994" s="86"/>
      <c r="I994" s="84" t="str">
        <f>IFERROR(VLOOKUP(CONCATENATE($B994,"_",I$3),materiali!$C:$K,5,0),"")</f>
        <v/>
      </c>
      <c r="J994" s="85" t="str">
        <f>IFERROR(VLOOKUP(CONCATENATE($B994,"_",J$3),materiali!$C:$K,6,0),"")</f>
        <v/>
      </c>
      <c r="K994" s="86"/>
      <c r="L994" s="84" t="str">
        <f>IFERROR(VLOOKUP(CONCATENATE($B994,"_",L$3),materiali!$C:$K,5,0),"")</f>
        <v/>
      </c>
      <c r="M994" s="85" t="str">
        <f>IFERROR(VLOOKUP(CONCATENATE($B994,"_",M$3),materiali!$C:$K,6,0),"")</f>
        <v/>
      </c>
      <c r="N994" s="86"/>
      <c r="O994" s="84" t="str">
        <f>IFERROR(VLOOKUP(CONCATENATE($B994,"_",O$3),materiali!$C:$K,5,0),"")</f>
        <v/>
      </c>
      <c r="P994" s="85" t="str">
        <f>IFERROR(VLOOKUP(CONCATENATE($B994,"_",P$3),materiali!$C:$K,6,0),"")</f>
        <v/>
      </c>
      <c r="Q994" s="86"/>
      <c r="R994" s="84" t="str">
        <f>IFERROR(VLOOKUP(CONCATENATE($B994,"_",R$3),materiali!$C:$K,5,0),"")</f>
        <v/>
      </c>
      <c r="S994" s="85" t="str">
        <f>IFERROR(VLOOKUP(CONCATENATE($B994,"_",S$3),materiali!$C:$K,6,0),"")</f>
        <v/>
      </c>
      <c r="T994" s="86"/>
      <c r="U994" s="31"/>
      <c r="AD994" s="97"/>
    </row>
    <row r="995" spans="1:30" ht="35.1" hidden="1" customHeight="1" x14ac:dyDescent="0.25">
      <c r="A995" s="83"/>
      <c r="B995" s="7"/>
      <c r="C995" s="8"/>
      <c r="D995" s="8"/>
      <c r="E995" s="60"/>
      <c r="F995" s="84" t="str">
        <f>IFERROR(VLOOKUP(CONCATENATE($B995,"_",F$3),materiali!$C:$K,5,0),"")</f>
        <v/>
      </c>
      <c r="G995" s="85" t="str">
        <f>IFERROR(VLOOKUP(CONCATENATE($B995,"_",G$3),materiali!$C:$K,6,0),"")</f>
        <v/>
      </c>
      <c r="H995" s="86"/>
      <c r="I995" s="84" t="str">
        <f>IFERROR(VLOOKUP(CONCATENATE($B995,"_",I$3),materiali!$C:$K,5,0),"")</f>
        <v/>
      </c>
      <c r="J995" s="85" t="str">
        <f>IFERROR(VLOOKUP(CONCATENATE($B995,"_",J$3),materiali!$C:$K,6,0),"")</f>
        <v/>
      </c>
      <c r="K995" s="86"/>
      <c r="L995" s="84" t="str">
        <f>IFERROR(VLOOKUP(CONCATENATE($B995,"_",L$3),materiali!$C:$K,5,0),"")</f>
        <v/>
      </c>
      <c r="M995" s="85" t="str">
        <f>IFERROR(VLOOKUP(CONCATENATE($B995,"_",M$3),materiali!$C:$K,6,0),"")</f>
        <v/>
      </c>
      <c r="N995" s="86"/>
      <c r="O995" s="84" t="str">
        <f>IFERROR(VLOOKUP(CONCATENATE($B995,"_",O$3),materiali!$C:$K,5,0),"")</f>
        <v/>
      </c>
      <c r="P995" s="85" t="str">
        <f>IFERROR(VLOOKUP(CONCATENATE($B995,"_",P$3),materiali!$C:$K,6,0),"")</f>
        <v/>
      </c>
      <c r="Q995" s="86"/>
      <c r="R995" s="84" t="str">
        <f>IFERROR(VLOOKUP(CONCATENATE($B995,"_",R$3),materiali!$C:$K,5,0),"")</f>
        <v/>
      </c>
      <c r="S995" s="85" t="str">
        <f>IFERROR(VLOOKUP(CONCATENATE($B995,"_",S$3),materiali!$C:$K,6,0),"")</f>
        <v/>
      </c>
      <c r="T995" s="86"/>
      <c r="U995" s="31"/>
      <c r="AD995" s="97"/>
    </row>
    <row r="996" spans="1:30" ht="35.1" hidden="1" customHeight="1" x14ac:dyDescent="0.25">
      <c r="A996" s="83"/>
      <c r="B996" s="7"/>
      <c r="C996" s="8"/>
      <c r="D996" s="8"/>
      <c r="E996" s="60"/>
      <c r="F996" s="84" t="str">
        <f>IFERROR(VLOOKUP(CONCATENATE($B996,"_",F$3),materiali!$C:$K,5,0),"")</f>
        <v/>
      </c>
      <c r="G996" s="85" t="str">
        <f>IFERROR(VLOOKUP(CONCATENATE($B996,"_",G$3),materiali!$C:$K,6,0),"")</f>
        <v/>
      </c>
      <c r="H996" s="86"/>
      <c r="I996" s="84" t="str">
        <f>IFERROR(VLOOKUP(CONCATENATE($B996,"_",I$3),materiali!$C:$K,5,0),"")</f>
        <v/>
      </c>
      <c r="J996" s="85" t="str">
        <f>IFERROR(VLOOKUP(CONCATENATE($B996,"_",J$3),materiali!$C:$K,6,0),"")</f>
        <v/>
      </c>
      <c r="K996" s="86"/>
      <c r="L996" s="84" t="str">
        <f>IFERROR(VLOOKUP(CONCATENATE($B996,"_",L$3),materiali!$C:$K,5,0),"")</f>
        <v/>
      </c>
      <c r="M996" s="85" t="str">
        <f>IFERROR(VLOOKUP(CONCATENATE($B996,"_",M$3),materiali!$C:$K,6,0),"")</f>
        <v/>
      </c>
      <c r="N996" s="86"/>
      <c r="O996" s="84" t="str">
        <f>IFERROR(VLOOKUP(CONCATENATE($B996,"_",O$3),materiali!$C:$K,5,0),"")</f>
        <v/>
      </c>
      <c r="P996" s="85" t="str">
        <f>IFERROR(VLOOKUP(CONCATENATE($B996,"_",P$3),materiali!$C:$K,6,0),"")</f>
        <v/>
      </c>
      <c r="Q996" s="86"/>
      <c r="R996" s="84" t="str">
        <f>IFERROR(VLOOKUP(CONCATENATE($B996,"_",R$3),materiali!$C:$K,5,0),"")</f>
        <v/>
      </c>
      <c r="S996" s="85" t="str">
        <f>IFERROR(VLOOKUP(CONCATENATE($B996,"_",S$3),materiali!$C:$K,6,0),"")</f>
        <v/>
      </c>
      <c r="T996" s="86"/>
      <c r="U996" s="31"/>
      <c r="AD996" s="97"/>
    </row>
    <row r="997" spans="1:30" ht="35.1" hidden="1" customHeight="1" x14ac:dyDescent="0.25">
      <c r="A997" s="83"/>
      <c r="B997" s="7"/>
      <c r="C997" s="8"/>
      <c r="D997" s="8"/>
      <c r="E997" s="60"/>
      <c r="F997" s="84" t="str">
        <f>IFERROR(VLOOKUP(CONCATENATE($B997,"_",F$3),materiali!$C:$K,5,0),"")</f>
        <v/>
      </c>
      <c r="G997" s="85" t="str">
        <f>IFERROR(VLOOKUP(CONCATENATE($B997,"_",G$3),materiali!$C:$K,6,0),"")</f>
        <v/>
      </c>
      <c r="H997" s="86"/>
      <c r="I997" s="84" t="str">
        <f>IFERROR(VLOOKUP(CONCATENATE($B997,"_",I$3),materiali!$C:$K,5,0),"")</f>
        <v/>
      </c>
      <c r="J997" s="85" t="str">
        <f>IFERROR(VLOOKUP(CONCATENATE($B997,"_",J$3),materiali!$C:$K,6,0),"")</f>
        <v/>
      </c>
      <c r="K997" s="86"/>
      <c r="L997" s="84" t="str">
        <f>IFERROR(VLOOKUP(CONCATENATE($B997,"_",L$3),materiali!$C:$K,5,0),"")</f>
        <v/>
      </c>
      <c r="M997" s="85" t="str">
        <f>IFERROR(VLOOKUP(CONCATENATE($B997,"_",M$3),materiali!$C:$K,6,0),"")</f>
        <v/>
      </c>
      <c r="N997" s="86"/>
      <c r="O997" s="84" t="str">
        <f>IFERROR(VLOOKUP(CONCATENATE($B997,"_",O$3),materiali!$C:$K,5,0),"")</f>
        <v/>
      </c>
      <c r="P997" s="85" t="str">
        <f>IFERROR(VLOOKUP(CONCATENATE($B997,"_",P$3),materiali!$C:$K,6,0),"")</f>
        <v/>
      </c>
      <c r="Q997" s="86"/>
      <c r="R997" s="84" t="str">
        <f>IFERROR(VLOOKUP(CONCATENATE($B997,"_",R$3),materiali!$C:$K,5,0),"")</f>
        <v/>
      </c>
      <c r="S997" s="85" t="str">
        <f>IFERROR(VLOOKUP(CONCATENATE($B997,"_",S$3),materiali!$C:$K,6,0),"")</f>
        <v/>
      </c>
      <c r="T997" s="86"/>
      <c r="U997" s="31"/>
      <c r="AD997" s="97"/>
    </row>
    <row r="998" spans="1:30" ht="35.1" hidden="1" customHeight="1" x14ac:dyDescent="0.25">
      <c r="A998" s="83"/>
      <c r="B998" s="7"/>
      <c r="C998" s="8"/>
      <c r="D998" s="8"/>
      <c r="E998" s="60"/>
      <c r="F998" s="84" t="str">
        <f>IFERROR(VLOOKUP(CONCATENATE($B998,"_",F$3),materiali!$C:$K,5,0),"")</f>
        <v/>
      </c>
      <c r="G998" s="85" t="str">
        <f>IFERROR(VLOOKUP(CONCATENATE($B998,"_",G$3),materiali!$C:$K,6,0),"")</f>
        <v/>
      </c>
      <c r="H998" s="86"/>
      <c r="I998" s="84" t="str">
        <f>IFERROR(VLOOKUP(CONCATENATE($B998,"_",I$3),materiali!$C:$K,5,0),"")</f>
        <v/>
      </c>
      <c r="J998" s="85" t="str">
        <f>IFERROR(VLOOKUP(CONCATENATE($B998,"_",J$3),materiali!$C:$K,6,0),"")</f>
        <v/>
      </c>
      <c r="K998" s="86"/>
      <c r="L998" s="84" t="str">
        <f>IFERROR(VLOOKUP(CONCATENATE($B998,"_",L$3),materiali!$C:$K,5,0),"")</f>
        <v/>
      </c>
      <c r="M998" s="85" t="str">
        <f>IFERROR(VLOOKUP(CONCATENATE($B998,"_",M$3),materiali!$C:$K,6,0),"")</f>
        <v/>
      </c>
      <c r="N998" s="86"/>
      <c r="O998" s="84" t="str">
        <f>IFERROR(VLOOKUP(CONCATENATE($B998,"_",O$3),materiali!$C:$K,5,0),"")</f>
        <v/>
      </c>
      <c r="P998" s="85" t="str">
        <f>IFERROR(VLOOKUP(CONCATENATE($B998,"_",P$3),materiali!$C:$K,6,0),"")</f>
        <v/>
      </c>
      <c r="Q998" s="86"/>
      <c r="R998" s="84" t="str">
        <f>IFERROR(VLOOKUP(CONCATENATE($B998,"_",R$3),materiali!$C:$K,5,0),"")</f>
        <v/>
      </c>
      <c r="S998" s="85" t="str">
        <f>IFERROR(VLOOKUP(CONCATENATE($B998,"_",S$3),materiali!$C:$K,6,0),"")</f>
        <v/>
      </c>
      <c r="T998" s="86"/>
      <c r="U998" s="31"/>
      <c r="AD998" s="97"/>
    </row>
    <row r="999" spans="1:30" ht="35.1" hidden="1" customHeight="1" x14ac:dyDescent="0.25">
      <c r="A999" s="83"/>
      <c r="B999" s="7"/>
      <c r="C999" s="8"/>
      <c r="D999" s="8"/>
      <c r="E999" s="60"/>
      <c r="F999" s="84" t="str">
        <f>IFERROR(VLOOKUP(CONCATENATE($B999,"_",F$3),materiali!$C:$K,5,0),"")</f>
        <v/>
      </c>
      <c r="G999" s="85" t="str">
        <f>IFERROR(VLOOKUP(CONCATENATE($B999,"_",G$3),materiali!$C:$K,6,0),"")</f>
        <v/>
      </c>
      <c r="H999" s="86"/>
      <c r="I999" s="84" t="str">
        <f>IFERROR(VLOOKUP(CONCATENATE($B999,"_",I$3),materiali!$C:$K,5,0),"")</f>
        <v/>
      </c>
      <c r="J999" s="85" t="str">
        <f>IFERROR(VLOOKUP(CONCATENATE($B999,"_",J$3),materiali!$C:$K,6,0),"")</f>
        <v/>
      </c>
      <c r="K999" s="86"/>
      <c r="L999" s="84" t="str">
        <f>IFERROR(VLOOKUP(CONCATENATE($B999,"_",L$3),materiali!$C:$K,5,0),"")</f>
        <v/>
      </c>
      <c r="M999" s="85" t="str">
        <f>IFERROR(VLOOKUP(CONCATENATE($B999,"_",M$3),materiali!$C:$K,6,0),"")</f>
        <v/>
      </c>
      <c r="N999" s="86"/>
      <c r="O999" s="84" t="str">
        <f>IFERROR(VLOOKUP(CONCATENATE($B999,"_",O$3),materiali!$C:$K,5,0),"")</f>
        <v/>
      </c>
      <c r="P999" s="85" t="str">
        <f>IFERROR(VLOOKUP(CONCATENATE($B999,"_",P$3),materiali!$C:$K,6,0),"")</f>
        <v/>
      </c>
      <c r="Q999" s="86"/>
      <c r="R999" s="84" t="str">
        <f>IFERROR(VLOOKUP(CONCATENATE($B999,"_",R$3),materiali!$C:$K,5,0),"")</f>
        <v/>
      </c>
      <c r="S999" s="85" t="str">
        <f>IFERROR(VLOOKUP(CONCATENATE($B999,"_",S$3),materiali!$C:$K,6,0),"")</f>
        <v/>
      </c>
      <c r="T999" s="86"/>
      <c r="U999" s="31"/>
      <c r="AD999" s="97"/>
    </row>
    <row r="1000" spans="1:30" ht="35.1" hidden="1" customHeight="1" x14ac:dyDescent="0.25">
      <c r="A1000" s="83"/>
      <c r="B1000" s="7"/>
      <c r="C1000" s="8"/>
      <c r="D1000" s="8"/>
      <c r="E1000" s="60"/>
      <c r="F1000" s="84" t="str">
        <f>IFERROR(VLOOKUP(CONCATENATE($B1000,"_",F$3),materiali!$C:$K,5,0),"")</f>
        <v/>
      </c>
      <c r="G1000" s="85" t="str">
        <f>IFERROR(VLOOKUP(CONCATENATE($B1000,"_",G$3),materiali!$C:$K,6,0),"")</f>
        <v/>
      </c>
      <c r="H1000" s="86"/>
      <c r="I1000" s="84" t="str">
        <f>IFERROR(VLOOKUP(CONCATENATE($B1000,"_",I$3),materiali!$C:$K,5,0),"")</f>
        <v/>
      </c>
      <c r="J1000" s="85" t="str">
        <f>IFERROR(VLOOKUP(CONCATENATE($B1000,"_",J$3),materiali!$C:$K,6,0),"")</f>
        <v/>
      </c>
      <c r="K1000" s="86"/>
      <c r="L1000" s="84" t="str">
        <f>IFERROR(VLOOKUP(CONCATENATE($B1000,"_",L$3),materiali!$C:$K,5,0),"")</f>
        <v/>
      </c>
      <c r="M1000" s="85" t="str">
        <f>IFERROR(VLOOKUP(CONCATENATE($B1000,"_",M$3),materiali!$C:$K,6,0),"")</f>
        <v/>
      </c>
      <c r="N1000" s="86"/>
      <c r="O1000" s="84" t="str">
        <f>IFERROR(VLOOKUP(CONCATENATE($B1000,"_",O$3),materiali!$C:$K,5,0),"")</f>
        <v/>
      </c>
      <c r="P1000" s="85" t="str">
        <f>IFERROR(VLOOKUP(CONCATENATE($B1000,"_",P$3),materiali!$C:$K,6,0),"")</f>
        <v/>
      </c>
      <c r="Q1000" s="86"/>
      <c r="R1000" s="84" t="str">
        <f>IFERROR(VLOOKUP(CONCATENATE($B1000,"_",R$3),materiali!$C:$K,5,0),"")</f>
        <v/>
      </c>
      <c r="S1000" s="85" t="str">
        <f>IFERROR(VLOOKUP(CONCATENATE($B1000,"_",S$3),materiali!$C:$K,6,0),"")</f>
        <v/>
      </c>
      <c r="T1000" s="86"/>
      <c r="U1000" s="31"/>
      <c r="AD1000" s="97"/>
    </row>
    <row r="1001" spans="1:30" ht="35.1" hidden="1" customHeight="1" x14ac:dyDescent="0.25">
      <c r="A1001" s="83"/>
      <c r="B1001" s="7"/>
      <c r="C1001" s="8"/>
      <c r="D1001" s="8"/>
      <c r="E1001" s="60"/>
      <c r="F1001" s="84" t="str">
        <f>IFERROR(VLOOKUP(CONCATENATE($B1001,"_",F$3),materiali!$C:$K,5,0),"")</f>
        <v/>
      </c>
      <c r="G1001" s="85" t="str">
        <f>IFERROR(VLOOKUP(CONCATENATE($B1001,"_",G$3),materiali!$C:$K,6,0),"")</f>
        <v/>
      </c>
      <c r="H1001" s="86"/>
      <c r="I1001" s="84" t="str">
        <f>IFERROR(VLOOKUP(CONCATENATE($B1001,"_",I$3),materiali!$C:$K,5,0),"")</f>
        <v/>
      </c>
      <c r="J1001" s="85" t="str">
        <f>IFERROR(VLOOKUP(CONCATENATE($B1001,"_",J$3),materiali!$C:$K,6,0),"")</f>
        <v/>
      </c>
      <c r="K1001" s="86"/>
      <c r="L1001" s="84" t="str">
        <f>IFERROR(VLOOKUP(CONCATENATE($B1001,"_",L$3),materiali!$C:$K,5,0),"")</f>
        <v/>
      </c>
      <c r="M1001" s="85" t="str">
        <f>IFERROR(VLOOKUP(CONCATENATE($B1001,"_",M$3),materiali!$C:$K,6,0),"")</f>
        <v/>
      </c>
      <c r="N1001" s="86"/>
      <c r="O1001" s="84" t="str">
        <f>IFERROR(VLOOKUP(CONCATENATE($B1001,"_",O$3),materiali!$C:$K,5,0),"")</f>
        <v/>
      </c>
      <c r="P1001" s="85" t="str">
        <f>IFERROR(VLOOKUP(CONCATENATE($B1001,"_",P$3),materiali!$C:$K,6,0),"")</f>
        <v/>
      </c>
      <c r="Q1001" s="86"/>
      <c r="R1001" s="84" t="str">
        <f>IFERROR(VLOOKUP(CONCATENATE($B1001,"_",R$3),materiali!$C:$K,5,0),"")</f>
        <v/>
      </c>
      <c r="S1001" s="85" t="str">
        <f>IFERROR(VLOOKUP(CONCATENATE($B1001,"_",S$3),materiali!$C:$K,6,0),"")</f>
        <v/>
      </c>
      <c r="T1001" s="86"/>
      <c r="U1001" s="31"/>
      <c r="AD1001" s="97"/>
    </row>
    <row r="1002" spans="1:30" ht="35.1" hidden="1" customHeight="1" x14ac:dyDescent="0.25">
      <c r="A1002" s="83"/>
      <c r="B1002" s="7"/>
      <c r="C1002" s="8"/>
      <c r="D1002" s="8"/>
      <c r="E1002" s="60"/>
      <c r="F1002" s="84" t="str">
        <f>IFERROR(VLOOKUP(CONCATENATE($B1002,"_",F$3),materiali!$C:$K,5,0),"")</f>
        <v/>
      </c>
      <c r="G1002" s="85" t="str">
        <f>IFERROR(VLOOKUP(CONCATENATE($B1002,"_",G$3),materiali!$C:$K,6,0),"")</f>
        <v/>
      </c>
      <c r="H1002" s="86"/>
      <c r="I1002" s="84" t="str">
        <f>IFERROR(VLOOKUP(CONCATENATE($B1002,"_",I$3),materiali!$C:$K,5,0),"")</f>
        <v/>
      </c>
      <c r="J1002" s="85" t="str">
        <f>IFERROR(VLOOKUP(CONCATENATE($B1002,"_",J$3),materiali!$C:$K,6,0),"")</f>
        <v/>
      </c>
      <c r="K1002" s="86"/>
      <c r="L1002" s="84" t="str">
        <f>IFERROR(VLOOKUP(CONCATENATE($B1002,"_",L$3),materiali!$C:$K,5,0),"")</f>
        <v/>
      </c>
      <c r="M1002" s="85" t="str">
        <f>IFERROR(VLOOKUP(CONCATENATE($B1002,"_",M$3),materiali!$C:$K,6,0),"")</f>
        <v/>
      </c>
      <c r="N1002" s="86"/>
      <c r="O1002" s="84" t="str">
        <f>IFERROR(VLOOKUP(CONCATENATE($B1002,"_",O$3),materiali!$C:$K,5,0),"")</f>
        <v/>
      </c>
      <c r="P1002" s="85" t="str">
        <f>IFERROR(VLOOKUP(CONCATENATE($B1002,"_",P$3),materiali!$C:$K,6,0),"")</f>
        <v/>
      </c>
      <c r="Q1002" s="86"/>
      <c r="R1002" s="84" t="str">
        <f>IFERROR(VLOOKUP(CONCATENATE($B1002,"_",R$3),materiali!$C:$K,5,0),"")</f>
        <v/>
      </c>
      <c r="S1002" s="85" t="str">
        <f>IFERROR(VLOOKUP(CONCATENATE($B1002,"_",S$3),materiali!$C:$K,6,0),"")</f>
        <v/>
      </c>
      <c r="T1002" s="86"/>
      <c r="U1002" s="31"/>
      <c r="AD1002" s="97"/>
    </row>
    <row r="1003" spans="1:30" ht="35.1" hidden="1" customHeight="1" x14ac:dyDescent="0.25">
      <c r="A1003" s="83"/>
      <c r="B1003" s="7"/>
      <c r="C1003" s="8"/>
      <c r="D1003" s="8"/>
      <c r="E1003" s="60"/>
      <c r="F1003" s="84" t="str">
        <f>IFERROR(VLOOKUP(CONCATENATE($B1003,"_",F$3),materiali!$C:$K,5,0),"")</f>
        <v/>
      </c>
      <c r="G1003" s="85" t="str">
        <f>IFERROR(VLOOKUP(CONCATENATE($B1003,"_",G$3),materiali!$C:$K,6,0),"")</f>
        <v/>
      </c>
      <c r="H1003" s="86"/>
      <c r="I1003" s="84" t="str">
        <f>IFERROR(VLOOKUP(CONCATENATE($B1003,"_",I$3),materiali!$C:$K,5,0),"")</f>
        <v/>
      </c>
      <c r="J1003" s="85" t="str">
        <f>IFERROR(VLOOKUP(CONCATENATE($B1003,"_",J$3),materiali!$C:$K,6,0),"")</f>
        <v/>
      </c>
      <c r="K1003" s="86"/>
      <c r="L1003" s="84" t="str">
        <f>IFERROR(VLOOKUP(CONCATENATE($B1003,"_",L$3),materiali!$C:$K,5,0),"")</f>
        <v/>
      </c>
      <c r="M1003" s="85" t="str">
        <f>IFERROR(VLOOKUP(CONCATENATE($B1003,"_",M$3),materiali!$C:$K,6,0),"")</f>
        <v/>
      </c>
      <c r="N1003" s="86"/>
      <c r="O1003" s="84" t="str">
        <f>IFERROR(VLOOKUP(CONCATENATE($B1003,"_",O$3),materiali!$C:$K,5,0),"")</f>
        <v/>
      </c>
      <c r="P1003" s="85" t="str">
        <f>IFERROR(VLOOKUP(CONCATENATE($B1003,"_",P$3),materiali!$C:$K,6,0),"")</f>
        <v/>
      </c>
      <c r="Q1003" s="86"/>
      <c r="R1003" s="84" t="str">
        <f>IFERROR(VLOOKUP(CONCATENATE($B1003,"_",R$3),materiali!$C:$K,5,0),"")</f>
        <v/>
      </c>
      <c r="S1003" s="85" t="str">
        <f>IFERROR(VLOOKUP(CONCATENATE($B1003,"_",S$3),materiali!$C:$K,6,0),"")</f>
        <v/>
      </c>
      <c r="T1003" s="86"/>
      <c r="U1003" s="31"/>
      <c r="AD1003" s="97"/>
    </row>
    <row r="1004" spans="1:30" ht="35.1" hidden="1" customHeight="1" x14ac:dyDescent="0.25">
      <c r="A1004" s="83"/>
      <c r="B1004" s="7"/>
      <c r="C1004" s="8"/>
      <c r="D1004" s="8"/>
      <c r="E1004" s="60"/>
      <c r="F1004" s="84" t="str">
        <f>IFERROR(VLOOKUP(CONCATENATE($B1004,"_",F$3),materiali!$C:$K,5,0),"")</f>
        <v/>
      </c>
      <c r="G1004" s="85" t="str">
        <f>IFERROR(VLOOKUP(CONCATENATE($B1004,"_",G$3),materiali!$C:$K,6,0),"")</f>
        <v/>
      </c>
      <c r="H1004" s="86"/>
      <c r="I1004" s="84" t="str">
        <f>IFERROR(VLOOKUP(CONCATENATE($B1004,"_",I$3),materiali!$C:$K,5,0),"")</f>
        <v/>
      </c>
      <c r="J1004" s="85" t="str">
        <f>IFERROR(VLOOKUP(CONCATENATE($B1004,"_",J$3),materiali!$C:$K,6,0),"")</f>
        <v/>
      </c>
      <c r="K1004" s="86"/>
      <c r="L1004" s="84" t="str">
        <f>IFERROR(VLOOKUP(CONCATENATE($B1004,"_",L$3),materiali!$C:$K,5,0),"")</f>
        <v/>
      </c>
      <c r="M1004" s="85" t="str">
        <f>IFERROR(VLOOKUP(CONCATENATE($B1004,"_",M$3),materiali!$C:$K,6,0),"")</f>
        <v/>
      </c>
      <c r="N1004" s="86"/>
      <c r="O1004" s="84" t="str">
        <f>IFERROR(VLOOKUP(CONCATENATE($B1004,"_",O$3),materiali!$C:$K,5,0),"")</f>
        <v/>
      </c>
      <c r="P1004" s="85" t="str">
        <f>IFERROR(VLOOKUP(CONCATENATE($B1004,"_",P$3),materiali!$C:$K,6,0),"")</f>
        <v/>
      </c>
      <c r="Q1004" s="86"/>
      <c r="R1004" s="84" t="str">
        <f>IFERROR(VLOOKUP(CONCATENATE($B1004,"_",R$3),materiali!$C:$K,5,0),"")</f>
        <v/>
      </c>
      <c r="S1004" s="85" t="str">
        <f>IFERROR(VLOOKUP(CONCATENATE($B1004,"_",S$3),materiali!$C:$K,6,0),"")</f>
        <v/>
      </c>
      <c r="T1004" s="86"/>
      <c r="U1004" s="31"/>
      <c r="AD1004" s="97"/>
    </row>
    <row r="1005" spans="1:30" ht="35.1" hidden="1" customHeight="1" x14ac:dyDescent="0.25">
      <c r="A1005" s="83"/>
      <c r="B1005" s="7"/>
      <c r="C1005" s="8"/>
      <c r="D1005" s="8"/>
      <c r="E1005" s="60"/>
      <c r="F1005" s="84" t="str">
        <f>IFERROR(VLOOKUP(CONCATENATE($B1005,"_",F$3),materiali!$C:$K,5,0),"")</f>
        <v/>
      </c>
      <c r="G1005" s="85" t="str">
        <f>IFERROR(VLOOKUP(CONCATENATE($B1005,"_",G$3),materiali!$C:$K,6,0),"")</f>
        <v/>
      </c>
      <c r="H1005" s="86"/>
      <c r="I1005" s="84" t="str">
        <f>IFERROR(VLOOKUP(CONCATENATE($B1005,"_",I$3),materiali!$C:$K,5,0),"")</f>
        <v/>
      </c>
      <c r="J1005" s="85" t="str">
        <f>IFERROR(VLOOKUP(CONCATENATE($B1005,"_",J$3),materiali!$C:$K,6,0),"")</f>
        <v/>
      </c>
      <c r="K1005" s="86"/>
      <c r="L1005" s="84" t="str">
        <f>IFERROR(VLOOKUP(CONCATENATE($B1005,"_",L$3),materiali!$C:$K,5,0),"")</f>
        <v/>
      </c>
      <c r="M1005" s="85" t="str">
        <f>IFERROR(VLOOKUP(CONCATENATE($B1005,"_",M$3),materiali!$C:$K,6,0),"")</f>
        <v/>
      </c>
      <c r="N1005" s="86"/>
      <c r="O1005" s="84" t="str">
        <f>IFERROR(VLOOKUP(CONCATENATE($B1005,"_",O$3),materiali!$C:$K,5,0),"")</f>
        <v/>
      </c>
      <c r="P1005" s="85" t="str">
        <f>IFERROR(VLOOKUP(CONCATENATE($B1005,"_",P$3),materiali!$C:$K,6,0),"")</f>
        <v/>
      </c>
      <c r="Q1005" s="86"/>
      <c r="R1005" s="84" t="str">
        <f>IFERROR(VLOOKUP(CONCATENATE($B1005,"_",R$3),materiali!$C:$K,5,0),"")</f>
        <v/>
      </c>
      <c r="S1005" s="85" t="str">
        <f>IFERROR(VLOOKUP(CONCATENATE($B1005,"_",S$3),materiali!$C:$K,6,0),"")</f>
        <v/>
      </c>
      <c r="T1005" s="86"/>
      <c r="U1005" s="31"/>
      <c r="AD1005" s="97"/>
    </row>
    <row r="1006" spans="1:30" ht="35.1" hidden="1" customHeight="1" x14ac:dyDescent="0.25">
      <c r="A1006" s="83"/>
      <c r="B1006" s="7"/>
      <c r="C1006" s="8"/>
      <c r="D1006" s="8"/>
      <c r="E1006" s="60"/>
      <c r="F1006" s="84" t="str">
        <f>IFERROR(VLOOKUP(CONCATENATE($B1006,"_",F$3),materiali!$C:$K,5,0),"")</f>
        <v/>
      </c>
      <c r="G1006" s="85" t="str">
        <f>IFERROR(VLOOKUP(CONCATENATE($B1006,"_",G$3),materiali!$C:$K,6,0),"")</f>
        <v/>
      </c>
      <c r="H1006" s="86"/>
      <c r="I1006" s="84" t="str">
        <f>IFERROR(VLOOKUP(CONCATENATE($B1006,"_",I$3),materiali!$C:$K,5,0),"")</f>
        <v/>
      </c>
      <c r="J1006" s="85" t="str">
        <f>IFERROR(VLOOKUP(CONCATENATE($B1006,"_",J$3),materiali!$C:$K,6,0),"")</f>
        <v/>
      </c>
      <c r="K1006" s="86"/>
      <c r="L1006" s="84" t="str">
        <f>IFERROR(VLOOKUP(CONCATENATE($B1006,"_",L$3),materiali!$C:$K,5,0),"")</f>
        <v/>
      </c>
      <c r="M1006" s="85" t="str">
        <f>IFERROR(VLOOKUP(CONCATENATE($B1006,"_",M$3),materiali!$C:$K,6,0),"")</f>
        <v/>
      </c>
      <c r="N1006" s="86"/>
      <c r="O1006" s="84" t="str">
        <f>IFERROR(VLOOKUP(CONCATENATE($B1006,"_",O$3),materiali!$C:$K,5,0),"")</f>
        <v/>
      </c>
      <c r="P1006" s="85" t="str">
        <f>IFERROR(VLOOKUP(CONCATENATE($B1006,"_",P$3),materiali!$C:$K,6,0),"")</f>
        <v/>
      </c>
      <c r="Q1006" s="86"/>
      <c r="R1006" s="84" t="str">
        <f>IFERROR(VLOOKUP(CONCATENATE($B1006,"_",R$3),materiali!$C:$K,5,0),"")</f>
        <v/>
      </c>
      <c r="S1006" s="85" t="str">
        <f>IFERROR(VLOOKUP(CONCATENATE($B1006,"_",S$3),materiali!$C:$K,6,0),"")</f>
        <v/>
      </c>
      <c r="T1006" s="86"/>
      <c r="U1006" s="31"/>
      <c r="AD1006" s="97"/>
    </row>
    <row r="1007" spans="1:30" ht="35.1" hidden="1" customHeight="1" x14ac:dyDescent="0.25">
      <c r="A1007" s="83"/>
      <c r="B1007" s="7"/>
      <c r="C1007" s="8"/>
      <c r="D1007" s="8"/>
      <c r="E1007" s="60"/>
      <c r="F1007" s="84" t="str">
        <f>IFERROR(VLOOKUP(CONCATENATE($B1007,"_",F$3),materiali!$C:$K,5,0),"")</f>
        <v/>
      </c>
      <c r="G1007" s="85" t="str">
        <f>IFERROR(VLOOKUP(CONCATENATE($B1007,"_",G$3),materiali!$C:$K,6,0),"")</f>
        <v/>
      </c>
      <c r="H1007" s="86"/>
      <c r="I1007" s="84" t="str">
        <f>IFERROR(VLOOKUP(CONCATENATE($B1007,"_",I$3),materiali!$C:$K,5,0),"")</f>
        <v/>
      </c>
      <c r="J1007" s="85" t="str">
        <f>IFERROR(VLOOKUP(CONCATENATE($B1007,"_",J$3),materiali!$C:$K,6,0),"")</f>
        <v/>
      </c>
      <c r="K1007" s="86"/>
      <c r="L1007" s="84" t="str">
        <f>IFERROR(VLOOKUP(CONCATENATE($B1007,"_",L$3),materiali!$C:$K,5,0),"")</f>
        <v/>
      </c>
      <c r="M1007" s="85" t="str">
        <f>IFERROR(VLOOKUP(CONCATENATE($B1007,"_",M$3),materiali!$C:$K,6,0),"")</f>
        <v/>
      </c>
      <c r="N1007" s="86"/>
      <c r="O1007" s="84" t="str">
        <f>IFERROR(VLOOKUP(CONCATENATE($B1007,"_",O$3),materiali!$C:$K,5,0),"")</f>
        <v/>
      </c>
      <c r="P1007" s="85" t="str">
        <f>IFERROR(VLOOKUP(CONCATENATE($B1007,"_",P$3),materiali!$C:$K,6,0),"")</f>
        <v/>
      </c>
      <c r="Q1007" s="86"/>
      <c r="R1007" s="84" t="str">
        <f>IFERROR(VLOOKUP(CONCATENATE($B1007,"_",R$3),materiali!$C:$K,5,0),"")</f>
        <v/>
      </c>
      <c r="S1007" s="85" t="str">
        <f>IFERROR(VLOOKUP(CONCATENATE($B1007,"_",S$3),materiali!$C:$K,6,0),"")</f>
        <v/>
      </c>
      <c r="T1007" s="86"/>
      <c r="U1007" s="31"/>
      <c r="AD1007" s="97"/>
    </row>
    <row r="1008" spans="1:30" ht="35.1" hidden="1" customHeight="1" x14ac:dyDescent="0.25">
      <c r="A1008" s="83"/>
      <c r="B1008" s="7"/>
      <c r="C1008" s="8"/>
      <c r="D1008" s="8"/>
      <c r="E1008" s="60"/>
      <c r="F1008" s="84" t="str">
        <f>IFERROR(VLOOKUP(CONCATENATE($B1008,"_",F$3),materiali!$C:$K,5,0),"")</f>
        <v/>
      </c>
      <c r="G1008" s="85" t="str">
        <f>IFERROR(VLOOKUP(CONCATENATE($B1008,"_",G$3),materiali!$C:$K,6,0),"")</f>
        <v/>
      </c>
      <c r="H1008" s="86"/>
      <c r="I1008" s="84" t="str">
        <f>IFERROR(VLOOKUP(CONCATENATE($B1008,"_",I$3),materiali!$C:$K,5,0),"")</f>
        <v/>
      </c>
      <c r="J1008" s="85" t="str">
        <f>IFERROR(VLOOKUP(CONCATENATE($B1008,"_",J$3),materiali!$C:$K,6,0),"")</f>
        <v/>
      </c>
      <c r="K1008" s="86"/>
      <c r="L1008" s="84" t="str">
        <f>IFERROR(VLOOKUP(CONCATENATE($B1008,"_",L$3),materiali!$C:$K,5,0),"")</f>
        <v/>
      </c>
      <c r="M1008" s="85" t="str">
        <f>IFERROR(VLOOKUP(CONCATENATE($B1008,"_",M$3),materiali!$C:$K,6,0),"")</f>
        <v/>
      </c>
      <c r="N1008" s="86"/>
      <c r="O1008" s="84" t="str">
        <f>IFERROR(VLOOKUP(CONCATENATE($B1008,"_",O$3),materiali!$C:$K,5,0),"")</f>
        <v/>
      </c>
      <c r="P1008" s="85" t="str">
        <f>IFERROR(VLOOKUP(CONCATENATE($B1008,"_",P$3),materiali!$C:$K,6,0),"")</f>
        <v/>
      </c>
      <c r="Q1008" s="86"/>
      <c r="R1008" s="84" t="str">
        <f>IFERROR(VLOOKUP(CONCATENATE($B1008,"_",R$3),materiali!$C:$K,5,0),"")</f>
        <v/>
      </c>
      <c r="S1008" s="85" t="str">
        <f>IFERROR(VLOOKUP(CONCATENATE($B1008,"_",S$3),materiali!$C:$K,6,0),"")</f>
        <v/>
      </c>
      <c r="T1008" s="86"/>
      <c r="U1008" s="31"/>
      <c r="AD1008" s="97"/>
    </row>
    <row r="1009" spans="1:30" ht="35.1" hidden="1" customHeight="1" x14ac:dyDescent="0.25">
      <c r="A1009" s="83"/>
      <c r="B1009" s="7"/>
      <c r="C1009" s="8"/>
      <c r="D1009" s="8"/>
      <c r="E1009" s="60"/>
      <c r="F1009" s="84" t="str">
        <f>IFERROR(VLOOKUP(CONCATENATE($B1009,"_",F$3),materiali!$C:$K,5,0),"")</f>
        <v/>
      </c>
      <c r="G1009" s="85" t="str">
        <f>IFERROR(VLOOKUP(CONCATENATE($B1009,"_",G$3),materiali!$C:$K,6,0),"")</f>
        <v/>
      </c>
      <c r="H1009" s="86"/>
      <c r="I1009" s="84" t="str">
        <f>IFERROR(VLOOKUP(CONCATENATE($B1009,"_",I$3),materiali!$C:$K,5,0),"")</f>
        <v/>
      </c>
      <c r="J1009" s="85" t="str">
        <f>IFERROR(VLOOKUP(CONCATENATE($B1009,"_",J$3),materiali!$C:$K,6,0),"")</f>
        <v/>
      </c>
      <c r="K1009" s="86"/>
      <c r="L1009" s="84" t="str">
        <f>IFERROR(VLOOKUP(CONCATENATE($B1009,"_",L$3),materiali!$C:$K,5,0),"")</f>
        <v/>
      </c>
      <c r="M1009" s="85" t="str">
        <f>IFERROR(VLOOKUP(CONCATENATE($B1009,"_",M$3),materiali!$C:$K,6,0),"")</f>
        <v/>
      </c>
      <c r="N1009" s="86"/>
      <c r="O1009" s="84" t="str">
        <f>IFERROR(VLOOKUP(CONCATENATE($B1009,"_",O$3),materiali!$C:$K,5,0),"")</f>
        <v/>
      </c>
      <c r="P1009" s="85" t="str">
        <f>IFERROR(VLOOKUP(CONCATENATE($B1009,"_",P$3),materiali!$C:$K,6,0),"")</f>
        <v/>
      </c>
      <c r="Q1009" s="86"/>
      <c r="R1009" s="84" t="str">
        <f>IFERROR(VLOOKUP(CONCATENATE($B1009,"_",R$3),materiali!$C:$K,5,0),"")</f>
        <v/>
      </c>
      <c r="S1009" s="85" t="str">
        <f>IFERROR(VLOOKUP(CONCATENATE($B1009,"_",S$3),materiali!$C:$K,6,0),"")</f>
        <v/>
      </c>
      <c r="T1009" s="86"/>
      <c r="U1009" s="31"/>
      <c r="AD1009" s="97"/>
    </row>
    <row r="1010" spans="1:30" ht="35.1" hidden="1" customHeight="1" x14ac:dyDescent="0.25">
      <c r="A1010" s="83"/>
      <c r="B1010" s="7"/>
      <c r="C1010" s="8"/>
      <c r="D1010" s="8"/>
      <c r="E1010" s="60"/>
      <c r="F1010" s="84" t="str">
        <f>IFERROR(VLOOKUP(CONCATENATE($B1010,"_",F$3),materiali!$C:$K,5,0),"")</f>
        <v/>
      </c>
      <c r="G1010" s="85" t="str">
        <f>IFERROR(VLOOKUP(CONCATENATE($B1010,"_",G$3),materiali!$C:$K,6,0),"")</f>
        <v/>
      </c>
      <c r="H1010" s="86"/>
      <c r="I1010" s="84" t="str">
        <f>IFERROR(VLOOKUP(CONCATENATE($B1010,"_",I$3),materiali!$C:$K,5,0),"")</f>
        <v/>
      </c>
      <c r="J1010" s="85" t="str">
        <f>IFERROR(VLOOKUP(CONCATENATE($B1010,"_",J$3),materiali!$C:$K,6,0),"")</f>
        <v/>
      </c>
      <c r="K1010" s="86"/>
      <c r="L1010" s="84" t="str">
        <f>IFERROR(VLOOKUP(CONCATENATE($B1010,"_",L$3),materiali!$C:$K,5,0),"")</f>
        <v/>
      </c>
      <c r="M1010" s="85" t="str">
        <f>IFERROR(VLOOKUP(CONCATENATE($B1010,"_",M$3),materiali!$C:$K,6,0),"")</f>
        <v/>
      </c>
      <c r="N1010" s="86"/>
      <c r="O1010" s="84" t="str">
        <f>IFERROR(VLOOKUP(CONCATENATE($B1010,"_",O$3),materiali!$C:$K,5,0),"")</f>
        <v/>
      </c>
      <c r="P1010" s="85" t="str">
        <f>IFERROR(VLOOKUP(CONCATENATE($B1010,"_",P$3),materiali!$C:$K,6,0),"")</f>
        <v/>
      </c>
      <c r="Q1010" s="86"/>
      <c r="R1010" s="84" t="str">
        <f>IFERROR(VLOOKUP(CONCATENATE($B1010,"_",R$3),materiali!$C:$K,5,0),"")</f>
        <v/>
      </c>
      <c r="S1010" s="85" t="str">
        <f>IFERROR(VLOOKUP(CONCATENATE($B1010,"_",S$3),materiali!$C:$K,6,0),"")</f>
        <v/>
      </c>
      <c r="T1010" s="86"/>
      <c r="U1010" s="31"/>
      <c r="AD1010" s="97"/>
    </row>
    <row r="1011" spans="1:30" ht="35.1" hidden="1" customHeight="1" x14ac:dyDescent="0.25">
      <c r="A1011" s="83"/>
      <c r="B1011" s="7"/>
      <c r="C1011" s="8"/>
      <c r="D1011" s="8"/>
      <c r="E1011" s="60"/>
      <c r="F1011" s="84" t="str">
        <f>IFERROR(VLOOKUP(CONCATENATE($B1011,"_",F$3),materiali!$C:$K,5,0),"")</f>
        <v/>
      </c>
      <c r="G1011" s="85" t="str">
        <f>IFERROR(VLOOKUP(CONCATENATE($B1011,"_",G$3),materiali!$C:$K,6,0),"")</f>
        <v/>
      </c>
      <c r="H1011" s="86"/>
      <c r="I1011" s="84" t="str">
        <f>IFERROR(VLOOKUP(CONCATENATE($B1011,"_",I$3),materiali!$C:$K,5,0),"")</f>
        <v/>
      </c>
      <c r="J1011" s="85" t="str">
        <f>IFERROR(VLOOKUP(CONCATENATE($B1011,"_",J$3),materiali!$C:$K,6,0),"")</f>
        <v/>
      </c>
      <c r="K1011" s="86"/>
      <c r="L1011" s="84" t="str">
        <f>IFERROR(VLOOKUP(CONCATENATE($B1011,"_",L$3),materiali!$C:$K,5,0),"")</f>
        <v/>
      </c>
      <c r="M1011" s="85" t="str">
        <f>IFERROR(VLOOKUP(CONCATENATE($B1011,"_",M$3),materiali!$C:$K,6,0),"")</f>
        <v/>
      </c>
      <c r="N1011" s="86"/>
      <c r="O1011" s="84" t="str">
        <f>IFERROR(VLOOKUP(CONCATENATE($B1011,"_",O$3),materiali!$C:$K,5,0),"")</f>
        <v/>
      </c>
      <c r="P1011" s="85" t="str">
        <f>IFERROR(VLOOKUP(CONCATENATE($B1011,"_",P$3),materiali!$C:$K,6,0),"")</f>
        <v/>
      </c>
      <c r="Q1011" s="86"/>
      <c r="R1011" s="84" t="str">
        <f>IFERROR(VLOOKUP(CONCATENATE($B1011,"_",R$3),materiali!$C:$K,5,0),"")</f>
        <v/>
      </c>
      <c r="S1011" s="85" t="str">
        <f>IFERROR(VLOOKUP(CONCATENATE($B1011,"_",S$3),materiali!$C:$K,6,0),"")</f>
        <v/>
      </c>
      <c r="T1011" s="86"/>
      <c r="U1011" s="31"/>
      <c r="AD1011" s="97"/>
    </row>
    <row r="1012" spans="1:30" ht="35.1" hidden="1" customHeight="1" x14ac:dyDescent="0.25">
      <c r="A1012" s="83"/>
      <c r="B1012" s="7"/>
      <c r="C1012" s="8"/>
      <c r="D1012" s="8"/>
      <c r="E1012" s="60"/>
      <c r="F1012" s="84" t="str">
        <f>IFERROR(VLOOKUP(CONCATENATE($B1012,"_",F$3),materiali!$C:$K,5,0),"")</f>
        <v/>
      </c>
      <c r="G1012" s="85" t="str">
        <f>IFERROR(VLOOKUP(CONCATENATE($B1012,"_",G$3),materiali!$C:$K,6,0),"")</f>
        <v/>
      </c>
      <c r="H1012" s="86"/>
      <c r="I1012" s="84" t="str">
        <f>IFERROR(VLOOKUP(CONCATENATE($B1012,"_",I$3),materiali!$C:$K,5,0),"")</f>
        <v/>
      </c>
      <c r="J1012" s="85" t="str">
        <f>IFERROR(VLOOKUP(CONCATENATE($B1012,"_",J$3),materiali!$C:$K,6,0),"")</f>
        <v/>
      </c>
      <c r="K1012" s="86"/>
      <c r="L1012" s="84" t="str">
        <f>IFERROR(VLOOKUP(CONCATENATE($B1012,"_",L$3),materiali!$C:$K,5,0),"")</f>
        <v/>
      </c>
      <c r="M1012" s="85" t="str">
        <f>IFERROR(VLOOKUP(CONCATENATE($B1012,"_",M$3),materiali!$C:$K,6,0),"")</f>
        <v/>
      </c>
      <c r="N1012" s="86"/>
      <c r="O1012" s="84" t="str">
        <f>IFERROR(VLOOKUP(CONCATENATE($B1012,"_",O$3),materiali!$C:$K,5,0),"")</f>
        <v/>
      </c>
      <c r="P1012" s="85" t="str">
        <f>IFERROR(VLOOKUP(CONCATENATE($B1012,"_",P$3),materiali!$C:$K,6,0),"")</f>
        <v/>
      </c>
      <c r="Q1012" s="86"/>
      <c r="R1012" s="84" t="str">
        <f>IFERROR(VLOOKUP(CONCATENATE($B1012,"_",R$3),materiali!$C:$K,5,0),"")</f>
        <v/>
      </c>
      <c r="S1012" s="85" t="str">
        <f>IFERROR(VLOOKUP(CONCATENATE($B1012,"_",S$3),materiali!$C:$K,6,0),"")</f>
        <v/>
      </c>
      <c r="T1012" s="86"/>
      <c r="U1012" s="31"/>
      <c r="AD1012" s="97"/>
    </row>
    <row r="1013" spans="1:30" ht="35.1" hidden="1" customHeight="1" x14ac:dyDescent="0.25">
      <c r="A1013" s="83"/>
      <c r="B1013" s="7"/>
      <c r="C1013" s="8"/>
      <c r="D1013" s="8"/>
      <c r="E1013" s="60"/>
      <c r="F1013" s="84" t="str">
        <f>IFERROR(VLOOKUP(CONCATENATE($B1013,"_",F$3),materiali!$C:$K,5,0),"")</f>
        <v/>
      </c>
      <c r="G1013" s="85" t="str">
        <f>IFERROR(VLOOKUP(CONCATENATE($B1013,"_",G$3),materiali!$C:$K,6,0),"")</f>
        <v/>
      </c>
      <c r="H1013" s="86"/>
      <c r="I1013" s="84" t="str">
        <f>IFERROR(VLOOKUP(CONCATENATE($B1013,"_",I$3),materiali!$C:$K,5,0),"")</f>
        <v/>
      </c>
      <c r="J1013" s="85" t="str">
        <f>IFERROR(VLOOKUP(CONCATENATE($B1013,"_",J$3),materiali!$C:$K,6,0),"")</f>
        <v/>
      </c>
      <c r="K1013" s="86"/>
      <c r="L1013" s="84" t="str">
        <f>IFERROR(VLOOKUP(CONCATENATE($B1013,"_",L$3),materiali!$C:$K,5,0),"")</f>
        <v/>
      </c>
      <c r="M1013" s="85" t="str">
        <f>IFERROR(VLOOKUP(CONCATENATE($B1013,"_",M$3),materiali!$C:$K,6,0),"")</f>
        <v/>
      </c>
      <c r="N1013" s="86"/>
      <c r="O1013" s="84" t="str">
        <f>IFERROR(VLOOKUP(CONCATENATE($B1013,"_",O$3),materiali!$C:$K,5,0),"")</f>
        <v/>
      </c>
      <c r="P1013" s="85" t="str">
        <f>IFERROR(VLOOKUP(CONCATENATE($B1013,"_",P$3),materiali!$C:$K,6,0),"")</f>
        <v/>
      </c>
      <c r="Q1013" s="86"/>
      <c r="R1013" s="84" t="str">
        <f>IFERROR(VLOOKUP(CONCATENATE($B1013,"_",R$3),materiali!$C:$K,5,0),"")</f>
        <v/>
      </c>
      <c r="S1013" s="85" t="str">
        <f>IFERROR(VLOOKUP(CONCATENATE($B1013,"_",S$3),materiali!$C:$K,6,0),"")</f>
        <v/>
      </c>
      <c r="T1013" s="86"/>
      <c r="U1013" s="31"/>
      <c r="AD1013" s="97"/>
    </row>
    <row r="1014" spans="1:30" ht="35.1" hidden="1" customHeight="1" x14ac:dyDescent="0.25">
      <c r="A1014" s="83"/>
      <c r="B1014" s="7"/>
      <c r="C1014" s="8"/>
      <c r="D1014" s="8"/>
      <c r="E1014" s="60"/>
      <c r="F1014" s="84" t="str">
        <f>IFERROR(VLOOKUP(CONCATENATE($B1014,"_",F$3),materiali!$C:$K,5,0),"")</f>
        <v/>
      </c>
      <c r="G1014" s="85" t="str">
        <f>IFERROR(VLOOKUP(CONCATENATE($B1014,"_",G$3),materiali!$C:$K,6,0),"")</f>
        <v/>
      </c>
      <c r="H1014" s="86"/>
      <c r="I1014" s="84" t="str">
        <f>IFERROR(VLOOKUP(CONCATENATE($B1014,"_",I$3),materiali!$C:$K,5,0),"")</f>
        <v/>
      </c>
      <c r="J1014" s="85" t="str">
        <f>IFERROR(VLOOKUP(CONCATENATE($B1014,"_",J$3),materiali!$C:$K,6,0),"")</f>
        <v/>
      </c>
      <c r="K1014" s="86"/>
      <c r="L1014" s="84" t="str">
        <f>IFERROR(VLOOKUP(CONCATENATE($B1014,"_",L$3),materiali!$C:$K,5,0),"")</f>
        <v/>
      </c>
      <c r="M1014" s="85" t="str">
        <f>IFERROR(VLOOKUP(CONCATENATE($B1014,"_",M$3),materiali!$C:$K,6,0),"")</f>
        <v/>
      </c>
      <c r="N1014" s="86"/>
      <c r="O1014" s="84" t="str">
        <f>IFERROR(VLOOKUP(CONCATENATE($B1014,"_",O$3),materiali!$C:$K,5,0),"")</f>
        <v/>
      </c>
      <c r="P1014" s="85" t="str">
        <f>IFERROR(VLOOKUP(CONCATENATE($B1014,"_",P$3),materiali!$C:$K,6,0),"")</f>
        <v/>
      </c>
      <c r="Q1014" s="86"/>
      <c r="R1014" s="84" t="str">
        <f>IFERROR(VLOOKUP(CONCATENATE($B1014,"_",R$3),materiali!$C:$K,5,0),"")</f>
        <v/>
      </c>
      <c r="S1014" s="85" t="str">
        <f>IFERROR(VLOOKUP(CONCATENATE($B1014,"_",S$3),materiali!$C:$K,6,0),"")</f>
        <v/>
      </c>
      <c r="T1014" s="86"/>
      <c r="U1014" s="31"/>
      <c r="AD1014" s="97"/>
    </row>
    <row r="1015" spans="1:30" ht="35.1" hidden="1" customHeight="1" x14ac:dyDescent="0.25">
      <c r="A1015" s="83"/>
      <c r="B1015" s="7"/>
      <c r="C1015" s="8"/>
      <c r="D1015" s="8"/>
      <c r="E1015" s="60"/>
      <c r="F1015" s="84" t="str">
        <f>IFERROR(VLOOKUP(CONCATENATE($B1015,"_",F$3),materiali!$C:$K,5,0),"")</f>
        <v/>
      </c>
      <c r="G1015" s="85" t="str">
        <f>IFERROR(VLOOKUP(CONCATENATE($B1015,"_",G$3),materiali!$C:$K,6,0),"")</f>
        <v/>
      </c>
      <c r="H1015" s="86"/>
      <c r="I1015" s="84" t="str">
        <f>IFERROR(VLOOKUP(CONCATENATE($B1015,"_",I$3),materiali!$C:$K,5,0),"")</f>
        <v/>
      </c>
      <c r="J1015" s="85" t="str">
        <f>IFERROR(VLOOKUP(CONCATENATE($B1015,"_",J$3),materiali!$C:$K,6,0),"")</f>
        <v/>
      </c>
      <c r="K1015" s="86"/>
      <c r="L1015" s="84" t="str">
        <f>IFERROR(VLOOKUP(CONCATENATE($B1015,"_",L$3),materiali!$C:$K,5,0),"")</f>
        <v/>
      </c>
      <c r="M1015" s="85" t="str">
        <f>IFERROR(VLOOKUP(CONCATENATE($B1015,"_",M$3),materiali!$C:$K,6,0),"")</f>
        <v/>
      </c>
      <c r="N1015" s="86"/>
      <c r="O1015" s="84" t="str">
        <f>IFERROR(VLOOKUP(CONCATENATE($B1015,"_",O$3),materiali!$C:$K,5,0),"")</f>
        <v/>
      </c>
      <c r="P1015" s="85" t="str">
        <f>IFERROR(VLOOKUP(CONCATENATE($B1015,"_",P$3),materiali!$C:$K,6,0),"")</f>
        <v/>
      </c>
      <c r="Q1015" s="86"/>
      <c r="R1015" s="84" t="str">
        <f>IFERROR(VLOOKUP(CONCATENATE($B1015,"_",R$3),materiali!$C:$K,5,0),"")</f>
        <v/>
      </c>
      <c r="S1015" s="85" t="str">
        <f>IFERROR(VLOOKUP(CONCATENATE($B1015,"_",S$3),materiali!$C:$K,6,0),"")</f>
        <v/>
      </c>
      <c r="T1015" s="86"/>
      <c r="U1015" s="31"/>
      <c r="AD1015" s="97"/>
    </row>
    <row r="1016" spans="1:30" ht="35.1" hidden="1" customHeight="1" x14ac:dyDescent="0.25">
      <c r="A1016" s="83"/>
      <c r="B1016" s="7"/>
      <c r="C1016" s="8"/>
      <c r="D1016" s="8"/>
      <c r="E1016" s="60"/>
      <c r="F1016" s="84" t="str">
        <f>IFERROR(VLOOKUP(CONCATENATE($B1016,"_",F$3),materiali!$C:$K,5,0),"")</f>
        <v/>
      </c>
      <c r="G1016" s="85" t="str">
        <f>IFERROR(VLOOKUP(CONCATENATE($B1016,"_",G$3),materiali!$C:$K,6,0),"")</f>
        <v/>
      </c>
      <c r="H1016" s="86"/>
      <c r="I1016" s="84" t="str">
        <f>IFERROR(VLOOKUP(CONCATENATE($B1016,"_",I$3),materiali!$C:$K,5,0),"")</f>
        <v/>
      </c>
      <c r="J1016" s="85" t="str">
        <f>IFERROR(VLOOKUP(CONCATENATE($B1016,"_",J$3),materiali!$C:$K,6,0),"")</f>
        <v/>
      </c>
      <c r="K1016" s="86"/>
      <c r="L1016" s="84" t="str">
        <f>IFERROR(VLOOKUP(CONCATENATE($B1016,"_",L$3),materiali!$C:$K,5,0),"")</f>
        <v/>
      </c>
      <c r="M1016" s="85" t="str">
        <f>IFERROR(VLOOKUP(CONCATENATE($B1016,"_",M$3),materiali!$C:$K,6,0),"")</f>
        <v/>
      </c>
      <c r="N1016" s="86"/>
      <c r="O1016" s="84" t="str">
        <f>IFERROR(VLOOKUP(CONCATENATE($B1016,"_",O$3),materiali!$C:$K,5,0),"")</f>
        <v/>
      </c>
      <c r="P1016" s="85" t="str">
        <f>IFERROR(VLOOKUP(CONCATENATE($B1016,"_",P$3),materiali!$C:$K,6,0),"")</f>
        <v/>
      </c>
      <c r="Q1016" s="86"/>
      <c r="R1016" s="84" t="str">
        <f>IFERROR(VLOOKUP(CONCATENATE($B1016,"_",R$3),materiali!$C:$K,5,0),"")</f>
        <v/>
      </c>
      <c r="S1016" s="85" t="str">
        <f>IFERROR(VLOOKUP(CONCATENATE($B1016,"_",S$3),materiali!$C:$K,6,0),"")</f>
        <v/>
      </c>
      <c r="T1016" s="86"/>
      <c r="U1016" s="31"/>
      <c r="AD1016" s="97"/>
    </row>
    <row r="1017" spans="1:30" ht="35.1" hidden="1" customHeight="1" x14ac:dyDescent="0.25">
      <c r="A1017" s="83"/>
      <c r="B1017" s="7"/>
      <c r="C1017" s="8"/>
      <c r="D1017" s="8"/>
      <c r="E1017" s="60"/>
      <c r="F1017" s="84" t="str">
        <f>IFERROR(VLOOKUP(CONCATENATE($B1017,"_",F$3),materiali!$C:$K,5,0),"")</f>
        <v/>
      </c>
      <c r="G1017" s="85" t="str">
        <f>IFERROR(VLOOKUP(CONCATENATE($B1017,"_",G$3),materiali!$C:$K,6,0),"")</f>
        <v/>
      </c>
      <c r="H1017" s="86"/>
      <c r="I1017" s="84" t="str">
        <f>IFERROR(VLOOKUP(CONCATENATE($B1017,"_",I$3),materiali!$C:$K,5,0),"")</f>
        <v/>
      </c>
      <c r="J1017" s="85" t="str">
        <f>IFERROR(VLOOKUP(CONCATENATE($B1017,"_",J$3),materiali!$C:$K,6,0),"")</f>
        <v/>
      </c>
      <c r="K1017" s="86"/>
      <c r="L1017" s="84" t="str">
        <f>IFERROR(VLOOKUP(CONCATENATE($B1017,"_",L$3),materiali!$C:$K,5,0),"")</f>
        <v/>
      </c>
      <c r="M1017" s="85" t="str">
        <f>IFERROR(VLOOKUP(CONCATENATE($B1017,"_",M$3),materiali!$C:$K,6,0),"")</f>
        <v/>
      </c>
      <c r="N1017" s="86"/>
      <c r="O1017" s="84" t="str">
        <f>IFERROR(VLOOKUP(CONCATENATE($B1017,"_",O$3),materiali!$C:$K,5,0),"")</f>
        <v/>
      </c>
      <c r="P1017" s="85" t="str">
        <f>IFERROR(VLOOKUP(CONCATENATE($B1017,"_",P$3),materiali!$C:$K,6,0),"")</f>
        <v/>
      </c>
      <c r="Q1017" s="86"/>
      <c r="R1017" s="84" t="str">
        <f>IFERROR(VLOOKUP(CONCATENATE($B1017,"_",R$3),materiali!$C:$K,5,0),"")</f>
        <v/>
      </c>
      <c r="S1017" s="85" t="str">
        <f>IFERROR(VLOOKUP(CONCATENATE($B1017,"_",S$3),materiali!$C:$K,6,0),"")</f>
        <v/>
      </c>
      <c r="T1017" s="86"/>
      <c r="U1017" s="31"/>
      <c r="AD1017" s="97"/>
    </row>
    <row r="1018" spans="1:30" ht="35.1" hidden="1" customHeight="1" x14ac:dyDescent="0.25">
      <c r="A1018" s="83"/>
      <c r="B1018" s="7"/>
      <c r="C1018" s="8"/>
      <c r="D1018" s="8"/>
      <c r="E1018" s="60"/>
      <c r="F1018" s="84" t="str">
        <f>IFERROR(VLOOKUP(CONCATENATE($B1018,"_",F$3),materiali!$C:$K,5,0),"")</f>
        <v/>
      </c>
      <c r="G1018" s="85" t="str">
        <f>IFERROR(VLOOKUP(CONCATENATE($B1018,"_",G$3),materiali!$C:$K,6,0),"")</f>
        <v/>
      </c>
      <c r="H1018" s="86"/>
      <c r="I1018" s="84" t="str">
        <f>IFERROR(VLOOKUP(CONCATENATE($B1018,"_",I$3),materiali!$C:$K,5,0),"")</f>
        <v/>
      </c>
      <c r="J1018" s="85" t="str">
        <f>IFERROR(VLOOKUP(CONCATENATE($B1018,"_",J$3),materiali!$C:$K,6,0),"")</f>
        <v/>
      </c>
      <c r="K1018" s="86"/>
      <c r="L1018" s="84" t="str">
        <f>IFERROR(VLOOKUP(CONCATENATE($B1018,"_",L$3),materiali!$C:$K,5,0),"")</f>
        <v/>
      </c>
      <c r="M1018" s="85" t="str">
        <f>IFERROR(VLOOKUP(CONCATENATE($B1018,"_",M$3),materiali!$C:$K,6,0),"")</f>
        <v/>
      </c>
      <c r="N1018" s="86"/>
      <c r="O1018" s="84" t="str">
        <f>IFERROR(VLOOKUP(CONCATENATE($B1018,"_",O$3),materiali!$C:$K,5,0),"")</f>
        <v/>
      </c>
      <c r="P1018" s="85" t="str">
        <f>IFERROR(VLOOKUP(CONCATENATE($B1018,"_",P$3),materiali!$C:$K,6,0),"")</f>
        <v/>
      </c>
      <c r="Q1018" s="86"/>
      <c r="R1018" s="84" t="str">
        <f>IFERROR(VLOOKUP(CONCATENATE($B1018,"_",R$3),materiali!$C:$K,5,0),"")</f>
        <v/>
      </c>
      <c r="S1018" s="85" t="str">
        <f>IFERROR(VLOOKUP(CONCATENATE($B1018,"_",S$3),materiali!$C:$K,6,0),"")</f>
        <v/>
      </c>
      <c r="T1018" s="86"/>
      <c r="U1018" s="31"/>
      <c r="AD1018" s="97"/>
    </row>
    <row r="1019" spans="1:30" ht="35.1" hidden="1" customHeight="1" x14ac:dyDescent="0.25">
      <c r="A1019" s="83"/>
      <c r="B1019" s="7"/>
      <c r="C1019" s="8"/>
      <c r="D1019" s="8"/>
      <c r="E1019" s="60"/>
      <c r="F1019" s="84" t="str">
        <f>IFERROR(VLOOKUP(CONCATENATE($B1019,"_",F$3),materiali!$C:$K,5,0),"")</f>
        <v/>
      </c>
      <c r="G1019" s="85" t="str">
        <f>IFERROR(VLOOKUP(CONCATENATE($B1019,"_",G$3),materiali!$C:$K,6,0),"")</f>
        <v/>
      </c>
      <c r="H1019" s="86"/>
      <c r="I1019" s="84" t="str">
        <f>IFERROR(VLOOKUP(CONCATENATE($B1019,"_",I$3),materiali!$C:$K,5,0),"")</f>
        <v/>
      </c>
      <c r="J1019" s="85" t="str">
        <f>IFERROR(VLOOKUP(CONCATENATE($B1019,"_",J$3),materiali!$C:$K,6,0),"")</f>
        <v/>
      </c>
      <c r="K1019" s="86"/>
      <c r="L1019" s="84" t="str">
        <f>IFERROR(VLOOKUP(CONCATENATE($B1019,"_",L$3),materiali!$C:$K,5,0),"")</f>
        <v/>
      </c>
      <c r="M1019" s="85" t="str">
        <f>IFERROR(VLOOKUP(CONCATENATE($B1019,"_",M$3),materiali!$C:$K,6,0),"")</f>
        <v/>
      </c>
      <c r="N1019" s="86"/>
      <c r="O1019" s="84" t="str">
        <f>IFERROR(VLOOKUP(CONCATENATE($B1019,"_",O$3),materiali!$C:$K,5,0),"")</f>
        <v/>
      </c>
      <c r="P1019" s="85" t="str">
        <f>IFERROR(VLOOKUP(CONCATENATE($B1019,"_",P$3),materiali!$C:$K,6,0),"")</f>
        <v/>
      </c>
      <c r="Q1019" s="86"/>
      <c r="R1019" s="84" t="str">
        <f>IFERROR(VLOOKUP(CONCATENATE($B1019,"_",R$3),materiali!$C:$K,5,0),"")</f>
        <v/>
      </c>
      <c r="S1019" s="85" t="str">
        <f>IFERROR(VLOOKUP(CONCATENATE($B1019,"_",S$3),materiali!$C:$K,6,0),"")</f>
        <v/>
      </c>
      <c r="T1019" s="86"/>
      <c r="U1019" s="31"/>
      <c r="AD1019" s="97"/>
    </row>
    <row r="1020" spans="1:30" ht="35.1" hidden="1" customHeight="1" x14ac:dyDescent="0.25">
      <c r="A1020" s="83"/>
      <c r="B1020" s="7"/>
      <c r="C1020" s="8"/>
      <c r="D1020" s="8"/>
      <c r="E1020" s="60"/>
      <c r="F1020" s="84" t="str">
        <f>IFERROR(VLOOKUP(CONCATENATE($B1020,"_",F$3),materiali!$C:$K,5,0),"")</f>
        <v/>
      </c>
      <c r="G1020" s="85" t="str">
        <f>IFERROR(VLOOKUP(CONCATENATE($B1020,"_",G$3),materiali!$C:$K,6,0),"")</f>
        <v/>
      </c>
      <c r="H1020" s="86"/>
      <c r="I1020" s="84" t="str">
        <f>IFERROR(VLOOKUP(CONCATENATE($B1020,"_",I$3),materiali!$C:$K,5,0),"")</f>
        <v/>
      </c>
      <c r="J1020" s="85" t="str">
        <f>IFERROR(VLOOKUP(CONCATENATE($B1020,"_",J$3),materiali!$C:$K,6,0),"")</f>
        <v/>
      </c>
      <c r="K1020" s="86"/>
      <c r="L1020" s="84" t="str">
        <f>IFERROR(VLOOKUP(CONCATENATE($B1020,"_",L$3),materiali!$C:$K,5,0),"")</f>
        <v/>
      </c>
      <c r="M1020" s="85" t="str">
        <f>IFERROR(VLOOKUP(CONCATENATE($B1020,"_",M$3),materiali!$C:$K,6,0),"")</f>
        <v/>
      </c>
      <c r="N1020" s="86"/>
      <c r="O1020" s="84" t="str">
        <f>IFERROR(VLOOKUP(CONCATENATE($B1020,"_",O$3),materiali!$C:$K,5,0),"")</f>
        <v/>
      </c>
      <c r="P1020" s="85" t="str">
        <f>IFERROR(VLOOKUP(CONCATENATE($B1020,"_",P$3),materiali!$C:$K,6,0),"")</f>
        <v/>
      </c>
      <c r="Q1020" s="86"/>
      <c r="R1020" s="84" t="str">
        <f>IFERROR(VLOOKUP(CONCATENATE($B1020,"_",R$3),materiali!$C:$K,5,0),"")</f>
        <v/>
      </c>
      <c r="S1020" s="85" t="str">
        <f>IFERROR(VLOOKUP(CONCATENATE($B1020,"_",S$3),materiali!$C:$K,6,0),"")</f>
        <v/>
      </c>
      <c r="T1020" s="86"/>
      <c r="U1020" s="31"/>
      <c r="AD1020" s="97"/>
    </row>
    <row r="1021" spans="1:30" ht="35.1" hidden="1" customHeight="1" x14ac:dyDescent="0.25">
      <c r="A1021" s="83"/>
      <c r="B1021" s="7"/>
      <c r="C1021" s="8"/>
      <c r="D1021" s="8"/>
      <c r="E1021" s="60"/>
      <c r="F1021" s="84" t="str">
        <f>IFERROR(VLOOKUP(CONCATENATE($B1021,"_",F$3),materiali!$C:$K,5,0),"")</f>
        <v/>
      </c>
      <c r="G1021" s="85" t="str">
        <f>IFERROR(VLOOKUP(CONCATENATE($B1021,"_",G$3),materiali!$C:$K,6,0),"")</f>
        <v/>
      </c>
      <c r="H1021" s="86"/>
      <c r="I1021" s="84" t="str">
        <f>IFERROR(VLOOKUP(CONCATENATE($B1021,"_",I$3),materiali!$C:$K,5,0),"")</f>
        <v/>
      </c>
      <c r="J1021" s="85" t="str">
        <f>IFERROR(VLOOKUP(CONCATENATE($B1021,"_",J$3),materiali!$C:$K,6,0),"")</f>
        <v/>
      </c>
      <c r="K1021" s="86"/>
      <c r="L1021" s="84" t="str">
        <f>IFERROR(VLOOKUP(CONCATENATE($B1021,"_",L$3),materiali!$C:$K,5,0),"")</f>
        <v/>
      </c>
      <c r="M1021" s="85" t="str">
        <f>IFERROR(VLOOKUP(CONCATENATE($B1021,"_",M$3),materiali!$C:$K,6,0),"")</f>
        <v/>
      </c>
      <c r="N1021" s="86"/>
      <c r="O1021" s="84" t="str">
        <f>IFERROR(VLOOKUP(CONCATENATE($B1021,"_",O$3),materiali!$C:$K,5,0),"")</f>
        <v/>
      </c>
      <c r="P1021" s="85" t="str">
        <f>IFERROR(VLOOKUP(CONCATENATE($B1021,"_",P$3),materiali!$C:$K,6,0),"")</f>
        <v/>
      </c>
      <c r="Q1021" s="86"/>
      <c r="R1021" s="84" t="str">
        <f>IFERROR(VLOOKUP(CONCATENATE($B1021,"_",R$3),materiali!$C:$K,5,0),"")</f>
        <v/>
      </c>
      <c r="S1021" s="85" t="str">
        <f>IFERROR(VLOOKUP(CONCATENATE($B1021,"_",S$3),materiali!$C:$K,6,0),"")</f>
        <v/>
      </c>
      <c r="T1021" s="86"/>
      <c r="U1021" s="31"/>
      <c r="AD1021" s="97"/>
    </row>
    <row r="1022" spans="1:30" ht="35.1" hidden="1" customHeight="1" x14ac:dyDescent="0.25">
      <c r="A1022" s="83"/>
      <c r="B1022" s="7"/>
      <c r="C1022" s="8"/>
      <c r="D1022" s="8"/>
      <c r="E1022" s="60"/>
      <c r="F1022" s="84" t="str">
        <f>IFERROR(VLOOKUP(CONCATENATE($B1022,"_",F$3),materiali!$C:$K,5,0),"")</f>
        <v/>
      </c>
      <c r="G1022" s="85" t="str">
        <f>IFERROR(VLOOKUP(CONCATENATE($B1022,"_",G$3),materiali!$C:$K,6,0),"")</f>
        <v/>
      </c>
      <c r="H1022" s="86"/>
      <c r="I1022" s="84" t="str">
        <f>IFERROR(VLOOKUP(CONCATENATE($B1022,"_",I$3),materiali!$C:$K,5,0),"")</f>
        <v/>
      </c>
      <c r="J1022" s="85" t="str">
        <f>IFERROR(VLOOKUP(CONCATENATE($B1022,"_",J$3),materiali!$C:$K,6,0),"")</f>
        <v/>
      </c>
      <c r="K1022" s="86"/>
      <c r="L1022" s="84" t="str">
        <f>IFERROR(VLOOKUP(CONCATENATE($B1022,"_",L$3),materiali!$C:$K,5,0),"")</f>
        <v/>
      </c>
      <c r="M1022" s="85" t="str">
        <f>IFERROR(VLOOKUP(CONCATENATE($B1022,"_",M$3),materiali!$C:$K,6,0),"")</f>
        <v/>
      </c>
      <c r="N1022" s="86"/>
      <c r="O1022" s="84" t="str">
        <f>IFERROR(VLOOKUP(CONCATENATE($B1022,"_",O$3),materiali!$C:$K,5,0),"")</f>
        <v/>
      </c>
      <c r="P1022" s="85" t="str">
        <f>IFERROR(VLOOKUP(CONCATENATE($B1022,"_",P$3),materiali!$C:$K,6,0),"")</f>
        <v/>
      </c>
      <c r="Q1022" s="86"/>
      <c r="R1022" s="84" t="str">
        <f>IFERROR(VLOOKUP(CONCATENATE($B1022,"_",R$3),materiali!$C:$K,5,0),"")</f>
        <v/>
      </c>
      <c r="S1022" s="85" t="str">
        <f>IFERROR(VLOOKUP(CONCATENATE($B1022,"_",S$3),materiali!$C:$K,6,0),"")</f>
        <v/>
      </c>
      <c r="T1022" s="86"/>
      <c r="U1022" s="31"/>
      <c r="AD1022" s="97"/>
    </row>
    <row r="1023" spans="1:30" ht="35.1" hidden="1" customHeight="1" x14ac:dyDescent="0.25">
      <c r="A1023" s="83"/>
      <c r="B1023" s="7"/>
      <c r="C1023" s="8"/>
      <c r="D1023" s="8"/>
      <c r="E1023" s="60"/>
      <c r="F1023" s="84" t="str">
        <f>IFERROR(VLOOKUP(CONCATENATE($B1023,"_",F$3),materiali!$C:$K,5,0),"")</f>
        <v/>
      </c>
      <c r="G1023" s="85" t="str">
        <f>IFERROR(VLOOKUP(CONCATENATE($B1023,"_",G$3),materiali!$C:$K,6,0),"")</f>
        <v/>
      </c>
      <c r="H1023" s="86"/>
      <c r="I1023" s="84" t="str">
        <f>IFERROR(VLOOKUP(CONCATENATE($B1023,"_",I$3),materiali!$C:$K,5,0),"")</f>
        <v/>
      </c>
      <c r="J1023" s="85" t="str">
        <f>IFERROR(VLOOKUP(CONCATENATE($B1023,"_",J$3),materiali!$C:$K,6,0),"")</f>
        <v/>
      </c>
      <c r="K1023" s="86"/>
      <c r="L1023" s="84" t="str">
        <f>IFERROR(VLOOKUP(CONCATENATE($B1023,"_",L$3),materiali!$C:$K,5,0),"")</f>
        <v/>
      </c>
      <c r="M1023" s="85" t="str">
        <f>IFERROR(VLOOKUP(CONCATENATE($B1023,"_",M$3),materiali!$C:$K,6,0),"")</f>
        <v/>
      </c>
      <c r="N1023" s="86"/>
      <c r="O1023" s="84" t="str">
        <f>IFERROR(VLOOKUP(CONCATENATE($B1023,"_",O$3),materiali!$C:$K,5,0),"")</f>
        <v/>
      </c>
      <c r="P1023" s="85" t="str">
        <f>IFERROR(VLOOKUP(CONCATENATE($B1023,"_",P$3),materiali!$C:$K,6,0),"")</f>
        <v/>
      </c>
      <c r="Q1023" s="86"/>
      <c r="R1023" s="84" t="str">
        <f>IFERROR(VLOOKUP(CONCATENATE($B1023,"_",R$3),materiali!$C:$K,5,0),"")</f>
        <v/>
      </c>
      <c r="S1023" s="85" t="str">
        <f>IFERROR(VLOOKUP(CONCATENATE($B1023,"_",S$3),materiali!$C:$K,6,0),"")</f>
        <v/>
      </c>
      <c r="T1023" s="86"/>
      <c r="U1023" s="31"/>
      <c r="AD1023" s="97"/>
    </row>
    <row r="1024" spans="1:30" ht="35.1" hidden="1" customHeight="1" x14ac:dyDescent="0.25">
      <c r="A1024" s="83"/>
      <c r="B1024" s="7"/>
      <c r="C1024" s="8"/>
      <c r="D1024" s="8"/>
      <c r="E1024" s="60"/>
      <c r="F1024" s="84" t="str">
        <f>IFERROR(VLOOKUP(CONCATENATE($B1024,"_",F$3),materiali!$C:$K,5,0),"")</f>
        <v/>
      </c>
      <c r="G1024" s="85" t="str">
        <f>IFERROR(VLOOKUP(CONCATENATE($B1024,"_",G$3),materiali!$C:$K,6,0),"")</f>
        <v/>
      </c>
      <c r="H1024" s="86"/>
      <c r="I1024" s="84" t="str">
        <f>IFERROR(VLOOKUP(CONCATENATE($B1024,"_",I$3),materiali!$C:$K,5,0),"")</f>
        <v/>
      </c>
      <c r="J1024" s="85" t="str">
        <f>IFERROR(VLOOKUP(CONCATENATE($B1024,"_",J$3),materiali!$C:$K,6,0),"")</f>
        <v/>
      </c>
      <c r="K1024" s="86"/>
      <c r="L1024" s="84" t="str">
        <f>IFERROR(VLOOKUP(CONCATENATE($B1024,"_",L$3),materiali!$C:$K,5,0),"")</f>
        <v/>
      </c>
      <c r="M1024" s="85" t="str">
        <f>IFERROR(VLOOKUP(CONCATENATE($B1024,"_",M$3),materiali!$C:$K,6,0),"")</f>
        <v/>
      </c>
      <c r="N1024" s="86"/>
      <c r="O1024" s="84" t="str">
        <f>IFERROR(VLOOKUP(CONCATENATE($B1024,"_",O$3),materiali!$C:$K,5,0),"")</f>
        <v/>
      </c>
      <c r="P1024" s="85" t="str">
        <f>IFERROR(VLOOKUP(CONCATENATE($B1024,"_",P$3),materiali!$C:$K,6,0),"")</f>
        <v/>
      </c>
      <c r="Q1024" s="86"/>
      <c r="R1024" s="84" t="str">
        <f>IFERROR(VLOOKUP(CONCATENATE($B1024,"_",R$3),materiali!$C:$K,5,0),"")</f>
        <v/>
      </c>
      <c r="S1024" s="85" t="str">
        <f>IFERROR(VLOOKUP(CONCATENATE($B1024,"_",S$3),materiali!$C:$K,6,0),"")</f>
        <v/>
      </c>
      <c r="T1024" s="86"/>
      <c r="U1024" s="31"/>
      <c r="AD1024" s="97"/>
    </row>
    <row r="1025" spans="1:30" ht="35.1" hidden="1" customHeight="1" x14ac:dyDescent="0.25">
      <c r="A1025" s="83"/>
      <c r="B1025" s="7"/>
      <c r="C1025" s="8"/>
      <c r="D1025" s="8"/>
      <c r="E1025" s="60"/>
      <c r="F1025" s="84" t="str">
        <f>IFERROR(VLOOKUP(CONCATENATE($B1025,"_",F$3),materiali!$C:$K,5,0),"")</f>
        <v/>
      </c>
      <c r="G1025" s="85" t="str">
        <f>IFERROR(VLOOKUP(CONCATENATE($B1025,"_",G$3),materiali!$C:$K,6,0),"")</f>
        <v/>
      </c>
      <c r="H1025" s="86"/>
      <c r="I1025" s="84" t="str">
        <f>IFERROR(VLOOKUP(CONCATENATE($B1025,"_",I$3),materiali!$C:$K,5,0),"")</f>
        <v/>
      </c>
      <c r="J1025" s="85" t="str">
        <f>IFERROR(VLOOKUP(CONCATENATE($B1025,"_",J$3),materiali!$C:$K,6,0),"")</f>
        <v/>
      </c>
      <c r="K1025" s="86"/>
      <c r="L1025" s="84" t="str">
        <f>IFERROR(VLOOKUP(CONCATENATE($B1025,"_",L$3),materiali!$C:$K,5,0),"")</f>
        <v/>
      </c>
      <c r="M1025" s="85" t="str">
        <f>IFERROR(VLOOKUP(CONCATENATE($B1025,"_",M$3),materiali!$C:$K,6,0),"")</f>
        <v/>
      </c>
      <c r="N1025" s="86"/>
      <c r="O1025" s="84" t="str">
        <f>IFERROR(VLOOKUP(CONCATENATE($B1025,"_",O$3),materiali!$C:$K,5,0),"")</f>
        <v/>
      </c>
      <c r="P1025" s="85" t="str">
        <f>IFERROR(VLOOKUP(CONCATENATE($B1025,"_",P$3),materiali!$C:$K,6,0),"")</f>
        <v/>
      </c>
      <c r="Q1025" s="86"/>
      <c r="R1025" s="84" t="str">
        <f>IFERROR(VLOOKUP(CONCATENATE($B1025,"_",R$3),materiali!$C:$K,5,0),"")</f>
        <v/>
      </c>
      <c r="S1025" s="85" t="str">
        <f>IFERROR(VLOOKUP(CONCATENATE($B1025,"_",S$3),materiali!$C:$K,6,0),"")</f>
        <v/>
      </c>
      <c r="T1025" s="86"/>
      <c r="U1025" s="31"/>
      <c r="AD1025" s="97"/>
    </row>
    <row r="1026" spans="1:30" ht="35.1" hidden="1" customHeight="1" x14ac:dyDescent="0.25">
      <c r="A1026" s="83"/>
      <c r="B1026" s="7"/>
      <c r="C1026" s="8"/>
      <c r="D1026" s="8"/>
      <c r="E1026" s="60"/>
      <c r="F1026" s="84" t="str">
        <f>IFERROR(VLOOKUP(CONCATENATE($B1026,"_",F$3),materiali!$C:$K,5,0),"")</f>
        <v/>
      </c>
      <c r="G1026" s="85" t="str">
        <f>IFERROR(VLOOKUP(CONCATENATE($B1026,"_",G$3),materiali!$C:$K,6,0),"")</f>
        <v/>
      </c>
      <c r="H1026" s="86"/>
      <c r="I1026" s="84" t="str">
        <f>IFERROR(VLOOKUP(CONCATENATE($B1026,"_",I$3),materiali!$C:$K,5,0),"")</f>
        <v/>
      </c>
      <c r="J1026" s="85" t="str">
        <f>IFERROR(VLOOKUP(CONCATENATE($B1026,"_",J$3),materiali!$C:$K,6,0),"")</f>
        <v/>
      </c>
      <c r="K1026" s="86"/>
      <c r="L1026" s="84" t="str">
        <f>IFERROR(VLOOKUP(CONCATENATE($B1026,"_",L$3),materiali!$C:$K,5,0),"")</f>
        <v/>
      </c>
      <c r="M1026" s="85" t="str">
        <f>IFERROR(VLOOKUP(CONCATENATE($B1026,"_",M$3),materiali!$C:$K,6,0),"")</f>
        <v/>
      </c>
      <c r="N1026" s="86"/>
      <c r="O1026" s="84" t="str">
        <f>IFERROR(VLOOKUP(CONCATENATE($B1026,"_",O$3),materiali!$C:$K,5,0),"")</f>
        <v/>
      </c>
      <c r="P1026" s="85" t="str">
        <f>IFERROR(VLOOKUP(CONCATENATE($B1026,"_",P$3),materiali!$C:$K,6,0),"")</f>
        <v/>
      </c>
      <c r="Q1026" s="86"/>
      <c r="R1026" s="84" t="str">
        <f>IFERROR(VLOOKUP(CONCATENATE($B1026,"_",R$3),materiali!$C:$K,5,0),"")</f>
        <v/>
      </c>
      <c r="S1026" s="85" t="str">
        <f>IFERROR(VLOOKUP(CONCATENATE($B1026,"_",S$3),materiali!$C:$K,6,0),"")</f>
        <v/>
      </c>
      <c r="T1026" s="86"/>
      <c r="U1026" s="31"/>
      <c r="AD1026" s="97"/>
    </row>
    <row r="1027" spans="1:30" ht="35.1" hidden="1" customHeight="1" x14ac:dyDescent="0.25">
      <c r="A1027" s="83"/>
      <c r="B1027" s="7"/>
      <c r="C1027" s="8"/>
      <c r="D1027" s="8"/>
      <c r="E1027" s="60"/>
      <c r="F1027" s="84" t="str">
        <f>IFERROR(VLOOKUP(CONCATENATE($B1027,"_",F$3),materiali!$C:$K,5,0),"")</f>
        <v/>
      </c>
      <c r="G1027" s="85" t="str">
        <f>IFERROR(VLOOKUP(CONCATENATE($B1027,"_",G$3),materiali!$C:$K,6,0),"")</f>
        <v/>
      </c>
      <c r="H1027" s="86"/>
      <c r="I1027" s="84" t="str">
        <f>IFERROR(VLOOKUP(CONCATENATE($B1027,"_",I$3),materiali!$C:$K,5,0),"")</f>
        <v/>
      </c>
      <c r="J1027" s="85" t="str">
        <f>IFERROR(VLOOKUP(CONCATENATE($B1027,"_",J$3),materiali!$C:$K,6,0),"")</f>
        <v/>
      </c>
      <c r="K1027" s="86"/>
      <c r="L1027" s="84" t="str">
        <f>IFERROR(VLOOKUP(CONCATENATE($B1027,"_",L$3),materiali!$C:$K,5,0),"")</f>
        <v/>
      </c>
      <c r="M1027" s="85" t="str">
        <f>IFERROR(VLOOKUP(CONCATENATE($B1027,"_",M$3),materiali!$C:$K,6,0),"")</f>
        <v/>
      </c>
      <c r="N1027" s="86"/>
      <c r="O1027" s="84" t="str">
        <f>IFERROR(VLOOKUP(CONCATENATE($B1027,"_",O$3),materiali!$C:$K,5,0),"")</f>
        <v/>
      </c>
      <c r="P1027" s="85" t="str">
        <f>IFERROR(VLOOKUP(CONCATENATE($B1027,"_",P$3),materiali!$C:$K,6,0),"")</f>
        <v/>
      </c>
      <c r="Q1027" s="86"/>
      <c r="R1027" s="84" t="str">
        <f>IFERROR(VLOOKUP(CONCATENATE($B1027,"_",R$3),materiali!$C:$K,5,0),"")</f>
        <v/>
      </c>
      <c r="S1027" s="85" t="str">
        <f>IFERROR(VLOOKUP(CONCATENATE($B1027,"_",S$3),materiali!$C:$K,6,0),"")</f>
        <v/>
      </c>
      <c r="T1027" s="86"/>
      <c r="U1027" s="31"/>
      <c r="AD1027" s="97"/>
    </row>
    <row r="1028" spans="1:30" ht="35.1" hidden="1" customHeight="1" x14ac:dyDescent="0.25">
      <c r="A1028" s="83"/>
      <c r="B1028" s="7"/>
      <c r="C1028" s="8"/>
      <c r="D1028" s="8"/>
      <c r="E1028" s="60"/>
      <c r="F1028" s="84" t="str">
        <f>IFERROR(VLOOKUP(CONCATENATE($B1028,"_",F$3),materiali!$C:$K,5,0),"")</f>
        <v/>
      </c>
      <c r="G1028" s="85" t="str">
        <f>IFERROR(VLOOKUP(CONCATENATE($B1028,"_",G$3),materiali!$C:$K,6,0),"")</f>
        <v/>
      </c>
      <c r="H1028" s="86"/>
      <c r="I1028" s="84" t="str">
        <f>IFERROR(VLOOKUP(CONCATENATE($B1028,"_",I$3),materiali!$C:$K,5,0),"")</f>
        <v/>
      </c>
      <c r="J1028" s="85" t="str">
        <f>IFERROR(VLOOKUP(CONCATENATE($B1028,"_",J$3),materiali!$C:$K,6,0),"")</f>
        <v/>
      </c>
      <c r="K1028" s="86"/>
      <c r="L1028" s="84" t="str">
        <f>IFERROR(VLOOKUP(CONCATENATE($B1028,"_",L$3),materiali!$C:$K,5,0),"")</f>
        <v/>
      </c>
      <c r="M1028" s="85" t="str">
        <f>IFERROR(VLOOKUP(CONCATENATE($B1028,"_",M$3),materiali!$C:$K,6,0),"")</f>
        <v/>
      </c>
      <c r="N1028" s="86"/>
      <c r="O1028" s="84" t="str">
        <f>IFERROR(VLOOKUP(CONCATENATE($B1028,"_",O$3),materiali!$C:$K,5,0),"")</f>
        <v/>
      </c>
      <c r="P1028" s="85" t="str">
        <f>IFERROR(VLOOKUP(CONCATENATE($B1028,"_",P$3),materiali!$C:$K,6,0),"")</f>
        <v/>
      </c>
      <c r="Q1028" s="86"/>
      <c r="R1028" s="84" t="str">
        <f>IFERROR(VLOOKUP(CONCATENATE($B1028,"_",R$3),materiali!$C:$K,5,0),"")</f>
        <v/>
      </c>
      <c r="S1028" s="85" t="str">
        <f>IFERROR(VLOOKUP(CONCATENATE($B1028,"_",S$3),materiali!$C:$K,6,0),"")</f>
        <v/>
      </c>
      <c r="T1028" s="86"/>
      <c r="U1028" s="31"/>
      <c r="AD1028" s="97"/>
    </row>
    <row r="1029" spans="1:30" ht="35.1" hidden="1" customHeight="1" x14ac:dyDescent="0.25">
      <c r="A1029" s="83"/>
      <c r="B1029" s="7"/>
      <c r="C1029" s="8"/>
      <c r="D1029" s="8"/>
      <c r="E1029" s="60"/>
      <c r="F1029" s="84" t="str">
        <f>IFERROR(VLOOKUP(CONCATENATE($B1029,"_",F$3),materiali!$C:$K,5,0),"")</f>
        <v/>
      </c>
      <c r="G1029" s="85" t="str">
        <f>IFERROR(VLOOKUP(CONCATENATE($B1029,"_",G$3),materiali!$C:$K,6,0),"")</f>
        <v/>
      </c>
      <c r="H1029" s="86"/>
      <c r="I1029" s="84" t="str">
        <f>IFERROR(VLOOKUP(CONCATENATE($B1029,"_",I$3),materiali!$C:$K,5,0),"")</f>
        <v/>
      </c>
      <c r="J1029" s="85" t="str">
        <f>IFERROR(VLOOKUP(CONCATENATE($B1029,"_",J$3),materiali!$C:$K,6,0),"")</f>
        <v/>
      </c>
      <c r="K1029" s="86"/>
      <c r="L1029" s="84" t="str">
        <f>IFERROR(VLOOKUP(CONCATENATE($B1029,"_",L$3),materiali!$C:$K,5,0),"")</f>
        <v/>
      </c>
      <c r="M1029" s="85" t="str">
        <f>IFERROR(VLOOKUP(CONCATENATE($B1029,"_",M$3),materiali!$C:$K,6,0),"")</f>
        <v/>
      </c>
      <c r="N1029" s="86"/>
      <c r="O1029" s="84" t="str">
        <f>IFERROR(VLOOKUP(CONCATENATE($B1029,"_",O$3),materiali!$C:$K,5,0),"")</f>
        <v/>
      </c>
      <c r="P1029" s="85" t="str">
        <f>IFERROR(VLOOKUP(CONCATENATE($B1029,"_",P$3),materiali!$C:$K,6,0),"")</f>
        <v/>
      </c>
      <c r="Q1029" s="86"/>
      <c r="R1029" s="84" t="str">
        <f>IFERROR(VLOOKUP(CONCATENATE($B1029,"_",R$3),materiali!$C:$K,5,0),"")</f>
        <v/>
      </c>
      <c r="S1029" s="85" t="str">
        <f>IFERROR(VLOOKUP(CONCATENATE($B1029,"_",S$3),materiali!$C:$K,6,0),"")</f>
        <v/>
      </c>
      <c r="T1029" s="86"/>
      <c r="U1029" s="31"/>
      <c r="AD1029" s="97"/>
    </row>
    <row r="1030" spans="1:30" ht="35.1" hidden="1" customHeight="1" x14ac:dyDescent="0.25">
      <c r="A1030" s="83"/>
      <c r="B1030" s="7"/>
      <c r="C1030" s="8"/>
      <c r="D1030" s="8"/>
      <c r="E1030" s="60"/>
      <c r="F1030" s="84" t="str">
        <f>IFERROR(VLOOKUP(CONCATENATE($B1030,"_",F$3),materiali!$C:$K,5,0),"")</f>
        <v/>
      </c>
      <c r="G1030" s="85" t="str">
        <f>IFERROR(VLOOKUP(CONCATENATE($B1030,"_",G$3),materiali!$C:$K,6,0),"")</f>
        <v/>
      </c>
      <c r="H1030" s="86"/>
      <c r="I1030" s="84" t="str">
        <f>IFERROR(VLOOKUP(CONCATENATE($B1030,"_",I$3),materiali!$C:$K,5,0),"")</f>
        <v/>
      </c>
      <c r="J1030" s="85" t="str">
        <f>IFERROR(VLOOKUP(CONCATENATE($B1030,"_",J$3),materiali!$C:$K,6,0),"")</f>
        <v/>
      </c>
      <c r="K1030" s="86"/>
      <c r="L1030" s="84" t="str">
        <f>IFERROR(VLOOKUP(CONCATENATE($B1030,"_",L$3),materiali!$C:$K,5,0),"")</f>
        <v/>
      </c>
      <c r="M1030" s="85" t="str">
        <f>IFERROR(VLOOKUP(CONCATENATE($B1030,"_",M$3),materiali!$C:$K,6,0),"")</f>
        <v/>
      </c>
      <c r="N1030" s="86"/>
      <c r="O1030" s="84" t="str">
        <f>IFERROR(VLOOKUP(CONCATENATE($B1030,"_",O$3),materiali!$C:$K,5,0),"")</f>
        <v/>
      </c>
      <c r="P1030" s="85" t="str">
        <f>IFERROR(VLOOKUP(CONCATENATE($B1030,"_",P$3),materiali!$C:$K,6,0),"")</f>
        <v/>
      </c>
      <c r="Q1030" s="86"/>
      <c r="R1030" s="84" t="str">
        <f>IFERROR(VLOOKUP(CONCATENATE($B1030,"_",R$3),materiali!$C:$K,5,0),"")</f>
        <v/>
      </c>
      <c r="S1030" s="85" t="str">
        <f>IFERROR(VLOOKUP(CONCATENATE($B1030,"_",S$3),materiali!$C:$K,6,0),"")</f>
        <v/>
      </c>
      <c r="T1030" s="86"/>
      <c r="U1030" s="31"/>
      <c r="AD1030" s="97"/>
    </row>
    <row r="1031" spans="1:30" ht="35.1" hidden="1" customHeight="1" x14ac:dyDescent="0.25">
      <c r="A1031" s="83"/>
      <c r="B1031" s="7"/>
      <c r="C1031" s="8"/>
      <c r="D1031" s="8"/>
      <c r="E1031" s="60"/>
      <c r="F1031" s="84" t="str">
        <f>IFERROR(VLOOKUP(CONCATENATE($B1031,"_",F$3),materiali!$C:$K,5,0),"")</f>
        <v/>
      </c>
      <c r="G1031" s="85" t="str">
        <f>IFERROR(VLOOKUP(CONCATENATE($B1031,"_",G$3),materiali!$C:$K,6,0),"")</f>
        <v/>
      </c>
      <c r="H1031" s="86"/>
      <c r="I1031" s="84" t="str">
        <f>IFERROR(VLOOKUP(CONCATENATE($B1031,"_",I$3),materiali!$C:$K,5,0),"")</f>
        <v/>
      </c>
      <c r="J1031" s="85" t="str">
        <f>IFERROR(VLOOKUP(CONCATENATE($B1031,"_",J$3),materiali!$C:$K,6,0),"")</f>
        <v/>
      </c>
      <c r="K1031" s="86"/>
      <c r="L1031" s="84" t="str">
        <f>IFERROR(VLOOKUP(CONCATENATE($B1031,"_",L$3),materiali!$C:$K,5,0),"")</f>
        <v/>
      </c>
      <c r="M1031" s="85" t="str">
        <f>IFERROR(VLOOKUP(CONCATENATE($B1031,"_",M$3),materiali!$C:$K,6,0),"")</f>
        <v/>
      </c>
      <c r="N1031" s="86"/>
      <c r="O1031" s="84" t="str">
        <f>IFERROR(VLOOKUP(CONCATENATE($B1031,"_",O$3),materiali!$C:$K,5,0),"")</f>
        <v/>
      </c>
      <c r="P1031" s="85" t="str">
        <f>IFERROR(VLOOKUP(CONCATENATE($B1031,"_",P$3),materiali!$C:$K,6,0),"")</f>
        <v/>
      </c>
      <c r="Q1031" s="86"/>
      <c r="R1031" s="84" t="str">
        <f>IFERROR(VLOOKUP(CONCATENATE($B1031,"_",R$3),materiali!$C:$K,5,0),"")</f>
        <v/>
      </c>
      <c r="S1031" s="85" t="str">
        <f>IFERROR(VLOOKUP(CONCATENATE($B1031,"_",S$3),materiali!$C:$K,6,0),"")</f>
        <v/>
      </c>
      <c r="T1031" s="86"/>
      <c r="U1031" s="31"/>
      <c r="AD1031" s="97"/>
    </row>
    <row r="1032" spans="1:30" ht="35.1" hidden="1" customHeight="1" x14ac:dyDescent="0.25">
      <c r="A1032" s="83"/>
      <c r="B1032" s="7"/>
      <c r="C1032" s="8"/>
      <c r="D1032" s="8"/>
      <c r="E1032" s="60"/>
      <c r="F1032" s="84" t="str">
        <f>IFERROR(VLOOKUP(CONCATENATE($B1032,"_",F$3),materiali!$C:$K,5,0),"")</f>
        <v/>
      </c>
      <c r="G1032" s="85" t="str">
        <f>IFERROR(VLOOKUP(CONCATENATE($B1032,"_",G$3),materiali!$C:$K,6,0),"")</f>
        <v/>
      </c>
      <c r="H1032" s="86"/>
      <c r="I1032" s="84" t="str">
        <f>IFERROR(VLOOKUP(CONCATENATE($B1032,"_",I$3),materiali!$C:$K,5,0),"")</f>
        <v/>
      </c>
      <c r="J1032" s="85" t="str">
        <f>IFERROR(VLOOKUP(CONCATENATE($B1032,"_",J$3),materiali!$C:$K,6,0),"")</f>
        <v/>
      </c>
      <c r="K1032" s="86"/>
      <c r="L1032" s="84" t="str">
        <f>IFERROR(VLOOKUP(CONCATENATE($B1032,"_",L$3),materiali!$C:$K,5,0),"")</f>
        <v/>
      </c>
      <c r="M1032" s="85" t="str">
        <f>IFERROR(VLOOKUP(CONCATENATE($B1032,"_",M$3),materiali!$C:$K,6,0),"")</f>
        <v/>
      </c>
      <c r="N1032" s="86"/>
      <c r="O1032" s="84" t="str">
        <f>IFERROR(VLOOKUP(CONCATENATE($B1032,"_",O$3),materiali!$C:$K,5,0),"")</f>
        <v/>
      </c>
      <c r="P1032" s="85" t="str">
        <f>IFERROR(VLOOKUP(CONCATENATE($B1032,"_",P$3),materiali!$C:$K,6,0),"")</f>
        <v/>
      </c>
      <c r="Q1032" s="86"/>
      <c r="R1032" s="84" t="str">
        <f>IFERROR(VLOOKUP(CONCATENATE($B1032,"_",R$3),materiali!$C:$K,5,0),"")</f>
        <v/>
      </c>
      <c r="S1032" s="85" t="str">
        <f>IFERROR(VLOOKUP(CONCATENATE($B1032,"_",S$3),materiali!$C:$K,6,0),"")</f>
        <v/>
      </c>
      <c r="T1032" s="86"/>
      <c r="U1032" s="31"/>
      <c r="AD1032" s="97"/>
    </row>
    <row r="1033" spans="1:30" ht="35.1" hidden="1" customHeight="1" x14ac:dyDescent="0.25">
      <c r="A1033" s="83"/>
      <c r="B1033" s="7"/>
      <c r="C1033" s="8"/>
      <c r="D1033" s="8"/>
      <c r="E1033" s="60"/>
      <c r="F1033" s="84" t="str">
        <f>IFERROR(VLOOKUP(CONCATENATE($B1033,"_",F$3),materiali!$C:$K,5,0),"")</f>
        <v/>
      </c>
      <c r="G1033" s="85" t="str">
        <f>IFERROR(VLOOKUP(CONCATENATE($B1033,"_",G$3),materiali!$C:$K,6,0),"")</f>
        <v/>
      </c>
      <c r="H1033" s="86"/>
      <c r="I1033" s="84" t="str">
        <f>IFERROR(VLOOKUP(CONCATENATE($B1033,"_",I$3),materiali!$C:$K,5,0),"")</f>
        <v/>
      </c>
      <c r="J1033" s="85" t="str">
        <f>IFERROR(VLOOKUP(CONCATENATE($B1033,"_",J$3),materiali!$C:$K,6,0),"")</f>
        <v/>
      </c>
      <c r="K1033" s="86"/>
      <c r="L1033" s="84" t="str">
        <f>IFERROR(VLOOKUP(CONCATENATE($B1033,"_",L$3),materiali!$C:$K,5,0),"")</f>
        <v/>
      </c>
      <c r="M1033" s="85" t="str">
        <f>IFERROR(VLOOKUP(CONCATENATE($B1033,"_",M$3),materiali!$C:$K,6,0),"")</f>
        <v/>
      </c>
      <c r="N1033" s="86"/>
      <c r="O1033" s="84" t="str">
        <f>IFERROR(VLOOKUP(CONCATENATE($B1033,"_",O$3),materiali!$C:$K,5,0),"")</f>
        <v/>
      </c>
      <c r="P1033" s="85" t="str">
        <f>IFERROR(VLOOKUP(CONCATENATE($B1033,"_",P$3),materiali!$C:$K,6,0),"")</f>
        <v/>
      </c>
      <c r="Q1033" s="86"/>
      <c r="R1033" s="84" t="str">
        <f>IFERROR(VLOOKUP(CONCATENATE($B1033,"_",R$3),materiali!$C:$K,5,0),"")</f>
        <v/>
      </c>
      <c r="S1033" s="85" t="str">
        <f>IFERROR(VLOOKUP(CONCATENATE($B1033,"_",S$3),materiali!$C:$K,6,0),"")</f>
        <v/>
      </c>
      <c r="T1033" s="86"/>
      <c r="U1033" s="31"/>
      <c r="AD1033" s="97"/>
    </row>
    <row r="1034" spans="1:30" ht="35.1" hidden="1" customHeight="1" x14ac:dyDescent="0.25">
      <c r="A1034" s="83"/>
      <c r="B1034" s="7"/>
      <c r="C1034" s="8"/>
      <c r="D1034" s="8"/>
      <c r="E1034" s="60"/>
      <c r="F1034" s="84" t="str">
        <f>IFERROR(VLOOKUP(CONCATENATE($B1034,"_",F$3),materiali!$C:$K,5,0),"")</f>
        <v/>
      </c>
      <c r="G1034" s="85" t="str">
        <f>IFERROR(VLOOKUP(CONCATENATE($B1034,"_",G$3),materiali!$C:$K,6,0),"")</f>
        <v/>
      </c>
      <c r="H1034" s="86"/>
      <c r="I1034" s="84" t="str">
        <f>IFERROR(VLOOKUP(CONCATENATE($B1034,"_",I$3),materiali!$C:$K,5,0),"")</f>
        <v/>
      </c>
      <c r="J1034" s="85" t="str">
        <f>IFERROR(VLOOKUP(CONCATENATE($B1034,"_",J$3),materiali!$C:$K,6,0),"")</f>
        <v/>
      </c>
      <c r="K1034" s="86"/>
      <c r="L1034" s="84" t="str">
        <f>IFERROR(VLOOKUP(CONCATENATE($B1034,"_",L$3),materiali!$C:$K,5,0),"")</f>
        <v/>
      </c>
      <c r="M1034" s="85" t="str">
        <f>IFERROR(VLOOKUP(CONCATENATE($B1034,"_",M$3),materiali!$C:$K,6,0),"")</f>
        <v/>
      </c>
      <c r="N1034" s="86"/>
      <c r="O1034" s="84" t="str">
        <f>IFERROR(VLOOKUP(CONCATENATE($B1034,"_",O$3),materiali!$C:$K,5,0),"")</f>
        <v/>
      </c>
      <c r="P1034" s="85" t="str">
        <f>IFERROR(VLOOKUP(CONCATENATE($B1034,"_",P$3),materiali!$C:$K,6,0),"")</f>
        <v/>
      </c>
      <c r="Q1034" s="86"/>
      <c r="R1034" s="84" t="str">
        <f>IFERROR(VLOOKUP(CONCATENATE($B1034,"_",R$3),materiali!$C:$K,5,0),"")</f>
        <v/>
      </c>
      <c r="S1034" s="85" t="str">
        <f>IFERROR(VLOOKUP(CONCATENATE($B1034,"_",S$3),materiali!$C:$K,6,0),"")</f>
        <v/>
      </c>
      <c r="T1034" s="86"/>
      <c r="U1034" s="31"/>
      <c r="AD1034" s="97"/>
    </row>
    <row r="1035" spans="1:30" ht="35.1" hidden="1" customHeight="1" x14ac:dyDescent="0.25">
      <c r="A1035" s="83"/>
      <c r="B1035" s="7"/>
      <c r="C1035" s="8"/>
      <c r="D1035" s="8"/>
      <c r="E1035" s="60"/>
      <c r="F1035" s="84" t="str">
        <f>IFERROR(VLOOKUP(CONCATENATE($B1035,"_",F$3),materiali!$C:$K,5,0),"")</f>
        <v/>
      </c>
      <c r="G1035" s="85" t="str">
        <f>IFERROR(VLOOKUP(CONCATENATE($B1035,"_",G$3),materiali!$C:$K,6,0),"")</f>
        <v/>
      </c>
      <c r="H1035" s="86"/>
      <c r="I1035" s="84" t="str">
        <f>IFERROR(VLOOKUP(CONCATENATE($B1035,"_",I$3),materiali!$C:$K,5,0),"")</f>
        <v/>
      </c>
      <c r="J1035" s="85" t="str">
        <f>IFERROR(VLOOKUP(CONCATENATE($B1035,"_",J$3),materiali!$C:$K,6,0),"")</f>
        <v/>
      </c>
      <c r="K1035" s="86"/>
      <c r="L1035" s="84" t="str">
        <f>IFERROR(VLOOKUP(CONCATENATE($B1035,"_",L$3),materiali!$C:$K,5,0),"")</f>
        <v/>
      </c>
      <c r="M1035" s="85" t="str">
        <f>IFERROR(VLOOKUP(CONCATENATE($B1035,"_",M$3),materiali!$C:$K,6,0),"")</f>
        <v/>
      </c>
      <c r="N1035" s="86"/>
      <c r="O1035" s="84" t="str">
        <f>IFERROR(VLOOKUP(CONCATENATE($B1035,"_",O$3),materiali!$C:$K,5,0),"")</f>
        <v/>
      </c>
      <c r="P1035" s="85" t="str">
        <f>IFERROR(VLOOKUP(CONCATENATE($B1035,"_",P$3),materiali!$C:$K,6,0),"")</f>
        <v/>
      </c>
      <c r="Q1035" s="86"/>
      <c r="R1035" s="84" t="str">
        <f>IFERROR(VLOOKUP(CONCATENATE($B1035,"_",R$3),materiali!$C:$K,5,0),"")</f>
        <v/>
      </c>
      <c r="S1035" s="85" t="str">
        <f>IFERROR(VLOOKUP(CONCATENATE($B1035,"_",S$3),materiali!$C:$K,6,0),"")</f>
        <v/>
      </c>
      <c r="T1035" s="86"/>
      <c r="U1035" s="31"/>
      <c r="AD1035" s="97"/>
    </row>
    <row r="1036" spans="1:30" ht="35.1" hidden="1" customHeight="1" x14ac:dyDescent="0.25">
      <c r="A1036" s="83"/>
      <c r="B1036" s="7"/>
      <c r="C1036" s="8"/>
      <c r="D1036" s="8"/>
      <c r="E1036" s="60"/>
      <c r="F1036" s="84" t="str">
        <f>IFERROR(VLOOKUP(CONCATENATE($B1036,"_",F$3),materiali!$C:$K,5,0),"")</f>
        <v/>
      </c>
      <c r="G1036" s="85" t="str">
        <f>IFERROR(VLOOKUP(CONCATENATE($B1036,"_",G$3),materiali!$C:$K,6,0),"")</f>
        <v/>
      </c>
      <c r="H1036" s="86"/>
      <c r="I1036" s="84" t="str">
        <f>IFERROR(VLOOKUP(CONCATENATE($B1036,"_",I$3),materiali!$C:$K,5,0),"")</f>
        <v/>
      </c>
      <c r="J1036" s="85" t="str">
        <f>IFERROR(VLOOKUP(CONCATENATE($B1036,"_",J$3),materiali!$C:$K,6,0),"")</f>
        <v/>
      </c>
      <c r="K1036" s="86"/>
      <c r="L1036" s="84" t="str">
        <f>IFERROR(VLOOKUP(CONCATENATE($B1036,"_",L$3),materiali!$C:$K,5,0),"")</f>
        <v/>
      </c>
      <c r="M1036" s="85" t="str">
        <f>IFERROR(VLOOKUP(CONCATENATE($B1036,"_",M$3),materiali!$C:$K,6,0),"")</f>
        <v/>
      </c>
      <c r="N1036" s="86"/>
      <c r="O1036" s="84" t="str">
        <f>IFERROR(VLOOKUP(CONCATENATE($B1036,"_",O$3),materiali!$C:$K,5,0),"")</f>
        <v/>
      </c>
      <c r="P1036" s="85" t="str">
        <f>IFERROR(VLOOKUP(CONCATENATE($B1036,"_",P$3),materiali!$C:$K,6,0),"")</f>
        <v/>
      </c>
      <c r="Q1036" s="86"/>
      <c r="R1036" s="84" t="str">
        <f>IFERROR(VLOOKUP(CONCATENATE($B1036,"_",R$3),materiali!$C:$K,5,0),"")</f>
        <v/>
      </c>
      <c r="S1036" s="85" t="str">
        <f>IFERROR(VLOOKUP(CONCATENATE($B1036,"_",S$3),materiali!$C:$K,6,0),"")</f>
        <v/>
      </c>
      <c r="T1036" s="86"/>
      <c r="U1036" s="31"/>
      <c r="AD1036" s="97"/>
    </row>
    <row r="1037" spans="1:30" ht="35.1" hidden="1" customHeight="1" x14ac:dyDescent="0.25">
      <c r="A1037" s="83"/>
      <c r="B1037" s="7"/>
      <c r="C1037" s="8"/>
      <c r="D1037" s="8"/>
      <c r="E1037" s="60"/>
      <c r="F1037" s="84" t="str">
        <f>IFERROR(VLOOKUP(CONCATENATE($B1037,"_",F$3),materiali!$C:$K,5,0),"")</f>
        <v/>
      </c>
      <c r="G1037" s="85" t="str">
        <f>IFERROR(VLOOKUP(CONCATENATE($B1037,"_",G$3),materiali!$C:$K,6,0),"")</f>
        <v/>
      </c>
      <c r="H1037" s="86"/>
      <c r="I1037" s="84" t="str">
        <f>IFERROR(VLOOKUP(CONCATENATE($B1037,"_",I$3),materiali!$C:$K,5,0),"")</f>
        <v/>
      </c>
      <c r="J1037" s="85" t="str">
        <f>IFERROR(VLOOKUP(CONCATENATE($B1037,"_",J$3),materiali!$C:$K,6,0),"")</f>
        <v/>
      </c>
      <c r="K1037" s="86"/>
      <c r="L1037" s="84" t="str">
        <f>IFERROR(VLOOKUP(CONCATENATE($B1037,"_",L$3),materiali!$C:$K,5,0),"")</f>
        <v/>
      </c>
      <c r="M1037" s="85" t="str">
        <f>IFERROR(VLOOKUP(CONCATENATE($B1037,"_",M$3),materiali!$C:$K,6,0),"")</f>
        <v/>
      </c>
      <c r="N1037" s="86"/>
      <c r="O1037" s="84" t="str">
        <f>IFERROR(VLOOKUP(CONCATENATE($B1037,"_",O$3),materiali!$C:$K,5,0),"")</f>
        <v/>
      </c>
      <c r="P1037" s="85" t="str">
        <f>IFERROR(VLOOKUP(CONCATENATE($B1037,"_",P$3),materiali!$C:$K,6,0),"")</f>
        <v/>
      </c>
      <c r="Q1037" s="86"/>
      <c r="R1037" s="84" t="str">
        <f>IFERROR(VLOOKUP(CONCATENATE($B1037,"_",R$3),materiali!$C:$K,5,0),"")</f>
        <v/>
      </c>
      <c r="S1037" s="85" t="str">
        <f>IFERROR(VLOOKUP(CONCATENATE($B1037,"_",S$3),materiali!$C:$K,6,0),"")</f>
        <v/>
      </c>
      <c r="T1037" s="86"/>
      <c r="U1037" s="31"/>
      <c r="AD1037" s="97"/>
    </row>
    <row r="1038" spans="1:30" ht="35.1" hidden="1" customHeight="1" x14ac:dyDescent="0.25">
      <c r="A1038" s="83"/>
      <c r="B1038" s="7"/>
      <c r="C1038" s="8"/>
      <c r="D1038" s="8"/>
      <c r="E1038" s="60"/>
      <c r="F1038" s="84" t="str">
        <f>IFERROR(VLOOKUP(CONCATENATE($B1038,"_",F$3),materiali!$C:$K,5,0),"")</f>
        <v/>
      </c>
      <c r="G1038" s="85" t="str">
        <f>IFERROR(VLOOKUP(CONCATENATE($B1038,"_",G$3),materiali!$C:$K,6,0),"")</f>
        <v/>
      </c>
      <c r="H1038" s="86"/>
      <c r="I1038" s="84" t="str">
        <f>IFERROR(VLOOKUP(CONCATENATE($B1038,"_",I$3),materiali!$C:$K,5,0),"")</f>
        <v/>
      </c>
      <c r="J1038" s="85" t="str">
        <f>IFERROR(VLOOKUP(CONCATENATE($B1038,"_",J$3),materiali!$C:$K,6,0),"")</f>
        <v/>
      </c>
      <c r="K1038" s="86"/>
      <c r="L1038" s="84" t="str">
        <f>IFERROR(VLOOKUP(CONCATENATE($B1038,"_",L$3),materiali!$C:$K,5,0),"")</f>
        <v/>
      </c>
      <c r="M1038" s="85" t="str">
        <f>IFERROR(VLOOKUP(CONCATENATE($B1038,"_",M$3),materiali!$C:$K,6,0),"")</f>
        <v/>
      </c>
      <c r="N1038" s="86"/>
      <c r="O1038" s="84" t="str">
        <f>IFERROR(VLOOKUP(CONCATENATE($B1038,"_",O$3),materiali!$C:$K,5,0),"")</f>
        <v/>
      </c>
      <c r="P1038" s="85" t="str">
        <f>IFERROR(VLOOKUP(CONCATENATE($B1038,"_",P$3),materiali!$C:$K,6,0),"")</f>
        <v/>
      </c>
      <c r="Q1038" s="86"/>
      <c r="R1038" s="84" t="str">
        <f>IFERROR(VLOOKUP(CONCATENATE($B1038,"_",R$3),materiali!$C:$K,5,0),"")</f>
        <v/>
      </c>
      <c r="S1038" s="85" t="str">
        <f>IFERROR(VLOOKUP(CONCATENATE($B1038,"_",S$3),materiali!$C:$K,6,0),"")</f>
        <v/>
      </c>
      <c r="T1038" s="86"/>
      <c r="U1038" s="31"/>
      <c r="AD1038" s="97"/>
    </row>
    <row r="1039" spans="1:30" ht="35.1" hidden="1" customHeight="1" x14ac:dyDescent="0.25">
      <c r="A1039" s="83"/>
      <c r="B1039" s="7"/>
      <c r="C1039" s="8"/>
      <c r="D1039" s="8"/>
      <c r="E1039" s="60"/>
      <c r="F1039" s="84" t="str">
        <f>IFERROR(VLOOKUP(CONCATENATE($B1039,"_",F$3),materiali!$C:$K,5,0),"")</f>
        <v/>
      </c>
      <c r="G1039" s="85" t="str">
        <f>IFERROR(VLOOKUP(CONCATENATE($B1039,"_",G$3),materiali!$C:$K,6,0),"")</f>
        <v/>
      </c>
      <c r="H1039" s="86"/>
      <c r="I1039" s="84" t="str">
        <f>IFERROR(VLOOKUP(CONCATENATE($B1039,"_",I$3),materiali!$C:$K,5,0),"")</f>
        <v/>
      </c>
      <c r="J1039" s="85" t="str">
        <f>IFERROR(VLOOKUP(CONCATENATE($B1039,"_",J$3),materiali!$C:$K,6,0),"")</f>
        <v/>
      </c>
      <c r="K1039" s="86"/>
      <c r="L1039" s="84" t="str">
        <f>IFERROR(VLOOKUP(CONCATENATE($B1039,"_",L$3),materiali!$C:$K,5,0),"")</f>
        <v/>
      </c>
      <c r="M1039" s="85" t="str">
        <f>IFERROR(VLOOKUP(CONCATENATE($B1039,"_",M$3),materiali!$C:$K,6,0),"")</f>
        <v/>
      </c>
      <c r="N1039" s="86"/>
      <c r="O1039" s="84" t="str">
        <f>IFERROR(VLOOKUP(CONCATENATE($B1039,"_",O$3),materiali!$C:$K,5,0),"")</f>
        <v/>
      </c>
      <c r="P1039" s="85" t="str">
        <f>IFERROR(VLOOKUP(CONCATENATE($B1039,"_",P$3),materiali!$C:$K,6,0),"")</f>
        <v/>
      </c>
      <c r="Q1039" s="86"/>
      <c r="R1039" s="84" t="str">
        <f>IFERROR(VLOOKUP(CONCATENATE($B1039,"_",R$3),materiali!$C:$K,5,0),"")</f>
        <v/>
      </c>
      <c r="S1039" s="85" t="str">
        <f>IFERROR(VLOOKUP(CONCATENATE($B1039,"_",S$3),materiali!$C:$K,6,0),"")</f>
        <v/>
      </c>
      <c r="T1039" s="86"/>
      <c r="U1039" s="31"/>
      <c r="AD1039" s="97"/>
    </row>
    <row r="1040" spans="1:30" ht="35.1" hidden="1" customHeight="1" x14ac:dyDescent="0.25">
      <c r="A1040" s="83"/>
      <c r="B1040" s="7"/>
      <c r="C1040" s="8"/>
      <c r="D1040" s="8"/>
      <c r="E1040" s="60"/>
      <c r="F1040" s="84" t="str">
        <f>IFERROR(VLOOKUP(CONCATENATE($B1040,"_",F$3),materiali!$C:$K,5,0),"")</f>
        <v/>
      </c>
      <c r="G1040" s="85" t="str">
        <f>IFERROR(VLOOKUP(CONCATENATE($B1040,"_",G$3),materiali!$C:$K,6,0),"")</f>
        <v/>
      </c>
      <c r="H1040" s="86"/>
      <c r="I1040" s="84" t="str">
        <f>IFERROR(VLOOKUP(CONCATENATE($B1040,"_",I$3),materiali!$C:$K,5,0),"")</f>
        <v/>
      </c>
      <c r="J1040" s="85" t="str">
        <f>IFERROR(VLOOKUP(CONCATENATE($B1040,"_",J$3),materiali!$C:$K,6,0),"")</f>
        <v/>
      </c>
      <c r="K1040" s="86"/>
      <c r="L1040" s="84" t="str">
        <f>IFERROR(VLOOKUP(CONCATENATE($B1040,"_",L$3),materiali!$C:$K,5,0),"")</f>
        <v/>
      </c>
      <c r="M1040" s="85" t="str">
        <f>IFERROR(VLOOKUP(CONCATENATE($B1040,"_",M$3),materiali!$C:$K,6,0),"")</f>
        <v/>
      </c>
      <c r="N1040" s="86"/>
      <c r="O1040" s="84" t="str">
        <f>IFERROR(VLOOKUP(CONCATENATE($B1040,"_",O$3),materiali!$C:$K,5,0),"")</f>
        <v/>
      </c>
      <c r="P1040" s="85" t="str">
        <f>IFERROR(VLOOKUP(CONCATENATE($B1040,"_",P$3),materiali!$C:$K,6,0),"")</f>
        <v/>
      </c>
      <c r="Q1040" s="86"/>
      <c r="R1040" s="84" t="str">
        <f>IFERROR(VLOOKUP(CONCATENATE($B1040,"_",R$3),materiali!$C:$K,5,0),"")</f>
        <v/>
      </c>
      <c r="S1040" s="85" t="str">
        <f>IFERROR(VLOOKUP(CONCATENATE($B1040,"_",S$3),materiali!$C:$K,6,0),"")</f>
        <v/>
      </c>
      <c r="T1040" s="86"/>
      <c r="U1040" s="31"/>
      <c r="AD1040" s="97"/>
    </row>
    <row r="1041" spans="1:30" ht="35.1" hidden="1" customHeight="1" x14ac:dyDescent="0.25">
      <c r="A1041" s="83"/>
      <c r="B1041" s="7"/>
      <c r="C1041" s="8"/>
      <c r="D1041" s="8"/>
      <c r="E1041" s="60"/>
      <c r="F1041" s="84" t="str">
        <f>IFERROR(VLOOKUP(CONCATENATE($B1041,"_",F$3),materiali!$C:$K,5,0),"")</f>
        <v/>
      </c>
      <c r="G1041" s="85" t="str">
        <f>IFERROR(VLOOKUP(CONCATENATE($B1041,"_",G$3),materiali!$C:$K,6,0),"")</f>
        <v/>
      </c>
      <c r="H1041" s="86"/>
      <c r="I1041" s="84" t="str">
        <f>IFERROR(VLOOKUP(CONCATENATE($B1041,"_",I$3),materiali!$C:$K,5,0),"")</f>
        <v/>
      </c>
      <c r="J1041" s="85" t="str">
        <f>IFERROR(VLOOKUP(CONCATENATE($B1041,"_",J$3),materiali!$C:$K,6,0),"")</f>
        <v/>
      </c>
      <c r="K1041" s="86"/>
      <c r="L1041" s="84" t="str">
        <f>IFERROR(VLOOKUP(CONCATENATE($B1041,"_",L$3),materiali!$C:$K,5,0),"")</f>
        <v/>
      </c>
      <c r="M1041" s="85" t="str">
        <f>IFERROR(VLOOKUP(CONCATENATE($B1041,"_",M$3),materiali!$C:$K,6,0),"")</f>
        <v/>
      </c>
      <c r="N1041" s="86"/>
      <c r="O1041" s="84" t="str">
        <f>IFERROR(VLOOKUP(CONCATENATE($B1041,"_",O$3),materiali!$C:$K,5,0),"")</f>
        <v/>
      </c>
      <c r="P1041" s="85" t="str">
        <f>IFERROR(VLOOKUP(CONCATENATE($B1041,"_",P$3),materiali!$C:$K,6,0),"")</f>
        <v/>
      </c>
      <c r="Q1041" s="86"/>
      <c r="R1041" s="84" t="str">
        <f>IFERROR(VLOOKUP(CONCATENATE($B1041,"_",R$3),materiali!$C:$K,5,0),"")</f>
        <v/>
      </c>
      <c r="S1041" s="85" t="str">
        <f>IFERROR(VLOOKUP(CONCATENATE($B1041,"_",S$3),materiali!$C:$K,6,0),"")</f>
        <v/>
      </c>
      <c r="T1041" s="86"/>
      <c r="U1041" s="31"/>
      <c r="AD1041" s="97"/>
    </row>
    <row r="1042" spans="1:30" ht="35.1" hidden="1" customHeight="1" x14ac:dyDescent="0.25">
      <c r="A1042" s="83"/>
      <c r="B1042" s="7"/>
      <c r="C1042" s="8"/>
      <c r="D1042" s="8"/>
      <c r="E1042" s="60"/>
      <c r="F1042" s="84" t="str">
        <f>IFERROR(VLOOKUP(CONCATENATE($B1042,"_",F$3),materiali!$C:$K,5,0),"")</f>
        <v/>
      </c>
      <c r="G1042" s="85" t="str">
        <f>IFERROR(VLOOKUP(CONCATENATE($B1042,"_",G$3),materiali!$C:$K,6,0),"")</f>
        <v/>
      </c>
      <c r="H1042" s="86"/>
      <c r="I1042" s="84" t="str">
        <f>IFERROR(VLOOKUP(CONCATENATE($B1042,"_",I$3),materiali!$C:$K,5,0),"")</f>
        <v/>
      </c>
      <c r="J1042" s="85" t="str">
        <f>IFERROR(VLOOKUP(CONCATENATE($B1042,"_",J$3),materiali!$C:$K,6,0),"")</f>
        <v/>
      </c>
      <c r="K1042" s="86"/>
      <c r="L1042" s="84" t="str">
        <f>IFERROR(VLOOKUP(CONCATENATE($B1042,"_",L$3),materiali!$C:$K,5,0),"")</f>
        <v/>
      </c>
      <c r="M1042" s="85" t="str">
        <f>IFERROR(VLOOKUP(CONCATENATE($B1042,"_",M$3),materiali!$C:$K,6,0),"")</f>
        <v/>
      </c>
      <c r="N1042" s="86"/>
      <c r="O1042" s="84" t="str">
        <f>IFERROR(VLOOKUP(CONCATENATE($B1042,"_",O$3),materiali!$C:$K,5,0),"")</f>
        <v/>
      </c>
      <c r="P1042" s="85" t="str">
        <f>IFERROR(VLOOKUP(CONCATENATE($B1042,"_",P$3),materiali!$C:$K,6,0),"")</f>
        <v/>
      </c>
      <c r="Q1042" s="86"/>
      <c r="R1042" s="84" t="str">
        <f>IFERROR(VLOOKUP(CONCATENATE($B1042,"_",R$3),materiali!$C:$K,5,0),"")</f>
        <v/>
      </c>
      <c r="S1042" s="85" t="str">
        <f>IFERROR(VLOOKUP(CONCATENATE($B1042,"_",S$3),materiali!$C:$K,6,0),"")</f>
        <v/>
      </c>
      <c r="T1042" s="86"/>
      <c r="U1042" s="31"/>
      <c r="AD1042" s="97"/>
    </row>
    <row r="1043" spans="1:30" ht="35.1" hidden="1" customHeight="1" x14ac:dyDescent="0.25">
      <c r="A1043" s="83"/>
      <c r="B1043" s="7"/>
      <c r="C1043" s="8"/>
      <c r="D1043" s="8"/>
      <c r="E1043" s="60"/>
      <c r="F1043" s="84" t="str">
        <f>IFERROR(VLOOKUP(CONCATENATE($B1043,"_",F$3),materiali!$C:$K,5,0),"")</f>
        <v/>
      </c>
      <c r="G1043" s="85" t="str">
        <f>IFERROR(VLOOKUP(CONCATENATE($B1043,"_",G$3),materiali!$C:$K,6,0),"")</f>
        <v/>
      </c>
      <c r="H1043" s="86"/>
      <c r="I1043" s="84" t="str">
        <f>IFERROR(VLOOKUP(CONCATENATE($B1043,"_",I$3),materiali!$C:$K,5,0),"")</f>
        <v/>
      </c>
      <c r="J1043" s="85" t="str">
        <f>IFERROR(VLOOKUP(CONCATENATE($B1043,"_",J$3),materiali!$C:$K,6,0),"")</f>
        <v/>
      </c>
      <c r="K1043" s="86"/>
      <c r="L1043" s="84" t="str">
        <f>IFERROR(VLOOKUP(CONCATENATE($B1043,"_",L$3),materiali!$C:$K,5,0),"")</f>
        <v/>
      </c>
      <c r="M1043" s="85" t="str">
        <f>IFERROR(VLOOKUP(CONCATENATE($B1043,"_",M$3),materiali!$C:$K,6,0),"")</f>
        <v/>
      </c>
      <c r="N1043" s="86"/>
      <c r="O1043" s="84" t="str">
        <f>IFERROR(VLOOKUP(CONCATENATE($B1043,"_",O$3),materiali!$C:$K,5,0),"")</f>
        <v/>
      </c>
      <c r="P1043" s="85" t="str">
        <f>IFERROR(VLOOKUP(CONCATENATE($B1043,"_",P$3),materiali!$C:$K,6,0),"")</f>
        <v/>
      </c>
      <c r="Q1043" s="86"/>
      <c r="R1043" s="84" t="str">
        <f>IFERROR(VLOOKUP(CONCATENATE($B1043,"_",R$3),materiali!$C:$K,5,0),"")</f>
        <v/>
      </c>
      <c r="S1043" s="85" t="str">
        <f>IFERROR(VLOOKUP(CONCATENATE($B1043,"_",S$3),materiali!$C:$K,6,0),"")</f>
        <v/>
      </c>
      <c r="T1043" s="86"/>
      <c r="U1043" s="31"/>
      <c r="AD1043" s="97"/>
    </row>
    <row r="1044" spans="1:30" ht="35.1" hidden="1" customHeight="1" x14ac:dyDescent="0.25">
      <c r="A1044" s="83"/>
      <c r="B1044" s="7"/>
      <c r="C1044" s="8"/>
      <c r="D1044" s="8"/>
      <c r="E1044" s="60"/>
      <c r="F1044" s="84" t="str">
        <f>IFERROR(VLOOKUP(CONCATENATE($B1044,"_",F$3),materiali!$C:$K,5,0),"")</f>
        <v/>
      </c>
      <c r="G1044" s="85" t="str">
        <f>IFERROR(VLOOKUP(CONCATENATE($B1044,"_",G$3),materiali!$C:$K,6,0),"")</f>
        <v/>
      </c>
      <c r="H1044" s="86"/>
      <c r="I1044" s="84" t="str">
        <f>IFERROR(VLOOKUP(CONCATENATE($B1044,"_",I$3),materiali!$C:$K,5,0),"")</f>
        <v/>
      </c>
      <c r="J1044" s="85" t="str">
        <f>IFERROR(VLOOKUP(CONCATENATE($B1044,"_",J$3),materiali!$C:$K,6,0),"")</f>
        <v/>
      </c>
      <c r="K1044" s="86"/>
      <c r="L1044" s="84" t="str">
        <f>IFERROR(VLOOKUP(CONCATENATE($B1044,"_",L$3),materiali!$C:$K,5,0),"")</f>
        <v/>
      </c>
      <c r="M1044" s="85" t="str">
        <f>IFERROR(VLOOKUP(CONCATENATE($B1044,"_",M$3),materiali!$C:$K,6,0),"")</f>
        <v/>
      </c>
      <c r="N1044" s="86"/>
      <c r="O1044" s="84" t="str">
        <f>IFERROR(VLOOKUP(CONCATENATE($B1044,"_",O$3),materiali!$C:$K,5,0),"")</f>
        <v/>
      </c>
      <c r="P1044" s="85" t="str">
        <f>IFERROR(VLOOKUP(CONCATENATE($B1044,"_",P$3),materiali!$C:$K,6,0),"")</f>
        <v/>
      </c>
      <c r="Q1044" s="86"/>
      <c r="R1044" s="84" t="str">
        <f>IFERROR(VLOOKUP(CONCATENATE($B1044,"_",R$3),materiali!$C:$K,5,0),"")</f>
        <v/>
      </c>
      <c r="S1044" s="85" t="str">
        <f>IFERROR(VLOOKUP(CONCATENATE($B1044,"_",S$3),materiali!$C:$K,6,0),"")</f>
        <v/>
      </c>
      <c r="T1044" s="86"/>
      <c r="U1044" s="31"/>
      <c r="AD1044" s="97"/>
    </row>
    <row r="1045" spans="1:30" ht="35.1" hidden="1" customHeight="1" x14ac:dyDescent="0.25">
      <c r="A1045" s="83"/>
      <c r="B1045" s="7"/>
      <c r="C1045" s="8"/>
      <c r="D1045" s="8"/>
      <c r="E1045" s="60"/>
      <c r="F1045" s="84" t="str">
        <f>IFERROR(VLOOKUP(CONCATENATE($B1045,"_",F$3),materiali!$C:$K,5,0),"")</f>
        <v/>
      </c>
      <c r="G1045" s="85" t="str">
        <f>IFERROR(VLOOKUP(CONCATENATE($B1045,"_",G$3),materiali!$C:$K,6,0),"")</f>
        <v/>
      </c>
      <c r="H1045" s="86"/>
      <c r="I1045" s="84" t="str">
        <f>IFERROR(VLOOKUP(CONCATENATE($B1045,"_",I$3),materiali!$C:$K,5,0),"")</f>
        <v/>
      </c>
      <c r="J1045" s="85" t="str">
        <f>IFERROR(VLOOKUP(CONCATENATE($B1045,"_",J$3),materiali!$C:$K,6,0),"")</f>
        <v/>
      </c>
      <c r="K1045" s="86"/>
      <c r="L1045" s="84" t="str">
        <f>IFERROR(VLOOKUP(CONCATENATE($B1045,"_",L$3),materiali!$C:$K,5,0),"")</f>
        <v/>
      </c>
      <c r="M1045" s="85" t="str">
        <f>IFERROR(VLOOKUP(CONCATENATE($B1045,"_",M$3),materiali!$C:$K,6,0),"")</f>
        <v/>
      </c>
      <c r="N1045" s="86"/>
      <c r="O1045" s="84" t="str">
        <f>IFERROR(VLOOKUP(CONCATENATE($B1045,"_",O$3),materiali!$C:$K,5,0),"")</f>
        <v/>
      </c>
      <c r="P1045" s="85" t="str">
        <f>IFERROR(VLOOKUP(CONCATENATE($B1045,"_",P$3),materiali!$C:$K,6,0),"")</f>
        <v/>
      </c>
      <c r="Q1045" s="86"/>
      <c r="R1045" s="84" t="str">
        <f>IFERROR(VLOOKUP(CONCATENATE($B1045,"_",R$3),materiali!$C:$K,5,0),"")</f>
        <v/>
      </c>
      <c r="S1045" s="85" t="str">
        <f>IFERROR(VLOOKUP(CONCATENATE($B1045,"_",S$3),materiali!$C:$K,6,0),"")</f>
        <v/>
      </c>
      <c r="T1045" s="86"/>
      <c r="U1045" s="31"/>
      <c r="AD1045" s="97"/>
    </row>
    <row r="1046" spans="1:30" ht="35.1" hidden="1" customHeight="1" x14ac:dyDescent="0.25">
      <c r="A1046" s="83"/>
      <c r="B1046" s="7"/>
      <c r="C1046" s="8"/>
      <c r="D1046" s="8"/>
      <c r="E1046" s="60"/>
      <c r="F1046" s="84" t="str">
        <f>IFERROR(VLOOKUP(CONCATENATE($B1046,"_",F$3),materiali!$C:$K,5,0),"")</f>
        <v/>
      </c>
      <c r="G1046" s="85" t="str">
        <f>IFERROR(VLOOKUP(CONCATENATE($B1046,"_",G$3),materiali!$C:$K,6,0),"")</f>
        <v/>
      </c>
      <c r="H1046" s="86"/>
      <c r="I1046" s="84" t="str">
        <f>IFERROR(VLOOKUP(CONCATENATE($B1046,"_",I$3),materiali!$C:$K,5,0),"")</f>
        <v/>
      </c>
      <c r="J1046" s="85" t="str">
        <f>IFERROR(VLOOKUP(CONCATENATE($B1046,"_",J$3),materiali!$C:$K,6,0),"")</f>
        <v/>
      </c>
      <c r="K1046" s="86"/>
      <c r="L1046" s="84" t="str">
        <f>IFERROR(VLOOKUP(CONCATENATE($B1046,"_",L$3),materiali!$C:$K,5,0),"")</f>
        <v/>
      </c>
      <c r="M1046" s="85" t="str">
        <f>IFERROR(VLOOKUP(CONCATENATE($B1046,"_",M$3),materiali!$C:$K,6,0),"")</f>
        <v/>
      </c>
      <c r="N1046" s="86"/>
      <c r="O1046" s="84" t="str">
        <f>IFERROR(VLOOKUP(CONCATENATE($B1046,"_",O$3),materiali!$C:$K,5,0),"")</f>
        <v/>
      </c>
      <c r="P1046" s="85" t="str">
        <f>IFERROR(VLOOKUP(CONCATENATE($B1046,"_",P$3),materiali!$C:$K,6,0),"")</f>
        <v/>
      </c>
      <c r="Q1046" s="86"/>
      <c r="R1046" s="84" t="str">
        <f>IFERROR(VLOOKUP(CONCATENATE($B1046,"_",R$3),materiali!$C:$K,5,0),"")</f>
        <v/>
      </c>
      <c r="S1046" s="85" t="str">
        <f>IFERROR(VLOOKUP(CONCATENATE($B1046,"_",S$3),materiali!$C:$K,6,0),"")</f>
        <v/>
      </c>
      <c r="T1046" s="86"/>
      <c r="U1046" s="31"/>
      <c r="AD1046" s="97"/>
    </row>
    <row r="1047" spans="1:30" ht="35.1" hidden="1" customHeight="1" x14ac:dyDescent="0.25">
      <c r="A1047" s="83"/>
      <c r="B1047" s="7"/>
      <c r="C1047" s="8"/>
      <c r="D1047" s="8"/>
      <c r="E1047" s="60"/>
      <c r="F1047" s="84" t="str">
        <f>IFERROR(VLOOKUP(CONCATENATE($B1047,"_",F$3),materiali!$C:$K,5,0),"")</f>
        <v/>
      </c>
      <c r="G1047" s="85" t="str">
        <f>IFERROR(VLOOKUP(CONCATENATE($B1047,"_",G$3),materiali!$C:$K,6,0),"")</f>
        <v/>
      </c>
      <c r="H1047" s="86"/>
      <c r="I1047" s="84" t="str">
        <f>IFERROR(VLOOKUP(CONCATENATE($B1047,"_",I$3),materiali!$C:$K,5,0),"")</f>
        <v/>
      </c>
      <c r="J1047" s="85" t="str">
        <f>IFERROR(VLOOKUP(CONCATENATE($B1047,"_",J$3),materiali!$C:$K,6,0),"")</f>
        <v/>
      </c>
      <c r="K1047" s="86"/>
      <c r="L1047" s="84" t="str">
        <f>IFERROR(VLOOKUP(CONCATENATE($B1047,"_",L$3),materiali!$C:$K,5,0),"")</f>
        <v/>
      </c>
      <c r="M1047" s="85" t="str">
        <f>IFERROR(VLOOKUP(CONCATENATE($B1047,"_",M$3),materiali!$C:$K,6,0),"")</f>
        <v/>
      </c>
      <c r="N1047" s="86"/>
      <c r="O1047" s="84" t="str">
        <f>IFERROR(VLOOKUP(CONCATENATE($B1047,"_",O$3),materiali!$C:$K,5,0),"")</f>
        <v/>
      </c>
      <c r="P1047" s="85" t="str">
        <f>IFERROR(VLOOKUP(CONCATENATE($B1047,"_",P$3),materiali!$C:$K,6,0),"")</f>
        <v/>
      </c>
      <c r="Q1047" s="86"/>
      <c r="R1047" s="84" t="str">
        <f>IFERROR(VLOOKUP(CONCATENATE($B1047,"_",R$3),materiali!$C:$K,5,0),"")</f>
        <v/>
      </c>
      <c r="S1047" s="85" t="str">
        <f>IFERROR(VLOOKUP(CONCATENATE($B1047,"_",S$3),materiali!$C:$K,6,0),"")</f>
        <v/>
      </c>
      <c r="T1047" s="86"/>
      <c r="U1047" s="31"/>
      <c r="AD1047" s="97"/>
    </row>
    <row r="1048" spans="1:30" ht="35.1" hidden="1" customHeight="1" x14ac:dyDescent="0.25">
      <c r="A1048" s="83"/>
      <c r="B1048" s="7"/>
      <c r="C1048" s="8"/>
      <c r="D1048" s="8"/>
      <c r="E1048" s="60"/>
      <c r="F1048" s="84" t="str">
        <f>IFERROR(VLOOKUP(CONCATENATE($B1048,"_",F$3),materiali!$C:$K,5,0),"")</f>
        <v/>
      </c>
      <c r="G1048" s="85" t="str">
        <f>IFERROR(VLOOKUP(CONCATENATE($B1048,"_",G$3),materiali!$C:$K,6,0),"")</f>
        <v/>
      </c>
      <c r="H1048" s="86"/>
      <c r="I1048" s="84" t="str">
        <f>IFERROR(VLOOKUP(CONCATENATE($B1048,"_",I$3),materiali!$C:$K,5,0),"")</f>
        <v/>
      </c>
      <c r="J1048" s="85" t="str">
        <f>IFERROR(VLOOKUP(CONCATENATE($B1048,"_",J$3),materiali!$C:$K,6,0),"")</f>
        <v/>
      </c>
      <c r="K1048" s="86"/>
      <c r="L1048" s="84" t="str">
        <f>IFERROR(VLOOKUP(CONCATENATE($B1048,"_",L$3),materiali!$C:$K,5,0),"")</f>
        <v/>
      </c>
      <c r="M1048" s="85" t="str">
        <f>IFERROR(VLOOKUP(CONCATENATE($B1048,"_",M$3),materiali!$C:$K,6,0),"")</f>
        <v/>
      </c>
      <c r="N1048" s="86"/>
      <c r="O1048" s="84" t="str">
        <f>IFERROR(VLOOKUP(CONCATENATE($B1048,"_",O$3),materiali!$C:$K,5,0),"")</f>
        <v/>
      </c>
      <c r="P1048" s="85" t="str">
        <f>IFERROR(VLOOKUP(CONCATENATE($B1048,"_",P$3),materiali!$C:$K,6,0),"")</f>
        <v/>
      </c>
      <c r="Q1048" s="86"/>
      <c r="R1048" s="84" t="str">
        <f>IFERROR(VLOOKUP(CONCATENATE($B1048,"_",R$3),materiali!$C:$K,5,0),"")</f>
        <v/>
      </c>
      <c r="S1048" s="85" t="str">
        <f>IFERROR(VLOOKUP(CONCATENATE($B1048,"_",S$3),materiali!$C:$K,6,0),"")</f>
        <v/>
      </c>
      <c r="T1048" s="86"/>
      <c r="U1048" s="31"/>
      <c r="AD1048" s="97"/>
    </row>
    <row r="1049" spans="1:30" ht="35.1" hidden="1" customHeight="1" x14ac:dyDescent="0.25">
      <c r="A1049" s="83"/>
      <c r="B1049" s="7"/>
      <c r="C1049" s="8"/>
      <c r="D1049" s="8"/>
      <c r="E1049" s="60"/>
      <c r="F1049" s="84" t="str">
        <f>IFERROR(VLOOKUP(CONCATENATE($B1049,"_",F$3),materiali!$C:$K,5,0),"")</f>
        <v/>
      </c>
      <c r="G1049" s="85" t="str">
        <f>IFERROR(VLOOKUP(CONCATENATE($B1049,"_",G$3),materiali!$C:$K,6,0),"")</f>
        <v/>
      </c>
      <c r="H1049" s="86"/>
      <c r="I1049" s="84" t="str">
        <f>IFERROR(VLOOKUP(CONCATENATE($B1049,"_",I$3),materiali!$C:$K,5,0),"")</f>
        <v/>
      </c>
      <c r="J1049" s="85" t="str">
        <f>IFERROR(VLOOKUP(CONCATENATE($B1049,"_",J$3),materiali!$C:$K,6,0),"")</f>
        <v/>
      </c>
      <c r="K1049" s="86"/>
      <c r="L1049" s="84" t="str">
        <f>IFERROR(VLOOKUP(CONCATENATE($B1049,"_",L$3),materiali!$C:$K,5,0),"")</f>
        <v/>
      </c>
      <c r="M1049" s="85" t="str">
        <f>IFERROR(VLOOKUP(CONCATENATE($B1049,"_",M$3),materiali!$C:$K,6,0),"")</f>
        <v/>
      </c>
      <c r="N1049" s="86"/>
      <c r="O1049" s="84" t="str">
        <f>IFERROR(VLOOKUP(CONCATENATE($B1049,"_",O$3),materiali!$C:$K,5,0),"")</f>
        <v/>
      </c>
      <c r="P1049" s="85" t="str">
        <f>IFERROR(VLOOKUP(CONCATENATE($B1049,"_",P$3),materiali!$C:$K,6,0),"")</f>
        <v/>
      </c>
      <c r="Q1049" s="86"/>
      <c r="R1049" s="84" t="str">
        <f>IFERROR(VLOOKUP(CONCATENATE($B1049,"_",R$3),materiali!$C:$K,5,0),"")</f>
        <v/>
      </c>
      <c r="S1049" s="85" t="str">
        <f>IFERROR(VLOOKUP(CONCATENATE($B1049,"_",S$3),materiali!$C:$K,6,0),"")</f>
        <v/>
      </c>
      <c r="T1049" s="86"/>
      <c r="U1049" s="31"/>
      <c r="AD1049" s="97"/>
    </row>
    <row r="1050" spans="1:30" ht="35.1" hidden="1" customHeight="1" x14ac:dyDescent="0.25">
      <c r="A1050" s="83"/>
      <c r="B1050" s="7"/>
      <c r="C1050" s="8"/>
      <c r="D1050" s="8"/>
      <c r="E1050" s="60"/>
      <c r="F1050" s="84" t="str">
        <f>IFERROR(VLOOKUP(CONCATENATE($B1050,"_",F$3),materiali!$C:$K,5,0),"")</f>
        <v/>
      </c>
      <c r="G1050" s="85" t="str">
        <f>IFERROR(VLOOKUP(CONCATENATE($B1050,"_",G$3),materiali!$C:$K,6,0),"")</f>
        <v/>
      </c>
      <c r="H1050" s="86"/>
      <c r="I1050" s="84" t="str">
        <f>IFERROR(VLOOKUP(CONCATENATE($B1050,"_",I$3),materiali!$C:$K,5,0),"")</f>
        <v/>
      </c>
      <c r="J1050" s="85" t="str">
        <f>IFERROR(VLOOKUP(CONCATENATE($B1050,"_",J$3),materiali!$C:$K,6,0),"")</f>
        <v/>
      </c>
      <c r="K1050" s="86"/>
      <c r="L1050" s="84" t="str">
        <f>IFERROR(VLOOKUP(CONCATENATE($B1050,"_",L$3),materiali!$C:$K,5,0),"")</f>
        <v/>
      </c>
      <c r="M1050" s="85" t="str">
        <f>IFERROR(VLOOKUP(CONCATENATE($B1050,"_",M$3),materiali!$C:$K,6,0),"")</f>
        <v/>
      </c>
      <c r="N1050" s="86"/>
      <c r="O1050" s="84" t="str">
        <f>IFERROR(VLOOKUP(CONCATENATE($B1050,"_",O$3),materiali!$C:$K,5,0),"")</f>
        <v/>
      </c>
      <c r="P1050" s="85" t="str">
        <f>IFERROR(VLOOKUP(CONCATENATE($B1050,"_",P$3),materiali!$C:$K,6,0),"")</f>
        <v/>
      </c>
      <c r="Q1050" s="86"/>
      <c r="R1050" s="84" t="str">
        <f>IFERROR(VLOOKUP(CONCATENATE($B1050,"_",R$3),materiali!$C:$K,5,0),"")</f>
        <v/>
      </c>
      <c r="S1050" s="85" t="str">
        <f>IFERROR(VLOOKUP(CONCATENATE($B1050,"_",S$3),materiali!$C:$K,6,0),"")</f>
        <v/>
      </c>
      <c r="T1050" s="86"/>
      <c r="U1050" s="31"/>
      <c r="AD1050" s="97"/>
    </row>
    <row r="1051" spans="1:30" ht="35.1" hidden="1" customHeight="1" x14ac:dyDescent="0.25">
      <c r="A1051" s="83"/>
      <c r="B1051" s="7"/>
      <c r="C1051" s="8"/>
      <c r="D1051" s="8"/>
      <c r="E1051" s="60"/>
      <c r="F1051" s="84" t="str">
        <f>IFERROR(VLOOKUP(CONCATENATE($B1051,"_",F$3),materiali!$C:$K,5,0),"")</f>
        <v/>
      </c>
      <c r="G1051" s="85" t="str">
        <f>IFERROR(VLOOKUP(CONCATENATE($B1051,"_",G$3),materiali!$C:$K,6,0),"")</f>
        <v/>
      </c>
      <c r="H1051" s="86"/>
      <c r="I1051" s="84" t="str">
        <f>IFERROR(VLOOKUP(CONCATENATE($B1051,"_",I$3),materiali!$C:$K,5,0),"")</f>
        <v/>
      </c>
      <c r="J1051" s="85" t="str">
        <f>IFERROR(VLOOKUP(CONCATENATE($B1051,"_",J$3),materiali!$C:$K,6,0),"")</f>
        <v/>
      </c>
      <c r="K1051" s="86"/>
      <c r="L1051" s="84" t="str">
        <f>IFERROR(VLOOKUP(CONCATENATE($B1051,"_",L$3),materiali!$C:$K,5,0),"")</f>
        <v/>
      </c>
      <c r="M1051" s="85" t="str">
        <f>IFERROR(VLOOKUP(CONCATENATE($B1051,"_",M$3),materiali!$C:$K,6,0),"")</f>
        <v/>
      </c>
      <c r="N1051" s="86"/>
      <c r="O1051" s="84" t="str">
        <f>IFERROR(VLOOKUP(CONCATENATE($B1051,"_",O$3),materiali!$C:$K,5,0),"")</f>
        <v/>
      </c>
      <c r="P1051" s="85" t="str">
        <f>IFERROR(VLOOKUP(CONCATENATE($B1051,"_",P$3),materiali!$C:$K,6,0),"")</f>
        <v/>
      </c>
      <c r="Q1051" s="86"/>
      <c r="R1051" s="84" t="str">
        <f>IFERROR(VLOOKUP(CONCATENATE($B1051,"_",R$3),materiali!$C:$K,5,0),"")</f>
        <v/>
      </c>
      <c r="S1051" s="85" t="str">
        <f>IFERROR(VLOOKUP(CONCATENATE($B1051,"_",S$3),materiali!$C:$K,6,0),"")</f>
        <v/>
      </c>
      <c r="T1051" s="86"/>
      <c r="U1051" s="31"/>
      <c r="AD1051" s="97"/>
    </row>
    <row r="1052" spans="1:30" ht="35.1" hidden="1" customHeight="1" x14ac:dyDescent="0.25">
      <c r="A1052" s="83"/>
      <c r="B1052" s="7"/>
      <c r="C1052" s="8"/>
      <c r="D1052" s="8"/>
      <c r="E1052" s="60"/>
      <c r="F1052" s="84" t="str">
        <f>IFERROR(VLOOKUP(CONCATENATE($B1052,"_",F$3),materiali!$C:$K,5,0),"")</f>
        <v/>
      </c>
      <c r="G1052" s="85" t="str">
        <f>IFERROR(VLOOKUP(CONCATENATE($B1052,"_",G$3),materiali!$C:$K,6,0),"")</f>
        <v/>
      </c>
      <c r="H1052" s="86"/>
      <c r="I1052" s="84" t="str">
        <f>IFERROR(VLOOKUP(CONCATENATE($B1052,"_",I$3),materiali!$C:$K,5,0),"")</f>
        <v/>
      </c>
      <c r="J1052" s="85" t="str">
        <f>IFERROR(VLOOKUP(CONCATENATE($B1052,"_",J$3),materiali!$C:$K,6,0),"")</f>
        <v/>
      </c>
      <c r="K1052" s="86"/>
      <c r="L1052" s="84" t="str">
        <f>IFERROR(VLOOKUP(CONCATENATE($B1052,"_",L$3),materiali!$C:$K,5,0),"")</f>
        <v/>
      </c>
      <c r="M1052" s="85" t="str">
        <f>IFERROR(VLOOKUP(CONCATENATE($B1052,"_",M$3),materiali!$C:$K,6,0),"")</f>
        <v/>
      </c>
      <c r="N1052" s="86"/>
      <c r="O1052" s="84" t="str">
        <f>IFERROR(VLOOKUP(CONCATENATE($B1052,"_",O$3),materiali!$C:$K,5,0),"")</f>
        <v/>
      </c>
      <c r="P1052" s="85" t="str">
        <f>IFERROR(VLOOKUP(CONCATENATE($B1052,"_",P$3),materiali!$C:$K,6,0),"")</f>
        <v/>
      </c>
      <c r="Q1052" s="86"/>
      <c r="R1052" s="84" t="str">
        <f>IFERROR(VLOOKUP(CONCATENATE($B1052,"_",R$3),materiali!$C:$K,5,0),"")</f>
        <v/>
      </c>
      <c r="S1052" s="85" t="str">
        <f>IFERROR(VLOOKUP(CONCATENATE($B1052,"_",S$3),materiali!$C:$K,6,0),"")</f>
        <v/>
      </c>
      <c r="T1052" s="86"/>
      <c r="U1052" s="31"/>
      <c r="AD1052" s="97"/>
    </row>
    <row r="1053" spans="1:30" ht="35.1" hidden="1" customHeight="1" x14ac:dyDescent="0.25">
      <c r="A1053" s="83"/>
      <c r="B1053" s="7"/>
      <c r="C1053" s="8"/>
      <c r="D1053" s="8"/>
      <c r="E1053" s="60"/>
      <c r="F1053" s="84" t="str">
        <f>IFERROR(VLOOKUP(CONCATENATE($B1053,"_",F$3),materiali!$C:$K,5,0),"")</f>
        <v/>
      </c>
      <c r="G1053" s="85" t="str">
        <f>IFERROR(VLOOKUP(CONCATENATE($B1053,"_",G$3),materiali!$C:$K,6,0),"")</f>
        <v/>
      </c>
      <c r="H1053" s="86"/>
      <c r="I1053" s="84" t="str">
        <f>IFERROR(VLOOKUP(CONCATENATE($B1053,"_",I$3),materiali!$C:$K,5,0),"")</f>
        <v/>
      </c>
      <c r="J1053" s="85" t="str">
        <f>IFERROR(VLOOKUP(CONCATENATE($B1053,"_",J$3),materiali!$C:$K,6,0),"")</f>
        <v/>
      </c>
      <c r="K1053" s="86"/>
      <c r="L1053" s="84" t="str">
        <f>IFERROR(VLOOKUP(CONCATENATE($B1053,"_",L$3),materiali!$C:$K,5,0),"")</f>
        <v/>
      </c>
      <c r="M1053" s="85" t="str">
        <f>IFERROR(VLOOKUP(CONCATENATE($B1053,"_",M$3),materiali!$C:$K,6,0),"")</f>
        <v/>
      </c>
      <c r="N1053" s="86"/>
      <c r="O1053" s="84" t="str">
        <f>IFERROR(VLOOKUP(CONCATENATE($B1053,"_",O$3),materiali!$C:$K,5,0),"")</f>
        <v/>
      </c>
      <c r="P1053" s="85" t="str">
        <f>IFERROR(VLOOKUP(CONCATENATE($B1053,"_",P$3),materiali!$C:$K,6,0),"")</f>
        <v/>
      </c>
      <c r="Q1053" s="86"/>
      <c r="R1053" s="84" t="str">
        <f>IFERROR(VLOOKUP(CONCATENATE($B1053,"_",R$3),materiali!$C:$K,5,0),"")</f>
        <v/>
      </c>
      <c r="S1053" s="85" t="str">
        <f>IFERROR(VLOOKUP(CONCATENATE($B1053,"_",S$3),materiali!$C:$K,6,0),"")</f>
        <v/>
      </c>
      <c r="T1053" s="86"/>
      <c r="U1053" s="31"/>
      <c r="AD1053" s="97"/>
    </row>
    <row r="1054" spans="1:30" ht="35.1" hidden="1" customHeight="1" x14ac:dyDescent="0.25">
      <c r="A1054" s="83"/>
      <c r="B1054" s="7"/>
      <c r="C1054" s="8"/>
      <c r="D1054" s="8"/>
      <c r="E1054" s="60"/>
      <c r="F1054" s="84" t="str">
        <f>IFERROR(VLOOKUP(CONCATENATE($B1054,"_",F$3),materiali!$C:$K,5,0),"")</f>
        <v/>
      </c>
      <c r="G1054" s="85" t="str">
        <f>IFERROR(VLOOKUP(CONCATENATE($B1054,"_",G$3),materiali!$C:$K,6,0),"")</f>
        <v/>
      </c>
      <c r="H1054" s="86"/>
      <c r="I1054" s="84" t="str">
        <f>IFERROR(VLOOKUP(CONCATENATE($B1054,"_",I$3),materiali!$C:$K,5,0),"")</f>
        <v/>
      </c>
      <c r="J1054" s="85" t="str">
        <f>IFERROR(VLOOKUP(CONCATENATE($B1054,"_",J$3),materiali!$C:$K,6,0),"")</f>
        <v/>
      </c>
      <c r="K1054" s="86"/>
      <c r="L1054" s="84" t="str">
        <f>IFERROR(VLOOKUP(CONCATENATE($B1054,"_",L$3),materiali!$C:$K,5,0),"")</f>
        <v/>
      </c>
      <c r="M1054" s="85" t="str">
        <f>IFERROR(VLOOKUP(CONCATENATE($B1054,"_",M$3),materiali!$C:$K,6,0),"")</f>
        <v/>
      </c>
      <c r="N1054" s="86"/>
      <c r="O1054" s="84" t="str">
        <f>IFERROR(VLOOKUP(CONCATENATE($B1054,"_",O$3),materiali!$C:$K,5,0),"")</f>
        <v/>
      </c>
      <c r="P1054" s="85" t="str">
        <f>IFERROR(VLOOKUP(CONCATENATE($B1054,"_",P$3),materiali!$C:$K,6,0),"")</f>
        <v/>
      </c>
      <c r="Q1054" s="86"/>
      <c r="R1054" s="84" t="str">
        <f>IFERROR(VLOOKUP(CONCATENATE($B1054,"_",R$3),materiali!$C:$K,5,0),"")</f>
        <v/>
      </c>
      <c r="S1054" s="85" t="str">
        <f>IFERROR(VLOOKUP(CONCATENATE($B1054,"_",S$3),materiali!$C:$K,6,0),"")</f>
        <v/>
      </c>
      <c r="T1054" s="86"/>
      <c r="U1054" s="31"/>
      <c r="AD1054" s="97"/>
    </row>
    <row r="1055" spans="1:30" ht="35.1" hidden="1" customHeight="1" x14ac:dyDescent="0.25">
      <c r="A1055" s="83"/>
      <c r="B1055" s="7"/>
      <c r="C1055" s="8"/>
      <c r="D1055" s="8"/>
      <c r="E1055" s="60"/>
      <c r="F1055" s="84" t="str">
        <f>IFERROR(VLOOKUP(CONCATENATE($B1055,"_",F$3),materiali!$C:$K,5,0),"")</f>
        <v/>
      </c>
      <c r="G1055" s="85" t="str">
        <f>IFERROR(VLOOKUP(CONCATENATE($B1055,"_",G$3),materiali!$C:$K,6,0),"")</f>
        <v/>
      </c>
      <c r="H1055" s="86"/>
      <c r="I1055" s="84" t="str">
        <f>IFERROR(VLOOKUP(CONCATENATE($B1055,"_",I$3),materiali!$C:$K,5,0),"")</f>
        <v/>
      </c>
      <c r="J1055" s="85" t="str">
        <f>IFERROR(VLOOKUP(CONCATENATE($B1055,"_",J$3),materiali!$C:$K,6,0),"")</f>
        <v/>
      </c>
      <c r="K1055" s="86"/>
      <c r="L1055" s="84" t="str">
        <f>IFERROR(VLOOKUP(CONCATENATE($B1055,"_",L$3),materiali!$C:$K,5,0),"")</f>
        <v/>
      </c>
      <c r="M1055" s="85" t="str">
        <f>IFERROR(VLOOKUP(CONCATENATE($B1055,"_",M$3),materiali!$C:$K,6,0),"")</f>
        <v/>
      </c>
      <c r="N1055" s="86"/>
      <c r="O1055" s="84" t="str">
        <f>IFERROR(VLOOKUP(CONCATENATE($B1055,"_",O$3),materiali!$C:$K,5,0),"")</f>
        <v/>
      </c>
      <c r="P1055" s="85" t="str">
        <f>IFERROR(VLOOKUP(CONCATENATE($B1055,"_",P$3),materiali!$C:$K,6,0),"")</f>
        <v/>
      </c>
      <c r="Q1055" s="86"/>
      <c r="R1055" s="84" t="str">
        <f>IFERROR(VLOOKUP(CONCATENATE($B1055,"_",R$3),materiali!$C:$K,5,0),"")</f>
        <v/>
      </c>
      <c r="S1055" s="85" t="str">
        <f>IFERROR(VLOOKUP(CONCATENATE($B1055,"_",S$3),materiali!$C:$K,6,0),"")</f>
        <v/>
      </c>
      <c r="T1055" s="86"/>
      <c r="U1055" s="31"/>
      <c r="AD1055" s="97"/>
    </row>
    <row r="1056" spans="1:30" ht="35.1" hidden="1" customHeight="1" x14ac:dyDescent="0.25">
      <c r="A1056" s="83"/>
      <c r="B1056" s="7"/>
      <c r="C1056" s="8"/>
      <c r="D1056" s="8"/>
      <c r="E1056" s="60"/>
      <c r="F1056" s="84" t="str">
        <f>IFERROR(VLOOKUP(CONCATENATE($B1056,"_",F$3),materiali!$C:$K,5,0),"")</f>
        <v/>
      </c>
      <c r="G1056" s="85" t="str">
        <f>IFERROR(VLOOKUP(CONCATENATE($B1056,"_",G$3),materiali!$C:$K,6,0),"")</f>
        <v/>
      </c>
      <c r="H1056" s="86"/>
      <c r="I1056" s="84" t="str">
        <f>IFERROR(VLOOKUP(CONCATENATE($B1056,"_",I$3),materiali!$C:$K,5,0),"")</f>
        <v/>
      </c>
      <c r="J1056" s="85" t="str">
        <f>IFERROR(VLOOKUP(CONCATENATE($B1056,"_",J$3),materiali!$C:$K,6,0),"")</f>
        <v/>
      </c>
      <c r="K1056" s="86"/>
      <c r="L1056" s="84" t="str">
        <f>IFERROR(VLOOKUP(CONCATENATE($B1056,"_",L$3),materiali!$C:$K,5,0),"")</f>
        <v/>
      </c>
      <c r="M1056" s="85" t="str">
        <f>IFERROR(VLOOKUP(CONCATENATE($B1056,"_",M$3),materiali!$C:$K,6,0),"")</f>
        <v/>
      </c>
      <c r="N1056" s="86"/>
      <c r="O1056" s="84" t="str">
        <f>IFERROR(VLOOKUP(CONCATENATE($B1056,"_",O$3),materiali!$C:$K,5,0),"")</f>
        <v/>
      </c>
      <c r="P1056" s="85" t="str">
        <f>IFERROR(VLOOKUP(CONCATENATE($B1056,"_",P$3),materiali!$C:$K,6,0),"")</f>
        <v/>
      </c>
      <c r="Q1056" s="86"/>
      <c r="R1056" s="84" t="str">
        <f>IFERROR(VLOOKUP(CONCATENATE($B1056,"_",R$3),materiali!$C:$K,5,0),"")</f>
        <v/>
      </c>
      <c r="S1056" s="85" t="str">
        <f>IFERROR(VLOOKUP(CONCATENATE($B1056,"_",S$3),materiali!$C:$K,6,0),"")</f>
        <v/>
      </c>
      <c r="T1056" s="86"/>
      <c r="U1056" s="31"/>
      <c r="AD1056" s="97"/>
    </row>
    <row r="1057" spans="1:30" ht="35.1" hidden="1" customHeight="1" x14ac:dyDescent="0.25">
      <c r="A1057" s="83"/>
      <c r="B1057" s="7"/>
      <c r="C1057" s="8"/>
      <c r="D1057" s="8"/>
      <c r="E1057" s="60"/>
      <c r="F1057" s="84" t="str">
        <f>IFERROR(VLOOKUP(CONCATENATE($B1057,"_",F$3),materiali!$C:$K,5,0),"")</f>
        <v/>
      </c>
      <c r="G1057" s="85" t="str">
        <f>IFERROR(VLOOKUP(CONCATENATE($B1057,"_",G$3),materiali!$C:$K,6,0),"")</f>
        <v/>
      </c>
      <c r="H1057" s="86"/>
      <c r="I1057" s="84" t="str">
        <f>IFERROR(VLOOKUP(CONCATENATE($B1057,"_",I$3),materiali!$C:$K,5,0),"")</f>
        <v/>
      </c>
      <c r="J1057" s="85" t="str">
        <f>IFERROR(VLOOKUP(CONCATENATE($B1057,"_",J$3),materiali!$C:$K,6,0),"")</f>
        <v/>
      </c>
      <c r="K1057" s="86"/>
      <c r="L1057" s="84" t="str">
        <f>IFERROR(VLOOKUP(CONCATENATE($B1057,"_",L$3),materiali!$C:$K,5,0),"")</f>
        <v/>
      </c>
      <c r="M1057" s="85" t="str">
        <f>IFERROR(VLOOKUP(CONCATENATE($B1057,"_",M$3),materiali!$C:$K,6,0),"")</f>
        <v/>
      </c>
      <c r="N1057" s="86"/>
      <c r="O1057" s="84" t="str">
        <f>IFERROR(VLOOKUP(CONCATENATE($B1057,"_",O$3),materiali!$C:$K,5,0),"")</f>
        <v/>
      </c>
      <c r="P1057" s="85" t="str">
        <f>IFERROR(VLOOKUP(CONCATENATE($B1057,"_",P$3),materiali!$C:$K,6,0),"")</f>
        <v/>
      </c>
      <c r="Q1057" s="86"/>
      <c r="R1057" s="84" t="str">
        <f>IFERROR(VLOOKUP(CONCATENATE($B1057,"_",R$3),materiali!$C:$K,5,0),"")</f>
        <v/>
      </c>
      <c r="S1057" s="85" t="str">
        <f>IFERROR(VLOOKUP(CONCATENATE($B1057,"_",S$3),materiali!$C:$K,6,0),"")</f>
        <v/>
      </c>
      <c r="T1057" s="86"/>
      <c r="U1057" s="31"/>
      <c r="AD1057" s="97"/>
    </row>
    <row r="1058" spans="1:30" ht="35.1" hidden="1" customHeight="1" x14ac:dyDescent="0.25">
      <c r="A1058" s="83"/>
      <c r="B1058" s="7"/>
      <c r="C1058" s="8"/>
      <c r="D1058" s="8"/>
      <c r="E1058" s="60"/>
      <c r="F1058" s="84" t="str">
        <f>IFERROR(VLOOKUP(CONCATENATE($B1058,"_",F$3),materiali!$C:$K,5,0),"")</f>
        <v/>
      </c>
      <c r="G1058" s="85" t="str">
        <f>IFERROR(VLOOKUP(CONCATENATE($B1058,"_",G$3),materiali!$C:$K,6,0),"")</f>
        <v/>
      </c>
      <c r="H1058" s="86"/>
      <c r="I1058" s="84" t="str">
        <f>IFERROR(VLOOKUP(CONCATENATE($B1058,"_",I$3),materiali!$C:$K,5,0),"")</f>
        <v/>
      </c>
      <c r="J1058" s="85" t="str">
        <f>IFERROR(VLOOKUP(CONCATENATE($B1058,"_",J$3),materiali!$C:$K,6,0),"")</f>
        <v/>
      </c>
      <c r="K1058" s="86"/>
      <c r="L1058" s="84" t="str">
        <f>IFERROR(VLOOKUP(CONCATENATE($B1058,"_",L$3),materiali!$C:$K,5,0),"")</f>
        <v/>
      </c>
      <c r="M1058" s="85" t="str">
        <f>IFERROR(VLOOKUP(CONCATENATE($B1058,"_",M$3),materiali!$C:$K,6,0),"")</f>
        <v/>
      </c>
      <c r="N1058" s="86"/>
      <c r="O1058" s="84" t="str">
        <f>IFERROR(VLOOKUP(CONCATENATE($B1058,"_",O$3),materiali!$C:$K,5,0),"")</f>
        <v/>
      </c>
      <c r="P1058" s="85" t="str">
        <f>IFERROR(VLOOKUP(CONCATENATE($B1058,"_",P$3),materiali!$C:$K,6,0),"")</f>
        <v/>
      </c>
      <c r="Q1058" s="86"/>
      <c r="R1058" s="84" t="str">
        <f>IFERROR(VLOOKUP(CONCATENATE($B1058,"_",R$3),materiali!$C:$K,5,0),"")</f>
        <v/>
      </c>
      <c r="S1058" s="85" t="str">
        <f>IFERROR(VLOOKUP(CONCATENATE($B1058,"_",S$3),materiali!$C:$K,6,0),"")</f>
        <v/>
      </c>
      <c r="T1058" s="86"/>
      <c r="U1058" s="31"/>
      <c r="AD1058" s="97"/>
    </row>
    <row r="1059" spans="1:30" ht="35.1" hidden="1" customHeight="1" x14ac:dyDescent="0.25">
      <c r="A1059" s="83"/>
      <c r="B1059" s="7"/>
      <c r="C1059" s="8"/>
      <c r="D1059" s="8"/>
      <c r="E1059" s="60"/>
      <c r="F1059" s="84" t="str">
        <f>IFERROR(VLOOKUP(CONCATENATE($B1059,"_",F$3),materiali!$C:$K,5,0),"")</f>
        <v/>
      </c>
      <c r="G1059" s="85" t="str">
        <f>IFERROR(VLOOKUP(CONCATENATE($B1059,"_",G$3),materiali!$C:$K,6,0),"")</f>
        <v/>
      </c>
      <c r="H1059" s="86"/>
      <c r="I1059" s="84" t="str">
        <f>IFERROR(VLOOKUP(CONCATENATE($B1059,"_",I$3),materiali!$C:$K,5,0),"")</f>
        <v/>
      </c>
      <c r="J1059" s="85" t="str">
        <f>IFERROR(VLOOKUP(CONCATENATE($B1059,"_",J$3),materiali!$C:$K,6,0),"")</f>
        <v/>
      </c>
      <c r="K1059" s="86"/>
      <c r="L1059" s="84" t="str">
        <f>IFERROR(VLOOKUP(CONCATENATE($B1059,"_",L$3),materiali!$C:$K,5,0),"")</f>
        <v/>
      </c>
      <c r="M1059" s="85" t="str">
        <f>IFERROR(VLOOKUP(CONCATENATE($B1059,"_",M$3),materiali!$C:$K,6,0),"")</f>
        <v/>
      </c>
      <c r="N1059" s="86"/>
      <c r="O1059" s="84" t="str">
        <f>IFERROR(VLOOKUP(CONCATENATE($B1059,"_",O$3),materiali!$C:$K,5,0),"")</f>
        <v/>
      </c>
      <c r="P1059" s="85" t="str">
        <f>IFERROR(VLOOKUP(CONCATENATE($B1059,"_",P$3),materiali!$C:$K,6,0),"")</f>
        <v/>
      </c>
      <c r="Q1059" s="86"/>
      <c r="R1059" s="84" t="str">
        <f>IFERROR(VLOOKUP(CONCATENATE($B1059,"_",R$3),materiali!$C:$K,5,0),"")</f>
        <v/>
      </c>
      <c r="S1059" s="85" t="str">
        <f>IFERROR(VLOOKUP(CONCATENATE($B1059,"_",S$3),materiali!$C:$K,6,0),"")</f>
        <v/>
      </c>
      <c r="T1059" s="86"/>
      <c r="U1059" s="31"/>
      <c r="AD1059" s="97"/>
    </row>
    <row r="1060" spans="1:30" ht="35.1" hidden="1" customHeight="1" x14ac:dyDescent="0.25">
      <c r="A1060" s="83"/>
      <c r="B1060" s="7"/>
      <c r="C1060" s="8"/>
      <c r="D1060" s="8"/>
      <c r="E1060" s="60"/>
      <c r="F1060" s="84" t="str">
        <f>IFERROR(VLOOKUP(CONCATENATE($B1060,"_",F$3),materiali!$C:$K,5,0),"")</f>
        <v/>
      </c>
      <c r="G1060" s="85" t="str">
        <f>IFERROR(VLOOKUP(CONCATENATE($B1060,"_",G$3),materiali!$C:$K,6,0),"")</f>
        <v/>
      </c>
      <c r="H1060" s="86"/>
      <c r="I1060" s="84" t="str">
        <f>IFERROR(VLOOKUP(CONCATENATE($B1060,"_",I$3),materiali!$C:$K,5,0),"")</f>
        <v/>
      </c>
      <c r="J1060" s="85" t="str">
        <f>IFERROR(VLOOKUP(CONCATENATE($B1060,"_",J$3),materiali!$C:$K,6,0),"")</f>
        <v/>
      </c>
      <c r="K1060" s="86"/>
      <c r="L1060" s="84" t="str">
        <f>IFERROR(VLOOKUP(CONCATENATE($B1060,"_",L$3),materiali!$C:$K,5,0),"")</f>
        <v/>
      </c>
      <c r="M1060" s="85" t="str">
        <f>IFERROR(VLOOKUP(CONCATENATE($B1060,"_",M$3),materiali!$C:$K,6,0),"")</f>
        <v/>
      </c>
      <c r="N1060" s="86"/>
      <c r="O1060" s="84" t="str">
        <f>IFERROR(VLOOKUP(CONCATENATE($B1060,"_",O$3),materiali!$C:$K,5,0),"")</f>
        <v/>
      </c>
      <c r="P1060" s="85" t="str">
        <f>IFERROR(VLOOKUP(CONCATENATE($B1060,"_",P$3),materiali!$C:$K,6,0),"")</f>
        <v/>
      </c>
      <c r="Q1060" s="86"/>
      <c r="R1060" s="84" t="str">
        <f>IFERROR(VLOOKUP(CONCATENATE($B1060,"_",R$3),materiali!$C:$K,5,0),"")</f>
        <v/>
      </c>
      <c r="S1060" s="85" t="str">
        <f>IFERROR(VLOOKUP(CONCATENATE($B1060,"_",S$3),materiali!$C:$K,6,0),"")</f>
        <v/>
      </c>
      <c r="T1060" s="86"/>
      <c r="U1060" s="31"/>
      <c r="AD1060" s="97"/>
    </row>
    <row r="1061" spans="1:30" ht="35.1" hidden="1" customHeight="1" x14ac:dyDescent="0.25">
      <c r="A1061" s="83"/>
      <c r="B1061" s="7"/>
      <c r="C1061" s="8"/>
      <c r="D1061" s="8"/>
      <c r="E1061" s="60"/>
      <c r="F1061" s="84" t="str">
        <f>IFERROR(VLOOKUP(CONCATENATE($B1061,"_",F$3),materiali!$C:$K,5,0),"")</f>
        <v/>
      </c>
      <c r="G1061" s="85" t="str">
        <f>IFERROR(VLOOKUP(CONCATENATE($B1061,"_",G$3),materiali!$C:$K,6,0),"")</f>
        <v/>
      </c>
      <c r="H1061" s="86"/>
      <c r="I1061" s="84" t="str">
        <f>IFERROR(VLOOKUP(CONCATENATE($B1061,"_",I$3),materiali!$C:$K,5,0),"")</f>
        <v/>
      </c>
      <c r="J1061" s="85" t="str">
        <f>IFERROR(VLOOKUP(CONCATENATE($B1061,"_",J$3),materiali!$C:$K,6,0),"")</f>
        <v/>
      </c>
      <c r="K1061" s="86"/>
      <c r="L1061" s="84" t="str">
        <f>IFERROR(VLOOKUP(CONCATENATE($B1061,"_",L$3),materiali!$C:$K,5,0),"")</f>
        <v/>
      </c>
      <c r="M1061" s="85" t="str">
        <f>IFERROR(VLOOKUP(CONCATENATE($B1061,"_",M$3),materiali!$C:$K,6,0),"")</f>
        <v/>
      </c>
      <c r="N1061" s="86"/>
      <c r="O1061" s="84" t="str">
        <f>IFERROR(VLOOKUP(CONCATENATE($B1061,"_",O$3),materiali!$C:$K,5,0),"")</f>
        <v/>
      </c>
      <c r="P1061" s="85" t="str">
        <f>IFERROR(VLOOKUP(CONCATENATE($B1061,"_",P$3),materiali!$C:$K,6,0),"")</f>
        <v/>
      </c>
      <c r="Q1061" s="86"/>
      <c r="R1061" s="84" t="str">
        <f>IFERROR(VLOOKUP(CONCATENATE($B1061,"_",R$3),materiali!$C:$K,5,0),"")</f>
        <v/>
      </c>
      <c r="S1061" s="85" t="str">
        <f>IFERROR(VLOOKUP(CONCATENATE($B1061,"_",S$3),materiali!$C:$K,6,0),"")</f>
        <v/>
      </c>
      <c r="T1061" s="86"/>
      <c r="U1061" s="31"/>
      <c r="AD1061" s="97"/>
    </row>
    <row r="1062" spans="1:30" ht="35.1" hidden="1" customHeight="1" x14ac:dyDescent="0.25">
      <c r="A1062" s="83"/>
      <c r="B1062" s="7"/>
      <c r="C1062" s="8"/>
      <c r="D1062" s="8"/>
      <c r="E1062" s="60"/>
      <c r="F1062" s="84" t="str">
        <f>IFERROR(VLOOKUP(CONCATENATE($B1062,"_",F$3),materiali!$C:$K,5,0),"")</f>
        <v/>
      </c>
      <c r="G1062" s="85" t="str">
        <f>IFERROR(VLOOKUP(CONCATENATE($B1062,"_",G$3),materiali!$C:$K,6,0),"")</f>
        <v/>
      </c>
      <c r="H1062" s="86"/>
      <c r="I1062" s="84" t="str">
        <f>IFERROR(VLOOKUP(CONCATENATE($B1062,"_",I$3),materiali!$C:$K,5,0),"")</f>
        <v/>
      </c>
      <c r="J1062" s="85" t="str">
        <f>IFERROR(VLOOKUP(CONCATENATE($B1062,"_",J$3),materiali!$C:$K,6,0),"")</f>
        <v/>
      </c>
      <c r="K1062" s="86"/>
      <c r="L1062" s="84" t="str">
        <f>IFERROR(VLOOKUP(CONCATENATE($B1062,"_",L$3),materiali!$C:$K,5,0),"")</f>
        <v/>
      </c>
      <c r="M1062" s="85" t="str">
        <f>IFERROR(VLOOKUP(CONCATENATE($B1062,"_",M$3),materiali!$C:$K,6,0),"")</f>
        <v/>
      </c>
      <c r="N1062" s="86"/>
      <c r="O1062" s="84" t="str">
        <f>IFERROR(VLOOKUP(CONCATENATE($B1062,"_",O$3),materiali!$C:$K,5,0),"")</f>
        <v/>
      </c>
      <c r="P1062" s="85" t="str">
        <f>IFERROR(VLOOKUP(CONCATENATE($B1062,"_",P$3),materiali!$C:$K,6,0),"")</f>
        <v/>
      </c>
      <c r="Q1062" s="86"/>
      <c r="R1062" s="84" t="str">
        <f>IFERROR(VLOOKUP(CONCATENATE($B1062,"_",R$3),materiali!$C:$K,5,0),"")</f>
        <v/>
      </c>
      <c r="S1062" s="85" t="str">
        <f>IFERROR(VLOOKUP(CONCATENATE($B1062,"_",S$3),materiali!$C:$K,6,0),"")</f>
        <v/>
      </c>
      <c r="T1062" s="86"/>
      <c r="U1062" s="31"/>
      <c r="AD1062" s="97"/>
    </row>
    <row r="1063" spans="1:30" ht="35.1" hidden="1" customHeight="1" x14ac:dyDescent="0.25">
      <c r="A1063" s="83"/>
      <c r="B1063" s="7"/>
      <c r="C1063" s="8"/>
      <c r="D1063" s="8"/>
      <c r="E1063" s="60"/>
      <c r="F1063" s="84" t="str">
        <f>IFERROR(VLOOKUP(CONCATENATE($B1063,"_",F$3),materiali!$C:$K,5,0),"")</f>
        <v/>
      </c>
      <c r="G1063" s="85" t="str">
        <f>IFERROR(VLOOKUP(CONCATENATE($B1063,"_",G$3),materiali!$C:$K,6,0),"")</f>
        <v/>
      </c>
      <c r="H1063" s="86"/>
      <c r="I1063" s="84" t="str">
        <f>IFERROR(VLOOKUP(CONCATENATE($B1063,"_",I$3),materiali!$C:$K,5,0),"")</f>
        <v/>
      </c>
      <c r="J1063" s="85" t="str">
        <f>IFERROR(VLOOKUP(CONCATENATE($B1063,"_",J$3),materiali!$C:$K,6,0),"")</f>
        <v/>
      </c>
      <c r="K1063" s="86"/>
      <c r="L1063" s="84" t="str">
        <f>IFERROR(VLOOKUP(CONCATENATE($B1063,"_",L$3),materiali!$C:$K,5,0),"")</f>
        <v/>
      </c>
      <c r="M1063" s="85" t="str">
        <f>IFERROR(VLOOKUP(CONCATENATE($B1063,"_",M$3),materiali!$C:$K,6,0),"")</f>
        <v/>
      </c>
      <c r="N1063" s="86"/>
      <c r="O1063" s="84" t="str">
        <f>IFERROR(VLOOKUP(CONCATENATE($B1063,"_",O$3),materiali!$C:$K,5,0),"")</f>
        <v/>
      </c>
      <c r="P1063" s="85" t="str">
        <f>IFERROR(VLOOKUP(CONCATENATE($B1063,"_",P$3),materiali!$C:$K,6,0),"")</f>
        <v/>
      </c>
      <c r="Q1063" s="86"/>
      <c r="R1063" s="84" t="str">
        <f>IFERROR(VLOOKUP(CONCATENATE($B1063,"_",R$3),materiali!$C:$K,5,0),"")</f>
        <v/>
      </c>
      <c r="S1063" s="85" t="str">
        <f>IFERROR(VLOOKUP(CONCATENATE($B1063,"_",S$3),materiali!$C:$K,6,0),"")</f>
        <v/>
      </c>
      <c r="T1063" s="86"/>
      <c r="U1063" s="31"/>
      <c r="AD1063" s="97"/>
    </row>
    <row r="1064" spans="1:30" ht="35.1" hidden="1" customHeight="1" x14ac:dyDescent="0.25">
      <c r="A1064" s="83"/>
      <c r="B1064" s="7"/>
      <c r="C1064" s="8"/>
      <c r="D1064" s="8"/>
      <c r="E1064" s="60"/>
      <c r="F1064" s="84" t="str">
        <f>IFERROR(VLOOKUP(CONCATENATE($B1064,"_",F$3),materiali!$C:$K,5,0),"")</f>
        <v/>
      </c>
      <c r="G1064" s="85" t="str">
        <f>IFERROR(VLOOKUP(CONCATENATE($B1064,"_",G$3),materiali!$C:$K,6,0),"")</f>
        <v/>
      </c>
      <c r="H1064" s="86"/>
      <c r="I1064" s="84" t="str">
        <f>IFERROR(VLOOKUP(CONCATENATE($B1064,"_",I$3),materiali!$C:$K,5,0),"")</f>
        <v/>
      </c>
      <c r="J1064" s="85" t="str">
        <f>IFERROR(VLOOKUP(CONCATENATE($B1064,"_",J$3),materiali!$C:$K,6,0),"")</f>
        <v/>
      </c>
      <c r="K1064" s="86"/>
      <c r="L1064" s="84" t="str">
        <f>IFERROR(VLOOKUP(CONCATENATE($B1064,"_",L$3),materiali!$C:$K,5,0),"")</f>
        <v/>
      </c>
      <c r="M1064" s="85" t="str">
        <f>IFERROR(VLOOKUP(CONCATENATE($B1064,"_",M$3),materiali!$C:$K,6,0),"")</f>
        <v/>
      </c>
      <c r="N1064" s="86"/>
      <c r="O1064" s="84" t="str">
        <f>IFERROR(VLOOKUP(CONCATENATE($B1064,"_",O$3),materiali!$C:$K,5,0),"")</f>
        <v/>
      </c>
      <c r="P1064" s="85" t="str">
        <f>IFERROR(VLOOKUP(CONCATENATE($B1064,"_",P$3),materiali!$C:$K,6,0),"")</f>
        <v/>
      </c>
      <c r="Q1064" s="86"/>
      <c r="R1064" s="84" t="str">
        <f>IFERROR(VLOOKUP(CONCATENATE($B1064,"_",R$3),materiali!$C:$K,5,0),"")</f>
        <v/>
      </c>
      <c r="S1064" s="85" t="str">
        <f>IFERROR(VLOOKUP(CONCATENATE($B1064,"_",S$3),materiali!$C:$K,6,0),"")</f>
        <v/>
      </c>
      <c r="T1064" s="86"/>
      <c r="U1064" s="31"/>
      <c r="AD1064" s="97"/>
    </row>
    <row r="1065" spans="1:30" ht="35.1" hidden="1" customHeight="1" x14ac:dyDescent="0.25">
      <c r="A1065" s="83"/>
      <c r="B1065" s="7"/>
      <c r="C1065" s="8"/>
      <c r="D1065" s="8"/>
      <c r="E1065" s="60"/>
      <c r="F1065" s="84" t="str">
        <f>IFERROR(VLOOKUP(CONCATENATE($B1065,"_",F$3),materiali!$C:$K,5,0),"")</f>
        <v/>
      </c>
      <c r="G1065" s="85" t="str">
        <f>IFERROR(VLOOKUP(CONCATENATE($B1065,"_",G$3),materiali!$C:$K,6,0),"")</f>
        <v/>
      </c>
      <c r="H1065" s="86"/>
      <c r="I1065" s="84" t="str">
        <f>IFERROR(VLOOKUP(CONCATENATE($B1065,"_",I$3),materiali!$C:$K,5,0),"")</f>
        <v/>
      </c>
      <c r="J1065" s="85" t="str">
        <f>IFERROR(VLOOKUP(CONCATENATE($B1065,"_",J$3),materiali!$C:$K,6,0),"")</f>
        <v/>
      </c>
      <c r="K1065" s="86"/>
      <c r="L1065" s="84" t="str">
        <f>IFERROR(VLOOKUP(CONCATENATE($B1065,"_",L$3),materiali!$C:$K,5,0),"")</f>
        <v/>
      </c>
      <c r="M1065" s="85" t="str">
        <f>IFERROR(VLOOKUP(CONCATENATE($B1065,"_",M$3),materiali!$C:$K,6,0),"")</f>
        <v/>
      </c>
      <c r="N1065" s="86"/>
      <c r="O1065" s="84" t="str">
        <f>IFERROR(VLOOKUP(CONCATENATE($B1065,"_",O$3),materiali!$C:$K,5,0),"")</f>
        <v/>
      </c>
      <c r="P1065" s="85" t="str">
        <f>IFERROR(VLOOKUP(CONCATENATE($B1065,"_",P$3),materiali!$C:$K,6,0),"")</f>
        <v/>
      </c>
      <c r="Q1065" s="86"/>
      <c r="R1065" s="84" t="str">
        <f>IFERROR(VLOOKUP(CONCATENATE($B1065,"_",R$3),materiali!$C:$K,5,0),"")</f>
        <v/>
      </c>
      <c r="S1065" s="85" t="str">
        <f>IFERROR(VLOOKUP(CONCATENATE($B1065,"_",S$3),materiali!$C:$K,6,0),"")</f>
        <v/>
      </c>
      <c r="T1065" s="86"/>
      <c r="U1065" s="31"/>
      <c r="AD1065" s="97"/>
    </row>
    <row r="1066" spans="1:30" ht="35.1" hidden="1" customHeight="1" x14ac:dyDescent="0.25">
      <c r="A1066" s="83"/>
      <c r="B1066" s="7"/>
      <c r="C1066" s="8"/>
      <c r="D1066" s="8"/>
      <c r="E1066" s="60"/>
      <c r="F1066" s="84" t="str">
        <f>IFERROR(VLOOKUP(CONCATENATE($B1066,"_",F$3),materiali!$C:$K,5,0),"")</f>
        <v/>
      </c>
      <c r="G1066" s="85" t="str">
        <f>IFERROR(VLOOKUP(CONCATENATE($B1066,"_",G$3),materiali!$C:$K,6,0),"")</f>
        <v/>
      </c>
      <c r="H1066" s="86"/>
      <c r="I1066" s="84" t="str">
        <f>IFERROR(VLOOKUP(CONCATENATE($B1066,"_",I$3),materiali!$C:$K,5,0),"")</f>
        <v/>
      </c>
      <c r="J1066" s="85" t="str">
        <f>IFERROR(VLOOKUP(CONCATENATE($B1066,"_",J$3),materiali!$C:$K,6,0),"")</f>
        <v/>
      </c>
      <c r="K1066" s="86"/>
      <c r="L1066" s="84" t="str">
        <f>IFERROR(VLOOKUP(CONCATENATE($B1066,"_",L$3),materiali!$C:$K,5,0),"")</f>
        <v/>
      </c>
      <c r="M1066" s="85" t="str">
        <f>IFERROR(VLOOKUP(CONCATENATE($B1066,"_",M$3),materiali!$C:$K,6,0),"")</f>
        <v/>
      </c>
      <c r="N1066" s="86"/>
      <c r="O1066" s="84" t="str">
        <f>IFERROR(VLOOKUP(CONCATENATE($B1066,"_",O$3),materiali!$C:$K,5,0),"")</f>
        <v/>
      </c>
      <c r="P1066" s="85" t="str">
        <f>IFERROR(VLOOKUP(CONCATENATE($B1066,"_",P$3),materiali!$C:$K,6,0),"")</f>
        <v/>
      </c>
      <c r="Q1066" s="86"/>
      <c r="R1066" s="84" t="str">
        <f>IFERROR(VLOOKUP(CONCATENATE($B1066,"_",R$3),materiali!$C:$K,5,0),"")</f>
        <v/>
      </c>
      <c r="S1066" s="85" t="str">
        <f>IFERROR(VLOOKUP(CONCATENATE($B1066,"_",S$3),materiali!$C:$K,6,0),"")</f>
        <v/>
      </c>
      <c r="T1066" s="86"/>
      <c r="U1066" s="31"/>
      <c r="AD1066" s="97"/>
    </row>
    <row r="1067" spans="1:30" ht="35.1" hidden="1" customHeight="1" x14ac:dyDescent="0.25">
      <c r="A1067" s="83"/>
      <c r="B1067" s="7"/>
      <c r="C1067" s="8"/>
      <c r="D1067" s="8"/>
      <c r="E1067" s="60"/>
      <c r="F1067" s="84" t="str">
        <f>IFERROR(VLOOKUP(CONCATENATE($B1067,"_",F$3),materiali!$C:$K,5,0),"")</f>
        <v/>
      </c>
      <c r="G1067" s="85" t="str">
        <f>IFERROR(VLOOKUP(CONCATENATE($B1067,"_",G$3),materiali!$C:$K,6,0),"")</f>
        <v/>
      </c>
      <c r="H1067" s="86"/>
      <c r="I1067" s="84" t="str">
        <f>IFERROR(VLOOKUP(CONCATENATE($B1067,"_",I$3),materiali!$C:$K,5,0),"")</f>
        <v/>
      </c>
      <c r="J1067" s="85" t="str">
        <f>IFERROR(VLOOKUP(CONCATENATE($B1067,"_",J$3),materiali!$C:$K,6,0),"")</f>
        <v/>
      </c>
      <c r="K1067" s="86"/>
      <c r="L1067" s="84" t="str">
        <f>IFERROR(VLOOKUP(CONCATENATE($B1067,"_",L$3),materiali!$C:$K,5,0),"")</f>
        <v/>
      </c>
      <c r="M1067" s="85" t="str">
        <f>IFERROR(VLOOKUP(CONCATENATE($B1067,"_",M$3),materiali!$C:$K,6,0),"")</f>
        <v/>
      </c>
      <c r="N1067" s="86"/>
      <c r="O1067" s="84" t="str">
        <f>IFERROR(VLOOKUP(CONCATENATE($B1067,"_",O$3),materiali!$C:$K,5,0),"")</f>
        <v/>
      </c>
      <c r="P1067" s="85" t="str">
        <f>IFERROR(VLOOKUP(CONCATENATE($B1067,"_",P$3),materiali!$C:$K,6,0),"")</f>
        <v/>
      </c>
      <c r="Q1067" s="86"/>
      <c r="R1067" s="84" t="str">
        <f>IFERROR(VLOOKUP(CONCATENATE($B1067,"_",R$3),materiali!$C:$K,5,0),"")</f>
        <v/>
      </c>
      <c r="S1067" s="85" t="str">
        <f>IFERROR(VLOOKUP(CONCATENATE($B1067,"_",S$3),materiali!$C:$K,6,0),"")</f>
        <v/>
      </c>
      <c r="T1067" s="86"/>
      <c r="U1067" s="31"/>
      <c r="AD1067" s="97"/>
    </row>
    <row r="1068" spans="1:30" ht="35.1" hidden="1" customHeight="1" x14ac:dyDescent="0.25">
      <c r="A1068" s="83"/>
      <c r="B1068" s="7"/>
      <c r="C1068" s="8"/>
      <c r="D1068" s="8"/>
      <c r="E1068" s="60"/>
      <c r="F1068" s="84" t="str">
        <f>IFERROR(VLOOKUP(CONCATENATE($B1068,"_",F$3),materiali!$C:$K,5,0),"")</f>
        <v/>
      </c>
      <c r="G1068" s="85" t="str">
        <f>IFERROR(VLOOKUP(CONCATENATE($B1068,"_",G$3),materiali!$C:$K,6,0),"")</f>
        <v/>
      </c>
      <c r="H1068" s="86"/>
      <c r="I1068" s="84" t="str">
        <f>IFERROR(VLOOKUP(CONCATENATE($B1068,"_",I$3),materiali!$C:$K,5,0),"")</f>
        <v/>
      </c>
      <c r="J1068" s="85" t="str">
        <f>IFERROR(VLOOKUP(CONCATENATE($B1068,"_",J$3),materiali!$C:$K,6,0),"")</f>
        <v/>
      </c>
      <c r="K1068" s="86"/>
      <c r="L1068" s="84" t="str">
        <f>IFERROR(VLOOKUP(CONCATENATE($B1068,"_",L$3),materiali!$C:$K,5,0),"")</f>
        <v/>
      </c>
      <c r="M1068" s="85" t="str">
        <f>IFERROR(VLOOKUP(CONCATENATE($B1068,"_",M$3),materiali!$C:$K,6,0),"")</f>
        <v/>
      </c>
      <c r="N1068" s="86"/>
      <c r="O1068" s="84" t="str">
        <f>IFERROR(VLOOKUP(CONCATENATE($B1068,"_",O$3),materiali!$C:$K,5,0),"")</f>
        <v/>
      </c>
      <c r="P1068" s="85" t="str">
        <f>IFERROR(VLOOKUP(CONCATENATE($B1068,"_",P$3),materiali!$C:$K,6,0),"")</f>
        <v/>
      </c>
      <c r="Q1068" s="86"/>
      <c r="R1068" s="84" t="str">
        <f>IFERROR(VLOOKUP(CONCATENATE($B1068,"_",R$3),materiali!$C:$K,5,0),"")</f>
        <v/>
      </c>
      <c r="S1068" s="85" t="str">
        <f>IFERROR(VLOOKUP(CONCATENATE($B1068,"_",S$3),materiali!$C:$K,6,0),"")</f>
        <v/>
      </c>
      <c r="T1068" s="86"/>
      <c r="U1068" s="31"/>
      <c r="AD1068" s="97"/>
    </row>
    <row r="1069" spans="1:30" ht="35.1" hidden="1" customHeight="1" x14ac:dyDescent="0.25">
      <c r="A1069" s="83"/>
      <c r="B1069" s="7"/>
      <c r="C1069" s="8"/>
      <c r="D1069" s="8"/>
      <c r="E1069" s="60"/>
      <c r="F1069" s="84" t="str">
        <f>IFERROR(VLOOKUP(CONCATENATE($B1069,"_",F$3),materiali!$C:$K,5,0),"")</f>
        <v/>
      </c>
      <c r="G1069" s="85" t="str">
        <f>IFERROR(VLOOKUP(CONCATENATE($B1069,"_",G$3),materiali!$C:$K,6,0),"")</f>
        <v/>
      </c>
      <c r="H1069" s="86"/>
      <c r="I1069" s="84" t="str">
        <f>IFERROR(VLOOKUP(CONCATENATE($B1069,"_",I$3),materiali!$C:$K,5,0),"")</f>
        <v/>
      </c>
      <c r="J1069" s="85" t="str">
        <f>IFERROR(VLOOKUP(CONCATENATE($B1069,"_",J$3),materiali!$C:$K,6,0),"")</f>
        <v/>
      </c>
      <c r="K1069" s="86"/>
      <c r="L1069" s="84" t="str">
        <f>IFERROR(VLOOKUP(CONCATENATE($B1069,"_",L$3),materiali!$C:$K,5,0),"")</f>
        <v/>
      </c>
      <c r="M1069" s="85" t="str">
        <f>IFERROR(VLOOKUP(CONCATENATE($B1069,"_",M$3),materiali!$C:$K,6,0),"")</f>
        <v/>
      </c>
      <c r="N1069" s="86"/>
      <c r="O1069" s="84" t="str">
        <f>IFERROR(VLOOKUP(CONCATENATE($B1069,"_",O$3),materiali!$C:$K,5,0),"")</f>
        <v/>
      </c>
      <c r="P1069" s="85" t="str">
        <f>IFERROR(VLOOKUP(CONCATENATE($B1069,"_",P$3),materiali!$C:$K,6,0),"")</f>
        <v/>
      </c>
      <c r="Q1069" s="86"/>
      <c r="R1069" s="84" t="str">
        <f>IFERROR(VLOOKUP(CONCATENATE($B1069,"_",R$3),materiali!$C:$K,5,0),"")</f>
        <v/>
      </c>
      <c r="S1069" s="85" t="str">
        <f>IFERROR(VLOOKUP(CONCATENATE($B1069,"_",S$3),materiali!$C:$K,6,0),"")</f>
        <v/>
      </c>
      <c r="T1069" s="86"/>
      <c r="U1069" s="31"/>
      <c r="AD1069" s="97"/>
    </row>
    <row r="1070" spans="1:30" ht="35.1" hidden="1" customHeight="1" x14ac:dyDescent="0.25">
      <c r="A1070" s="83"/>
      <c r="B1070" s="7"/>
      <c r="C1070" s="8"/>
      <c r="D1070" s="8"/>
      <c r="E1070" s="60"/>
      <c r="F1070" s="84" t="str">
        <f>IFERROR(VLOOKUP(CONCATENATE($B1070,"_",F$3),materiali!$C:$K,5,0),"")</f>
        <v/>
      </c>
      <c r="G1070" s="85" t="str">
        <f>IFERROR(VLOOKUP(CONCATENATE($B1070,"_",G$3),materiali!$C:$K,6,0),"")</f>
        <v/>
      </c>
      <c r="H1070" s="86"/>
      <c r="I1070" s="84" t="str">
        <f>IFERROR(VLOOKUP(CONCATENATE($B1070,"_",I$3),materiali!$C:$K,5,0),"")</f>
        <v/>
      </c>
      <c r="J1070" s="85" t="str">
        <f>IFERROR(VLOOKUP(CONCATENATE($B1070,"_",J$3),materiali!$C:$K,6,0),"")</f>
        <v/>
      </c>
      <c r="K1070" s="86"/>
      <c r="L1070" s="84" t="str">
        <f>IFERROR(VLOOKUP(CONCATENATE($B1070,"_",L$3),materiali!$C:$K,5,0),"")</f>
        <v/>
      </c>
      <c r="M1070" s="85" t="str">
        <f>IFERROR(VLOOKUP(CONCATENATE($B1070,"_",M$3),materiali!$C:$K,6,0),"")</f>
        <v/>
      </c>
      <c r="N1070" s="86"/>
      <c r="O1070" s="84" t="str">
        <f>IFERROR(VLOOKUP(CONCATENATE($B1070,"_",O$3),materiali!$C:$K,5,0),"")</f>
        <v/>
      </c>
      <c r="P1070" s="85" t="str">
        <f>IFERROR(VLOOKUP(CONCATENATE($B1070,"_",P$3),materiali!$C:$K,6,0),"")</f>
        <v/>
      </c>
      <c r="Q1070" s="86"/>
      <c r="R1070" s="84" t="str">
        <f>IFERROR(VLOOKUP(CONCATENATE($B1070,"_",R$3),materiali!$C:$K,5,0),"")</f>
        <v/>
      </c>
      <c r="S1070" s="85" t="str">
        <f>IFERROR(VLOOKUP(CONCATENATE($B1070,"_",S$3),materiali!$C:$K,6,0),"")</f>
        <v/>
      </c>
      <c r="T1070" s="86"/>
      <c r="U1070" s="31"/>
      <c r="AD1070" s="97"/>
    </row>
    <row r="1071" spans="1:30" ht="35.1" hidden="1" customHeight="1" x14ac:dyDescent="0.25">
      <c r="A1071" s="83"/>
      <c r="B1071" s="7"/>
      <c r="C1071" s="8"/>
      <c r="D1071" s="8"/>
      <c r="E1071" s="60"/>
      <c r="F1071" s="84" t="str">
        <f>IFERROR(VLOOKUP(CONCATENATE($B1071,"_",F$3),materiali!$C:$K,5,0),"")</f>
        <v/>
      </c>
      <c r="G1071" s="85" t="str">
        <f>IFERROR(VLOOKUP(CONCATENATE($B1071,"_",G$3),materiali!$C:$K,6,0),"")</f>
        <v/>
      </c>
      <c r="H1071" s="86"/>
      <c r="I1071" s="84" t="str">
        <f>IFERROR(VLOOKUP(CONCATENATE($B1071,"_",I$3),materiali!$C:$K,5,0),"")</f>
        <v/>
      </c>
      <c r="J1071" s="85" t="str">
        <f>IFERROR(VLOOKUP(CONCATENATE($B1071,"_",J$3),materiali!$C:$K,6,0),"")</f>
        <v/>
      </c>
      <c r="K1071" s="86"/>
      <c r="L1071" s="84" t="str">
        <f>IFERROR(VLOOKUP(CONCATENATE($B1071,"_",L$3),materiali!$C:$K,5,0),"")</f>
        <v/>
      </c>
      <c r="M1071" s="85" t="str">
        <f>IFERROR(VLOOKUP(CONCATENATE($B1071,"_",M$3),materiali!$C:$K,6,0),"")</f>
        <v/>
      </c>
      <c r="N1071" s="86"/>
      <c r="O1071" s="84" t="str">
        <f>IFERROR(VLOOKUP(CONCATENATE($B1071,"_",O$3),materiali!$C:$K,5,0),"")</f>
        <v/>
      </c>
      <c r="P1071" s="85" t="str">
        <f>IFERROR(VLOOKUP(CONCATENATE($B1071,"_",P$3),materiali!$C:$K,6,0),"")</f>
        <v/>
      </c>
      <c r="Q1071" s="86"/>
      <c r="R1071" s="84" t="str">
        <f>IFERROR(VLOOKUP(CONCATENATE($B1071,"_",R$3),materiali!$C:$K,5,0),"")</f>
        <v/>
      </c>
      <c r="S1071" s="85" t="str">
        <f>IFERROR(VLOOKUP(CONCATENATE($B1071,"_",S$3),materiali!$C:$K,6,0),"")</f>
        <v/>
      </c>
      <c r="T1071" s="86"/>
      <c r="U1071" s="31"/>
      <c r="AD1071" s="97"/>
    </row>
    <row r="1072" spans="1:30" ht="35.1" hidden="1" customHeight="1" x14ac:dyDescent="0.25">
      <c r="A1072" s="83"/>
      <c r="B1072" s="7"/>
      <c r="C1072" s="8"/>
      <c r="D1072" s="8"/>
      <c r="E1072" s="60"/>
      <c r="F1072" s="84" t="str">
        <f>IFERROR(VLOOKUP(CONCATENATE($B1072,"_",F$3),materiali!$C:$K,5,0),"")</f>
        <v/>
      </c>
      <c r="G1072" s="85" t="str">
        <f>IFERROR(VLOOKUP(CONCATENATE($B1072,"_",G$3),materiali!$C:$K,6,0),"")</f>
        <v/>
      </c>
      <c r="H1072" s="86"/>
      <c r="I1072" s="84" t="str">
        <f>IFERROR(VLOOKUP(CONCATENATE($B1072,"_",I$3),materiali!$C:$K,5,0),"")</f>
        <v/>
      </c>
      <c r="J1072" s="85" t="str">
        <f>IFERROR(VLOOKUP(CONCATENATE($B1072,"_",J$3),materiali!$C:$K,6,0),"")</f>
        <v/>
      </c>
      <c r="K1072" s="86"/>
      <c r="L1072" s="84" t="str">
        <f>IFERROR(VLOOKUP(CONCATENATE($B1072,"_",L$3),materiali!$C:$K,5,0),"")</f>
        <v/>
      </c>
      <c r="M1072" s="85" t="str">
        <f>IFERROR(VLOOKUP(CONCATENATE($B1072,"_",M$3),materiali!$C:$K,6,0),"")</f>
        <v/>
      </c>
      <c r="N1072" s="86"/>
      <c r="O1072" s="84" t="str">
        <f>IFERROR(VLOOKUP(CONCATENATE($B1072,"_",O$3),materiali!$C:$K,5,0),"")</f>
        <v/>
      </c>
      <c r="P1072" s="85" t="str">
        <f>IFERROR(VLOOKUP(CONCATENATE($B1072,"_",P$3),materiali!$C:$K,6,0),"")</f>
        <v/>
      </c>
      <c r="Q1072" s="86"/>
      <c r="R1072" s="84" t="str">
        <f>IFERROR(VLOOKUP(CONCATENATE($B1072,"_",R$3),materiali!$C:$K,5,0),"")</f>
        <v/>
      </c>
      <c r="S1072" s="85" t="str">
        <f>IFERROR(VLOOKUP(CONCATENATE($B1072,"_",S$3),materiali!$C:$K,6,0),"")</f>
        <v/>
      </c>
      <c r="T1072" s="86"/>
      <c r="U1072" s="31"/>
      <c r="AD1072" s="97"/>
    </row>
    <row r="1073" spans="1:30" ht="35.1" hidden="1" customHeight="1" x14ac:dyDescent="0.25">
      <c r="A1073" s="83"/>
      <c r="B1073" s="7"/>
      <c r="C1073" s="8"/>
      <c r="D1073" s="8"/>
      <c r="E1073" s="60"/>
      <c r="F1073" s="84" t="str">
        <f>IFERROR(VLOOKUP(CONCATENATE($B1073,"_",F$3),materiali!$C:$K,5,0),"")</f>
        <v/>
      </c>
      <c r="G1073" s="85" t="str">
        <f>IFERROR(VLOOKUP(CONCATENATE($B1073,"_",G$3),materiali!$C:$K,6,0),"")</f>
        <v/>
      </c>
      <c r="H1073" s="86"/>
      <c r="I1073" s="84" t="str">
        <f>IFERROR(VLOOKUP(CONCATENATE($B1073,"_",I$3),materiali!$C:$K,5,0),"")</f>
        <v/>
      </c>
      <c r="J1073" s="85" t="str">
        <f>IFERROR(VLOOKUP(CONCATENATE($B1073,"_",J$3),materiali!$C:$K,6,0),"")</f>
        <v/>
      </c>
      <c r="K1073" s="86"/>
      <c r="L1073" s="84" t="str">
        <f>IFERROR(VLOOKUP(CONCATENATE($B1073,"_",L$3),materiali!$C:$K,5,0),"")</f>
        <v/>
      </c>
      <c r="M1073" s="85" t="str">
        <f>IFERROR(VLOOKUP(CONCATENATE($B1073,"_",M$3),materiali!$C:$K,6,0),"")</f>
        <v/>
      </c>
      <c r="N1073" s="86"/>
      <c r="O1073" s="84" t="str">
        <f>IFERROR(VLOOKUP(CONCATENATE($B1073,"_",O$3),materiali!$C:$K,5,0),"")</f>
        <v/>
      </c>
      <c r="P1073" s="85" t="str">
        <f>IFERROR(VLOOKUP(CONCATENATE($B1073,"_",P$3),materiali!$C:$K,6,0),"")</f>
        <v/>
      </c>
      <c r="Q1073" s="86"/>
      <c r="R1073" s="84" t="str">
        <f>IFERROR(VLOOKUP(CONCATENATE($B1073,"_",R$3),materiali!$C:$K,5,0),"")</f>
        <v/>
      </c>
      <c r="S1073" s="85" t="str">
        <f>IFERROR(VLOOKUP(CONCATENATE($B1073,"_",S$3),materiali!$C:$K,6,0),"")</f>
        <v/>
      </c>
      <c r="T1073" s="86"/>
      <c r="U1073" s="31"/>
      <c r="AD1073" s="97"/>
    </row>
    <row r="1074" spans="1:30" ht="35.1" hidden="1" customHeight="1" x14ac:dyDescent="0.25">
      <c r="A1074" s="83"/>
      <c r="B1074" s="7"/>
      <c r="C1074" s="8"/>
      <c r="D1074" s="8"/>
      <c r="E1074" s="60"/>
      <c r="F1074" s="84" t="str">
        <f>IFERROR(VLOOKUP(CONCATENATE($B1074,"_",F$3),materiali!$C:$K,5,0),"")</f>
        <v/>
      </c>
      <c r="G1074" s="85" t="str">
        <f>IFERROR(VLOOKUP(CONCATENATE($B1074,"_",G$3),materiali!$C:$K,6,0),"")</f>
        <v/>
      </c>
      <c r="H1074" s="86"/>
      <c r="I1074" s="84" t="str">
        <f>IFERROR(VLOOKUP(CONCATENATE($B1074,"_",I$3),materiali!$C:$K,5,0),"")</f>
        <v/>
      </c>
      <c r="J1074" s="85" t="str">
        <f>IFERROR(VLOOKUP(CONCATENATE($B1074,"_",J$3),materiali!$C:$K,6,0),"")</f>
        <v/>
      </c>
      <c r="K1074" s="86"/>
      <c r="L1074" s="84" t="str">
        <f>IFERROR(VLOOKUP(CONCATENATE($B1074,"_",L$3),materiali!$C:$K,5,0),"")</f>
        <v/>
      </c>
      <c r="M1074" s="85" t="str">
        <f>IFERROR(VLOOKUP(CONCATENATE($B1074,"_",M$3),materiali!$C:$K,6,0),"")</f>
        <v/>
      </c>
      <c r="N1074" s="86"/>
      <c r="O1074" s="84" t="str">
        <f>IFERROR(VLOOKUP(CONCATENATE($B1074,"_",O$3),materiali!$C:$K,5,0),"")</f>
        <v/>
      </c>
      <c r="P1074" s="85" t="str">
        <f>IFERROR(VLOOKUP(CONCATENATE($B1074,"_",P$3),materiali!$C:$K,6,0),"")</f>
        <v/>
      </c>
      <c r="Q1074" s="86"/>
      <c r="R1074" s="84" t="str">
        <f>IFERROR(VLOOKUP(CONCATENATE($B1074,"_",R$3),materiali!$C:$K,5,0),"")</f>
        <v/>
      </c>
      <c r="S1074" s="85" t="str">
        <f>IFERROR(VLOOKUP(CONCATENATE($B1074,"_",S$3),materiali!$C:$K,6,0),"")</f>
        <v/>
      </c>
      <c r="T1074" s="86"/>
      <c r="U1074" s="31"/>
      <c r="AD1074" s="97"/>
    </row>
    <row r="1075" spans="1:30" ht="35.1" hidden="1" customHeight="1" x14ac:dyDescent="0.25">
      <c r="A1075" s="83"/>
      <c r="B1075" s="7"/>
      <c r="C1075" s="8"/>
      <c r="D1075" s="8"/>
      <c r="E1075" s="60"/>
      <c r="F1075" s="84" t="str">
        <f>IFERROR(VLOOKUP(CONCATENATE($B1075,"_",F$3),materiali!$C:$K,5,0),"")</f>
        <v/>
      </c>
      <c r="G1075" s="85" t="str">
        <f>IFERROR(VLOOKUP(CONCATENATE($B1075,"_",G$3),materiali!$C:$K,6,0),"")</f>
        <v/>
      </c>
      <c r="H1075" s="86"/>
      <c r="I1075" s="84" t="str">
        <f>IFERROR(VLOOKUP(CONCATENATE($B1075,"_",I$3),materiali!$C:$K,5,0),"")</f>
        <v/>
      </c>
      <c r="J1075" s="85" t="str">
        <f>IFERROR(VLOOKUP(CONCATENATE($B1075,"_",J$3),materiali!$C:$K,6,0),"")</f>
        <v/>
      </c>
      <c r="K1075" s="86"/>
      <c r="L1075" s="84" t="str">
        <f>IFERROR(VLOOKUP(CONCATENATE($B1075,"_",L$3),materiali!$C:$K,5,0),"")</f>
        <v/>
      </c>
      <c r="M1075" s="85" t="str">
        <f>IFERROR(VLOOKUP(CONCATENATE($B1075,"_",M$3),materiali!$C:$K,6,0),"")</f>
        <v/>
      </c>
      <c r="N1075" s="86"/>
      <c r="O1075" s="84" t="str">
        <f>IFERROR(VLOOKUP(CONCATENATE($B1075,"_",O$3),materiali!$C:$K,5,0),"")</f>
        <v/>
      </c>
      <c r="P1075" s="85" t="str">
        <f>IFERROR(VLOOKUP(CONCATENATE($B1075,"_",P$3),materiali!$C:$K,6,0),"")</f>
        <v/>
      </c>
      <c r="Q1075" s="86"/>
      <c r="R1075" s="84" t="str">
        <f>IFERROR(VLOOKUP(CONCATENATE($B1075,"_",R$3),materiali!$C:$K,5,0),"")</f>
        <v/>
      </c>
      <c r="S1075" s="85" t="str">
        <f>IFERROR(VLOOKUP(CONCATENATE($B1075,"_",S$3),materiali!$C:$K,6,0),"")</f>
        <v/>
      </c>
      <c r="T1075" s="86"/>
      <c r="U1075" s="31"/>
      <c r="AD1075" s="97"/>
    </row>
    <row r="1076" spans="1:30" ht="35.1" hidden="1" customHeight="1" x14ac:dyDescent="0.25">
      <c r="A1076" s="83"/>
      <c r="B1076" s="7"/>
      <c r="C1076" s="8"/>
      <c r="D1076" s="8"/>
      <c r="E1076" s="60"/>
      <c r="F1076" s="84" t="str">
        <f>IFERROR(VLOOKUP(CONCATENATE($B1076,"_",F$3),materiali!$C:$K,5,0),"")</f>
        <v/>
      </c>
      <c r="G1076" s="85" t="str">
        <f>IFERROR(VLOOKUP(CONCATENATE($B1076,"_",G$3),materiali!$C:$K,6,0),"")</f>
        <v/>
      </c>
      <c r="H1076" s="86"/>
      <c r="I1076" s="84" t="str">
        <f>IFERROR(VLOOKUP(CONCATENATE($B1076,"_",I$3),materiali!$C:$K,5,0),"")</f>
        <v/>
      </c>
      <c r="J1076" s="85" t="str">
        <f>IFERROR(VLOOKUP(CONCATENATE($B1076,"_",J$3),materiali!$C:$K,6,0),"")</f>
        <v/>
      </c>
      <c r="K1076" s="86"/>
      <c r="L1076" s="84" t="str">
        <f>IFERROR(VLOOKUP(CONCATENATE($B1076,"_",L$3),materiali!$C:$K,5,0),"")</f>
        <v/>
      </c>
      <c r="M1076" s="85" t="str">
        <f>IFERROR(VLOOKUP(CONCATENATE($B1076,"_",M$3),materiali!$C:$K,6,0),"")</f>
        <v/>
      </c>
      <c r="N1076" s="86"/>
      <c r="O1076" s="84" t="str">
        <f>IFERROR(VLOOKUP(CONCATENATE($B1076,"_",O$3),materiali!$C:$K,5,0),"")</f>
        <v/>
      </c>
      <c r="P1076" s="85" t="str">
        <f>IFERROR(VLOOKUP(CONCATENATE($B1076,"_",P$3),materiali!$C:$K,6,0),"")</f>
        <v/>
      </c>
      <c r="Q1076" s="86"/>
      <c r="R1076" s="84" t="str">
        <f>IFERROR(VLOOKUP(CONCATENATE($B1076,"_",R$3),materiali!$C:$K,5,0),"")</f>
        <v/>
      </c>
      <c r="S1076" s="85" t="str">
        <f>IFERROR(VLOOKUP(CONCATENATE($B1076,"_",S$3),materiali!$C:$K,6,0),"")</f>
        <v/>
      </c>
      <c r="T1076" s="86"/>
      <c r="U1076" s="31"/>
      <c r="AD1076" s="97"/>
    </row>
    <row r="1077" spans="1:30" ht="35.1" hidden="1" customHeight="1" x14ac:dyDescent="0.25">
      <c r="A1077" s="83"/>
      <c r="B1077" s="7"/>
      <c r="C1077" s="8"/>
      <c r="D1077" s="8"/>
      <c r="E1077" s="60"/>
      <c r="F1077" s="84" t="str">
        <f>IFERROR(VLOOKUP(CONCATENATE($B1077,"_",F$3),materiali!$C:$K,5,0),"")</f>
        <v/>
      </c>
      <c r="G1077" s="85" t="str">
        <f>IFERROR(VLOOKUP(CONCATENATE($B1077,"_",G$3),materiali!$C:$K,6,0),"")</f>
        <v/>
      </c>
      <c r="H1077" s="86"/>
      <c r="I1077" s="84" t="str">
        <f>IFERROR(VLOOKUP(CONCATENATE($B1077,"_",I$3),materiali!$C:$K,5,0),"")</f>
        <v/>
      </c>
      <c r="J1077" s="85" t="str">
        <f>IFERROR(VLOOKUP(CONCATENATE($B1077,"_",J$3),materiali!$C:$K,6,0),"")</f>
        <v/>
      </c>
      <c r="K1077" s="86"/>
      <c r="L1077" s="84" t="str">
        <f>IFERROR(VLOOKUP(CONCATENATE($B1077,"_",L$3),materiali!$C:$K,5,0),"")</f>
        <v/>
      </c>
      <c r="M1077" s="85" t="str">
        <f>IFERROR(VLOOKUP(CONCATENATE($B1077,"_",M$3),materiali!$C:$K,6,0),"")</f>
        <v/>
      </c>
      <c r="N1077" s="86"/>
      <c r="O1077" s="84" t="str">
        <f>IFERROR(VLOOKUP(CONCATENATE($B1077,"_",O$3),materiali!$C:$K,5,0),"")</f>
        <v/>
      </c>
      <c r="P1077" s="85" t="str">
        <f>IFERROR(VLOOKUP(CONCATENATE($B1077,"_",P$3),materiali!$C:$K,6,0),"")</f>
        <v/>
      </c>
      <c r="Q1077" s="86"/>
      <c r="R1077" s="84" t="str">
        <f>IFERROR(VLOOKUP(CONCATENATE($B1077,"_",R$3),materiali!$C:$K,5,0),"")</f>
        <v/>
      </c>
      <c r="S1077" s="85" t="str">
        <f>IFERROR(VLOOKUP(CONCATENATE($B1077,"_",S$3),materiali!$C:$K,6,0),"")</f>
        <v/>
      </c>
      <c r="T1077" s="86"/>
      <c r="U1077" s="31"/>
      <c r="AD1077" s="97"/>
    </row>
    <row r="1078" spans="1:30" ht="35.1" hidden="1" customHeight="1" x14ac:dyDescent="0.25">
      <c r="A1078" s="83"/>
      <c r="B1078" s="7"/>
      <c r="C1078" s="8"/>
      <c r="D1078" s="8"/>
      <c r="E1078" s="60"/>
      <c r="F1078" s="84" t="str">
        <f>IFERROR(VLOOKUP(CONCATENATE($B1078,"_",F$3),materiali!$C:$K,5,0),"")</f>
        <v/>
      </c>
      <c r="G1078" s="85" t="str">
        <f>IFERROR(VLOOKUP(CONCATENATE($B1078,"_",G$3),materiali!$C:$K,6,0),"")</f>
        <v/>
      </c>
      <c r="H1078" s="86"/>
      <c r="I1078" s="84" t="str">
        <f>IFERROR(VLOOKUP(CONCATENATE($B1078,"_",I$3),materiali!$C:$K,5,0),"")</f>
        <v/>
      </c>
      <c r="J1078" s="85" t="str">
        <f>IFERROR(VLOOKUP(CONCATENATE($B1078,"_",J$3),materiali!$C:$K,6,0),"")</f>
        <v/>
      </c>
      <c r="K1078" s="86"/>
      <c r="L1078" s="84" t="str">
        <f>IFERROR(VLOOKUP(CONCATENATE($B1078,"_",L$3),materiali!$C:$K,5,0),"")</f>
        <v/>
      </c>
      <c r="M1078" s="85" t="str">
        <f>IFERROR(VLOOKUP(CONCATENATE($B1078,"_",M$3),materiali!$C:$K,6,0),"")</f>
        <v/>
      </c>
      <c r="N1078" s="86"/>
      <c r="O1078" s="84" t="str">
        <f>IFERROR(VLOOKUP(CONCATENATE($B1078,"_",O$3),materiali!$C:$K,5,0),"")</f>
        <v/>
      </c>
      <c r="P1078" s="85" t="str">
        <f>IFERROR(VLOOKUP(CONCATENATE($B1078,"_",P$3),materiali!$C:$K,6,0),"")</f>
        <v/>
      </c>
      <c r="Q1078" s="86"/>
      <c r="R1078" s="84" t="str">
        <f>IFERROR(VLOOKUP(CONCATENATE($B1078,"_",R$3),materiali!$C:$K,5,0),"")</f>
        <v/>
      </c>
      <c r="S1078" s="85" t="str">
        <f>IFERROR(VLOOKUP(CONCATENATE($B1078,"_",S$3),materiali!$C:$K,6,0),"")</f>
        <v/>
      </c>
      <c r="T1078" s="86"/>
      <c r="U1078" s="31"/>
      <c r="AD1078" s="97"/>
    </row>
    <row r="1079" spans="1:30" ht="35.1" hidden="1" customHeight="1" x14ac:dyDescent="0.25">
      <c r="A1079" s="83"/>
      <c r="B1079" s="7"/>
      <c r="C1079" s="8"/>
      <c r="D1079" s="8"/>
      <c r="E1079" s="60"/>
      <c r="F1079" s="84" t="str">
        <f>IFERROR(VLOOKUP(CONCATENATE($B1079,"_",F$3),materiali!$C:$K,5,0),"")</f>
        <v/>
      </c>
      <c r="G1079" s="85" t="str">
        <f>IFERROR(VLOOKUP(CONCATENATE($B1079,"_",G$3),materiali!$C:$K,6,0),"")</f>
        <v/>
      </c>
      <c r="H1079" s="86"/>
      <c r="I1079" s="84" t="str">
        <f>IFERROR(VLOOKUP(CONCATENATE($B1079,"_",I$3),materiali!$C:$K,5,0),"")</f>
        <v/>
      </c>
      <c r="J1079" s="85" t="str">
        <f>IFERROR(VLOOKUP(CONCATENATE($B1079,"_",J$3),materiali!$C:$K,6,0),"")</f>
        <v/>
      </c>
      <c r="K1079" s="86"/>
      <c r="L1079" s="84" t="str">
        <f>IFERROR(VLOOKUP(CONCATENATE($B1079,"_",L$3),materiali!$C:$K,5,0),"")</f>
        <v/>
      </c>
      <c r="M1079" s="85" t="str">
        <f>IFERROR(VLOOKUP(CONCATENATE($B1079,"_",M$3),materiali!$C:$K,6,0),"")</f>
        <v/>
      </c>
      <c r="N1079" s="86"/>
      <c r="O1079" s="84" t="str">
        <f>IFERROR(VLOOKUP(CONCATENATE($B1079,"_",O$3),materiali!$C:$K,5,0),"")</f>
        <v/>
      </c>
      <c r="P1079" s="85" t="str">
        <f>IFERROR(VLOOKUP(CONCATENATE($B1079,"_",P$3),materiali!$C:$K,6,0),"")</f>
        <v/>
      </c>
      <c r="Q1079" s="86"/>
      <c r="R1079" s="84" t="str">
        <f>IFERROR(VLOOKUP(CONCATENATE($B1079,"_",R$3),materiali!$C:$K,5,0),"")</f>
        <v/>
      </c>
      <c r="S1079" s="85" t="str">
        <f>IFERROR(VLOOKUP(CONCATENATE($B1079,"_",S$3),materiali!$C:$K,6,0),"")</f>
        <v/>
      </c>
      <c r="T1079" s="86"/>
      <c r="U1079" s="31"/>
      <c r="AD1079" s="97"/>
    </row>
    <row r="1080" spans="1:30" ht="35.1" hidden="1" customHeight="1" x14ac:dyDescent="0.25">
      <c r="A1080" s="83"/>
      <c r="B1080" s="7"/>
      <c r="C1080" s="8"/>
      <c r="D1080" s="8"/>
      <c r="E1080" s="60"/>
      <c r="F1080" s="84" t="str">
        <f>IFERROR(VLOOKUP(CONCATENATE($B1080,"_",F$3),materiali!$C:$K,5,0),"")</f>
        <v/>
      </c>
      <c r="G1080" s="85" t="str">
        <f>IFERROR(VLOOKUP(CONCATENATE($B1080,"_",G$3),materiali!$C:$K,6,0),"")</f>
        <v/>
      </c>
      <c r="H1080" s="86"/>
      <c r="I1080" s="84" t="str">
        <f>IFERROR(VLOOKUP(CONCATENATE($B1080,"_",I$3),materiali!$C:$K,5,0),"")</f>
        <v/>
      </c>
      <c r="J1080" s="85" t="str">
        <f>IFERROR(VLOOKUP(CONCATENATE($B1080,"_",J$3),materiali!$C:$K,6,0),"")</f>
        <v/>
      </c>
      <c r="K1080" s="86"/>
      <c r="L1080" s="84" t="str">
        <f>IFERROR(VLOOKUP(CONCATENATE($B1080,"_",L$3),materiali!$C:$K,5,0),"")</f>
        <v/>
      </c>
      <c r="M1080" s="85" t="str">
        <f>IFERROR(VLOOKUP(CONCATENATE($B1080,"_",M$3),materiali!$C:$K,6,0),"")</f>
        <v/>
      </c>
      <c r="N1080" s="86"/>
      <c r="O1080" s="84" t="str">
        <f>IFERROR(VLOOKUP(CONCATENATE($B1080,"_",O$3),materiali!$C:$K,5,0),"")</f>
        <v/>
      </c>
      <c r="P1080" s="85" t="str">
        <f>IFERROR(VLOOKUP(CONCATENATE($B1080,"_",P$3),materiali!$C:$K,6,0),"")</f>
        <v/>
      </c>
      <c r="Q1080" s="86"/>
      <c r="R1080" s="84" t="str">
        <f>IFERROR(VLOOKUP(CONCATENATE($B1080,"_",R$3),materiali!$C:$K,5,0),"")</f>
        <v/>
      </c>
      <c r="S1080" s="85" t="str">
        <f>IFERROR(VLOOKUP(CONCATENATE($B1080,"_",S$3),materiali!$C:$K,6,0),"")</f>
        <v/>
      </c>
      <c r="T1080" s="86"/>
      <c r="U1080" s="31"/>
      <c r="AD1080" s="97"/>
    </row>
    <row r="1081" spans="1:30" ht="35.1" hidden="1" customHeight="1" x14ac:dyDescent="0.25">
      <c r="A1081" s="83"/>
      <c r="B1081" s="7"/>
      <c r="C1081" s="8"/>
      <c r="D1081" s="8"/>
      <c r="E1081" s="60"/>
      <c r="F1081" s="84" t="str">
        <f>IFERROR(VLOOKUP(CONCATENATE($B1081,"_",F$3),materiali!$C:$K,5,0),"")</f>
        <v/>
      </c>
      <c r="G1081" s="85" t="str">
        <f>IFERROR(VLOOKUP(CONCATENATE($B1081,"_",G$3),materiali!$C:$K,6,0),"")</f>
        <v/>
      </c>
      <c r="H1081" s="86"/>
      <c r="I1081" s="84" t="str">
        <f>IFERROR(VLOOKUP(CONCATENATE($B1081,"_",I$3),materiali!$C:$K,5,0),"")</f>
        <v/>
      </c>
      <c r="J1081" s="85" t="str">
        <f>IFERROR(VLOOKUP(CONCATENATE($B1081,"_",J$3),materiali!$C:$K,6,0),"")</f>
        <v/>
      </c>
      <c r="K1081" s="86"/>
      <c r="L1081" s="84" t="str">
        <f>IFERROR(VLOOKUP(CONCATENATE($B1081,"_",L$3),materiali!$C:$K,5,0),"")</f>
        <v/>
      </c>
      <c r="M1081" s="85" t="str">
        <f>IFERROR(VLOOKUP(CONCATENATE($B1081,"_",M$3),materiali!$C:$K,6,0),"")</f>
        <v/>
      </c>
      <c r="N1081" s="86"/>
      <c r="O1081" s="84" t="str">
        <f>IFERROR(VLOOKUP(CONCATENATE($B1081,"_",O$3),materiali!$C:$K,5,0),"")</f>
        <v/>
      </c>
      <c r="P1081" s="85" t="str">
        <f>IFERROR(VLOOKUP(CONCATENATE($B1081,"_",P$3),materiali!$C:$K,6,0),"")</f>
        <v/>
      </c>
      <c r="Q1081" s="86"/>
      <c r="R1081" s="84" t="str">
        <f>IFERROR(VLOOKUP(CONCATENATE($B1081,"_",R$3),materiali!$C:$K,5,0),"")</f>
        <v/>
      </c>
      <c r="S1081" s="85" t="str">
        <f>IFERROR(VLOOKUP(CONCATENATE($B1081,"_",S$3),materiali!$C:$K,6,0),"")</f>
        <v/>
      </c>
      <c r="T1081" s="86"/>
      <c r="U1081" s="31"/>
      <c r="AD1081" s="97"/>
    </row>
    <row r="1082" spans="1:30" ht="35.1" hidden="1" customHeight="1" x14ac:dyDescent="0.25">
      <c r="A1082" s="83"/>
      <c r="B1082" s="7"/>
      <c r="C1082" s="8"/>
      <c r="D1082" s="8"/>
      <c r="E1082" s="60"/>
      <c r="F1082" s="84" t="str">
        <f>IFERROR(VLOOKUP(CONCATENATE($B1082,"_",F$3),materiali!$C:$K,5,0),"")</f>
        <v/>
      </c>
      <c r="G1082" s="85" t="str">
        <f>IFERROR(VLOOKUP(CONCATENATE($B1082,"_",G$3),materiali!$C:$K,6,0),"")</f>
        <v/>
      </c>
      <c r="H1082" s="86"/>
      <c r="I1082" s="84" t="str">
        <f>IFERROR(VLOOKUP(CONCATENATE($B1082,"_",I$3),materiali!$C:$K,5,0),"")</f>
        <v/>
      </c>
      <c r="J1082" s="85" t="str">
        <f>IFERROR(VLOOKUP(CONCATENATE($B1082,"_",J$3),materiali!$C:$K,6,0),"")</f>
        <v/>
      </c>
      <c r="K1082" s="86"/>
      <c r="L1082" s="84" t="str">
        <f>IFERROR(VLOOKUP(CONCATENATE($B1082,"_",L$3),materiali!$C:$K,5,0),"")</f>
        <v/>
      </c>
      <c r="M1082" s="85" t="str">
        <f>IFERROR(VLOOKUP(CONCATENATE($B1082,"_",M$3),materiali!$C:$K,6,0),"")</f>
        <v/>
      </c>
      <c r="N1082" s="86"/>
      <c r="O1082" s="84" t="str">
        <f>IFERROR(VLOOKUP(CONCATENATE($B1082,"_",O$3),materiali!$C:$K,5,0),"")</f>
        <v/>
      </c>
      <c r="P1082" s="85" t="str">
        <f>IFERROR(VLOOKUP(CONCATENATE($B1082,"_",P$3),materiali!$C:$K,6,0),"")</f>
        <v/>
      </c>
      <c r="Q1082" s="86"/>
      <c r="R1082" s="84" t="str">
        <f>IFERROR(VLOOKUP(CONCATENATE($B1082,"_",R$3),materiali!$C:$K,5,0),"")</f>
        <v/>
      </c>
      <c r="S1082" s="85" t="str">
        <f>IFERROR(VLOOKUP(CONCATENATE($B1082,"_",S$3),materiali!$C:$K,6,0),"")</f>
        <v/>
      </c>
      <c r="T1082" s="86"/>
      <c r="U1082" s="31"/>
      <c r="AD1082" s="97"/>
    </row>
    <row r="1083" spans="1:30" ht="35.1" hidden="1" customHeight="1" x14ac:dyDescent="0.25">
      <c r="A1083" s="83"/>
      <c r="B1083" s="7"/>
      <c r="C1083" s="8"/>
      <c r="D1083" s="8"/>
      <c r="E1083" s="60"/>
      <c r="F1083" s="84" t="str">
        <f>IFERROR(VLOOKUP(CONCATENATE($B1083,"_",F$3),materiali!$C:$K,5,0),"")</f>
        <v/>
      </c>
      <c r="G1083" s="85" t="str">
        <f>IFERROR(VLOOKUP(CONCATENATE($B1083,"_",G$3),materiali!$C:$K,6,0),"")</f>
        <v/>
      </c>
      <c r="H1083" s="86"/>
      <c r="I1083" s="84" t="str">
        <f>IFERROR(VLOOKUP(CONCATENATE($B1083,"_",I$3),materiali!$C:$K,5,0),"")</f>
        <v/>
      </c>
      <c r="J1083" s="85" t="str">
        <f>IFERROR(VLOOKUP(CONCATENATE($B1083,"_",J$3),materiali!$C:$K,6,0),"")</f>
        <v/>
      </c>
      <c r="K1083" s="86"/>
      <c r="L1083" s="84" t="str">
        <f>IFERROR(VLOOKUP(CONCATENATE($B1083,"_",L$3),materiali!$C:$K,5,0),"")</f>
        <v/>
      </c>
      <c r="M1083" s="85" t="str">
        <f>IFERROR(VLOOKUP(CONCATENATE($B1083,"_",M$3),materiali!$C:$K,6,0),"")</f>
        <v/>
      </c>
      <c r="N1083" s="86"/>
      <c r="O1083" s="84" t="str">
        <f>IFERROR(VLOOKUP(CONCATENATE($B1083,"_",O$3),materiali!$C:$K,5,0),"")</f>
        <v/>
      </c>
      <c r="P1083" s="85" t="str">
        <f>IFERROR(VLOOKUP(CONCATENATE($B1083,"_",P$3),materiali!$C:$K,6,0),"")</f>
        <v/>
      </c>
      <c r="Q1083" s="86"/>
      <c r="R1083" s="84" t="str">
        <f>IFERROR(VLOOKUP(CONCATENATE($B1083,"_",R$3),materiali!$C:$K,5,0),"")</f>
        <v/>
      </c>
      <c r="S1083" s="85" t="str">
        <f>IFERROR(VLOOKUP(CONCATENATE($B1083,"_",S$3),materiali!$C:$K,6,0),"")</f>
        <v/>
      </c>
      <c r="T1083" s="86"/>
      <c r="U1083" s="31"/>
      <c r="AD1083" s="97"/>
    </row>
    <row r="1084" spans="1:30" ht="35.1" hidden="1" customHeight="1" x14ac:dyDescent="0.25">
      <c r="A1084" s="83"/>
      <c r="B1084" s="7"/>
      <c r="C1084" s="8"/>
      <c r="D1084" s="8"/>
      <c r="E1084" s="60"/>
      <c r="F1084" s="84" t="str">
        <f>IFERROR(VLOOKUP(CONCATENATE($B1084,"_",F$3),materiali!$C:$K,5,0),"")</f>
        <v/>
      </c>
      <c r="G1084" s="85" t="str">
        <f>IFERROR(VLOOKUP(CONCATENATE($B1084,"_",G$3),materiali!$C:$K,6,0),"")</f>
        <v/>
      </c>
      <c r="H1084" s="86"/>
      <c r="I1084" s="84" t="str">
        <f>IFERROR(VLOOKUP(CONCATENATE($B1084,"_",I$3),materiali!$C:$K,5,0),"")</f>
        <v/>
      </c>
      <c r="J1084" s="85" t="str">
        <f>IFERROR(VLOOKUP(CONCATENATE($B1084,"_",J$3),materiali!$C:$K,6,0),"")</f>
        <v/>
      </c>
      <c r="K1084" s="86"/>
      <c r="L1084" s="84" t="str">
        <f>IFERROR(VLOOKUP(CONCATENATE($B1084,"_",L$3),materiali!$C:$K,5,0),"")</f>
        <v/>
      </c>
      <c r="M1084" s="85" t="str">
        <f>IFERROR(VLOOKUP(CONCATENATE($B1084,"_",M$3),materiali!$C:$K,6,0),"")</f>
        <v/>
      </c>
      <c r="N1084" s="86"/>
      <c r="O1084" s="84" t="str">
        <f>IFERROR(VLOOKUP(CONCATENATE($B1084,"_",O$3),materiali!$C:$K,5,0),"")</f>
        <v/>
      </c>
      <c r="P1084" s="85" t="str">
        <f>IFERROR(VLOOKUP(CONCATENATE($B1084,"_",P$3),materiali!$C:$K,6,0),"")</f>
        <v/>
      </c>
      <c r="Q1084" s="86"/>
      <c r="R1084" s="84" t="str">
        <f>IFERROR(VLOOKUP(CONCATENATE($B1084,"_",R$3),materiali!$C:$K,5,0),"")</f>
        <v/>
      </c>
      <c r="S1084" s="85" t="str">
        <f>IFERROR(VLOOKUP(CONCATENATE($B1084,"_",S$3),materiali!$C:$K,6,0),"")</f>
        <v/>
      </c>
      <c r="T1084" s="86"/>
      <c r="U1084" s="31"/>
      <c r="AD1084" s="97"/>
    </row>
    <row r="1085" spans="1:30" ht="35.1" hidden="1" customHeight="1" x14ac:dyDescent="0.25">
      <c r="A1085" s="83"/>
      <c r="B1085" s="7"/>
      <c r="C1085" s="8"/>
      <c r="D1085" s="8"/>
      <c r="E1085" s="60"/>
      <c r="F1085" s="84" t="str">
        <f>IFERROR(VLOOKUP(CONCATENATE($B1085,"_",F$3),materiali!$C:$K,5,0),"")</f>
        <v/>
      </c>
      <c r="G1085" s="85" t="str">
        <f>IFERROR(VLOOKUP(CONCATENATE($B1085,"_",G$3),materiali!$C:$K,6,0),"")</f>
        <v/>
      </c>
      <c r="H1085" s="86"/>
      <c r="I1085" s="84" t="str">
        <f>IFERROR(VLOOKUP(CONCATENATE($B1085,"_",I$3),materiali!$C:$K,5,0),"")</f>
        <v/>
      </c>
      <c r="J1085" s="85" t="str">
        <f>IFERROR(VLOOKUP(CONCATENATE($B1085,"_",J$3),materiali!$C:$K,6,0),"")</f>
        <v/>
      </c>
      <c r="K1085" s="86"/>
      <c r="L1085" s="84" t="str">
        <f>IFERROR(VLOOKUP(CONCATENATE($B1085,"_",L$3),materiali!$C:$K,5,0),"")</f>
        <v/>
      </c>
      <c r="M1085" s="85" t="str">
        <f>IFERROR(VLOOKUP(CONCATENATE($B1085,"_",M$3),materiali!$C:$K,6,0),"")</f>
        <v/>
      </c>
      <c r="N1085" s="86"/>
      <c r="O1085" s="84" t="str">
        <f>IFERROR(VLOOKUP(CONCATENATE($B1085,"_",O$3),materiali!$C:$K,5,0),"")</f>
        <v/>
      </c>
      <c r="P1085" s="85" t="str">
        <f>IFERROR(VLOOKUP(CONCATENATE($B1085,"_",P$3),materiali!$C:$K,6,0),"")</f>
        <v/>
      </c>
      <c r="Q1085" s="86"/>
      <c r="R1085" s="84" t="str">
        <f>IFERROR(VLOOKUP(CONCATENATE($B1085,"_",R$3),materiali!$C:$K,5,0),"")</f>
        <v/>
      </c>
      <c r="S1085" s="85" t="str">
        <f>IFERROR(VLOOKUP(CONCATENATE($B1085,"_",S$3),materiali!$C:$K,6,0),"")</f>
        <v/>
      </c>
      <c r="T1085" s="86"/>
      <c r="U1085" s="31"/>
      <c r="AD1085" s="97"/>
    </row>
    <row r="1086" spans="1:30" ht="35.1" hidden="1" customHeight="1" x14ac:dyDescent="0.25">
      <c r="A1086" s="83"/>
      <c r="B1086" s="7"/>
      <c r="C1086" s="8"/>
      <c r="D1086" s="8"/>
      <c r="E1086" s="60"/>
      <c r="F1086" s="84" t="str">
        <f>IFERROR(VLOOKUP(CONCATENATE($B1086,"_",F$3),materiali!$C:$K,5,0),"")</f>
        <v/>
      </c>
      <c r="G1086" s="85" t="str">
        <f>IFERROR(VLOOKUP(CONCATENATE($B1086,"_",G$3),materiali!$C:$K,6,0),"")</f>
        <v/>
      </c>
      <c r="H1086" s="86"/>
      <c r="I1086" s="84" t="str">
        <f>IFERROR(VLOOKUP(CONCATENATE($B1086,"_",I$3),materiali!$C:$K,5,0),"")</f>
        <v/>
      </c>
      <c r="J1086" s="85" t="str">
        <f>IFERROR(VLOOKUP(CONCATENATE($B1086,"_",J$3),materiali!$C:$K,6,0),"")</f>
        <v/>
      </c>
      <c r="K1086" s="86"/>
      <c r="L1086" s="84" t="str">
        <f>IFERROR(VLOOKUP(CONCATENATE($B1086,"_",L$3),materiali!$C:$K,5,0),"")</f>
        <v/>
      </c>
      <c r="M1086" s="85" t="str">
        <f>IFERROR(VLOOKUP(CONCATENATE($B1086,"_",M$3),materiali!$C:$K,6,0),"")</f>
        <v/>
      </c>
      <c r="N1086" s="86"/>
      <c r="O1086" s="84" t="str">
        <f>IFERROR(VLOOKUP(CONCATENATE($B1086,"_",O$3),materiali!$C:$K,5,0),"")</f>
        <v/>
      </c>
      <c r="P1086" s="85" t="str">
        <f>IFERROR(VLOOKUP(CONCATENATE($B1086,"_",P$3),materiali!$C:$K,6,0),"")</f>
        <v/>
      </c>
      <c r="Q1086" s="86"/>
      <c r="R1086" s="84" t="str">
        <f>IFERROR(VLOOKUP(CONCATENATE($B1086,"_",R$3),materiali!$C:$K,5,0),"")</f>
        <v/>
      </c>
      <c r="S1086" s="85" t="str">
        <f>IFERROR(VLOOKUP(CONCATENATE($B1086,"_",S$3),materiali!$C:$K,6,0),"")</f>
        <v/>
      </c>
      <c r="T1086" s="86"/>
      <c r="U1086" s="31"/>
      <c r="AD1086" s="97"/>
    </row>
    <row r="1087" spans="1:30" ht="35.1" hidden="1" customHeight="1" x14ac:dyDescent="0.25">
      <c r="A1087" s="83"/>
      <c r="B1087" s="7"/>
      <c r="C1087" s="8"/>
      <c r="D1087" s="8"/>
      <c r="E1087" s="60"/>
      <c r="F1087" s="84" t="str">
        <f>IFERROR(VLOOKUP(CONCATENATE($B1087,"_",F$3),materiali!$C:$K,5,0),"")</f>
        <v/>
      </c>
      <c r="G1087" s="85" t="str">
        <f>IFERROR(VLOOKUP(CONCATENATE($B1087,"_",G$3),materiali!$C:$K,6,0),"")</f>
        <v/>
      </c>
      <c r="H1087" s="86"/>
      <c r="I1087" s="84" t="str">
        <f>IFERROR(VLOOKUP(CONCATENATE($B1087,"_",I$3),materiali!$C:$K,5,0),"")</f>
        <v/>
      </c>
      <c r="J1087" s="85" t="str">
        <f>IFERROR(VLOOKUP(CONCATENATE($B1087,"_",J$3),materiali!$C:$K,6,0),"")</f>
        <v/>
      </c>
      <c r="K1087" s="86"/>
      <c r="L1087" s="84" t="str">
        <f>IFERROR(VLOOKUP(CONCATENATE($B1087,"_",L$3),materiali!$C:$K,5,0),"")</f>
        <v/>
      </c>
      <c r="M1087" s="85" t="str">
        <f>IFERROR(VLOOKUP(CONCATENATE($B1087,"_",M$3),materiali!$C:$K,6,0),"")</f>
        <v/>
      </c>
      <c r="N1087" s="86"/>
      <c r="O1087" s="84" t="str">
        <f>IFERROR(VLOOKUP(CONCATENATE($B1087,"_",O$3),materiali!$C:$K,5,0),"")</f>
        <v/>
      </c>
      <c r="P1087" s="85" t="str">
        <f>IFERROR(VLOOKUP(CONCATENATE($B1087,"_",P$3),materiali!$C:$K,6,0),"")</f>
        <v/>
      </c>
      <c r="Q1087" s="86"/>
      <c r="R1087" s="84" t="str">
        <f>IFERROR(VLOOKUP(CONCATENATE($B1087,"_",R$3),materiali!$C:$K,5,0),"")</f>
        <v/>
      </c>
      <c r="S1087" s="85" t="str">
        <f>IFERROR(VLOOKUP(CONCATENATE($B1087,"_",S$3),materiali!$C:$K,6,0),"")</f>
        <v/>
      </c>
      <c r="T1087" s="86"/>
      <c r="U1087" s="31"/>
      <c r="AD1087" s="97"/>
    </row>
    <row r="1088" spans="1:30" ht="35.1" hidden="1" customHeight="1" x14ac:dyDescent="0.25">
      <c r="A1088" s="83"/>
      <c r="B1088" s="7"/>
      <c r="C1088" s="8"/>
      <c r="D1088" s="8"/>
      <c r="E1088" s="60"/>
      <c r="F1088" s="84" t="str">
        <f>IFERROR(VLOOKUP(CONCATENATE($B1088,"_",F$3),materiali!$C:$K,5,0),"")</f>
        <v/>
      </c>
      <c r="G1088" s="85" t="str">
        <f>IFERROR(VLOOKUP(CONCATENATE($B1088,"_",G$3),materiali!$C:$K,6,0),"")</f>
        <v/>
      </c>
      <c r="H1088" s="86"/>
      <c r="I1088" s="84" t="str">
        <f>IFERROR(VLOOKUP(CONCATENATE($B1088,"_",I$3),materiali!$C:$K,5,0),"")</f>
        <v/>
      </c>
      <c r="J1088" s="85" t="str">
        <f>IFERROR(VLOOKUP(CONCATENATE($B1088,"_",J$3),materiali!$C:$K,6,0),"")</f>
        <v/>
      </c>
      <c r="K1088" s="86"/>
      <c r="L1088" s="84" t="str">
        <f>IFERROR(VLOOKUP(CONCATENATE($B1088,"_",L$3),materiali!$C:$K,5,0),"")</f>
        <v/>
      </c>
      <c r="M1088" s="85" t="str">
        <f>IFERROR(VLOOKUP(CONCATENATE($B1088,"_",M$3),materiali!$C:$K,6,0),"")</f>
        <v/>
      </c>
      <c r="N1088" s="86"/>
      <c r="O1088" s="84" t="str">
        <f>IFERROR(VLOOKUP(CONCATENATE($B1088,"_",O$3),materiali!$C:$K,5,0),"")</f>
        <v/>
      </c>
      <c r="P1088" s="85" t="str">
        <f>IFERROR(VLOOKUP(CONCATENATE($B1088,"_",P$3),materiali!$C:$K,6,0),"")</f>
        <v/>
      </c>
      <c r="Q1088" s="86"/>
      <c r="R1088" s="84" t="str">
        <f>IFERROR(VLOOKUP(CONCATENATE($B1088,"_",R$3),materiali!$C:$K,5,0),"")</f>
        <v/>
      </c>
      <c r="S1088" s="85" t="str">
        <f>IFERROR(VLOOKUP(CONCATENATE($B1088,"_",S$3),materiali!$C:$K,6,0),"")</f>
        <v/>
      </c>
      <c r="T1088" s="86"/>
      <c r="U1088" s="31"/>
      <c r="AD1088" s="97"/>
    </row>
    <row r="1089" spans="1:30" ht="35.1" hidden="1" customHeight="1" x14ac:dyDescent="0.25">
      <c r="A1089" s="83"/>
      <c r="B1089" s="7"/>
      <c r="C1089" s="8"/>
      <c r="D1089" s="8"/>
      <c r="E1089" s="60"/>
      <c r="F1089" s="84" t="str">
        <f>IFERROR(VLOOKUP(CONCATENATE($B1089,"_",F$3),materiali!$C:$K,5,0),"")</f>
        <v/>
      </c>
      <c r="G1089" s="85" t="str">
        <f>IFERROR(VLOOKUP(CONCATENATE($B1089,"_",G$3),materiali!$C:$K,6,0),"")</f>
        <v/>
      </c>
      <c r="H1089" s="86"/>
      <c r="I1089" s="84" t="str">
        <f>IFERROR(VLOOKUP(CONCATENATE($B1089,"_",I$3),materiali!$C:$K,5,0),"")</f>
        <v/>
      </c>
      <c r="J1089" s="85" t="str">
        <f>IFERROR(VLOOKUP(CONCATENATE($B1089,"_",J$3),materiali!$C:$K,6,0),"")</f>
        <v/>
      </c>
      <c r="K1089" s="86"/>
      <c r="L1089" s="84" t="str">
        <f>IFERROR(VLOOKUP(CONCATENATE($B1089,"_",L$3),materiali!$C:$K,5,0),"")</f>
        <v/>
      </c>
      <c r="M1089" s="85" t="str">
        <f>IFERROR(VLOOKUP(CONCATENATE($B1089,"_",M$3),materiali!$C:$K,6,0),"")</f>
        <v/>
      </c>
      <c r="N1089" s="86"/>
      <c r="O1089" s="84" t="str">
        <f>IFERROR(VLOOKUP(CONCATENATE($B1089,"_",O$3),materiali!$C:$K,5,0),"")</f>
        <v/>
      </c>
      <c r="P1089" s="85" t="str">
        <f>IFERROR(VLOOKUP(CONCATENATE($B1089,"_",P$3),materiali!$C:$K,6,0),"")</f>
        <v/>
      </c>
      <c r="Q1089" s="86"/>
      <c r="R1089" s="84" t="str">
        <f>IFERROR(VLOOKUP(CONCATENATE($B1089,"_",R$3),materiali!$C:$K,5,0),"")</f>
        <v/>
      </c>
      <c r="S1089" s="85" t="str">
        <f>IFERROR(VLOOKUP(CONCATENATE($B1089,"_",S$3),materiali!$C:$K,6,0),"")</f>
        <v/>
      </c>
      <c r="T1089" s="86"/>
      <c r="U1089" s="31"/>
      <c r="AD1089" s="97"/>
    </row>
    <row r="1090" spans="1:30" ht="35.1" hidden="1" customHeight="1" x14ac:dyDescent="0.25">
      <c r="A1090" s="83"/>
      <c r="B1090" s="7"/>
      <c r="C1090" s="8"/>
      <c r="D1090" s="8"/>
      <c r="E1090" s="60"/>
      <c r="F1090" s="84" t="str">
        <f>IFERROR(VLOOKUP(CONCATENATE($B1090,"_",F$3),materiali!$C:$K,5,0),"")</f>
        <v/>
      </c>
      <c r="G1090" s="85" t="str">
        <f>IFERROR(VLOOKUP(CONCATENATE($B1090,"_",G$3),materiali!$C:$K,6,0),"")</f>
        <v/>
      </c>
      <c r="H1090" s="86"/>
      <c r="I1090" s="84" t="str">
        <f>IFERROR(VLOOKUP(CONCATENATE($B1090,"_",I$3),materiali!$C:$K,5,0),"")</f>
        <v/>
      </c>
      <c r="J1090" s="85" t="str">
        <f>IFERROR(VLOOKUP(CONCATENATE($B1090,"_",J$3),materiali!$C:$K,6,0),"")</f>
        <v/>
      </c>
      <c r="K1090" s="86"/>
      <c r="L1090" s="84" t="str">
        <f>IFERROR(VLOOKUP(CONCATENATE($B1090,"_",L$3),materiali!$C:$K,5,0),"")</f>
        <v/>
      </c>
      <c r="M1090" s="85" t="str">
        <f>IFERROR(VLOOKUP(CONCATENATE($B1090,"_",M$3),materiali!$C:$K,6,0),"")</f>
        <v/>
      </c>
      <c r="N1090" s="86"/>
      <c r="O1090" s="84" t="str">
        <f>IFERROR(VLOOKUP(CONCATENATE($B1090,"_",O$3),materiali!$C:$K,5,0),"")</f>
        <v/>
      </c>
      <c r="P1090" s="85" t="str">
        <f>IFERROR(VLOOKUP(CONCATENATE($B1090,"_",P$3),materiali!$C:$K,6,0),"")</f>
        <v/>
      </c>
      <c r="Q1090" s="86"/>
      <c r="R1090" s="84" t="str">
        <f>IFERROR(VLOOKUP(CONCATENATE($B1090,"_",R$3),materiali!$C:$K,5,0),"")</f>
        <v/>
      </c>
      <c r="S1090" s="85" t="str">
        <f>IFERROR(VLOOKUP(CONCATENATE($B1090,"_",S$3),materiali!$C:$K,6,0),"")</f>
        <v/>
      </c>
      <c r="T1090" s="86"/>
      <c r="U1090" s="31"/>
      <c r="AD1090" s="97"/>
    </row>
    <row r="1091" spans="1:30" ht="35.1" hidden="1" customHeight="1" x14ac:dyDescent="0.25">
      <c r="A1091" s="83"/>
      <c r="B1091" s="7"/>
      <c r="C1091" s="8"/>
      <c r="D1091" s="8"/>
      <c r="E1091" s="60"/>
      <c r="F1091" s="84" t="str">
        <f>IFERROR(VLOOKUP(CONCATENATE($B1091,"_",F$3),materiali!$C:$K,5,0),"")</f>
        <v/>
      </c>
      <c r="G1091" s="85" t="str">
        <f>IFERROR(VLOOKUP(CONCATENATE($B1091,"_",G$3),materiali!$C:$K,6,0),"")</f>
        <v/>
      </c>
      <c r="H1091" s="86"/>
      <c r="I1091" s="84" t="str">
        <f>IFERROR(VLOOKUP(CONCATENATE($B1091,"_",I$3),materiali!$C:$K,5,0),"")</f>
        <v/>
      </c>
      <c r="J1091" s="85" t="str">
        <f>IFERROR(VLOOKUP(CONCATENATE($B1091,"_",J$3),materiali!$C:$K,6,0),"")</f>
        <v/>
      </c>
      <c r="K1091" s="86"/>
      <c r="L1091" s="84" t="str">
        <f>IFERROR(VLOOKUP(CONCATENATE($B1091,"_",L$3),materiali!$C:$K,5,0),"")</f>
        <v/>
      </c>
      <c r="M1091" s="85" t="str">
        <f>IFERROR(VLOOKUP(CONCATENATE($B1091,"_",M$3),materiali!$C:$K,6,0),"")</f>
        <v/>
      </c>
      <c r="N1091" s="86"/>
      <c r="O1091" s="84" t="str">
        <f>IFERROR(VLOOKUP(CONCATENATE($B1091,"_",O$3),materiali!$C:$K,5,0),"")</f>
        <v/>
      </c>
      <c r="P1091" s="85" t="str">
        <f>IFERROR(VLOOKUP(CONCATENATE($B1091,"_",P$3),materiali!$C:$K,6,0),"")</f>
        <v/>
      </c>
      <c r="Q1091" s="86"/>
      <c r="R1091" s="84" t="str">
        <f>IFERROR(VLOOKUP(CONCATENATE($B1091,"_",R$3),materiali!$C:$K,5,0),"")</f>
        <v/>
      </c>
      <c r="S1091" s="85" t="str">
        <f>IFERROR(VLOOKUP(CONCATENATE($B1091,"_",S$3),materiali!$C:$K,6,0),"")</f>
        <v/>
      </c>
      <c r="T1091" s="86"/>
      <c r="U1091" s="31"/>
      <c r="AD1091" s="97"/>
    </row>
    <row r="1092" spans="1:30" ht="35.1" hidden="1" customHeight="1" x14ac:dyDescent="0.25">
      <c r="A1092" s="83"/>
      <c r="B1092" s="7"/>
      <c r="C1092" s="8"/>
      <c r="D1092" s="8"/>
      <c r="E1092" s="60"/>
      <c r="F1092" s="84" t="str">
        <f>IFERROR(VLOOKUP(CONCATENATE($B1092,"_",F$3),materiali!$C:$K,5,0),"")</f>
        <v/>
      </c>
      <c r="G1092" s="85" t="str">
        <f>IFERROR(VLOOKUP(CONCATENATE($B1092,"_",G$3),materiali!$C:$K,6,0),"")</f>
        <v/>
      </c>
      <c r="H1092" s="86"/>
      <c r="I1092" s="84" t="str">
        <f>IFERROR(VLOOKUP(CONCATENATE($B1092,"_",I$3),materiali!$C:$K,5,0),"")</f>
        <v/>
      </c>
      <c r="J1092" s="85" t="str">
        <f>IFERROR(VLOOKUP(CONCATENATE($B1092,"_",J$3),materiali!$C:$K,6,0),"")</f>
        <v/>
      </c>
      <c r="K1092" s="86"/>
      <c r="L1092" s="84" t="str">
        <f>IFERROR(VLOOKUP(CONCATENATE($B1092,"_",L$3),materiali!$C:$K,5,0),"")</f>
        <v/>
      </c>
      <c r="M1092" s="85" t="str">
        <f>IFERROR(VLOOKUP(CONCATENATE($B1092,"_",M$3),materiali!$C:$K,6,0),"")</f>
        <v/>
      </c>
      <c r="N1092" s="86"/>
      <c r="O1092" s="84" t="str">
        <f>IFERROR(VLOOKUP(CONCATENATE($B1092,"_",O$3),materiali!$C:$K,5,0),"")</f>
        <v/>
      </c>
      <c r="P1092" s="85" t="str">
        <f>IFERROR(VLOOKUP(CONCATENATE($B1092,"_",P$3),materiali!$C:$K,6,0),"")</f>
        <v/>
      </c>
      <c r="Q1092" s="86"/>
      <c r="R1092" s="84" t="str">
        <f>IFERROR(VLOOKUP(CONCATENATE($B1092,"_",R$3),materiali!$C:$K,5,0),"")</f>
        <v/>
      </c>
      <c r="S1092" s="85" t="str">
        <f>IFERROR(VLOOKUP(CONCATENATE($B1092,"_",S$3),materiali!$C:$K,6,0),"")</f>
        <v/>
      </c>
      <c r="T1092" s="86"/>
      <c r="U1092" s="31"/>
      <c r="AD1092" s="97"/>
    </row>
    <row r="1093" spans="1:30" ht="35.1" hidden="1" customHeight="1" x14ac:dyDescent="0.25">
      <c r="A1093" s="83"/>
      <c r="B1093" s="7"/>
      <c r="C1093" s="8"/>
      <c r="D1093" s="8"/>
      <c r="E1093" s="60"/>
      <c r="F1093" s="84" t="str">
        <f>IFERROR(VLOOKUP(CONCATENATE($B1093,"_",F$3),materiali!$C:$K,5,0),"")</f>
        <v/>
      </c>
      <c r="G1093" s="85" t="str">
        <f>IFERROR(VLOOKUP(CONCATENATE($B1093,"_",G$3),materiali!$C:$K,6,0),"")</f>
        <v/>
      </c>
      <c r="H1093" s="86"/>
      <c r="I1093" s="84" t="str">
        <f>IFERROR(VLOOKUP(CONCATENATE($B1093,"_",I$3),materiali!$C:$K,5,0),"")</f>
        <v/>
      </c>
      <c r="J1093" s="85" t="str">
        <f>IFERROR(VLOOKUP(CONCATENATE($B1093,"_",J$3),materiali!$C:$K,6,0),"")</f>
        <v/>
      </c>
      <c r="K1093" s="86"/>
      <c r="L1093" s="84" t="str">
        <f>IFERROR(VLOOKUP(CONCATENATE($B1093,"_",L$3),materiali!$C:$K,5,0),"")</f>
        <v/>
      </c>
      <c r="M1093" s="85" t="str">
        <f>IFERROR(VLOOKUP(CONCATENATE($B1093,"_",M$3),materiali!$C:$K,6,0),"")</f>
        <v/>
      </c>
      <c r="N1093" s="86"/>
      <c r="O1093" s="84" t="str">
        <f>IFERROR(VLOOKUP(CONCATENATE($B1093,"_",O$3),materiali!$C:$K,5,0),"")</f>
        <v/>
      </c>
      <c r="P1093" s="85" t="str">
        <f>IFERROR(VLOOKUP(CONCATENATE($B1093,"_",P$3),materiali!$C:$K,6,0),"")</f>
        <v/>
      </c>
      <c r="Q1093" s="86"/>
      <c r="R1093" s="84" t="str">
        <f>IFERROR(VLOOKUP(CONCATENATE($B1093,"_",R$3),materiali!$C:$K,5,0),"")</f>
        <v/>
      </c>
      <c r="S1093" s="85" t="str">
        <f>IFERROR(VLOOKUP(CONCATENATE($B1093,"_",S$3),materiali!$C:$K,6,0),"")</f>
        <v/>
      </c>
      <c r="T1093" s="86"/>
      <c r="U1093" s="31"/>
      <c r="AD1093" s="97"/>
    </row>
    <row r="1094" spans="1:30" ht="35.1" hidden="1" customHeight="1" x14ac:dyDescent="0.25">
      <c r="A1094" s="83"/>
      <c r="B1094" s="7"/>
      <c r="C1094" s="8"/>
      <c r="D1094" s="8"/>
      <c r="E1094" s="60"/>
      <c r="F1094" s="84" t="str">
        <f>IFERROR(VLOOKUP(CONCATENATE($B1094,"_",F$3),materiali!$C:$K,5,0),"")</f>
        <v/>
      </c>
      <c r="G1094" s="85" t="str">
        <f>IFERROR(VLOOKUP(CONCATENATE($B1094,"_",G$3),materiali!$C:$K,6,0),"")</f>
        <v/>
      </c>
      <c r="H1094" s="86"/>
      <c r="I1094" s="84" t="str">
        <f>IFERROR(VLOOKUP(CONCATENATE($B1094,"_",I$3),materiali!$C:$K,5,0),"")</f>
        <v/>
      </c>
      <c r="J1094" s="85" t="str">
        <f>IFERROR(VLOOKUP(CONCATENATE($B1094,"_",J$3),materiali!$C:$K,6,0),"")</f>
        <v/>
      </c>
      <c r="K1094" s="86"/>
      <c r="L1094" s="84" t="str">
        <f>IFERROR(VLOOKUP(CONCATENATE($B1094,"_",L$3),materiali!$C:$K,5,0),"")</f>
        <v/>
      </c>
      <c r="M1094" s="85" t="str">
        <f>IFERROR(VLOOKUP(CONCATENATE($B1094,"_",M$3),materiali!$C:$K,6,0),"")</f>
        <v/>
      </c>
      <c r="N1094" s="86"/>
      <c r="O1094" s="84" t="str">
        <f>IFERROR(VLOOKUP(CONCATENATE($B1094,"_",O$3),materiali!$C:$K,5,0),"")</f>
        <v/>
      </c>
      <c r="P1094" s="85" t="str">
        <f>IFERROR(VLOOKUP(CONCATENATE($B1094,"_",P$3),materiali!$C:$K,6,0),"")</f>
        <v/>
      </c>
      <c r="Q1094" s="86"/>
      <c r="R1094" s="84" t="str">
        <f>IFERROR(VLOOKUP(CONCATENATE($B1094,"_",R$3),materiali!$C:$K,5,0),"")</f>
        <v/>
      </c>
      <c r="S1094" s="85" t="str">
        <f>IFERROR(VLOOKUP(CONCATENATE($B1094,"_",S$3),materiali!$C:$K,6,0),"")</f>
        <v/>
      </c>
      <c r="T1094" s="86"/>
      <c r="U1094" s="31"/>
      <c r="AD1094" s="97"/>
    </row>
    <row r="1095" spans="1:30" ht="35.1" hidden="1" customHeight="1" x14ac:dyDescent="0.25">
      <c r="A1095" s="83"/>
      <c r="B1095" s="7"/>
      <c r="C1095" s="8"/>
      <c r="D1095" s="8"/>
      <c r="E1095" s="60"/>
      <c r="F1095" s="84" t="str">
        <f>IFERROR(VLOOKUP(CONCATENATE($B1095,"_",F$3),materiali!$C:$K,5,0),"")</f>
        <v/>
      </c>
      <c r="G1095" s="85" t="str">
        <f>IFERROR(VLOOKUP(CONCATENATE($B1095,"_",G$3),materiali!$C:$K,6,0),"")</f>
        <v/>
      </c>
      <c r="H1095" s="86"/>
      <c r="I1095" s="84" t="str">
        <f>IFERROR(VLOOKUP(CONCATENATE($B1095,"_",I$3),materiali!$C:$K,5,0),"")</f>
        <v/>
      </c>
      <c r="J1095" s="85" t="str">
        <f>IFERROR(VLOOKUP(CONCATENATE($B1095,"_",J$3),materiali!$C:$K,6,0),"")</f>
        <v/>
      </c>
      <c r="K1095" s="86"/>
      <c r="L1095" s="84" t="str">
        <f>IFERROR(VLOOKUP(CONCATENATE($B1095,"_",L$3),materiali!$C:$K,5,0),"")</f>
        <v/>
      </c>
      <c r="M1095" s="85" t="str">
        <f>IFERROR(VLOOKUP(CONCATENATE($B1095,"_",M$3),materiali!$C:$K,6,0),"")</f>
        <v/>
      </c>
      <c r="N1095" s="86"/>
      <c r="O1095" s="84" t="str">
        <f>IFERROR(VLOOKUP(CONCATENATE($B1095,"_",O$3),materiali!$C:$K,5,0),"")</f>
        <v/>
      </c>
      <c r="P1095" s="85" t="str">
        <f>IFERROR(VLOOKUP(CONCATENATE($B1095,"_",P$3),materiali!$C:$K,6,0),"")</f>
        <v/>
      </c>
      <c r="Q1095" s="86"/>
      <c r="R1095" s="84" t="str">
        <f>IFERROR(VLOOKUP(CONCATENATE($B1095,"_",R$3),materiali!$C:$K,5,0),"")</f>
        <v/>
      </c>
      <c r="S1095" s="85" t="str">
        <f>IFERROR(VLOOKUP(CONCATENATE($B1095,"_",S$3),materiali!$C:$K,6,0),"")</f>
        <v/>
      </c>
      <c r="T1095" s="86"/>
      <c r="U1095" s="31"/>
      <c r="AD1095" s="97"/>
    </row>
    <row r="1096" spans="1:30" ht="35.1" hidden="1" customHeight="1" x14ac:dyDescent="0.25">
      <c r="A1096" s="83"/>
      <c r="B1096" s="7"/>
      <c r="C1096" s="8"/>
      <c r="D1096" s="8"/>
      <c r="E1096" s="60"/>
      <c r="F1096" s="84" t="str">
        <f>IFERROR(VLOOKUP(CONCATENATE($B1096,"_",F$3),materiali!$C:$K,5,0),"")</f>
        <v/>
      </c>
      <c r="G1096" s="85" t="str">
        <f>IFERROR(VLOOKUP(CONCATENATE($B1096,"_",G$3),materiali!$C:$K,6,0),"")</f>
        <v/>
      </c>
      <c r="H1096" s="86"/>
      <c r="I1096" s="84" t="str">
        <f>IFERROR(VLOOKUP(CONCATENATE($B1096,"_",I$3),materiali!$C:$K,5,0),"")</f>
        <v/>
      </c>
      <c r="J1096" s="85" t="str">
        <f>IFERROR(VLOOKUP(CONCATENATE($B1096,"_",J$3),materiali!$C:$K,6,0),"")</f>
        <v/>
      </c>
      <c r="K1096" s="86"/>
      <c r="L1096" s="84" t="str">
        <f>IFERROR(VLOOKUP(CONCATENATE($B1096,"_",L$3),materiali!$C:$K,5,0),"")</f>
        <v/>
      </c>
      <c r="M1096" s="85" t="str">
        <f>IFERROR(VLOOKUP(CONCATENATE($B1096,"_",M$3),materiali!$C:$K,6,0),"")</f>
        <v/>
      </c>
      <c r="N1096" s="86"/>
      <c r="O1096" s="84" t="str">
        <f>IFERROR(VLOOKUP(CONCATENATE($B1096,"_",O$3),materiali!$C:$K,5,0),"")</f>
        <v/>
      </c>
      <c r="P1096" s="85" t="str">
        <f>IFERROR(VLOOKUP(CONCATENATE($B1096,"_",P$3),materiali!$C:$K,6,0),"")</f>
        <v/>
      </c>
      <c r="Q1096" s="86"/>
      <c r="R1096" s="84" t="str">
        <f>IFERROR(VLOOKUP(CONCATENATE($B1096,"_",R$3),materiali!$C:$K,5,0),"")</f>
        <v/>
      </c>
      <c r="S1096" s="85" t="str">
        <f>IFERROR(VLOOKUP(CONCATENATE($B1096,"_",S$3),materiali!$C:$K,6,0),"")</f>
        <v/>
      </c>
      <c r="T1096" s="86"/>
      <c r="U1096" s="31"/>
      <c r="AD1096" s="97"/>
    </row>
    <row r="1097" spans="1:30" ht="35.1" hidden="1" customHeight="1" x14ac:dyDescent="0.25">
      <c r="A1097" s="83"/>
      <c r="B1097" s="7"/>
      <c r="C1097" s="8"/>
      <c r="D1097" s="8"/>
      <c r="E1097" s="60"/>
      <c r="F1097" s="84" t="str">
        <f>IFERROR(VLOOKUP(CONCATENATE($B1097,"_",F$3),materiali!$C:$K,5,0),"")</f>
        <v/>
      </c>
      <c r="G1097" s="85" t="str">
        <f>IFERROR(VLOOKUP(CONCATENATE($B1097,"_",G$3),materiali!$C:$K,6,0),"")</f>
        <v/>
      </c>
      <c r="H1097" s="86"/>
      <c r="I1097" s="84" t="str">
        <f>IFERROR(VLOOKUP(CONCATENATE($B1097,"_",I$3),materiali!$C:$K,5,0),"")</f>
        <v/>
      </c>
      <c r="J1097" s="85" t="str">
        <f>IFERROR(VLOOKUP(CONCATENATE($B1097,"_",J$3),materiali!$C:$K,6,0),"")</f>
        <v/>
      </c>
      <c r="K1097" s="86"/>
      <c r="L1097" s="84" t="str">
        <f>IFERROR(VLOOKUP(CONCATENATE($B1097,"_",L$3),materiali!$C:$K,5,0),"")</f>
        <v/>
      </c>
      <c r="M1097" s="85" t="str">
        <f>IFERROR(VLOOKUP(CONCATENATE($B1097,"_",M$3),materiali!$C:$K,6,0),"")</f>
        <v/>
      </c>
      <c r="N1097" s="86"/>
      <c r="O1097" s="84" t="str">
        <f>IFERROR(VLOOKUP(CONCATENATE($B1097,"_",O$3),materiali!$C:$K,5,0),"")</f>
        <v/>
      </c>
      <c r="P1097" s="85" t="str">
        <f>IFERROR(VLOOKUP(CONCATENATE($B1097,"_",P$3),materiali!$C:$K,6,0),"")</f>
        <v/>
      </c>
      <c r="Q1097" s="86"/>
      <c r="R1097" s="84" t="str">
        <f>IFERROR(VLOOKUP(CONCATENATE($B1097,"_",R$3),materiali!$C:$K,5,0),"")</f>
        <v/>
      </c>
      <c r="S1097" s="85" t="str">
        <f>IFERROR(VLOOKUP(CONCATENATE($B1097,"_",S$3),materiali!$C:$K,6,0),"")</f>
        <v/>
      </c>
      <c r="T1097" s="86"/>
      <c r="U1097" s="31"/>
      <c r="AD1097" s="97"/>
    </row>
    <row r="1098" spans="1:30" ht="35.1" hidden="1" customHeight="1" x14ac:dyDescent="0.25">
      <c r="A1098" s="83"/>
      <c r="B1098" s="7"/>
      <c r="C1098" s="8"/>
      <c r="D1098" s="8"/>
      <c r="E1098" s="60"/>
      <c r="F1098" s="84" t="str">
        <f>IFERROR(VLOOKUP(CONCATENATE($B1098,"_",F$3),materiali!$C:$K,5,0),"")</f>
        <v/>
      </c>
      <c r="G1098" s="85" t="str">
        <f>IFERROR(VLOOKUP(CONCATENATE($B1098,"_",G$3),materiali!$C:$K,6,0),"")</f>
        <v/>
      </c>
      <c r="H1098" s="86"/>
      <c r="I1098" s="84" t="str">
        <f>IFERROR(VLOOKUP(CONCATENATE($B1098,"_",I$3),materiali!$C:$K,5,0),"")</f>
        <v/>
      </c>
      <c r="J1098" s="85" t="str">
        <f>IFERROR(VLOOKUP(CONCATENATE($B1098,"_",J$3),materiali!$C:$K,6,0),"")</f>
        <v/>
      </c>
      <c r="K1098" s="86"/>
      <c r="L1098" s="84" t="str">
        <f>IFERROR(VLOOKUP(CONCATENATE($B1098,"_",L$3),materiali!$C:$K,5,0),"")</f>
        <v/>
      </c>
      <c r="M1098" s="85" t="str">
        <f>IFERROR(VLOOKUP(CONCATENATE($B1098,"_",M$3),materiali!$C:$K,6,0),"")</f>
        <v/>
      </c>
      <c r="N1098" s="86"/>
      <c r="O1098" s="84" t="str">
        <f>IFERROR(VLOOKUP(CONCATENATE($B1098,"_",O$3),materiali!$C:$K,5,0),"")</f>
        <v/>
      </c>
      <c r="P1098" s="85" t="str">
        <f>IFERROR(VLOOKUP(CONCATENATE($B1098,"_",P$3),materiali!$C:$K,6,0),"")</f>
        <v/>
      </c>
      <c r="Q1098" s="86"/>
      <c r="R1098" s="84" t="str">
        <f>IFERROR(VLOOKUP(CONCATENATE($B1098,"_",R$3),materiali!$C:$K,5,0),"")</f>
        <v/>
      </c>
      <c r="S1098" s="85" t="str">
        <f>IFERROR(VLOOKUP(CONCATENATE($B1098,"_",S$3),materiali!$C:$K,6,0),"")</f>
        <v/>
      </c>
      <c r="T1098" s="86"/>
      <c r="U1098" s="31"/>
      <c r="AD1098" s="97"/>
    </row>
    <row r="1099" spans="1:30" ht="35.1" hidden="1" customHeight="1" x14ac:dyDescent="0.25">
      <c r="A1099" s="83"/>
      <c r="B1099" s="7"/>
      <c r="C1099" s="8"/>
      <c r="D1099" s="8"/>
      <c r="E1099" s="60"/>
      <c r="F1099" s="84" t="str">
        <f>IFERROR(VLOOKUP(CONCATENATE($B1099,"_",F$3),materiali!$C:$K,5,0),"")</f>
        <v/>
      </c>
      <c r="G1099" s="85" t="str">
        <f>IFERROR(VLOOKUP(CONCATENATE($B1099,"_",G$3),materiali!$C:$K,6,0),"")</f>
        <v/>
      </c>
      <c r="H1099" s="86"/>
      <c r="I1099" s="84" t="str">
        <f>IFERROR(VLOOKUP(CONCATENATE($B1099,"_",I$3),materiali!$C:$K,5,0),"")</f>
        <v/>
      </c>
      <c r="J1099" s="85" t="str">
        <f>IFERROR(VLOOKUP(CONCATENATE($B1099,"_",J$3),materiali!$C:$K,6,0),"")</f>
        <v/>
      </c>
      <c r="K1099" s="86"/>
      <c r="L1099" s="84" t="str">
        <f>IFERROR(VLOOKUP(CONCATENATE($B1099,"_",L$3),materiali!$C:$K,5,0),"")</f>
        <v/>
      </c>
      <c r="M1099" s="85" t="str">
        <f>IFERROR(VLOOKUP(CONCATENATE($B1099,"_",M$3),materiali!$C:$K,6,0),"")</f>
        <v/>
      </c>
      <c r="N1099" s="86"/>
      <c r="O1099" s="84" t="str">
        <f>IFERROR(VLOOKUP(CONCATENATE($B1099,"_",O$3),materiali!$C:$K,5,0),"")</f>
        <v/>
      </c>
      <c r="P1099" s="85" t="str">
        <f>IFERROR(VLOOKUP(CONCATENATE($B1099,"_",P$3),materiali!$C:$K,6,0),"")</f>
        <v/>
      </c>
      <c r="Q1099" s="86"/>
      <c r="R1099" s="84" t="str">
        <f>IFERROR(VLOOKUP(CONCATENATE($B1099,"_",R$3),materiali!$C:$K,5,0),"")</f>
        <v/>
      </c>
      <c r="S1099" s="85" t="str">
        <f>IFERROR(VLOOKUP(CONCATENATE($B1099,"_",S$3),materiali!$C:$K,6,0),"")</f>
        <v/>
      </c>
      <c r="T1099" s="86"/>
      <c r="U1099" s="31"/>
      <c r="AD1099" s="97"/>
    </row>
    <row r="1100" spans="1:30" ht="35.1" hidden="1" customHeight="1" x14ac:dyDescent="0.25">
      <c r="A1100" s="83"/>
      <c r="B1100" s="7"/>
      <c r="C1100" s="8"/>
      <c r="D1100" s="8"/>
      <c r="E1100" s="60"/>
      <c r="F1100" s="84" t="str">
        <f>IFERROR(VLOOKUP(CONCATENATE($B1100,"_",F$3),materiali!$C:$K,5,0),"")</f>
        <v/>
      </c>
      <c r="G1100" s="85" t="str">
        <f>IFERROR(VLOOKUP(CONCATENATE($B1100,"_",G$3),materiali!$C:$K,6,0),"")</f>
        <v/>
      </c>
      <c r="H1100" s="86"/>
      <c r="I1100" s="84" t="str">
        <f>IFERROR(VLOOKUP(CONCATENATE($B1100,"_",I$3),materiali!$C:$K,5,0),"")</f>
        <v/>
      </c>
      <c r="J1100" s="85" t="str">
        <f>IFERROR(VLOOKUP(CONCATENATE($B1100,"_",J$3),materiali!$C:$K,6,0),"")</f>
        <v/>
      </c>
      <c r="K1100" s="86"/>
      <c r="L1100" s="84" t="str">
        <f>IFERROR(VLOOKUP(CONCATENATE($B1100,"_",L$3),materiali!$C:$K,5,0),"")</f>
        <v/>
      </c>
      <c r="M1100" s="85" t="str">
        <f>IFERROR(VLOOKUP(CONCATENATE($B1100,"_",M$3),materiali!$C:$K,6,0),"")</f>
        <v/>
      </c>
      <c r="N1100" s="86"/>
      <c r="O1100" s="84" t="str">
        <f>IFERROR(VLOOKUP(CONCATENATE($B1100,"_",O$3),materiali!$C:$K,5,0),"")</f>
        <v/>
      </c>
      <c r="P1100" s="85" t="str">
        <f>IFERROR(VLOOKUP(CONCATENATE($B1100,"_",P$3),materiali!$C:$K,6,0),"")</f>
        <v/>
      </c>
      <c r="Q1100" s="86"/>
      <c r="R1100" s="84" t="str">
        <f>IFERROR(VLOOKUP(CONCATENATE($B1100,"_",R$3),materiali!$C:$K,5,0),"")</f>
        <v/>
      </c>
      <c r="S1100" s="85" t="str">
        <f>IFERROR(VLOOKUP(CONCATENATE($B1100,"_",S$3),materiali!$C:$K,6,0),"")</f>
        <v/>
      </c>
      <c r="T1100" s="86"/>
      <c r="U1100" s="31"/>
      <c r="AD1100" s="97"/>
    </row>
    <row r="1101" spans="1:30" ht="35.1" hidden="1" customHeight="1" x14ac:dyDescent="0.25">
      <c r="A1101" s="83"/>
      <c r="B1101" s="7"/>
      <c r="C1101" s="8"/>
      <c r="D1101" s="8"/>
      <c r="E1101" s="60"/>
      <c r="F1101" s="84" t="str">
        <f>IFERROR(VLOOKUP(CONCATENATE($B1101,"_",F$3),materiali!$C:$K,5,0),"")</f>
        <v/>
      </c>
      <c r="G1101" s="85" t="str">
        <f>IFERROR(VLOOKUP(CONCATENATE($B1101,"_",G$3),materiali!$C:$K,6,0),"")</f>
        <v/>
      </c>
      <c r="H1101" s="86"/>
      <c r="I1101" s="84" t="str">
        <f>IFERROR(VLOOKUP(CONCATENATE($B1101,"_",I$3),materiali!$C:$K,5,0),"")</f>
        <v/>
      </c>
      <c r="J1101" s="85" t="str">
        <f>IFERROR(VLOOKUP(CONCATENATE($B1101,"_",J$3),materiali!$C:$K,6,0),"")</f>
        <v/>
      </c>
      <c r="K1101" s="86"/>
      <c r="L1101" s="84" t="str">
        <f>IFERROR(VLOOKUP(CONCATENATE($B1101,"_",L$3),materiali!$C:$K,5,0),"")</f>
        <v/>
      </c>
      <c r="M1101" s="85" t="str">
        <f>IFERROR(VLOOKUP(CONCATENATE($B1101,"_",M$3),materiali!$C:$K,6,0),"")</f>
        <v/>
      </c>
      <c r="N1101" s="86"/>
      <c r="O1101" s="84" t="str">
        <f>IFERROR(VLOOKUP(CONCATENATE($B1101,"_",O$3),materiali!$C:$K,5,0),"")</f>
        <v/>
      </c>
      <c r="P1101" s="85" t="str">
        <f>IFERROR(VLOOKUP(CONCATENATE($B1101,"_",P$3),materiali!$C:$K,6,0),"")</f>
        <v/>
      </c>
      <c r="Q1101" s="86"/>
      <c r="R1101" s="84" t="str">
        <f>IFERROR(VLOOKUP(CONCATENATE($B1101,"_",R$3),materiali!$C:$K,5,0),"")</f>
        <v/>
      </c>
      <c r="S1101" s="85" t="str">
        <f>IFERROR(VLOOKUP(CONCATENATE($B1101,"_",S$3),materiali!$C:$K,6,0),"")</f>
        <v/>
      </c>
      <c r="T1101" s="86"/>
      <c r="U1101" s="31"/>
      <c r="AD1101" s="97"/>
    </row>
    <row r="1102" spans="1:30" ht="35.1" hidden="1" customHeight="1" x14ac:dyDescent="0.25">
      <c r="A1102" s="83"/>
      <c r="B1102" s="7"/>
      <c r="C1102" s="8"/>
      <c r="D1102" s="8"/>
      <c r="E1102" s="60"/>
      <c r="F1102" s="84" t="str">
        <f>IFERROR(VLOOKUP(CONCATENATE($B1102,"_",F$3),materiali!$C:$K,5,0),"")</f>
        <v/>
      </c>
      <c r="G1102" s="85" t="str">
        <f>IFERROR(VLOOKUP(CONCATENATE($B1102,"_",G$3),materiali!$C:$K,6,0),"")</f>
        <v/>
      </c>
      <c r="H1102" s="86"/>
      <c r="I1102" s="84" t="str">
        <f>IFERROR(VLOOKUP(CONCATENATE($B1102,"_",I$3),materiali!$C:$K,5,0),"")</f>
        <v/>
      </c>
      <c r="J1102" s="85" t="str">
        <f>IFERROR(VLOOKUP(CONCATENATE($B1102,"_",J$3),materiali!$C:$K,6,0),"")</f>
        <v/>
      </c>
      <c r="K1102" s="86"/>
      <c r="L1102" s="84" t="str">
        <f>IFERROR(VLOOKUP(CONCATENATE($B1102,"_",L$3),materiali!$C:$K,5,0),"")</f>
        <v/>
      </c>
      <c r="M1102" s="85" t="str">
        <f>IFERROR(VLOOKUP(CONCATENATE($B1102,"_",M$3),materiali!$C:$K,6,0),"")</f>
        <v/>
      </c>
      <c r="N1102" s="86"/>
      <c r="O1102" s="84" t="str">
        <f>IFERROR(VLOOKUP(CONCATENATE($B1102,"_",O$3),materiali!$C:$K,5,0),"")</f>
        <v/>
      </c>
      <c r="P1102" s="85" t="str">
        <f>IFERROR(VLOOKUP(CONCATENATE($B1102,"_",P$3),materiali!$C:$K,6,0),"")</f>
        <v/>
      </c>
      <c r="Q1102" s="86"/>
      <c r="R1102" s="84" t="str">
        <f>IFERROR(VLOOKUP(CONCATENATE($B1102,"_",R$3),materiali!$C:$K,5,0),"")</f>
        <v/>
      </c>
      <c r="S1102" s="85" t="str">
        <f>IFERROR(VLOOKUP(CONCATENATE($B1102,"_",S$3),materiali!$C:$K,6,0),"")</f>
        <v/>
      </c>
      <c r="T1102" s="86"/>
      <c r="U1102" s="31"/>
      <c r="AD1102" s="97"/>
    </row>
    <row r="1103" spans="1:30" ht="35.1" hidden="1" customHeight="1" x14ac:dyDescent="0.25">
      <c r="A1103" s="83"/>
      <c r="B1103" s="7"/>
      <c r="C1103" s="8"/>
      <c r="D1103" s="8"/>
      <c r="E1103" s="60"/>
      <c r="F1103" s="84" t="str">
        <f>IFERROR(VLOOKUP(CONCATENATE($B1103,"_",F$3),materiali!$C:$K,5,0),"")</f>
        <v/>
      </c>
      <c r="G1103" s="85" t="str">
        <f>IFERROR(VLOOKUP(CONCATENATE($B1103,"_",G$3),materiali!$C:$K,6,0),"")</f>
        <v/>
      </c>
      <c r="H1103" s="86"/>
      <c r="I1103" s="84" t="str">
        <f>IFERROR(VLOOKUP(CONCATENATE($B1103,"_",I$3),materiali!$C:$K,5,0),"")</f>
        <v/>
      </c>
      <c r="J1103" s="85" t="str">
        <f>IFERROR(VLOOKUP(CONCATENATE($B1103,"_",J$3),materiali!$C:$K,6,0),"")</f>
        <v/>
      </c>
      <c r="K1103" s="86"/>
      <c r="L1103" s="84" t="str">
        <f>IFERROR(VLOOKUP(CONCATENATE($B1103,"_",L$3),materiali!$C:$K,5,0),"")</f>
        <v/>
      </c>
      <c r="M1103" s="85" t="str">
        <f>IFERROR(VLOOKUP(CONCATENATE($B1103,"_",M$3),materiali!$C:$K,6,0),"")</f>
        <v/>
      </c>
      <c r="N1103" s="86"/>
      <c r="O1103" s="84" t="str">
        <f>IFERROR(VLOOKUP(CONCATENATE($B1103,"_",O$3),materiali!$C:$K,5,0),"")</f>
        <v/>
      </c>
      <c r="P1103" s="85" t="str">
        <f>IFERROR(VLOOKUP(CONCATENATE($B1103,"_",P$3),materiali!$C:$K,6,0),"")</f>
        <v/>
      </c>
      <c r="Q1103" s="86"/>
      <c r="R1103" s="84" t="str">
        <f>IFERROR(VLOOKUP(CONCATENATE($B1103,"_",R$3),materiali!$C:$K,5,0),"")</f>
        <v/>
      </c>
      <c r="S1103" s="85" t="str">
        <f>IFERROR(VLOOKUP(CONCATENATE($B1103,"_",S$3),materiali!$C:$K,6,0),"")</f>
        <v/>
      </c>
      <c r="T1103" s="86"/>
      <c r="U1103" s="31"/>
      <c r="AD1103" s="97"/>
    </row>
    <row r="1104" spans="1:30" ht="35.1" hidden="1" customHeight="1" x14ac:dyDescent="0.25">
      <c r="A1104" s="83"/>
      <c r="B1104" s="7"/>
      <c r="C1104" s="8"/>
      <c r="D1104" s="8"/>
      <c r="E1104" s="60"/>
      <c r="F1104" s="84" t="str">
        <f>IFERROR(VLOOKUP(CONCATENATE($B1104,"_",F$3),materiali!$C:$K,5,0),"")</f>
        <v/>
      </c>
      <c r="G1104" s="85" t="str">
        <f>IFERROR(VLOOKUP(CONCATENATE($B1104,"_",G$3),materiali!$C:$K,6,0),"")</f>
        <v/>
      </c>
      <c r="H1104" s="86"/>
      <c r="I1104" s="84" t="str">
        <f>IFERROR(VLOOKUP(CONCATENATE($B1104,"_",I$3),materiali!$C:$K,5,0),"")</f>
        <v/>
      </c>
      <c r="J1104" s="85" t="str">
        <f>IFERROR(VLOOKUP(CONCATENATE($B1104,"_",J$3),materiali!$C:$K,6,0),"")</f>
        <v/>
      </c>
      <c r="K1104" s="86"/>
      <c r="L1104" s="84" t="str">
        <f>IFERROR(VLOOKUP(CONCATENATE($B1104,"_",L$3),materiali!$C:$K,5,0),"")</f>
        <v/>
      </c>
      <c r="M1104" s="85" t="str">
        <f>IFERROR(VLOOKUP(CONCATENATE($B1104,"_",M$3),materiali!$C:$K,6,0),"")</f>
        <v/>
      </c>
      <c r="N1104" s="86"/>
      <c r="O1104" s="84" t="str">
        <f>IFERROR(VLOOKUP(CONCATENATE($B1104,"_",O$3),materiali!$C:$K,5,0),"")</f>
        <v/>
      </c>
      <c r="P1104" s="85" t="str">
        <f>IFERROR(VLOOKUP(CONCATENATE($B1104,"_",P$3),materiali!$C:$K,6,0),"")</f>
        <v/>
      </c>
      <c r="Q1104" s="86"/>
      <c r="R1104" s="84" t="str">
        <f>IFERROR(VLOOKUP(CONCATENATE($B1104,"_",R$3),materiali!$C:$K,5,0),"")</f>
        <v/>
      </c>
      <c r="S1104" s="85" t="str">
        <f>IFERROR(VLOOKUP(CONCATENATE($B1104,"_",S$3),materiali!$C:$K,6,0),"")</f>
        <v/>
      </c>
      <c r="T1104" s="86"/>
      <c r="U1104" s="31"/>
      <c r="AD1104" s="97"/>
    </row>
    <row r="1105" spans="1:30" ht="35.1" hidden="1" customHeight="1" x14ac:dyDescent="0.25">
      <c r="A1105" s="83"/>
      <c r="B1105" s="7"/>
      <c r="C1105" s="8"/>
      <c r="D1105" s="8"/>
      <c r="E1105" s="60"/>
      <c r="F1105" s="84" t="str">
        <f>IFERROR(VLOOKUP(CONCATENATE($B1105,"_",F$3),materiali!$C:$K,5,0),"")</f>
        <v/>
      </c>
      <c r="G1105" s="85" t="str">
        <f>IFERROR(VLOOKUP(CONCATENATE($B1105,"_",G$3),materiali!$C:$K,6,0),"")</f>
        <v/>
      </c>
      <c r="H1105" s="86"/>
      <c r="I1105" s="84" t="str">
        <f>IFERROR(VLOOKUP(CONCATENATE($B1105,"_",I$3),materiali!$C:$K,5,0),"")</f>
        <v/>
      </c>
      <c r="J1105" s="85" t="str">
        <f>IFERROR(VLOOKUP(CONCATENATE($B1105,"_",J$3),materiali!$C:$K,6,0),"")</f>
        <v/>
      </c>
      <c r="K1105" s="86"/>
      <c r="L1105" s="84" t="str">
        <f>IFERROR(VLOOKUP(CONCATENATE($B1105,"_",L$3),materiali!$C:$K,5,0),"")</f>
        <v/>
      </c>
      <c r="M1105" s="85" t="str">
        <f>IFERROR(VLOOKUP(CONCATENATE($B1105,"_",M$3),materiali!$C:$K,6,0),"")</f>
        <v/>
      </c>
      <c r="N1105" s="86"/>
      <c r="O1105" s="84" t="str">
        <f>IFERROR(VLOOKUP(CONCATENATE($B1105,"_",O$3),materiali!$C:$K,5,0),"")</f>
        <v/>
      </c>
      <c r="P1105" s="85" t="str">
        <f>IFERROR(VLOOKUP(CONCATENATE($B1105,"_",P$3),materiali!$C:$K,6,0),"")</f>
        <v/>
      </c>
      <c r="Q1105" s="86"/>
      <c r="R1105" s="84" t="str">
        <f>IFERROR(VLOOKUP(CONCATENATE($B1105,"_",R$3),materiali!$C:$K,5,0),"")</f>
        <v/>
      </c>
      <c r="S1105" s="85" t="str">
        <f>IFERROR(VLOOKUP(CONCATENATE($B1105,"_",S$3),materiali!$C:$K,6,0),"")</f>
        <v/>
      </c>
      <c r="T1105" s="86"/>
      <c r="U1105" s="31"/>
      <c r="AD1105" s="97"/>
    </row>
    <row r="1106" spans="1:30" ht="35.1" hidden="1" customHeight="1" x14ac:dyDescent="0.25">
      <c r="A1106" s="83"/>
      <c r="B1106" s="7"/>
      <c r="C1106" s="8"/>
      <c r="D1106" s="8"/>
      <c r="E1106" s="60"/>
      <c r="F1106" s="84" t="str">
        <f>IFERROR(VLOOKUP(CONCATENATE($B1106,"_",F$3),materiali!$C:$K,5,0),"")</f>
        <v/>
      </c>
      <c r="G1106" s="85" t="str">
        <f>IFERROR(VLOOKUP(CONCATENATE($B1106,"_",G$3),materiali!$C:$K,6,0),"")</f>
        <v/>
      </c>
      <c r="H1106" s="86"/>
      <c r="I1106" s="84" t="str">
        <f>IFERROR(VLOOKUP(CONCATENATE($B1106,"_",I$3),materiali!$C:$K,5,0),"")</f>
        <v/>
      </c>
      <c r="J1106" s="85" t="str">
        <f>IFERROR(VLOOKUP(CONCATENATE($B1106,"_",J$3),materiali!$C:$K,6,0),"")</f>
        <v/>
      </c>
      <c r="K1106" s="86"/>
      <c r="L1106" s="84" t="str">
        <f>IFERROR(VLOOKUP(CONCATENATE($B1106,"_",L$3),materiali!$C:$K,5,0),"")</f>
        <v/>
      </c>
      <c r="M1106" s="85" t="str">
        <f>IFERROR(VLOOKUP(CONCATENATE($B1106,"_",M$3),materiali!$C:$K,6,0),"")</f>
        <v/>
      </c>
      <c r="N1106" s="86"/>
      <c r="O1106" s="84" t="str">
        <f>IFERROR(VLOOKUP(CONCATENATE($B1106,"_",O$3),materiali!$C:$K,5,0),"")</f>
        <v/>
      </c>
      <c r="P1106" s="85" t="str">
        <f>IFERROR(VLOOKUP(CONCATENATE($B1106,"_",P$3),materiali!$C:$K,6,0),"")</f>
        <v/>
      </c>
      <c r="Q1106" s="86"/>
      <c r="R1106" s="84" t="str">
        <f>IFERROR(VLOOKUP(CONCATENATE($B1106,"_",R$3),materiali!$C:$K,5,0),"")</f>
        <v/>
      </c>
      <c r="S1106" s="85" t="str">
        <f>IFERROR(VLOOKUP(CONCATENATE($B1106,"_",S$3),materiali!$C:$K,6,0),"")</f>
        <v/>
      </c>
      <c r="T1106" s="86"/>
      <c r="U1106" s="31"/>
      <c r="AD1106" s="97"/>
    </row>
    <row r="1107" spans="1:30" ht="35.1" hidden="1" customHeight="1" x14ac:dyDescent="0.25">
      <c r="A1107" s="83"/>
      <c r="B1107" s="7"/>
      <c r="C1107" s="8"/>
      <c r="D1107" s="8"/>
      <c r="E1107" s="60"/>
      <c r="F1107" s="84" t="str">
        <f>IFERROR(VLOOKUP(CONCATENATE($B1107,"_",F$3),materiali!$C:$K,5,0),"")</f>
        <v/>
      </c>
      <c r="G1107" s="85" t="str">
        <f>IFERROR(VLOOKUP(CONCATENATE($B1107,"_",G$3),materiali!$C:$K,6,0),"")</f>
        <v/>
      </c>
      <c r="H1107" s="86"/>
      <c r="I1107" s="84" t="str">
        <f>IFERROR(VLOOKUP(CONCATENATE($B1107,"_",I$3),materiali!$C:$K,5,0),"")</f>
        <v/>
      </c>
      <c r="J1107" s="85" t="str">
        <f>IFERROR(VLOOKUP(CONCATENATE($B1107,"_",J$3),materiali!$C:$K,6,0),"")</f>
        <v/>
      </c>
      <c r="K1107" s="86"/>
      <c r="L1107" s="84" t="str">
        <f>IFERROR(VLOOKUP(CONCATENATE($B1107,"_",L$3),materiali!$C:$K,5,0),"")</f>
        <v/>
      </c>
      <c r="M1107" s="85" t="str">
        <f>IFERROR(VLOOKUP(CONCATENATE($B1107,"_",M$3),materiali!$C:$K,6,0),"")</f>
        <v/>
      </c>
      <c r="N1107" s="86"/>
      <c r="O1107" s="84" t="str">
        <f>IFERROR(VLOOKUP(CONCATENATE($B1107,"_",O$3),materiali!$C:$K,5,0),"")</f>
        <v/>
      </c>
      <c r="P1107" s="85" t="str">
        <f>IFERROR(VLOOKUP(CONCATENATE($B1107,"_",P$3),materiali!$C:$K,6,0),"")</f>
        <v/>
      </c>
      <c r="Q1107" s="86"/>
      <c r="R1107" s="84" t="str">
        <f>IFERROR(VLOOKUP(CONCATENATE($B1107,"_",R$3),materiali!$C:$K,5,0),"")</f>
        <v/>
      </c>
      <c r="S1107" s="85" t="str">
        <f>IFERROR(VLOOKUP(CONCATENATE($B1107,"_",S$3),materiali!$C:$K,6,0),"")</f>
        <v/>
      </c>
      <c r="T1107" s="86"/>
      <c r="U1107" s="31"/>
      <c r="AD1107" s="97"/>
    </row>
    <row r="1108" spans="1:30" ht="35.1" hidden="1" customHeight="1" x14ac:dyDescent="0.25">
      <c r="A1108" s="83"/>
      <c r="B1108" s="7"/>
      <c r="C1108" s="8"/>
      <c r="D1108" s="8"/>
      <c r="E1108" s="60"/>
      <c r="F1108" s="84" t="str">
        <f>IFERROR(VLOOKUP(CONCATENATE($B1108,"_",F$3),materiali!$C:$K,5,0),"")</f>
        <v/>
      </c>
      <c r="G1108" s="85" t="str">
        <f>IFERROR(VLOOKUP(CONCATENATE($B1108,"_",G$3),materiali!$C:$K,6,0),"")</f>
        <v/>
      </c>
      <c r="H1108" s="86"/>
      <c r="I1108" s="84" t="str">
        <f>IFERROR(VLOOKUP(CONCATENATE($B1108,"_",I$3),materiali!$C:$K,5,0),"")</f>
        <v/>
      </c>
      <c r="J1108" s="85" t="str">
        <f>IFERROR(VLOOKUP(CONCATENATE($B1108,"_",J$3),materiali!$C:$K,6,0),"")</f>
        <v/>
      </c>
      <c r="K1108" s="86"/>
      <c r="L1108" s="84" t="str">
        <f>IFERROR(VLOOKUP(CONCATENATE($B1108,"_",L$3),materiali!$C:$K,5,0),"")</f>
        <v/>
      </c>
      <c r="M1108" s="85" t="str">
        <f>IFERROR(VLOOKUP(CONCATENATE($B1108,"_",M$3),materiali!$C:$K,6,0),"")</f>
        <v/>
      </c>
      <c r="N1108" s="86"/>
      <c r="O1108" s="84" t="str">
        <f>IFERROR(VLOOKUP(CONCATENATE($B1108,"_",O$3),materiali!$C:$K,5,0),"")</f>
        <v/>
      </c>
      <c r="P1108" s="85" t="str">
        <f>IFERROR(VLOOKUP(CONCATENATE($B1108,"_",P$3),materiali!$C:$K,6,0),"")</f>
        <v/>
      </c>
      <c r="Q1108" s="86"/>
      <c r="R1108" s="84" t="str">
        <f>IFERROR(VLOOKUP(CONCATENATE($B1108,"_",R$3),materiali!$C:$K,5,0),"")</f>
        <v/>
      </c>
      <c r="S1108" s="85" t="str">
        <f>IFERROR(VLOOKUP(CONCATENATE($B1108,"_",S$3),materiali!$C:$K,6,0),"")</f>
        <v/>
      </c>
      <c r="T1108" s="86"/>
      <c r="U1108" s="31"/>
      <c r="AD1108" s="97"/>
    </row>
    <row r="1109" spans="1:30" ht="35.1" hidden="1" customHeight="1" x14ac:dyDescent="0.25">
      <c r="A1109" s="83"/>
      <c r="B1109" s="7"/>
      <c r="C1109" s="8"/>
      <c r="D1109" s="8"/>
      <c r="E1109" s="60"/>
      <c r="F1109" s="84" t="str">
        <f>IFERROR(VLOOKUP(CONCATENATE($B1109,"_",F$3),materiali!$C:$K,5,0),"")</f>
        <v/>
      </c>
      <c r="G1109" s="85" t="str">
        <f>IFERROR(VLOOKUP(CONCATENATE($B1109,"_",G$3),materiali!$C:$K,6,0),"")</f>
        <v/>
      </c>
      <c r="H1109" s="86"/>
      <c r="I1109" s="84" t="str">
        <f>IFERROR(VLOOKUP(CONCATENATE($B1109,"_",I$3),materiali!$C:$K,5,0),"")</f>
        <v/>
      </c>
      <c r="J1109" s="85" t="str">
        <f>IFERROR(VLOOKUP(CONCATENATE($B1109,"_",J$3),materiali!$C:$K,6,0),"")</f>
        <v/>
      </c>
      <c r="K1109" s="86"/>
      <c r="L1109" s="84" t="str">
        <f>IFERROR(VLOOKUP(CONCATENATE($B1109,"_",L$3),materiali!$C:$K,5,0),"")</f>
        <v/>
      </c>
      <c r="M1109" s="85" t="str">
        <f>IFERROR(VLOOKUP(CONCATENATE($B1109,"_",M$3),materiali!$C:$K,6,0),"")</f>
        <v/>
      </c>
      <c r="N1109" s="86"/>
      <c r="O1109" s="84" t="str">
        <f>IFERROR(VLOOKUP(CONCATENATE($B1109,"_",O$3),materiali!$C:$K,5,0),"")</f>
        <v/>
      </c>
      <c r="P1109" s="85" t="str">
        <f>IFERROR(VLOOKUP(CONCATENATE($B1109,"_",P$3),materiali!$C:$K,6,0),"")</f>
        <v/>
      </c>
      <c r="Q1109" s="86"/>
      <c r="R1109" s="84" t="str">
        <f>IFERROR(VLOOKUP(CONCATENATE($B1109,"_",R$3),materiali!$C:$K,5,0),"")</f>
        <v/>
      </c>
      <c r="S1109" s="85" t="str">
        <f>IFERROR(VLOOKUP(CONCATENATE($B1109,"_",S$3),materiali!$C:$K,6,0),"")</f>
        <v/>
      </c>
      <c r="T1109" s="86"/>
      <c r="U1109" s="31"/>
      <c r="AD1109" s="97"/>
    </row>
    <row r="1110" spans="1:30" ht="35.1" hidden="1" customHeight="1" x14ac:dyDescent="0.25">
      <c r="A1110" s="83"/>
      <c r="B1110" s="7"/>
      <c r="C1110" s="8"/>
      <c r="D1110" s="8"/>
      <c r="E1110" s="60"/>
      <c r="F1110" s="84" t="str">
        <f>IFERROR(VLOOKUP(CONCATENATE($B1110,"_",F$3),materiali!$C:$K,5,0),"")</f>
        <v/>
      </c>
      <c r="G1110" s="85" t="str">
        <f>IFERROR(VLOOKUP(CONCATENATE($B1110,"_",G$3),materiali!$C:$K,6,0),"")</f>
        <v/>
      </c>
      <c r="H1110" s="86"/>
      <c r="I1110" s="84" t="str">
        <f>IFERROR(VLOOKUP(CONCATENATE($B1110,"_",I$3),materiali!$C:$K,5,0),"")</f>
        <v/>
      </c>
      <c r="J1110" s="85" t="str">
        <f>IFERROR(VLOOKUP(CONCATENATE($B1110,"_",J$3),materiali!$C:$K,6,0),"")</f>
        <v/>
      </c>
      <c r="K1110" s="86"/>
      <c r="L1110" s="84" t="str">
        <f>IFERROR(VLOOKUP(CONCATENATE($B1110,"_",L$3),materiali!$C:$K,5,0),"")</f>
        <v/>
      </c>
      <c r="M1110" s="85" t="str">
        <f>IFERROR(VLOOKUP(CONCATENATE($B1110,"_",M$3),materiali!$C:$K,6,0),"")</f>
        <v/>
      </c>
      <c r="N1110" s="86"/>
      <c r="O1110" s="84" t="str">
        <f>IFERROR(VLOOKUP(CONCATENATE($B1110,"_",O$3),materiali!$C:$K,5,0),"")</f>
        <v/>
      </c>
      <c r="P1110" s="85" t="str">
        <f>IFERROR(VLOOKUP(CONCATENATE($B1110,"_",P$3),materiali!$C:$K,6,0),"")</f>
        <v/>
      </c>
      <c r="Q1110" s="86"/>
      <c r="R1110" s="84" t="str">
        <f>IFERROR(VLOOKUP(CONCATENATE($B1110,"_",R$3),materiali!$C:$K,5,0),"")</f>
        <v/>
      </c>
      <c r="S1110" s="85" t="str">
        <f>IFERROR(VLOOKUP(CONCATENATE($B1110,"_",S$3),materiali!$C:$K,6,0),"")</f>
        <v/>
      </c>
      <c r="T1110" s="86"/>
      <c r="U1110" s="31"/>
      <c r="AD1110" s="97"/>
    </row>
    <row r="1111" spans="1:30" ht="35.1" hidden="1" customHeight="1" x14ac:dyDescent="0.25">
      <c r="A1111" s="83"/>
      <c r="B1111" s="7"/>
      <c r="C1111" s="8"/>
      <c r="D1111" s="8"/>
      <c r="E1111" s="60"/>
      <c r="F1111" s="84" t="str">
        <f>IFERROR(VLOOKUP(CONCATENATE($B1111,"_",F$3),materiali!$C:$K,5,0),"")</f>
        <v/>
      </c>
      <c r="G1111" s="85" t="str">
        <f>IFERROR(VLOOKUP(CONCATENATE($B1111,"_",G$3),materiali!$C:$K,6,0),"")</f>
        <v/>
      </c>
      <c r="H1111" s="86"/>
      <c r="I1111" s="84" t="str">
        <f>IFERROR(VLOOKUP(CONCATENATE($B1111,"_",I$3),materiali!$C:$K,5,0),"")</f>
        <v/>
      </c>
      <c r="J1111" s="85" t="str">
        <f>IFERROR(VLOOKUP(CONCATENATE($B1111,"_",J$3),materiali!$C:$K,6,0),"")</f>
        <v/>
      </c>
      <c r="K1111" s="86"/>
      <c r="L1111" s="84" t="str">
        <f>IFERROR(VLOOKUP(CONCATENATE($B1111,"_",L$3),materiali!$C:$K,5,0),"")</f>
        <v/>
      </c>
      <c r="M1111" s="85" t="str">
        <f>IFERROR(VLOOKUP(CONCATENATE($B1111,"_",M$3),materiali!$C:$K,6,0),"")</f>
        <v/>
      </c>
      <c r="N1111" s="86"/>
      <c r="O1111" s="84" t="str">
        <f>IFERROR(VLOOKUP(CONCATENATE($B1111,"_",O$3),materiali!$C:$K,5,0),"")</f>
        <v/>
      </c>
      <c r="P1111" s="85" t="str">
        <f>IFERROR(VLOOKUP(CONCATENATE($B1111,"_",P$3),materiali!$C:$K,6,0),"")</f>
        <v/>
      </c>
      <c r="Q1111" s="86"/>
      <c r="R1111" s="84" t="str">
        <f>IFERROR(VLOOKUP(CONCATENATE($B1111,"_",R$3),materiali!$C:$K,5,0),"")</f>
        <v/>
      </c>
      <c r="S1111" s="85" t="str">
        <f>IFERROR(VLOOKUP(CONCATENATE($B1111,"_",S$3),materiali!$C:$K,6,0),"")</f>
        <v/>
      </c>
      <c r="T1111" s="86"/>
      <c r="U1111" s="31"/>
      <c r="AD1111" s="97"/>
    </row>
    <row r="1112" spans="1:30" ht="35.1" hidden="1" customHeight="1" x14ac:dyDescent="0.25">
      <c r="A1112" s="83"/>
      <c r="B1112" s="7"/>
      <c r="C1112" s="8"/>
      <c r="D1112" s="8"/>
      <c r="E1112" s="60"/>
      <c r="F1112" s="84" t="str">
        <f>IFERROR(VLOOKUP(CONCATENATE($B1112,"_",F$3),materiali!$C:$K,5,0),"")</f>
        <v/>
      </c>
      <c r="G1112" s="85" t="str">
        <f>IFERROR(VLOOKUP(CONCATENATE($B1112,"_",G$3),materiali!$C:$K,6,0),"")</f>
        <v/>
      </c>
      <c r="H1112" s="86"/>
      <c r="I1112" s="84" t="str">
        <f>IFERROR(VLOOKUP(CONCATENATE($B1112,"_",I$3),materiali!$C:$K,5,0),"")</f>
        <v/>
      </c>
      <c r="J1112" s="85" t="str">
        <f>IFERROR(VLOOKUP(CONCATENATE($B1112,"_",J$3),materiali!$C:$K,6,0),"")</f>
        <v/>
      </c>
      <c r="K1112" s="86"/>
      <c r="L1112" s="84" t="str">
        <f>IFERROR(VLOOKUP(CONCATENATE($B1112,"_",L$3),materiali!$C:$K,5,0),"")</f>
        <v/>
      </c>
      <c r="M1112" s="85" t="str">
        <f>IFERROR(VLOOKUP(CONCATENATE($B1112,"_",M$3),materiali!$C:$K,6,0),"")</f>
        <v/>
      </c>
      <c r="N1112" s="86"/>
      <c r="O1112" s="84" t="str">
        <f>IFERROR(VLOOKUP(CONCATENATE($B1112,"_",O$3),materiali!$C:$K,5,0),"")</f>
        <v/>
      </c>
      <c r="P1112" s="85" t="str">
        <f>IFERROR(VLOOKUP(CONCATENATE($B1112,"_",P$3),materiali!$C:$K,6,0),"")</f>
        <v/>
      </c>
      <c r="Q1112" s="86"/>
      <c r="R1112" s="84" t="str">
        <f>IFERROR(VLOOKUP(CONCATENATE($B1112,"_",R$3),materiali!$C:$K,5,0),"")</f>
        <v/>
      </c>
      <c r="S1112" s="85" t="str">
        <f>IFERROR(VLOOKUP(CONCATENATE($B1112,"_",S$3),materiali!$C:$K,6,0),"")</f>
        <v/>
      </c>
      <c r="T1112" s="86"/>
      <c r="U1112" s="31"/>
      <c r="AD1112" s="97"/>
    </row>
    <row r="1113" spans="1:30" ht="35.1" hidden="1" customHeight="1" x14ac:dyDescent="0.25">
      <c r="A1113" s="83"/>
      <c r="B1113" s="7"/>
      <c r="C1113" s="8"/>
      <c r="D1113" s="8"/>
      <c r="E1113" s="60"/>
      <c r="F1113" s="84" t="str">
        <f>IFERROR(VLOOKUP(CONCATENATE($B1113,"_",F$3),materiali!$C:$K,5,0),"")</f>
        <v/>
      </c>
      <c r="G1113" s="85" t="str">
        <f>IFERROR(VLOOKUP(CONCATENATE($B1113,"_",G$3),materiali!$C:$K,6,0),"")</f>
        <v/>
      </c>
      <c r="H1113" s="86"/>
      <c r="I1113" s="84" t="str">
        <f>IFERROR(VLOOKUP(CONCATENATE($B1113,"_",I$3),materiali!$C:$K,5,0),"")</f>
        <v/>
      </c>
      <c r="J1113" s="85" t="str">
        <f>IFERROR(VLOOKUP(CONCATENATE($B1113,"_",J$3),materiali!$C:$K,6,0),"")</f>
        <v/>
      </c>
      <c r="K1113" s="86"/>
      <c r="L1113" s="84" t="str">
        <f>IFERROR(VLOOKUP(CONCATENATE($B1113,"_",L$3),materiali!$C:$K,5,0),"")</f>
        <v/>
      </c>
      <c r="M1113" s="85" t="str">
        <f>IFERROR(VLOOKUP(CONCATENATE($B1113,"_",M$3),materiali!$C:$K,6,0),"")</f>
        <v/>
      </c>
      <c r="N1113" s="86"/>
      <c r="O1113" s="84" t="str">
        <f>IFERROR(VLOOKUP(CONCATENATE($B1113,"_",O$3),materiali!$C:$K,5,0),"")</f>
        <v/>
      </c>
      <c r="P1113" s="85" t="str">
        <f>IFERROR(VLOOKUP(CONCATENATE($B1113,"_",P$3),materiali!$C:$K,6,0),"")</f>
        <v/>
      </c>
      <c r="Q1113" s="86"/>
      <c r="R1113" s="84" t="str">
        <f>IFERROR(VLOOKUP(CONCATENATE($B1113,"_",R$3),materiali!$C:$K,5,0),"")</f>
        <v/>
      </c>
      <c r="S1113" s="85" t="str">
        <f>IFERROR(VLOOKUP(CONCATENATE($B1113,"_",S$3),materiali!$C:$K,6,0),"")</f>
        <v/>
      </c>
      <c r="T1113" s="86"/>
      <c r="U1113" s="31"/>
      <c r="AD1113" s="97"/>
    </row>
    <row r="1114" spans="1:30" ht="35.1" hidden="1" customHeight="1" x14ac:dyDescent="0.25">
      <c r="A1114" s="83"/>
      <c r="B1114" s="7"/>
      <c r="C1114" s="8"/>
      <c r="D1114" s="8"/>
      <c r="E1114" s="60"/>
      <c r="F1114" s="84" t="str">
        <f>IFERROR(VLOOKUP(CONCATENATE($B1114,"_",F$3),materiali!$C:$K,5,0),"")</f>
        <v/>
      </c>
      <c r="G1114" s="85" t="str">
        <f>IFERROR(VLOOKUP(CONCATENATE($B1114,"_",G$3),materiali!$C:$K,6,0),"")</f>
        <v/>
      </c>
      <c r="H1114" s="86"/>
      <c r="I1114" s="84" t="str">
        <f>IFERROR(VLOOKUP(CONCATENATE($B1114,"_",I$3),materiali!$C:$K,5,0),"")</f>
        <v/>
      </c>
      <c r="J1114" s="85" t="str">
        <f>IFERROR(VLOOKUP(CONCATENATE($B1114,"_",J$3),materiali!$C:$K,6,0),"")</f>
        <v/>
      </c>
      <c r="K1114" s="86"/>
      <c r="L1114" s="84" t="str">
        <f>IFERROR(VLOOKUP(CONCATENATE($B1114,"_",L$3),materiali!$C:$K,5,0),"")</f>
        <v/>
      </c>
      <c r="M1114" s="85" t="str">
        <f>IFERROR(VLOOKUP(CONCATENATE($B1114,"_",M$3),materiali!$C:$K,6,0),"")</f>
        <v/>
      </c>
      <c r="N1114" s="86"/>
      <c r="O1114" s="84" t="str">
        <f>IFERROR(VLOOKUP(CONCATENATE($B1114,"_",O$3),materiali!$C:$K,5,0),"")</f>
        <v/>
      </c>
      <c r="P1114" s="85" t="str">
        <f>IFERROR(VLOOKUP(CONCATENATE($B1114,"_",P$3),materiali!$C:$K,6,0),"")</f>
        <v/>
      </c>
      <c r="Q1114" s="86"/>
      <c r="R1114" s="84" t="str">
        <f>IFERROR(VLOOKUP(CONCATENATE($B1114,"_",R$3),materiali!$C:$K,5,0),"")</f>
        <v/>
      </c>
      <c r="S1114" s="85" t="str">
        <f>IFERROR(VLOOKUP(CONCATENATE($B1114,"_",S$3),materiali!$C:$K,6,0),"")</f>
        <v/>
      </c>
      <c r="T1114" s="86"/>
      <c r="U1114" s="31"/>
      <c r="AD1114" s="97"/>
    </row>
    <row r="1115" spans="1:30" ht="35.1" hidden="1" customHeight="1" x14ac:dyDescent="0.25">
      <c r="A1115" s="83"/>
      <c r="B1115" s="7"/>
      <c r="C1115" s="8"/>
      <c r="D1115" s="8"/>
      <c r="E1115" s="60"/>
      <c r="F1115" s="84" t="str">
        <f>IFERROR(VLOOKUP(CONCATENATE($B1115,"_",F$3),materiali!$C:$K,5,0),"")</f>
        <v/>
      </c>
      <c r="G1115" s="85" t="str">
        <f>IFERROR(VLOOKUP(CONCATENATE($B1115,"_",G$3),materiali!$C:$K,6,0),"")</f>
        <v/>
      </c>
      <c r="H1115" s="86"/>
      <c r="I1115" s="84" t="str">
        <f>IFERROR(VLOOKUP(CONCATENATE($B1115,"_",I$3),materiali!$C:$K,5,0),"")</f>
        <v/>
      </c>
      <c r="J1115" s="85" t="str">
        <f>IFERROR(VLOOKUP(CONCATENATE($B1115,"_",J$3),materiali!$C:$K,6,0),"")</f>
        <v/>
      </c>
      <c r="K1115" s="86"/>
      <c r="L1115" s="84" t="str">
        <f>IFERROR(VLOOKUP(CONCATENATE($B1115,"_",L$3),materiali!$C:$K,5,0),"")</f>
        <v/>
      </c>
      <c r="M1115" s="85" t="str">
        <f>IFERROR(VLOOKUP(CONCATENATE($B1115,"_",M$3),materiali!$C:$K,6,0),"")</f>
        <v/>
      </c>
      <c r="N1115" s="86"/>
      <c r="O1115" s="84" t="str">
        <f>IFERROR(VLOOKUP(CONCATENATE($B1115,"_",O$3),materiali!$C:$K,5,0),"")</f>
        <v/>
      </c>
      <c r="P1115" s="85" t="str">
        <f>IFERROR(VLOOKUP(CONCATENATE($B1115,"_",P$3),materiali!$C:$K,6,0),"")</f>
        <v/>
      </c>
      <c r="Q1115" s="86"/>
      <c r="R1115" s="84" t="str">
        <f>IFERROR(VLOOKUP(CONCATENATE($B1115,"_",R$3),materiali!$C:$K,5,0),"")</f>
        <v/>
      </c>
      <c r="S1115" s="85" t="str">
        <f>IFERROR(VLOOKUP(CONCATENATE($B1115,"_",S$3),materiali!$C:$K,6,0),"")</f>
        <v/>
      </c>
      <c r="T1115" s="86"/>
      <c r="U1115" s="31"/>
      <c r="AD1115" s="97"/>
    </row>
    <row r="1116" spans="1:30" ht="35.1" hidden="1" customHeight="1" x14ac:dyDescent="0.25">
      <c r="A1116" s="83"/>
      <c r="B1116" s="7"/>
      <c r="C1116" s="8"/>
      <c r="D1116" s="8"/>
      <c r="E1116" s="60"/>
      <c r="F1116" s="84" t="str">
        <f>IFERROR(VLOOKUP(CONCATENATE($B1116,"_",F$3),materiali!$C:$K,5,0),"")</f>
        <v/>
      </c>
      <c r="G1116" s="85" t="str">
        <f>IFERROR(VLOOKUP(CONCATENATE($B1116,"_",G$3),materiali!$C:$K,6,0),"")</f>
        <v/>
      </c>
      <c r="H1116" s="86"/>
      <c r="I1116" s="84" t="str">
        <f>IFERROR(VLOOKUP(CONCATENATE($B1116,"_",I$3),materiali!$C:$K,5,0),"")</f>
        <v/>
      </c>
      <c r="J1116" s="85" t="str">
        <f>IFERROR(VLOOKUP(CONCATENATE($B1116,"_",J$3),materiali!$C:$K,6,0),"")</f>
        <v/>
      </c>
      <c r="K1116" s="86"/>
      <c r="L1116" s="84" t="str">
        <f>IFERROR(VLOOKUP(CONCATENATE($B1116,"_",L$3),materiali!$C:$K,5,0),"")</f>
        <v/>
      </c>
      <c r="M1116" s="85" t="str">
        <f>IFERROR(VLOOKUP(CONCATENATE($B1116,"_",M$3),materiali!$C:$K,6,0),"")</f>
        <v/>
      </c>
      <c r="N1116" s="86"/>
      <c r="O1116" s="84" t="str">
        <f>IFERROR(VLOOKUP(CONCATENATE($B1116,"_",O$3),materiali!$C:$K,5,0),"")</f>
        <v/>
      </c>
      <c r="P1116" s="85" t="str">
        <f>IFERROR(VLOOKUP(CONCATENATE($B1116,"_",P$3),materiali!$C:$K,6,0),"")</f>
        <v/>
      </c>
      <c r="Q1116" s="86"/>
      <c r="R1116" s="84" t="str">
        <f>IFERROR(VLOOKUP(CONCATENATE($B1116,"_",R$3),materiali!$C:$K,5,0),"")</f>
        <v/>
      </c>
      <c r="S1116" s="85" t="str">
        <f>IFERROR(VLOOKUP(CONCATENATE($B1116,"_",S$3),materiali!$C:$K,6,0),"")</f>
        <v/>
      </c>
      <c r="T1116" s="86"/>
      <c r="U1116" s="31"/>
      <c r="AD1116" s="97"/>
    </row>
    <row r="1117" spans="1:30" ht="35.1" hidden="1" customHeight="1" x14ac:dyDescent="0.25">
      <c r="A1117" s="83"/>
      <c r="B1117" s="7"/>
      <c r="C1117" s="8"/>
      <c r="D1117" s="8"/>
      <c r="E1117" s="60"/>
      <c r="F1117" s="84" t="str">
        <f>IFERROR(VLOOKUP(CONCATENATE($B1117,"_",F$3),materiali!$C:$K,5,0),"")</f>
        <v/>
      </c>
      <c r="G1117" s="85" t="str">
        <f>IFERROR(VLOOKUP(CONCATENATE($B1117,"_",G$3),materiali!$C:$K,6,0),"")</f>
        <v/>
      </c>
      <c r="H1117" s="86"/>
      <c r="I1117" s="84" t="str">
        <f>IFERROR(VLOOKUP(CONCATENATE($B1117,"_",I$3),materiali!$C:$K,5,0),"")</f>
        <v/>
      </c>
      <c r="J1117" s="85" t="str">
        <f>IFERROR(VLOOKUP(CONCATENATE($B1117,"_",J$3),materiali!$C:$K,6,0),"")</f>
        <v/>
      </c>
      <c r="K1117" s="86"/>
      <c r="L1117" s="84" t="str">
        <f>IFERROR(VLOOKUP(CONCATENATE($B1117,"_",L$3),materiali!$C:$K,5,0),"")</f>
        <v/>
      </c>
      <c r="M1117" s="85" t="str">
        <f>IFERROR(VLOOKUP(CONCATENATE($B1117,"_",M$3),materiali!$C:$K,6,0),"")</f>
        <v/>
      </c>
      <c r="N1117" s="86"/>
      <c r="O1117" s="84" t="str">
        <f>IFERROR(VLOOKUP(CONCATENATE($B1117,"_",O$3),materiali!$C:$K,5,0),"")</f>
        <v/>
      </c>
      <c r="P1117" s="85" t="str">
        <f>IFERROR(VLOOKUP(CONCATENATE($B1117,"_",P$3),materiali!$C:$K,6,0),"")</f>
        <v/>
      </c>
      <c r="Q1117" s="86"/>
      <c r="R1117" s="84" t="str">
        <f>IFERROR(VLOOKUP(CONCATENATE($B1117,"_",R$3),materiali!$C:$K,5,0),"")</f>
        <v/>
      </c>
      <c r="S1117" s="85" t="str">
        <f>IFERROR(VLOOKUP(CONCATENATE($B1117,"_",S$3),materiali!$C:$K,6,0),"")</f>
        <v/>
      </c>
      <c r="T1117" s="86"/>
      <c r="U1117" s="31"/>
      <c r="AD1117" s="97"/>
    </row>
    <row r="1118" spans="1:30" ht="35.1" hidden="1" customHeight="1" x14ac:dyDescent="0.25">
      <c r="A1118" s="83"/>
      <c r="B1118" s="7"/>
      <c r="C1118" s="8"/>
      <c r="D1118" s="8"/>
      <c r="E1118" s="60"/>
      <c r="F1118" s="84" t="str">
        <f>IFERROR(VLOOKUP(CONCATENATE($B1118,"_",F$3),materiali!$C:$K,5,0),"")</f>
        <v/>
      </c>
      <c r="G1118" s="85" t="str">
        <f>IFERROR(VLOOKUP(CONCATENATE($B1118,"_",G$3),materiali!$C:$K,6,0),"")</f>
        <v/>
      </c>
      <c r="H1118" s="86"/>
      <c r="I1118" s="84" t="str">
        <f>IFERROR(VLOOKUP(CONCATENATE($B1118,"_",I$3),materiali!$C:$K,5,0),"")</f>
        <v/>
      </c>
      <c r="J1118" s="85" t="str">
        <f>IFERROR(VLOOKUP(CONCATENATE($B1118,"_",J$3),materiali!$C:$K,6,0),"")</f>
        <v/>
      </c>
      <c r="K1118" s="86"/>
      <c r="L1118" s="84" t="str">
        <f>IFERROR(VLOOKUP(CONCATENATE($B1118,"_",L$3),materiali!$C:$K,5,0),"")</f>
        <v/>
      </c>
      <c r="M1118" s="85" t="str">
        <f>IFERROR(VLOOKUP(CONCATENATE($B1118,"_",M$3),materiali!$C:$K,6,0),"")</f>
        <v/>
      </c>
      <c r="N1118" s="86"/>
      <c r="O1118" s="84" t="str">
        <f>IFERROR(VLOOKUP(CONCATENATE($B1118,"_",O$3),materiali!$C:$K,5,0),"")</f>
        <v/>
      </c>
      <c r="P1118" s="85" t="str">
        <f>IFERROR(VLOOKUP(CONCATENATE($B1118,"_",P$3),materiali!$C:$K,6,0),"")</f>
        <v/>
      </c>
      <c r="Q1118" s="86"/>
      <c r="R1118" s="84" t="str">
        <f>IFERROR(VLOOKUP(CONCATENATE($B1118,"_",R$3),materiali!$C:$K,5,0),"")</f>
        <v/>
      </c>
      <c r="S1118" s="85" t="str">
        <f>IFERROR(VLOOKUP(CONCATENATE($B1118,"_",S$3),materiali!$C:$K,6,0),"")</f>
        <v/>
      </c>
      <c r="T1118" s="86"/>
      <c r="U1118" s="31"/>
      <c r="AD1118" s="97"/>
    </row>
    <row r="1119" spans="1:30" ht="35.1" hidden="1" customHeight="1" x14ac:dyDescent="0.25">
      <c r="A1119" s="83"/>
      <c r="B1119" s="7"/>
      <c r="C1119" s="8"/>
      <c r="D1119" s="8"/>
      <c r="E1119" s="60"/>
      <c r="F1119" s="84" t="str">
        <f>IFERROR(VLOOKUP(CONCATENATE($B1119,"_",F$3),materiali!$C:$K,5,0),"")</f>
        <v/>
      </c>
      <c r="G1119" s="85" t="str">
        <f>IFERROR(VLOOKUP(CONCATENATE($B1119,"_",G$3),materiali!$C:$K,6,0),"")</f>
        <v/>
      </c>
      <c r="H1119" s="86"/>
      <c r="I1119" s="84" t="str">
        <f>IFERROR(VLOOKUP(CONCATENATE($B1119,"_",I$3),materiali!$C:$K,5,0),"")</f>
        <v/>
      </c>
      <c r="J1119" s="85" t="str">
        <f>IFERROR(VLOOKUP(CONCATENATE($B1119,"_",J$3),materiali!$C:$K,6,0),"")</f>
        <v/>
      </c>
      <c r="K1119" s="86"/>
      <c r="L1119" s="84" t="str">
        <f>IFERROR(VLOOKUP(CONCATENATE($B1119,"_",L$3),materiali!$C:$K,5,0),"")</f>
        <v/>
      </c>
      <c r="M1119" s="85" t="str">
        <f>IFERROR(VLOOKUP(CONCATENATE($B1119,"_",M$3),materiali!$C:$K,6,0),"")</f>
        <v/>
      </c>
      <c r="N1119" s="86"/>
      <c r="O1119" s="84" t="str">
        <f>IFERROR(VLOOKUP(CONCATENATE($B1119,"_",O$3),materiali!$C:$K,5,0),"")</f>
        <v/>
      </c>
      <c r="P1119" s="85" t="str">
        <f>IFERROR(VLOOKUP(CONCATENATE($B1119,"_",P$3),materiali!$C:$K,6,0),"")</f>
        <v/>
      </c>
      <c r="Q1119" s="86"/>
      <c r="R1119" s="84" t="str">
        <f>IFERROR(VLOOKUP(CONCATENATE($B1119,"_",R$3),materiali!$C:$K,5,0),"")</f>
        <v/>
      </c>
      <c r="S1119" s="85" t="str">
        <f>IFERROR(VLOOKUP(CONCATENATE($B1119,"_",S$3),materiali!$C:$K,6,0),"")</f>
        <v/>
      </c>
      <c r="T1119" s="86"/>
      <c r="U1119" s="31"/>
      <c r="AD1119" s="97"/>
    </row>
    <row r="1120" spans="1:30" ht="35.1" hidden="1" customHeight="1" x14ac:dyDescent="0.25">
      <c r="A1120" s="83"/>
      <c r="B1120" s="7"/>
      <c r="C1120" s="8"/>
      <c r="D1120" s="8"/>
      <c r="E1120" s="60"/>
      <c r="F1120" s="84" t="str">
        <f>IFERROR(VLOOKUP(CONCATENATE($B1120,"_",F$3),materiali!$C:$K,5,0),"")</f>
        <v/>
      </c>
      <c r="G1120" s="85" t="str">
        <f>IFERROR(VLOOKUP(CONCATENATE($B1120,"_",G$3),materiali!$C:$K,6,0),"")</f>
        <v/>
      </c>
      <c r="H1120" s="86"/>
      <c r="I1120" s="84" t="str">
        <f>IFERROR(VLOOKUP(CONCATENATE($B1120,"_",I$3),materiali!$C:$K,5,0),"")</f>
        <v/>
      </c>
      <c r="J1120" s="85" t="str">
        <f>IFERROR(VLOOKUP(CONCATENATE($B1120,"_",J$3),materiali!$C:$K,6,0),"")</f>
        <v/>
      </c>
      <c r="K1120" s="86"/>
      <c r="L1120" s="84" t="str">
        <f>IFERROR(VLOOKUP(CONCATENATE($B1120,"_",L$3),materiali!$C:$K,5,0),"")</f>
        <v/>
      </c>
      <c r="M1120" s="85" t="str">
        <f>IFERROR(VLOOKUP(CONCATENATE($B1120,"_",M$3),materiali!$C:$K,6,0),"")</f>
        <v/>
      </c>
      <c r="N1120" s="86"/>
      <c r="O1120" s="84" t="str">
        <f>IFERROR(VLOOKUP(CONCATENATE($B1120,"_",O$3),materiali!$C:$K,5,0),"")</f>
        <v/>
      </c>
      <c r="P1120" s="85" t="str">
        <f>IFERROR(VLOOKUP(CONCATENATE($B1120,"_",P$3),materiali!$C:$K,6,0),"")</f>
        <v/>
      </c>
      <c r="Q1120" s="86"/>
      <c r="R1120" s="84" t="str">
        <f>IFERROR(VLOOKUP(CONCATENATE($B1120,"_",R$3),materiali!$C:$K,5,0),"")</f>
        <v/>
      </c>
      <c r="S1120" s="85" t="str">
        <f>IFERROR(VLOOKUP(CONCATENATE($B1120,"_",S$3),materiali!$C:$K,6,0),"")</f>
        <v/>
      </c>
      <c r="T1120" s="86"/>
      <c r="U1120" s="31"/>
      <c r="AD1120" s="97"/>
    </row>
    <row r="1121" spans="1:30" ht="35.1" hidden="1" customHeight="1" x14ac:dyDescent="0.25">
      <c r="A1121" s="83"/>
      <c r="B1121" s="7"/>
      <c r="C1121" s="8"/>
      <c r="D1121" s="8"/>
      <c r="E1121" s="60"/>
      <c r="F1121" s="84" t="str">
        <f>IFERROR(VLOOKUP(CONCATENATE($B1121,"_",F$3),materiali!$C:$K,5,0),"")</f>
        <v/>
      </c>
      <c r="G1121" s="85" t="str">
        <f>IFERROR(VLOOKUP(CONCATENATE($B1121,"_",G$3),materiali!$C:$K,6,0),"")</f>
        <v/>
      </c>
      <c r="H1121" s="86"/>
      <c r="I1121" s="84" t="str">
        <f>IFERROR(VLOOKUP(CONCATENATE($B1121,"_",I$3),materiali!$C:$K,5,0),"")</f>
        <v/>
      </c>
      <c r="J1121" s="85" t="str">
        <f>IFERROR(VLOOKUP(CONCATENATE($B1121,"_",J$3),materiali!$C:$K,6,0),"")</f>
        <v/>
      </c>
      <c r="K1121" s="86"/>
      <c r="L1121" s="84" t="str">
        <f>IFERROR(VLOOKUP(CONCATENATE($B1121,"_",L$3),materiali!$C:$K,5,0),"")</f>
        <v/>
      </c>
      <c r="M1121" s="85" t="str">
        <f>IFERROR(VLOOKUP(CONCATENATE($B1121,"_",M$3),materiali!$C:$K,6,0),"")</f>
        <v/>
      </c>
      <c r="N1121" s="86"/>
      <c r="O1121" s="84" t="str">
        <f>IFERROR(VLOOKUP(CONCATENATE($B1121,"_",O$3),materiali!$C:$K,5,0),"")</f>
        <v/>
      </c>
      <c r="P1121" s="85" t="str">
        <f>IFERROR(VLOOKUP(CONCATENATE($B1121,"_",P$3),materiali!$C:$K,6,0),"")</f>
        <v/>
      </c>
      <c r="Q1121" s="86"/>
      <c r="R1121" s="84" t="str">
        <f>IFERROR(VLOOKUP(CONCATENATE($B1121,"_",R$3),materiali!$C:$K,5,0),"")</f>
        <v/>
      </c>
      <c r="S1121" s="85" t="str">
        <f>IFERROR(VLOOKUP(CONCATENATE($B1121,"_",S$3),materiali!$C:$K,6,0),"")</f>
        <v/>
      </c>
      <c r="T1121" s="86"/>
      <c r="U1121" s="31"/>
      <c r="AD1121" s="97"/>
    </row>
    <row r="1122" spans="1:30" ht="35.1" hidden="1" customHeight="1" x14ac:dyDescent="0.25">
      <c r="A1122" s="83"/>
      <c r="B1122" s="7"/>
      <c r="C1122" s="8"/>
      <c r="D1122" s="8"/>
      <c r="E1122" s="60"/>
      <c r="F1122" s="84" t="str">
        <f>IFERROR(VLOOKUP(CONCATENATE($B1122,"_",F$3),materiali!$C:$K,5,0),"")</f>
        <v/>
      </c>
      <c r="G1122" s="85" t="str">
        <f>IFERROR(VLOOKUP(CONCATENATE($B1122,"_",G$3),materiali!$C:$K,6,0),"")</f>
        <v/>
      </c>
      <c r="H1122" s="86"/>
      <c r="I1122" s="84" t="str">
        <f>IFERROR(VLOOKUP(CONCATENATE($B1122,"_",I$3),materiali!$C:$K,5,0),"")</f>
        <v/>
      </c>
      <c r="J1122" s="85" t="str">
        <f>IFERROR(VLOOKUP(CONCATENATE($B1122,"_",J$3),materiali!$C:$K,6,0),"")</f>
        <v/>
      </c>
      <c r="K1122" s="86"/>
      <c r="L1122" s="84" t="str">
        <f>IFERROR(VLOOKUP(CONCATENATE($B1122,"_",L$3),materiali!$C:$K,5,0),"")</f>
        <v/>
      </c>
      <c r="M1122" s="85" t="str">
        <f>IFERROR(VLOOKUP(CONCATENATE($B1122,"_",M$3),materiali!$C:$K,6,0),"")</f>
        <v/>
      </c>
      <c r="N1122" s="86"/>
      <c r="O1122" s="84" t="str">
        <f>IFERROR(VLOOKUP(CONCATENATE($B1122,"_",O$3),materiali!$C:$K,5,0),"")</f>
        <v/>
      </c>
      <c r="P1122" s="85" t="str">
        <f>IFERROR(VLOOKUP(CONCATENATE($B1122,"_",P$3),materiali!$C:$K,6,0),"")</f>
        <v/>
      </c>
      <c r="Q1122" s="86"/>
      <c r="R1122" s="84" t="str">
        <f>IFERROR(VLOOKUP(CONCATENATE($B1122,"_",R$3),materiali!$C:$K,5,0),"")</f>
        <v/>
      </c>
      <c r="S1122" s="85" t="str">
        <f>IFERROR(VLOOKUP(CONCATENATE($B1122,"_",S$3),materiali!$C:$K,6,0),"")</f>
        <v/>
      </c>
      <c r="T1122" s="86"/>
      <c r="U1122" s="31"/>
      <c r="AD1122" s="97"/>
    </row>
    <row r="1123" spans="1:30" ht="35.1" hidden="1" customHeight="1" x14ac:dyDescent="0.25">
      <c r="A1123" s="83"/>
      <c r="B1123" s="7"/>
      <c r="C1123" s="8"/>
      <c r="D1123" s="8"/>
      <c r="E1123" s="60"/>
      <c r="F1123" s="84" t="str">
        <f>IFERROR(VLOOKUP(CONCATENATE($B1123,"_",F$3),materiali!$C:$K,5,0),"")</f>
        <v/>
      </c>
      <c r="G1123" s="85" t="str">
        <f>IFERROR(VLOOKUP(CONCATENATE($B1123,"_",G$3),materiali!$C:$K,6,0),"")</f>
        <v/>
      </c>
      <c r="H1123" s="86"/>
      <c r="I1123" s="84" t="str">
        <f>IFERROR(VLOOKUP(CONCATENATE($B1123,"_",I$3),materiali!$C:$K,5,0),"")</f>
        <v/>
      </c>
      <c r="J1123" s="85" t="str">
        <f>IFERROR(VLOOKUP(CONCATENATE($B1123,"_",J$3),materiali!$C:$K,6,0),"")</f>
        <v/>
      </c>
      <c r="K1123" s="86"/>
      <c r="L1123" s="84" t="str">
        <f>IFERROR(VLOOKUP(CONCATENATE($B1123,"_",L$3),materiali!$C:$K,5,0),"")</f>
        <v/>
      </c>
      <c r="M1123" s="85" t="str">
        <f>IFERROR(VLOOKUP(CONCATENATE($B1123,"_",M$3),materiali!$C:$K,6,0),"")</f>
        <v/>
      </c>
      <c r="N1123" s="86"/>
      <c r="O1123" s="84" t="str">
        <f>IFERROR(VLOOKUP(CONCATENATE($B1123,"_",O$3),materiali!$C:$K,5,0),"")</f>
        <v/>
      </c>
      <c r="P1123" s="85" t="str">
        <f>IFERROR(VLOOKUP(CONCATENATE($B1123,"_",P$3),materiali!$C:$K,6,0),"")</f>
        <v/>
      </c>
      <c r="Q1123" s="86"/>
      <c r="R1123" s="84" t="str">
        <f>IFERROR(VLOOKUP(CONCATENATE($B1123,"_",R$3),materiali!$C:$K,5,0),"")</f>
        <v/>
      </c>
      <c r="S1123" s="85" t="str">
        <f>IFERROR(VLOOKUP(CONCATENATE($B1123,"_",S$3),materiali!$C:$K,6,0),"")</f>
        <v/>
      </c>
      <c r="T1123" s="86"/>
      <c r="U1123" s="31"/>
      <c r="AD1123" s="97"/>
    </row>
    <row r="1124" spans="1:30" ht="35.1" hidden="1" customHeight="1" x14ac:dyDescent="0.25">
      <c r="A1124" s="83"/>
      <c r="B1124" s="7"/>
      <c r="C1124" s="8"/>
      <c r="D1124" s="8"/>
      <c r="E1124" s="60"/>
      <c r="F1124" s="84" t="str">
        <f>IFERROR(VLOOKUP(CONCATENATE($B1124,"_",F$3),materiali!$C:$K,5,0),"")</f>
        <v/>
      </c>
      <c r="G1124" s="85" t="str">
        <f>IFERROR(VLOOKUP(CONCATENATE($B1124,"_",G$3),materiali!$C:$K,6,0),"")</f>
        <v/>
      </c>
      <c r="H1124" s="86"/>
      <c r="I1124" s="84" t="str">
        <f>IFERROR(VLOOKUP(CONCATENATE($B1124,"_",I$3),materiali!$C:$K,5,0),"")</f>
        <v/>
      </c>
      <c r="J1124" s="85" t="str">
        <f>IFERROR(VLOOKUP(CONCATENATE($B1124,"_",J$3),materiali!$C:$K,6,0),"")</f>
        <v/>
      </c>
      <c r="K1124" s="86"/>
      <c r="L1124" s="84" t="str">
        <f>IFERROR(VLOOKUP(CONCATENATE($B1124,"_",L$3),materiali!$C:$K,5,0),"")</f>
        <v/>
      </c>
      <c r="M1124" s="85" t="str">
        <f>IFERROR(VLOOKUP(CONCATENATE($B1124,"_",M$3),materiali!$C:$K,6,0),"")</f>
        <v/>
      </c>
      <c r="N1124" s="86"/>
      <c r="O1124" s="84" t="str">
        <f>IFERROR(VLOOKUP(CONCATENATE($B1124,"_",O$3),materiali!$C:$K,5,0),"")</f>
        <v/>
      </c>
      <c r="P1124" s="85" t="str">
        <f>IFERROR(VLOOKUP(CONCATENATE($B1124,"_",P$3),materiali!$C:$K,6,0),"")</f>
        <v/>
      </c>
      <c r="Q1124" s="86"/>
      <c r="R1124" s="84" t="str">
        <f>IFERROR(VLOOKUP(CONCATENATE($B1124,"_",R$3),materiali!$C:$K,5,0),"")</f>
        <v/>
      </c>
      <c r="S1124" s="85" t="str">
        <f>IFERROR(VLOOKUP(CONCATENATE($B1124,"_",S$3),materiali!$C:$K,6,0),"")</f>
        <v/>
      </c>
      <c r="T1124" s="86"/>
      <c r="U1124" s="31"/>
      <c r="AD1124" s="97"/>
    </row>
    <row r="1125" spans="1:30" ht="35.1" hidden="1" customHeight="1" x14ac:dyDescent="0.25">
      <c r="A1125" s="83"/>
      <c r="B1125" s="7"/>
      <c r="C1125" s="8"/>
      <c r="D1125" s="8"/>
      <c r="E1125" s="60"/>
      <c r="F1125" s="84" t="str">
        <f>IFERROR(VLOOKUP(CONCATENATE($B1125,"_",F$3),materiali!$C:$K,5,0),"")</f>
        <v/>
      </c>
      <c r="G1125" s="85" t="str">
        <f>IFERROR(VLOOKUP(CONCATENATE($B1125,"_",G$3),materiali!$C:$K,6,0),"")</f>
        <v/>
      </c>
      <c r="H1125" s="86"/>
      <c r="I1125" s="84" t="str">
        <f>IFERROR(VLOOKUP(CONCATENATE($B1125,"_",I$3),materiali!$C:$K,5,0),"")</f>
        <v/>
      </c>
      <c r="J1125" s="85" t="str">
        <f>IFERROR(VLOOKUP(CONCATENATE($B1125,"_",J$3),materiali!$C:$K,6,0),"")</f>
        <v/>
      </c>
      <c r="K1125" s="86"/>
      <c r="L1125" s="84" t="str">
        <f>IFERROR(VLOOKUP(CONCATENATE($B1125,"_",L$3),materiali!$C:$K,5,0),"")</f>
        <v/>
      </c>
      <c r="M1125" s="85" t="str">
        <f>IFERROR(VLOOKUP(CONCATENATE($B1125,"_",M$3),materiali!$C:$K,6,0),"")</f>
        <v/>
      </c>
      <c r="N1125" s="86"/>
      <c r="O1125" s="84" t="str">
        <f>IFERROR(VLOOKUP(CONCATENATE($B1125,"_",O$3),materiali!$C:$K,5,0),"")</f>
        <v/>
      </c>
      <c r="P1125" s="85" t="str">
        <f>IFERROR(VLOOKUP(CONCATENATE($B1125,"_",P$3),materiali!$C:$K,6,0),"")</f>
        <v/>
      </c>
      <c r="Q1125" s="86"/>
      <c r="R1125" s="84" t="str">
        <f>IFERROR(VLOOKUP(CONCATENATE($B1125,"_",R$3),materiali!$C:$K,5,0),"")</f>
        <v/>
      </c>
      <c r="S1125" s="85" t="str">
        <f>IFERROR(VLOOKUP(CONCATENATE($B1125,"_",S$3),materiali!$C:$K,6,0),"")</f>
        <v/>
      </c>
      <c r="T1125" s="86"/>
      <c r="U1125" s="31"/>
      <c r="AD1125" s="97"/>
    </row>
    <row r="1126" spans="1:30" ht="35.1" hidden="1" customHeight="1" x14ac:dyDescent="0.25">
      <c r="A1126" s="83"/>
      <c r="B1126" s="7"/>
      <c r="C1126" s="8"/>
      <c r="D1126" s="8"/>
      <c r="E1126" s="60"/>
      <c r="F1126" s="84" t="str">
        <f>IFERROR(VLOOKUP(CONCATENATE($B1126,"_",F$3),materiali!$C:$K,5,0),"")</f>
        <v/>
      </c>
      <c r="G1126" s="85" t="str">
        <f>IFERROR(VLOOKUP(CONCATENATE($B1126,"_",G$3),materiali!$C:$K,6,0),"")</f>
        <v/>
      </c>
      <c r="H1126" s="86"/>
      <c r="I1126" s="84" t="str">
        <f>IFERROR(VLOOKUP(CONCATENATE($B1126,"_",I$3),materiali!$C:$K,5,0),"")</f>
        <v/>
      </c>
      <c r="J1126" s="85" t="str">
        <f>IFERROR(VLOOKUP(CONCATENATE($B1126,"_",J$3),materiali!$C:$K,6,0),"")</f>
        <v/>
      </c>
      <c r="K1126" s="86"/>
      <c r="L1126" s="84" t="str">
        <f>IFERROR(VLOOKUP(CONCATENATE($B1126,"_",L$3),materiali!$C:$K,5,0),"")</f>
        <v/>
      </c>
      <c r="M1126" s="85" t="str">
        <f>IFERROR(VLOOKUP(CONCATENATE($B1126,"_",M$3),materiali!$C:$K,6,0),"")</f>
        <v/>
      </c>
      <c r="N1126" s="86"/>
      <c r="O1126" s="84" t="str">
        <f>IFERROR(VLOOKUP(CONCATENATE($B1126,"_",O$3),materiali!$C:$K,5,0),"")</f>
        <v/>
      </c>
      <c r="P1126" s="85" t="str">
        <f>IFERROR(VLOOKUP(CONCATENATE($B1126,"_",P$3),materiali!$C:$K,6,0),"")</f>
        <v/>
      </c>
      <c r="Q1126" s="86"/>
      <c r="R1126" s="84" t="str">
        <f>IFERROR(VLOOKUP(CONCATENATE($B1126,"_",R$3),materiali!$C:$K,5,0),"")</f>
        <v/>
      </c>
      <c r="S1126" s="85" t="str">
        <f>IFERROR(VLOOKUP(CONCATENATE($B1126,"_",S$3),materiali!$C:$K,6,0),"")</f>
        <v/>
      </c>
      <c r="T1126" s="86"/>
      <c r="U1126" s="31"/>
      <c r="AD1126" s="97"/>
    </row>
    <row r="1127" spans="1:30" ht="35.1" hidden="1" customHeight="1" x14ac:dyDescent="0.25">
      <c r="A1127" s="83"/>
      <c r="B1127" s="7"/>
      <c r="C1127" s="8"/>
      <c r="D1127" s="8"/>
      <c r="E1127" s="60"/>
      <c r="F1127" s="84" t="str">
        <f>IFERROR(VLOOKUP(CONCATENATE($B1127,"_",F$3),materiali!$C:$K,5,0),"")</f>
        <v/>
      </c>
      <c r="G1127" s="85" t="str">
        <f>IFERROR(VLOOKUP(CONCATENATE($B1127,"_",G$3),materiali!$C:$K,6,0),"")</f>
        <v/>
      </c>
      <c r="H1127" s="86"/>
      <c r="I1127" s="84" t="str">
        <f>IFERROR(VLOOKUP(CONCATENATE($B1127,"_",I$3),materiali!$C:$K,5,0),"")</f>
        <v/>
      </c>
      <c r="J1127" s="85" t="str">
        <f>IFERROR(VLOOKUP(CONCATENATE($B1127,"_",J$3),materiali!$C:$K,6,0),"")</f>
        <v/>
      </c>
      <c r="K1127" s="86"/>
      <c r="L1127" s="84" t="str">
        <f>IFERROR(VLOOKUP(CONCATENATE($B1127,"_",L$3),materiali!$C:$K,5,0),"")</f>
        <v/>
      </c>
      <c r="M1127" s="85" t="str">
        <f>IFERROR(VLOOKUP(CONCATENATE($B1127,"_",M$3),materiali!$C:$K,6,0),"")</f>
        <v/>
      </c>
      <c r="N1127" s="86"/>
      <c r="O1127" s="84" t="str">
        <f>IFERROR(VLOOKUP(CONCATENATE($B1127,"_",O$3),materiali!$C:$K,5,0),"")</f>
        <v/>
      </c>
      <c r="P1127" s="85" t="str">
        <f>IFERROR(VLOOKUP(CONCATENATE($B1127,"_",P$3),materiali!$C:$K,6,0),"")</f>
        <v/>
      </c>
      <c r="Q1127" s="86"/>
      <c r="R1127" s="84" t="str">
        <f>IFERROR(VLOOKUP(CONCATENATE($B1127,"_",R$3),materiali!$C:$K,5,0),"")</f>
        <v/>
      </c>
      <c r="S1127" s="85" t="str">
        <f>IFERROR(VLOOKUP(CONCATENATE($B1127,"_",S$3),materiali!$C:$K,6,0),"")</f>
        <v/>
      </c>
      <c r="T1127" s="86"/>
      <c r="U1127" s="31"/>
      <c r="AD1127" s="97"/>
    </row>
    <row r="1128" spans="1:30" ht="35.1" hidden="1" customHeight="1" x14ac:dyDescent="0.25">
      <c r="A1128" s="83"/>
      <c r="B1128" s="7"/>
      <c r="C1128" s="8"/>
      <c r="D1128" s="8"/>
      <c r="E1128" s="60"/>
      <c r="F1128" s="84" t="str">
        <f>IFERROR(VLOOKUP(CONCATENATE($B1128,"_",F$3),materiali!$C:$K,5,0),"")</f>
        <v/>
      </c>
      <c r="G1128" s="85" t="str">
        <f>IFERROR(VLOOKUP(CONCATENATE($B1128,"_",G$3),materiali!$C:$K,6,0),"")</f>
        <v/>
      </c>
      <c r="H1128" s="86"/>
      <c r="I1128" s="84" t="str">
        <f>IFERROR(VLOOKUP(CONCATENATE($B1128,"_",I$3),materiali!$C:$K,5,0),"")</f>
        <v/>
      </c>
      <c r="J1128" s="85" t="str">
        <f>IFERROR(VLOOKUP(CONCATENATE($B1128,"_",J$3),materiali!$C:$K,6,0),"")</f>
        <v/>
      </c>
      <c r="K1128" s="86"/>
      <c r="L1128" s="84" t="str">
        <f>IFERROR(VLOOKUP(CONCATENATE($B1128,"_",L$3),materiali!$C:$K,5,0),"")</f>
        <v/>
      </c>
      <c r="M1128" s="85" t="str">
        <f>IFERROR(VLOOKUP(CONCATENATE($B1128,"_",M$3),materiali!$C:$K,6,0),"")</f>
        <v/>
      </c>
      <c r="N1128" s="86"/>
      <c r="O1128" s="84" t="str">
        <f>IFERROR(VLOOKUP(CONCATENATE($B1128,"_",O$3),materiali!$C:$K,5,0),"")</f>
        <v/>
      </c>
      <c r="P1128" s="85" t="str">
        <f>IFERROR(VLOOKUP(CONCATENATE($B1128,"_",P$3),materiali!$C:$K,6,0),"")</f>
        <v/>
      </c>
      <c r="Q1128" s="86"/>
      <c r="R1128" s="84" t="str">
        <f>IFERROR(VLOOKUP(CONCATENATE($B1128,"_",R$3),materiali!$C:$K,5,0),"")</f>
        <v/>
      </c>
      <c r="S1128" s="85" t="str">
        <f>IFERROR(VLOOKUP(CONCATENATE($B1128,"_",S$3),materiali!$C:$K,6,0),"")</f>
        <v/>
      </c>
      <c r="T1128" s="86"/>
      <c r="U1128" s="31"/>
      <c r="AD1128" s="97"/>
    </row>
    <row r="1129" spans="1:30" ht="35.1" hidden="1" customHeight="1" x14ac:dyDescent="0.25">
      <c r="A1129" s="83"/>
      <c r="B1129" s="7"/>
      <c r="C1129" s="8"/>
      <c r="D1129" s="8"/>
      <c r="E1129" s="60"/>
      <c r="F1129" s="84" t="str">
        <f>IFERROR(VLOOKUP(CONCATENATE($B1129,"_",F$3),materiali!$C:$K,5,0),"")</f>
        <v/>
      </c>
      <c r="G1129" s="85" t="str">
        <f>IFERROR(VLOOKUP(CONCATENATE($B1129,"_",G$3),materiali!$C:$K,6,0),"")</f>
        <v/>
      </c>
      <c r="H1129" s="86"/>
      <c r="I1129" s="84" t="str">
        <f>IFERROR(VLOOKUP(CONCATENATE($B1129,"_",I$3),materiali!$C:$K,5,0),"")</f>
        <v/>
      </c>
      <c r="J1129" s="85" t="str">
        <f>IFERROR(VLOOKUP(CONCATENATE($B1129,"_",J$3),materiali!$C:$K,6,0),"")</f>
        <v/>
      </c>
      <c r="K1129" s="86"/>
      <c r="L1129" s="84" t="str">
        <f>IFERROR(VLOOKUP(CONCATENATE($B1129,"_",L$3),materiali!$C:$K,5,0),"")</f>
        <v/>
      </c>
      <c r="M1129" s="85" t="str">
        <f>IFERROR(VLOOKUP(CONCATENATE($B1129,"_",M$3),materiali!$C:$K,6,0),"")</f>
        <v/>
      </c>
      <c r="N1129" s="86"/>
      <c r="O1129" s="84" t="str">
        <f>IFERROR(VLOOKUP(CONCATENATE($B1129,"_",O$3),materiali!$C:$K,5,0),"")</f>
        <v/>
      </c>
      <c r="P1129" s="85" t="str">
        <f>IFERROR(VLOOKUP(CONCATENATE($B1129,"_",P$3),materiali!$C:$K,6,0),"")</f>
        <v/>
      </c>
      <c r="Q1129" s="86"/>
      <c r="R1129" s="84" t="str">
        <f>IFERROR(VLOOKUP(CONCATENATE($B1129,"_",R$3),materiali!$C:$K,5,0),"")</f>
        <v/>
      </c>
      <c r="S1129" s="85" t="str">
        <f>IFERROR(VLOOKUP(CONCATENATE($B1129,"_",S$3),materiali!$C:$K,6,0),"")</f>
        <v/>
      </c>
      <c r="T1129" s="86"/>
      <c r="U1129" s="31"/>
      <c r="AD1129" s="97"/>
    </row>
    <row r="1130" spans="1:30" ht="35.1" hidden="1" customHeight="1" x14ac:dyDescent="0.25">
      <c r="A1130" s="83"/>
      <c r="B1130" s="7"/>
      <c r="C1130" s="8"/>
      <c r="D1130" s="8"/>
      <c r="E1130" s="60"/>
      <c r="F1130" s="84" t="str">
        <f>IFERROR(VLOOKUP(CONCATENATE($B1130,"_",F$3),materiali!$C:$K,5,0),"")</f>
        <v/>
      </c>
      <c r="G1130" s="85" t="str">
        <f>IFERROR(VLOOKUP(CONCATENATE($B1130,"_",G$3),materiali!$C:$K,6,0),"")</f>
        <v/>
      </c>
      <c r="H1130" s="86"/>
      <c r="I1130" s="84" t="str">
        <f>IFERROR(VLOOKUP(CONCATENATE($B1130,"_",I$3),materiali!$C:$K,5,0),"")</f>
        <v/>
      </c>
      <c r="J1130" s="85" t="str">
        <f>IFERROR(VLOOKUP(CONCATENATE($B1130,"_",J$3),materiali!$C:$K,6,0),"")</f>
        <v/>
      </c>
      <c r="K1130" s="86"/>
      <c r="L1130" s="84" t="str">
        <f>IFERROR(VLOOKUP(CONCATENATE($B1130,"_",L$3),materiali!$C:$K,5,0),"")</f>
        <v/>
      </c>
      <c r="M1130" s="85" t="str">
        <f>IFERROR(VLOOKUP(CONCATENATE($B1130,"_",M$3),materiali!$C:$K,6,0),"")</f>
        <v/>
      </c>
      <c r="N1130" s="86"/>
      <c r="O1130" s="84" t="str">
        <f>IFERROR(VLOOKUP(CONCATENATE($B1130,"_",O$3),materiali!$C:$K,5,0),"")</f>
        <v/>
      </c>
      <c r="P1130" s="85" t="str">
        <f>IFERROR(VLOOKUP(CONCATENATE($B1130,"_",P$3),materiali!$C:$K,6,0),"")</f>
        <v/>
      </c>
      <c r="Q1130" s="86"/>
      <c r="R1130" s="84" t="str">
        <f>IFERROR(VLOOKUP(CONCATENATE($B1130,"_",R$3),materiali!$C:$K,5,0),"")</f>
        <v/>
      </c>
      <c r="S1130" s="85" t="str">
        <f>IFERROR(VLOOKUP(CONCATENATE($B1130,"_",S$3),materiali!$C:$K,6,0),"")</f>
        <v/>
      </c>
      <c r="T1130" s="86"/>
      <c r="U1130" s="31"/>
      <c r="AD1130" s="97"/>
    </row>
    <row r="1131" spans="1:30" ht="35.1" hidden="1" customHeight="1" x14ac:dyDescent="0.25">
      <c r="A1131" s="83"/>
      <c r="B1131" s="7"/>
      <c r="C1131" s="8"/>
      <c r="D1131" s="8"/>
      <c r="E1131" s="60"/>
      <c r="F1131" s="84" t="str">
        <f>IFERROR(VLOOKUP(CONCATENATE($B1131,"_",F$3),materiali!$C:$K,5,0),"")</f>
        <v/>
      </c>
      <c r="G1131" s="85" t="str">
        <f>IFERROR(VLOOKUP(CONCATENATE($B1131,"_",G$3),materiali!$C:$K,6,0),"")</f>
        <v/>
      </c>
      <c r="H1131" s="86"/>
      <c r="I1131" s="84" t="str">
        <f>IFERROR(VLOOKUP(CONCATENATE($B1131,"_",I$3),materiali!$C:$K,5,0),"")</f>
        <v/>
      </c>
      <c r="J1131" s="85" t="str">
        <f>IFERROR(VLOOKUP(CONCATENATE($B1131,"_",J$3),materiali!$C:$K,6,0),"")</f>
        <v/>
      </c>
      <c r="K1131" s="86"/>
      <c r="L1131" s="84" t="str">
        <f>IFERROR(VLOOKUP(CONCATENATE($B1131,"_",L$3),materiali!$C:$K,5,0),"")</f>
        <v/>
      </c>
      <c r="M1131" s="85" t="str">
        <f>IFERROR(VLOOKUP(CONCATENATE($B1131,"_",M$3),materiali!$C:$K,6,0),"")</f>
        <v/>
      </c>
      <c r="N1131" s="86"/>
      <c r="O1131" s="84" t="str">
        <f>IFERROR(VLOOKUP(CONCATENATE($B1131,"_",O$3),materiali!$C:$K,5,0),"")</f>
        <v/>
      </c>
      <c r="P1131" s="85" t="str">
        <f>IFERROR(VLOOKUP(CONCATENATE($B1131,"_",P$3),materiali!$C:$K,6,0),"")</f>
        <v/>
      </c>
      <c r="Q1131" s="86"/>
      <c r="R1131" s="84" t="str">
        <f>IFERROR(VLOOKUP(CONCATENATE($B1131,"_",R$3),materiali!$C:$K,5,0),"")</f>
        <v/>
      </c>
      <c r="S1131" s="85" t="str">
        <f>IFERROR(VLOOKUP(CONCATENATE($B1131,"_",S$3),materiali!$C:$K,6,0),"")</f>
        <v/>
      </c>
      <c r="T1131" s="86"/>
      <c r="U1131" s="31"/>
      <c r="AD1131" s="97"/>
    </row>
    <row r="1132" spans="1:30" ht="35.1" hidden="1" customHeight="1" x14ac:dyDescent="0.25">
      <c r="A1132" s="83"/>
      <c r="B1132" s="7"/>
      <c r="C1132" s="8"/>
      <c r="D1132" s="8"/>
      <c r="E1132" s="60"/>
      <c r="F1132" s="84" t="str">
        <f>IFERROR(VLOOKUP(CONCATENATE($B1132,"_",F$3),materiali!$C:$K,5,0),"")</f>
        <v/>
      </c>
      <c r="G1132" s="85" t="str">
        <f>IFERROR(VLOOKUP(CONCATENATE($B1132,"_",G$3),materiali!$C:$K,6,0),"")</f>
        <v/>
      </c>
      <c r="H1132" s="86"/>
      <c r="I1132" s="84" t="str">
        <f>IFERROR(VLOOKUP(CONCATENATE($B1132,"_",I$3),materiali!$C:$K,5,0),"")</f>
        <v/>
      </c>
      <c r="J1132" s="85" t="str">
        <f>IFERROR(VLOOKUP(CONCATENATE($B1132,"_",J$3),materiali!$C:$K,6,0),"")</f>
        <v/>
      </c>
      <c r="K1132" s="86"/>
      <c r="L1132" s="84" t="str">
        <f>IFERROR(VLOOKUP(CONCATENATE($B1132,"_",L$3),materiali!$C:$K,5,0),"")</f>
        <v/>
      </c>
      <c r="M1132" s="85" t="str">
        <f>IFERROR(VLOOKUP(CONCATENATE($B1132,"_",M$3),materiali!$C:$K,6,0),"")</f>
        <v/>
      </c>
      <c r="N1132" s="86"/>
      <c r="O1132" s="84" t="str">
        <f>IFERROR(VLOOKUP(CONCATENATE($B1132,"_",O$3),materiali!$C:$K,5,0),"")</f>
        <v/>
      </c>
      <c r="P1132" s="85" t="str">
        <f>IFERROR(VLOOKUP(CONCATENATE($B1132,"_",P$3),materiali!$C:$K,6,0),"")</f>
        <v/>
      </c>
      <c r="Q1132" s="86"/>
      <c r="R1132" s="84" t="str">
        <f>IFERROR(VLOOKUP(CONCATENATE($B1132,"_",R$3),materiali!$C:$K,5,0),"")</f>
        <v/>
      </c>
      <c r="S1132" s="85" t="str">
        <f>IFERROR(VLOOKUP(CONCATENATE($B1132,"_",S$3),materiali!$C:$K,6,0),"")</f>
        <v/>
      </c>
      <c r="T1132" s="86"/>
      <c r="U1132" s="31"/>
      <c r="AD1132" s="97"/>
    </row>
    <row r="1133" spans="1:30" ht="35.1" hidden="1" customHeight="1" x14ac:dyDescent="0.25">
      <c r="A1133" s="83"/>
      <c r="B1133" s="7"/>
      <c r="C1133" s="8"/>
      <c r="D1133" s="8"/>
      <c r="E1133" s="60"/>
      <c r="F1133" s="84" t="str">
        <f>IFERROR(VLOOKUP(CONCATENATE($B1133,"_",F$3),materiali!$C:$K,5,0),"")</f>
        <v/>
      </c>
      <c r="G1133" s="85" t="str">
        <f>IFERROR(VLOOKUP(CONCATENATE($B1133,"_",G$3),materiali!$C:$K,6,0),"")</f>
        <v/>
      </c>
      <c r="H1133" s="86"/>
      <c r="I1133" s="84" t="str">
        <f>IFERROR(VLOOKUP(CONCATENATE($B1133,"_",I$3),materiali!$C:$K,5,0),"")</f>
        <v/>
      </c>
      <c r="J1133" s="85" t="str">
        <f>IFERROR(VLOOKUP(CONCATENATE($B1133,"_",J$3),materiali!$C:$K,6,0),"")</f>
        <v/>
      </c>
      <c r="K1133" s="86"/>
      <c r="L1133" s="84" t="str">
        <f>IFERROR(VLOOKUP(CONCATENATE($B1133,"_",L$3),materiali!$C:$K,5,0),"")</f>
        <v/>
      </c>
      <c r="M1133" s="85" t="str">
        <f>IFERROR(VLOOKUP(CONCATENATE($B1133,"_",M$3),materiali!$C:$K,6,0),"")</f>
        <v/>
      </c>
      <c r="N1133" s="86"/>
      <c r="O1133" s="84" t="str">
        <f>IFERROR(VLOOKUP(CONCATENATE($B1133,"_",O$3),materiali!$C:$K,5,0),"")</f>
        <v/>
      </c>
      <c r="P1133" s="85" t="str">
        <f>IFERROR(VLOOKUP(CONCATENATE($B1133,"_",P$3),materiali!$C:$K,6,0),"")</f>
        <v/>
      </c>
      <c r="Q1133" s="86"/>
      <c r="R1133" s="84" t="str">
        <f>IFERROR(VLOOKUP(CONCATENATE($B1133,"_",R$3),materiali!$C:$K,5,0),"")</f>
        <v/>
      </c>
      <c r="S1133" s="85" t="str">
        <f>IFERROR(VLOOKUP(CONCATENATE($B1133,"_",S$3),materiali!$C:$K,6,0),"")</f>
        <v/>
      </c>
      <c r="T1133" s="86"/>
      <c r="U1133" s="31"/>
      <c r="AD1133" s="97"/>
    </row>
    <row r="1134" spans="1:30" ht="35.1" hidden="1" customHeight="1" x14ac:dyDescent="0.25">
      <c r="A1134" s="83"/>
      <c r="B1134" s="7"/>
      <c r="C1134" s="8"/>
      <c r="D1134" s="8"/>
      <c r="E1134" s="60"/>
      <c r="F1134" s="84" t="str">
        <f>IFERROR(VLOOKUP(CONCATENATE($B1134,"_",F$3),materiali!$C:$K,5,0),"")</f>
        <v/>
      </c>
      <c r="G1134" s="85" t="str">
        <f>IFERROR(VLOOKUP(CONCATENATE($B1134,"_",G$3),materiali!$C:$K,6,0),"")</f>
        <v/>
      </c>
      <c r="H1134" s="86"/>
      <c r="I1134" s="84" t="str">
        <f>IFERROR(VLOOKUP(CONCATENATE($B1134,"_",I$3),materiali!$C:$K,5,0),"")</f>
        <v/>
      </c>
      <c r="J1134" s="85" t="str">
        <f>IFERROR(VLOOKUP(CONCATENATE($B1134,"_",J$3),materiali!$C:$K,6,0),"")</f>
        <v/>
      </c>
      <c r="K1134" s="86"/>
      <c r="L1134" s="84" t="str">
        <f>IFERROR(VLOOKUP(CONCATENATE($B1134,"_",L$3),materiali!$C:$K,5,0),"")</f>
        <v/>
      </c>
      <c r="M1134" s="85" t="str">
        <f>IFERROR(VLOOKUP(CONCATENATE($B1134,"_",M$3),materiali!$C:$K,6,0),"")</f>
        <v/>
      </c>
      <c r="N1134" s="86"/>
      <c r="O1134" s="84" t="str">
        <f>IFERROR(VLOOKUP(CONCATENATE($B1134,"_",O$3),materiali!$C:$K,5,0),"")</f>
        <v/>
      </c>
      <c r="P1134" s="85" t="str">
        <f>IFERROR(VLOOKUP(CONCATENATE($B1134,"_",P$3),materiali!$C:$K,6,0),"")</f>
        <v/>
      </c>
      <c r="Q1134" s="86"/>
      <c r="R1134" s="84" t="str">
        <f>IFERROR(VLOOKUP(CONCATENATE($B1134,"_",R$3),materiali!$C:$K,5,0),"")</f>
        <v/>
      </c>
      <c r="S1134" s="85" t="str">
        <f>IFERROR(VLOOKUP(CONCATENATE($B1134,"_",S$3),materiali!$C:$K,6,0),"")</f>
        <v/>
      </c>
      <c r="T1134" s="86"/>
      <c r="U1134" s="31"/>
      <c r="AD1134" s="97"/>
    </row>
    <row r="1135" spans="1:30" ht="35.1" hidden="1" customHeight="1" x14ac:dyDescent="0.25">
      <c r="A1135" s="83"/>
      <c r="B1135" s="7"/>
      <c r="C1135" s="8"/>
      <c r="D1135" s="8"/>
      <c r="E1135" s="60"/>
      <c r="F1135" s="84" t="str">
        <f>IFERROR(VLOOKUP(CONCATENATE($B1135,"_",F$3),materiali!$C:$K,5,0),"")</f>
        <v/>
      </c>
      <c r="G1135" s="85" t="str">
        <f>IFERROR(VLOOKUP(CONCATENATE($B1135,"_",G$3),materiali!$C:$K,6,0),"")</f>
        <v/>
      </c>
      <c r="H1135" s="86"/>
      <c r="I1135" s="84" t="str">
        <f>IFERROR(VLOOKUP(CONCATENATE($B1135,"_",I$3),materiali!$C:$K,5,0),"")</f>
        <v/>
      </c>
      <c r="J1135" s="85" t="str">
        <f>IFERROR(VLOOKUP(CONCATENATE($B1135,"_",J$3),materiali!$C:$K,6,0),"")</f>
        <v/>
      </c>
      <c r="K1135" s="86"/>
      <c r="L1135" s="84" t="str">
        <f>IFERROR(VLOOKUP(CONCATENATE($B1135,"_",L$3),materiali!$C:$K,5,0),"")</f>
        <v/>
      </c>
      <c r="M1135" s="85" t="str">
        <f>IFERROR(VLOOKUP(CONCATENATE($B1135,"_",M$3),materiali!$C:$K,6,0),"")</f>
        <v/>
      </c>
      <c r="N1135" s="86"/>
      <c r="O1135" s="84" t="str">
        <f>IFERROR(VLOOKUP(CONCATENATE($B1135,"_",O$3),materiali!$C:$K,5,0),"")</f>
        <v/>
      </c>
      <c r="P1135" s="85" t="str">
        <f>IFERROR(VLOOKUP(CONCATENATE($B1135,"_",P$3),materiali!$C:$K,6,0),"")</f>
        <v/>
      </c>
      <c r="Q1135" s="86"/>
      <c r="R1135" s="84" t="str">
        <f>IFERROR(VLOOKUP(CONCATENATE($B1135,"_",R$3),materiali!$C:$K,5,0),"")</f>
        <v/>
      </c>
      <c r="S1135" s="85" t="str">
        <f>IFERROR(VLOOKUP(CONCATENATE($B1135,"_",S$3),materiali!$C:$K,6,0),"")</f>
        <v/>
      </c>
      <c r="T1135" s="86"/>
      <c r="U1135" s="31"/>
      <c r="AD1135" s="97"/>
    </row>
    <row r="1136" spans="1:30" ht="35.1" hidden="1" customHeight="1" x14ac:dyDescent="0.25">
      <c r="A1136" s="83"/>
      <c r="B1136" s="7"/>
      <c r="C1136" s="8"/>
      <c r="D1136" s="8"/>
      <c r="E1136" s="60"/>
      <c r="F1136" s="84" t="str">
        <f>IFERROR(VLOOKUP(CONCATENATE($B1136,"_",F$3),materiali!$C:$K,5,0),"")</f>
        <v/>
      </c>
      <c r="G1136" s="85" t="str">
        <f>IFERROR(VLOOKUP(CONCATENATE($B1136,"_",G$3),materiali!$C:$K,6,0),"")</f>
        <v/>
      </c>
      <c r="H1136" s="86"/>
      <c r="I1136" s="84" t="str">
        <f>IFERROR(VLOOKUP(CONCATENATE($B1136,"_",I$3),materiali!$C:$K,5,0),"")</f>
        <v/>
      </c>
      <c r="J1136" s="85" t="str">
        <f>IFERROR(VLOOKUP(CONCATENATE($B1136,"_",J$3),materiali!$C:$K,6,0),"")</f>
        <v/>
      </c>
      <c r="K1136" s="86"/>
      <c r="L1136" s="84" t="str">
        <f>IFERROR(VLOOKUP(CONCATENATE($B1136,"_",L$3),materiali!$C:$K,5,0),"")</f>
        <v/>
      </c>
      <c r="M1136" s="85" t="str">
        <f>IFERROR(VLOOKUP(CONCATENATE($B1136,"_",M$3),materiali!$C:$K,6,0),"")</f>
        <v/>
      </c>
      <c r="N1136" s="86"/>
      <c r="O1136" s="84" t="str">
        <f>IFERROR(VLOOKUP(CONCATENATE($B1136,"_",O$3),materiali!$C:$K,5,0),"")</f>
        <v/>
      </c>
      <c r="P1136" s="85" t="str">
        <f>IFERROR(VLOOKUP(CONCATENATE($B1136,"_",P$3),materiali!$C:$K,6,0),"")</f>
        <v/>
      </c>
      <c r="Q1136" s="86"/>
      <c r="R1136" s="84" t="str">
        <f>IFERROR(VLOOKUP(CONCATENATE($B1136,"_",R$3),materiali!$C:$K,5,0),"")</f>
        <v/>
      </c>
      <c r="S1136" s="85" t="str">
        <f>IFERROR(VLOOKUP(CONCATENATE($B1136,"_",S$3),materiali!$C:$K,6,0),"")</f>
        <v/>
      </c>
      <c r="T1136" s="86"/>
      <c r="U1136" s="31"/>
      <c r="AD1136" s="97"/>
    </row>
    <row r="1137" spans="1:30" ht="35.1" hidden="1" customHeight="1" x14ac:dyDescent="0.25">
      <c r="A1137" s="83"/>
      <c r="B1137" s="7"/>
      <c r="C1137" s="8"/>
      <c r="D1137" s="8"/>
      <c r="E1137" s="60"/>
      <c r="F1137" s="84" t="str">
        <f>IFERROR(VLOOKUP(CONCATENATE($B1137,"_",F$3),materiali!$C:$K,5,0),"")</f>
        <v/>
      </c>
      <c r="G1137" s="85" t="str">
        <f>IFERROR(VLOOKUP(CONCATENATE($B1137,"_",G$3),materiali!$C:$K,6,0),"")</f>
        <v/>
      </c>
      <c r="H1137" s="86"/>
      <c r="I1137" s="84" t="str">
        <f>IFERROR(VLOOKUP(CONCATENATE($B1137,"_",I$3),materiali!$C:$K,5,0),"")</f>
        <v/>
      </c>
      <c r="J1137" s="85" t="str">
        <f>IFERROR(VLOOKUP(CONCATENATE($B1137,"_",J$3),materiali!$C:$K,6,0),"")</f>
        <v/>
      </c>
      <c r="K1137" s="86"/>
      <c r="L1137" s="84" t="str">
        <f>IFERROR(VLOOKUP(CONCATENATE($B1137,"_",L$3),materiali!$C:$K,5,0),"")</f>
        <v/>
      </c>
      <c r="M1137" s="85" t="str">
        <f>IFERROR(VLOOKUP(CONCATENATE($B1137,"_",M$3),materiali!$C:$K,6,0),"")</f>
        <v/>
      </c>
      <c r="N1137" s="86"/>
      <c r="O1137" s="84" t="str">
        <f>IFERROR(VLOOKUP(CONCATENATE($B1137,"_",O$3),materiali!$C:$K,5,0),"")</f>
        <v/>
      </c>
      <c r="P1137" s="85" t="str">
        <f>IFERROR(VLOOKUP(CONCATENATE($B1137,"_",P$3),materiali!$C:$K,6,0),"")</f>
        <v/>
      </c>
      <c r="Q1137" s="86"/>
      <c r="R1137" s="84" t="str">
        <f>IFERROR(VLOOKUP(CONCATENATE($B1137,"_",R$3),materiali!$C:$K,5,0),"")</f>
        <v/>
      </c>
      <c r="S1137" s="85" t="str">
        <f>IFERROR(VLOOKUP(CONCATENATE($B1137,"_",S$3),materiali!$C:$K,6,0),"")</f>
        <v/>
      </c>
      <c r="T1137" s="86"/>
      <c r="U1137" s="31"/>
      <c r="AD1137" s="97"/>
    </row>
    <row r="1138" spans="1:30" ht="35.1" hidden="1" customHeight="1" x14ac:dyDescent="0.25">
      <c r="A1138" s="83"/>
      <c r="B1138" s="7"/>
      <c r="C1138" s="8"/>
      <c r="D1138" s="8"/>
      <c r="E1138" s="60"/>
      <c r="F1138" s="84" t="str">
        <f>IFERROR(VLOOKUP(CONCATENATE($B1138,"_",F$3),materiali!$C:$K,5,0),"")</f>
        <v/>
      </c>
      <c r="G1138" s="85" t="str">
        <f>IFERROR(VLOOKUP(CONCATENATE($B1138,"_",G$3),materiali!$C:$K,6,0),"")</f>
        <v/>
      </c>
      <c r="H1138" s="86"/>
      <c r="I1138" s="84" t="str">
        <f>IFERROR(VLOOKUP(CONCATENATE($B1138,"_",I$3),materiali!$C:$K,5,0),"")</f>
        <v/>
      </c>
      <c r="J1138" s="85" t="str">
        <f>IFERROR(VLOOKUP(CONCATENATE($B1138,"_",J$3),materiali!$C:$K,6,0),"")</f>
        <v/>
      </c>
      <c r="K1138" s="86"/>
      <c r="L1138" s="84" t="str">
        <f>IFERROR(VLOOKUP(CONCATENATE($B1138,"_",L$3),materiali!$C:$K,5,0),"")</f>
        <v/>
      </c>
      <c r="M1138" s="85" t="str">
        <f>IFERROR(VLOOKUP(CONCATENATE($B1138,"_",M$3),materiali!$C:$K,6,0),"")</f>
        <v/>
      </c>
      <c r="N1138" s="86"/>
      <c r="O1138" s="84" t="str">
        <f>IFERROR(VLOOKUP(CONCATENATE($B1138,"_",O$3),materiali!$C:$K,5,0),"")</f>
        <v/>
      </c>
      <c r="P1138" s="85" t="str">
        <f>IFERROR(VLOOKUP(CONCATENATE($B1138,"_",P$3),materiali!$C:$K,6,0),"")</f>
        <v/>
      </c>
      <c r="Q1138" s="86"/>
      <c r="R1138" s="84" t="str">
        <f>IFERROR(VLOOKUP(CONCATENATE($B1138,"_",R$3),materiali!$C:$K,5,0),"")</f>
        <v/>
      </c>
      <c r="S1138" s="85" t="str">
        <f>IFERROR(VLOOKUP(CONCATENATE($B1138,"_",S$3),materiali!$C:$K,6,0),"")</f>
        <v/>
      </c>
      <c r="T1138" s="86"/>
      <c r="U1138" s="31"/>
      <c r="AD1138" s="97"/>
    </row>
    <row r="1139" spans="1:30" ht="35.1" hidden="1" customHeight="1" x14ac:dyDescent="0.25">
      <c r="A1139" s="83"/>
      <c r="B1139" s="7"/>
      <c r="C1139" s="8"/>
      <c r="D1139" s="8"/>
      <c r="E1139" s="60"/>
      <c r="F1139" s="84" t="str">
        <f>IFERROR(VLOOKUP(CONCATENATE($B1139,"_",F$3),materiali!$C:$K,5,0),"")</f>
        <v/>
      </c>
      <c r="G1139" s="85" t="str">
        <f>IFERROR(VLOOKUP(CONCATENATE($B1139,"_",G$3),materiali!$C:$K,6,0),"")</f>
        <v/>
      </c>
      <c r="H1139" s="86"/>
      <c r="I1139" s="84" t="str">
        <f>IFERROR(VLOOKUP(CONCATENATE($B1139,"_",I$3),materiali!$C:$K,5,0),"")</f>
        <v/>
      </c>
      <c r="J1139" s="85" t="str">
        <f>IFERROR(VLOOKUP(CONCATENATE($B1139,"_",J$3),materiali!$C:$K,6,0),"")</f>
        <v/>
      </c>
      <c r="K1139" s="86"/>
      <c r="L1139" s="84" t="str">
        <f>IFERROR(VLOOKUP(CONCATENATE($B1139,"_",L$3),materiali!$C:$K,5,0),"")</f>
        <v/>
      </c>
      <c r="M1139" s="85" t="str">
        <f>IFERROR(VLOOKUP(CONCATENATE($B1139,"_",M$3),materiali!$C:$K,6,0),"")</f>
        <v/>
      </c>
      <c r="N1139" s="86"/>
      <c r="O1139" s="84" t="str">
        <f>IFERROR(VLOOKUP(CONCATENATE($B1139,"_",O$3),materiali!$C:$K,5,0),"")</f>
        <v/>
      </c>
      <c r="P1139" s="85" t="str">
        <f>IFERROR(VLOOKUP(CONCATENATE($B1139,"_",P$3),materiali!$C:$K,6,0),"")</f>
        <v/>
      </c>
      <c r="Q1139" s="86"/>
      <c r="R1139" s="84" t="str">
        <f>IFERROR(VLOOKUP(CONCATENATE($B1139,"_",R$3),materiali!$C:$K,5,0),"")</f>
        <v/>
      </c>
      <c r="S1139" s="85" t="str">
        <f>IFERROR(VLOOKUP(CONCATENATE($B1139,"_",S$3),materiali!$C:$K,6,0),"")</f>
        <v/>
      </c>
      <c r="T1139" s="86"/>
      <c r="U1139" s="31"/>
      <c r="AD1139" s="97"/>
    </row>
    <row r="1140" spans="1:30" ht="35.1" hidden="1" customHeight="1" x14ac:dyDescent="0.25">
      <c r="A1140" s="83"/>
      <c r="B1140" s="7"/>
      <c r="C1140" s="8"/>
      <c r="D1140" s="8"/>
      <c r="E1140" s="60"/>
      <c r="F1140" s="84" t="str">
        <f>IFERROR(VLOOKUP(CONCATENATE($B1140,"_",F$3),materiali!$C:$K,5,0),"")</f>
        <v/>
      </c>
      <c r="G1140" s="85" t="str">
        <f>IFERROR(VLOOKUP(CONCATENATE($B1140,"_",G$3),materiali!$C:$K,6,0),"")</f>
        <v/>
      </c>
      <c r="H1140" s="86"/>
      <c r="I1140" s="84" t="str">
        <f>IFERROR(VLOOKUP(CONCATENATE($B1140,"_",I$3),materiali!$C:$K,5,0),"")</f>
        <v/>
      </c>
      <c r="J1140" s="85" t="str">
        <f>IFERROR(VLOOKUP(CONCATENATE($B1140,"_",J$3),materiali!$C:$K,6,0),"")</f>
        <v/>
      </c>
      <c r="K1140" s="86"/>
      <c r="L1140" s="84" t="str">
        <f>IFERROR(VLOOKUP(CONCATENATE($B1140,"_",L$3),materiali!$C:$K,5,0),"")</f>
        <v/>
      </c>
      <c r="M1140" s="85" t="str">
        <f>IFERROR(VLOOKUP(CONCATENATE($B1140,"_",M$3),materiali!$C:$K,6,0),"")</f>
        <v/>
      </c>
      <c r="N1140" s="86"/>
      <c r="O1140" s="84" t="str">
        <f>IFERROR(VLOOKUP(CONCATENATE($B1140,"_",O$3),materiali!$C:$K,5,0),"")</f>
        <v/>
      </c>
      <c r="P1140" s="85" t="str">
        <f>IFERROR(VLOOKUP(CONCATENATE($B1140,"_",P$3),materiali!$C:$K,6,0),"")</f>
        <v/>
      </c>
      <c r="Q1140" s="86"/>
      <c r="R1140" s="84" t="str">
        <f>IFERROR(VLOOKUP(CONCATENATE($B1140,"_",R$3),materiali!$C:$K,5,0),"")</f>
        <v/>
      </c>
      <c r="S1140" s="85" t="str">
        <f>IFERROR(VLOOKUP(CONCATENATE($B1140,"_",S$3),materiali!$C:$K,6,0),"")</f>
        <v/>
      </c>
      <c r="T1140" s="86"/>
      <c r="U1140" s="31"/>
      <c r="AD1140" s="97"/>
    </row>
    <row r="1141" spans="1:30" ht="35.1" hidden="1" customHeight="1" x14ac:dyDescent="0.25">
      <c r="A1141" s="83"/>
      <c r="B1141" s="7"/>
      <c r="C1141" s="8"/>
      <c r="D1141" s="8"/>
      <c r="E1141" s="60"/>
      <c r="F1141" s="84" t="str">
        <f>IFERROR(VLOOKUP(CONCATENATE($B1141,"_",F$3),materiali!$C:$K,5,0),"")</f>
        <v/>
      </c>
      <c r="G1141" s="85" t="str">
        <f>IFERROR(VLOOKUP(CONCATENATE($B1141,"_",G$3),materiali!$C:$K,6,0),"")</f>
        <v/>
      </c>
      <c r="H1141" s="86"/>
      <c r="I1141" s="84" t="str">
        <f>IFERROR(VLOOKUP(CONCATENATE($B1141,"_",I$3),materiali!$C:$K,5,0),"")</f>
        <v/>
      </c>
      <c r="J1141" s="85" t="str">
        <f>IFERROR(VLOOKUP(CONCATENATE($B1141,"_",J$3),materiali!$C:$K,6,0),"")</f>
        <v/>
      </c>
      <c r="K1141" s="86"/>
      <c r="L1141" s="84" t="str">
        <f>IFERROR(VLOOKUP(CONCATENATE($B1141,"_",L$3),materiali!$C:$K,5,0),"")</f>
        <v/>
      </c>
      <c r="M1141" s="85" t="str">
        <f>IFERROR(VLOOKUP(CONCATENATE($B1141,"_",M$3),materiali!$C:$K,6,0),"")</f>
        <v/>
      </c>
      <c r="N1141" s="86"/>
      <c r="O1141" s="84" t="str">
        <f>IFERROR(VLOOKUP(CONCATENATE($B1141,"_",O$3),materiali!$C:$K,5,0),"")</f>
        <v/>
      </c>
      <c r="P1141" s="85" t="str">
        <f>IFERROR(VLOOKUP(CONCATENATE($B1141,"_",P$3),materiali!$C:$K,6,0),"")</f>
        <v/>
      </c>
      <c r="Q1141" s="86"/>
      <c r="R1141" s="84" t="str">
        <f>IFERROR(VLOOKUP(CONCATENATE($B1141,"_",R$3),materiali!$C:$K,5,0),"")</f>
        <v/>
      </c>
      <c r="S1141" s="85" t="str">
        <f>IFERROR(VLOOKUP(CONCATENATE($B1141,"_",S$3),materiali!$C:$K,6,0),"")</f>
        <v/>
      </c>
      <c r="T1141" s="86"/>
      <c r="U1141" s="31"/>
      <c r="AD1141" s="97"/>
    </row>
    <row r="1142" spans="1:30" ht="35.1" hidden="1" customHeight="1" x14ac:dyDescent="0.25">
      <c r="A1142" s="83"/>
      <c r="B1142" s="7"/>
      <c r="C1142" s="8"/>
      <c r="D1142" s="8"/>
      <c r="E1142" s="60"/>
      <c r="F1142" s="84" t="str">
        <f>IFERROR(VLOOKUP(CONCATENATE($B1142,"_",F$3),materiali!$C:$K,5,0),"")</f>
        <v/>
      </c>
      <c r="G1142" s="85" t="str">
        <f>IFERROR(VLOOKUP(CONCATENATE($B1142,"_",G$3),materiali!$C:$K,6,0),"")</f>
        <v/>
      </c>
      <c r="H1142" s="86"/>
      <c r="I1142" s="84" t="str">
        <f>IFERROR(VLOOKUP(CONCATENATE($B1142,"_",I$3),materiali!$C:$K,5,0),"")</f>
        <v/>
      </c>
      <c r="J1142" s="85" t="str">
        <f>IFERROR(VLOOKUP(CONCATENATE($B1142,"_",J$3),materiali!$C:$K,6,0),"")</f>
        <v/>
      </c>
      <c r="K1142" s="86"/>
      <c r="L1142" s="84" t="str">
        <f>IFERROR(VLOOKUP(CONCATENATE($B1142,"_",L$3),materiali!$C:$K,5,0),"")</f>
        <v/>
      </c>
      <c r="M1142" s="85" t="str">
        <f>IFERROR(VLOOKUP(CONCATENATE($B1142,"_",M$3),materiali!$C:$K,6,0),"")</f>
        <v/>
      </c>
      <c r="N1142" s="86"/>
      <c r="O1142" s="84" t="str">
        <f>IFERROR(VLOOKUP(CONCATENATE($B1142,"_",O$3),materiali!$C:$K,5,0),"")</f>
        <v/>
      </c>
      <c r="P1142" s="85" t="str">
        <f>IFERROR(VLOOKUP(CONCATENATE($B1142,"_",P$3),materiali!$C:$K,6,0),"")</f>
        <v/>
      </c>
      <c r="Q1142" s="86"/>
      <c r="R1142" s="84" t="str">
        <f>IFERROR(VLOOKUP(CONCATENATE($B1142,"_",R$3),materiali!$C:$K,5,0),"")</f>
        <v/>
      </c>
      <c r="S1142" s="85" t="str">
        <f>IFERROR(VLOOKUP(CONCATENATE($B1142,"_",S$3),materiali!$C:$K,6,0),"")</f>
        <v/>
      </c>
      <c r="T1142" s="86"/>
      <c r="U1142" s="31"/>
      <c r="AD1142" s="97"/>
    </row>
    <row r="1143" spans="1:30" ht="35.1" hidden="1" customHeight="1" x14ac:dyDescent="0.25">
      <c r="A1143" s="83"/>
      <c r="B1143" s="7"/>
      <c r="C1143" s="8"/>
      <c r="D1143" s="8"/>
      <c r="E1143" s="60"/>
      <c r="F1143" s="84" t="str">
        <f>IFERROR(VLOOKUP(CONCATENATE($B1143,"_",F$3),materiali!$C:$K,5,0),"")</f>
        <v/>
      </c>
      <c r="G1143" s="85" t="str">
        <f>IFERROR(VLOOKUP(CONCATENATE($B1143,"_",G$3),materiali!$C:$K,6,0),"")</f>
        <v/>
      </c>
      <c r="H1143" s="86"/>
      <c r="I1143" s="84" t="str">
        <f>IFERROR(VLOOKUP(CONCATENATE($B1143,"_",I$3),materiali!$C:$K,5,0),"")</f>
        <v/>
      </c>
      <c r="J1143" s="85" t="str">
        <f>IFERROR(VLOOKUP(CONCATENATE($B1143,"_",J$3),materiali!$C:$K,6,0),"")</f>
        <v/>
      </c>
      <c r="K1143" s="86"/>
      <c r="L1143" s="84" t="str">
        <f>IFERROR(VLOOKUP(CONCATENATE($B1143,"_",L$3),materiali!$C:$K,5,0),"")</f>
        <v/>
      </c>
      <c r="M1143" s="85" t="str">
        <f>IFERROR(VLOOKUP(CONCATENATE($B1143,"_",M$3),materiali!$C:$K,6,0),"")</f>
        <v/>
      </c>
      <c r="N1143" s="86"/>
      <c r="O1143" s="84" t="str">
        <f>IFERROR(VLOOKUP(CONCATENATE($B1143,"_",O$3),materiali!$C:$K,5,0),"")</f>
        <v/>
      </c>
      <c r="P1143" s="85" t="str">
        <f>IFERROR(VLOOKUP(CONCATENATE($B1143,"_",P$3),materiali!$C:$K,6,0),"")</f>
        <v/>
      </c>
      <c r="Q1143" s="86"/>
      <c r="R1143" s="84" t="str">
        <f>IFERROR(VLOOKUP(CONCATENATE($B1143,"_",R$3),materiali!$C:$K,5,0),"")</f>
        <v/>
      </c>
      <c r="S1143" s="85" t="str">
        <f>IFERROR(VLOOKUP(CONCATENATE($B1143,"_",S$3),materiali!$C:$K,6,0),"")</f>
        <v/>
      </c>
      <c r="T1143" s="86"/>
      <c r="U1143" s="31"/>
      <c r="AD1143" s="97"/>
    </row>
    <row r="1144" spans="1:30" ht="35.1" hidden="1" customHeight="1" x14ac:dyDescent="0.25">
      <c r="A1144" s="83"/>
      <c r="B1144" s="7"/>
      <c r="C1144" s="8"/>
      <c r="D1144" s="8"/>
      <c r="E1144" s="60"/>
      <c r="F1144" s="84" t="str">
        <f>IFERROR(VLOOKUP(CONCATENATE($B1144,"_",F$3),materiali!$C:$K,5,0),"")</f>
        <v/>
      </c>
      <c r="G1144" s="85" t="str">
        <f>IFERROR(VLOOKUP(CONCATENATE($B1144,"_",G$3),materiali!$C:$K,6,0),"")</f>
        <v/>
      </c>
      <c r="H1144" s="86"/>
      <c r="I1144" s="84" t="str">
        <f>IFERROR(VLOOKUP(CONCATENATE($B1144,"_",I$3),materiali!$C:$K,5,0),"")</f>
        <v/>
      </c>
      <c r="J1144" s="85" t="str">
        <f>IFERROR(VLOOKUP(CONCATENATE($B1144,"_",J$3),materiali!$C:$K,6,0),"")</f>
        <v/>
      </c>
      <c r="K1144" s="86"/>
      <c r="L1144" s="84" t="str">
        <f>IFERROR(VLOOKUP(CONCATENATE($B1144,"_",L$3),materiali!$C:$K,5,0),"")</f>
        <v/>
      </c>
      <c r="M1144" s="85" t="str">
        <f>IFERROR(VLOOKUP(CONCATENATE($B1144,"_",M$3),materiali!$C:$K,6,0),"")</f>
        <v/>
      </c>
      <c r="N1144" s="86"/>
      <c r="O1144" s="84" t="str">
        <f>IFERROR(VLOOKUP(CONCATENATE($B1144,"_",O$3),materiali!$C:$K,5,0),"")</f>
        <v/>
      </c>
      <c r="P1144" s="85" t="str">
        <f>IFERROR(VLOOKUP(CONCATENATE($B1144,"_",P$3),materiali!$C:$K,6,0),"")</f>
        <v/>
      </c>
      <c r="Q1144" s="86"/>
      <c r="R1144" s="84" t="str">
        <f>IFERROR(VLOOKUP(CONCATENATE($B1144,"_",R$3),materiali!$C:$K,5,0),"")</f>
        <v/>
      </c>
      <c r="S1144" s="85" t="str">
        <f>IFERROR(VLOOKUP(CONCATENATE($B1144,"_",S$3),materiali!$C:$K,6,0),"")</f>
        <v/>
      </c>
      <c r="T1144" s="86"/>
      <c r="U1144" s="31"/>
      <c r="AD1144" s="97"/>
    </row>
    <row r="1145" spans="1:30" ht="35.1" hidden="1" customHeight="1" x14ac:dyDescent="0.25">
      <c r="A1145" s="83"/>
      <c r="B1145" s="7"/>
      <c r="C1145" s="8"/>
      <c r="D1145" s="8"/>
      <c r="E1145" s="60"/>
      <c r="F1145" s="84" t="str">
        <f>IFERROR(VLOOKUP(CONCATENATE($B1145,"_",F$3),materiali!$C:$K,5,0),"")</f>
        <v/>
      </c>
      <c r="G1145" s="85" t="str">
        <f>IFERROR(VLOOKUP(CONCATENATE($B1145,"_",G$3),materiali!$C:$K,6,0),"")</f>
        <v/>
      </c>
      <c r="H1145" s="86"/>
      <c r="I1145" s="84" t="str">
        <f>IFERROR(VLOOKUP(CONCATENATE($B1145,"_",I$3),materiali!$C:$K,5,0),"")</f>
        <v/>
      </c>
      <c r="J1145" s="85" t="str">
        <f>IFERROR(VLOOKUP(CONCATENATE($B1145,"_",J$3),materiali!$C:$K,6,0),"")</f>
        <v/>
      </c>
      <c r="K1145" s="86"/>
      <c r="L1145" s="84" t="str">
        <f>IFERROR(VLOOKUP(CONCATENATE($B1145,"_",L$3),materiali!$C:$K,5,0),"")</f>
        <v/>
      </c>
      <c r="M1145" s="85" t="str">
        <f>IFERROR(VLOOKUP(CONCATENATE($B1145,"_",M$3),materiali!$C:$K,6,0),"")</f>
        <v/>
      </c>
      <c r="N1145" s="86"/>
      <c r="O1145" s="84" t="str">
        <f>IFERROR(VLOOKUP(CONCATENATE($B1145,"_",O$3),materiali!$C:$K,5,0),"")</f>
        <v/>
      </c>
      <c r="P1145" s="85" t="str">
        <f>IFERROR(VLOOKUP(CONCATENATE($B1145,"_",P$3),materiali!$C:$K,6,0),"")</f>
        <v/>
      </c>
      <c r="Q1145" s="86"/>
      <c r="R1145" s="84" t="str">
        <f>IFERROR(VLOOKUP(CONCATENATE($B1145,"_",R$3),materiali!$C:$K,5,0),"")</f>
        <v/>
      </c>
      <c r="S1145" s="85" t="str">
        <f>IFERROR(VLOOKUP(CONCATENATE($B1145,"_",S$3),materiali!$C:$K,6,0),"")</f>
        <v/>
      </c>
      <c r="T1145" s="86"/>
      <c r="U1145" s="31"/>
      <c r="AD1145" s="97"/>
    </row>
    <row r="1146" spans="1:30" ht="35.1" hidden="1" customHeight="1" x14ac:dyDescent="0.25">
      <c r="A1146" s="83"/>
      <c r="B1146" s="7"/>
      <c r="C1146" s="8"/>
      <c r="D1146" s="8"/>
      <c r="E1146" s="60"/>
      <c r="F1146" s="84" t="str">
        <f>IFERROR(VLOOKUP(CONCATENATE($B1146,"_",F$3),materiali!$C:$K,5,0),"")</f>
        <v/>
      </c>
      <c r="G1146" s="85" t="str">
        <f>IFERROR(VLOOKUP(CONCATENATE($B1146,"_",G$3),materiali!$C:$K,6,0),"")</f>
        <v/>
      </c>
      <c r="H1146" s="86"/>
      <c r="I1146" s="84" t="str">
        <f>IFERROR(VLOOKUP(CONCATENATE($B1146,"_",I$3),materiali!$C:$K,5,0),"")</f>
        <v/>
      </c>
      <c r="J1146" s="85" t="str">
        <f>IFERROR(VLOOKUP(CONCATENATE($B1146,"_",J$3),materiali!$C:$K,6,0),"")</f>
        <v/>
      </c>
      <c r="K1146" s="86"/>
      <c r="L1146" s="84" t="str">
        <f>IFERROR(VLOOKUP(CONCATENATE($B1146,"_",L$3),materiali!$C:$K,5,0),"")</f>
        <v/>
      </c>
      <c r="M1146" s="85" t="str">
        <f>IFERROR(VLOOKUP(CONCATENATE($B1146,"_",M$3),materiali!$C:$K,6,0),"")</f>
        <v/>
      </c>
      <c r="N1146" s="86"/>
      <c r="O1146" s="84" t="str">
        <f>IFERROR(VLOOKUP(CONCATENATE($B1146,"_",O$3),materiali!$C:$K,5,0),"")</f>
        <v/>
      </c>
      <c r="P1146" s="85" t="str">
        <f>IFERROR(VLOOKUP(CONCATENATE($B1146,"_",P$3),materiali!$C:$K,6,0),"")</f>
        <v/>
      </c>
      <c r="Q1146" s="86"/>
      <c r="R1146" s="84" t="str">
        <f>IFERROR(VLOOKUP(CONCATENATE($B1146,"_",R$3),materiali!$C:$K,5,0),"")</f>
        <v/>
      </c>
      <c r="S1146" s="85" t="str">
        <f>IFERROR(VLOOKUP(CONCATENATE($B1146,"_",S$3),materiali!$C:$K,6,0),"")</f>
        <v/>
      </c>
      <c r="T1146" s="86"/>
      <c r="U1146" s="31"/>
      <c r="AD1146" s="97"/>
    </row>
    <row r="1147" spans="1:30" ht="35.1" hidden="1" customHeight="1" x14ac:dyDescent="0.25">
      <c r="A1147" s="83"/>
      <c r="B1147" s="7"/>
      <c r="C1147" s="8"/>
      <c r="D1147" s="8"/>
      <c r="E1147" s="60"/>
      <c r="F1147" s="84" t="str">
        <f>IFERROR(VLOOKUP(CONCATENATE($B1147,"_",F$3),materiali!$C:$K,5,0),"")</f>
        <v/>
      </c>
      <c r="G1147" s="85" t="str">
        <f>IFERROR(VLOOKUP(CONCATENATE($B1147,"_",G$3),materiali!$C:$K,6,0),"")</f>
        <v/>
      </c>
      <c r="H1147" s="86"/>
      <c r="I1147" s="84" t="str">
        <f>IFERROR(VLOOKUP(CONCATENATE($B1147,"_",I$3),materiali!$C:$K,5,0),"")</f>
        <v/>
      </c>
      <c r="J1147" s="85" t="str">
        <f>IFERROR(VLOOKUP(CONCATENATE($B1147,"_",J$3),materiali!$C:$K,6,0),"")</f>
        <v/>
      </c>
      <c r="K1147" s="86"/>
      <c r="L1147" s="84" t="str">
        <f>IFERROR(VLOOKUP(CONCATENATE($B1147,"_",L$3),materiali!$C:$K,5,0),"")</f>
        <v/>
      </c>
      <c r="M1147" s="85" t="str">
        <f>IFERROR(VLOOKUP(CONCATENATE($B1147,"_",M$3),materiali!$C:$K,6,0),"")</f>
        <v/>
      </c>
      <c r="N1147" s="86"/>
      <c r="O1147" s="84" t="str">
        <f>IFERROR(VLOOKUP(CONCATENATE($B1147,"_",O$3),materiali!$C:$K,5,0),"")</f>
        <v/>
      </c>
      <c r="P1147" s="85" t="str">
        <f>IFERROR(VLOOKUP(CONCATENATE($B1147,"_",P$3),materiali!$C:$K,6,0),"")</f>
        <v/>
      </c>
      <c r="Q1147" s="86"/>
      <c r="R1147" s="84" t="str">
        <f>IFERROR(VLOOKUP(CONCATENATE($B1147,"_",R$3),materiali!$C:$K,5,0),"")</f>
        <v/>
      </c>
      <c r="S1147" s="85" t="str">
        <f>IFERROR(VLOOKUP(CONCATENATE($B1147,"_",S$3),materiali!$C:$K,6,0),"")</f>
        <v/>
      </c>
      <c r="T1147" s="86"/>
      <c r="U1147" s="31"/>
      <c r="AD1147" s="97"/>
    </row>
    <row r="1148" spans="1:30" ht="35.1" hidden="1" customHeight="1" x14ac:dyDescent="0.25">
      <c r="A1148" s="83"/>
      <c r="B1148" s="7"/>
      <c r="C1148" s="8"/>
      <c r="D1148" s="8"/>
      <c r="E1148" s="60"/>
      <c r="F1148" s="84" t="str">
        <f>IFERROR(VLOOKUP(CONCATENATE($B1148,"_",F$3),materiali!$C:$K,5,0),"")</f>
        <v/>
      </c>
      <c r="G1148" s="85" t="str">
        <f>IFERROR(VLOOKUP(CONCATENATE($B1148,"_",G$3),materiali!$C:$K,6,0),"")</f>
        <v/>
      </c>
      <c r="H1148" s="86"/>
      <c r="I1148" s="84" t="str">
        <f>IFERROR(VLOOKUP(CONCATENATE($B1148,"_",I$3),materiali!$C:$K,5,0),"")</f>
        <v/>
      </c>
      <c r="J1148" s="85" t="str">
        <f>IFERROR(VLOOKUP(CONCATENATE($B1148,"_",J$3),materiali!$C:$K,6,0),"")</f>
        <v/>
      </c>
      <c r="K1148" s="86"/>
      <c r="L1148" s="84" t="str">
        <f>IFERROR(VLOOKUP(CONCATENATE($B1148,"_",L$3),materiali!$C:$K,5,0),"")</f>
        <v/>
      </c>
      <c r="M1148" s="85" t="str">
        <f>IFERROR(VLOOKUP(CONCATENATE($B1148,"_",M$3),materiali!$C:$K,6,0),"")</f>
        <v/>
      </c>
      <c r="N1148" s="86"/>
      <c r="O1148" s="84" t="str">
        <f>IFERROR(VLOOKUP(CONCATENATE($B1148,"_",O$3),materiali!$C:$K,5,0),"")</f>
        <v/>
      </c>
      <c r="P1148" s="85" t="str">
        <f>IFERROR(VLOOKUP(CONCATENATE($B1148,"_",P$3),materiali!$C:$K,6,0),"")</f>
        <v/>
      </c>
      <c r="Q1148" s="86"/>
      <c r="R1148" s="84" t="str">
        <f>IFERROR(VLOOKUP(CONCATENATE($B1148,"_",R$3),materiali!$C:$K,5,0),"")</f>
        <v/>
      </c>
      <c r="S1148" s="85" t="str">
        <f>IFERROR(VLOOKUP(CONCATENATE($B1148,"_",S$3),materiali!$C:$K,6,0),"")</f>
        <v/>
      </c>
      <c r="T1148" s="86"/>
      <c r="U1148" s="31"/>
      <c r="AD1148" s="97"/>
    </row>
    <row r="1149" spans="1:30" ht="35.1" hidden="1" customHeight="1" x14ac:dyDescent="0.25">
      <c r="A1149" s="83"/>
      <c r="B1149" s="7"/>
      <c r="C1149" s="8"/>
      <c r="D1149" s="8"/>
      <c r="E1149" s="60"/>
      <c r="F1149" s="84" t="str">
        <f>IFERROR(VLOOKUP(CONCATENATE($B1149,"_",F$3),materiali!$C:$K,5,0),"")</f>
        <v/>
      </c>
      <c r="G1149" s="85" t="str">
        <f>IFERROR(VLOOKUP(CONCATENATE($B1149,"_",G$3),materiali!$C:$K,6,0),"")</f>
        <v/>
      </c>
      <c r="H1149" s="86"/>
      <c r="I1149" s="84" t="str">
        <f>IFERROR(VLOOKUP(CONCATENATE($B1149,"_",I$3),materiali!$C:$K,5,0),"")</f>
        <v/>
      </c>
      <c r="J1149" s="85" t="str">
        <f>IFERROR(VLOOKUP(CONCATENATE($B1149,"_",J$3),materiali!$C:$K,6,0),"")</f>
        <v/>
      </c>
      <c r="K1149" s="86"/>
      <c r="L1149" s="84" t="str">
        <f>IFERROR(VLOOKUP(CONCATENATE($B1149,"_",L$3),materiali!$C:$K,5,0),"")</f>
        <v/>
      </c>
      <c r="M1149" s="85" t="str">
        <f>IFERROR(VLOOKUP(CONCATENATE($B1149,"_",M$3),materiali!$C:$K,6,0),"")</f>
        <v/>
      </c>
      <c r="N1149" s="86"/>
      <c r="O1149" s="84" t="str">
        <f>IFERROR(VLOOKUP(CONCATENATE($B1149,"_",O$3),materiali!$C:$K,5,0),"")</f>
        <v/>
      </c>
      <c r="P1149" s="85" t="str">
        <f>IFERROR(VLOOKUP(CONCATENATE($B1149,"_",P$3),materiali!$C:$K,6,0),"")</f>
        <v/>
      </c>
      <c r="Q1149" s="86"/>
      <c r="R1149" s="84" t="str">
        <f>IFERROR(VLOOKUP(CONCATENATE($B1149,"_",R$3),materiali!$C:$K,5,0),"")</f>
        <v/>
      </c>
      <c r="S1149" s="85" t="str">
        <f>IFERROR(VLOOKUP(CONCATENATE($B1149,"_",S$3),materiali!$C:$K,6,0),"")</f>
        <v/>
      </c>
      <c r="T1149" s="86"/>
      <c r="U1149" s="31"/>
      <c r="AD1149" s="97"/>
    </row>
    <row r="1150" spans="1:30" ht="35.1" hidden="1" customHeight="1" x14ac:dyDescent="0.25">
      <c r="A1150" s="83"/>
      <c r="B1150" s="7"/>
      <c r="C1150" s="8"/>
      <c r="D1150" s="8"/>
      <c r="E1150" s="60"/>
      <c r="F1150" s="84" t="str">
        <f>IFERROR(VLOOKUP(CONCATENATE($B1150,"_",F$3),materiali!$C:$K,5,0),"")</f>
        <v/>
      </c>
      <c r="G1150" s="85" t="str">
        <f>IFERROR(VLOOKUP(CONCATENATE($B1150,"_",G$3),materiali!$C:$K,6,0),"")</f>
        <v/>
      </c>
      <c r="H1150" s="86"/>
      <c r="I1150" s="84" t="str">
        <f>IFERROR(VLOOKUP(CONCATENATE($B1150,"_",I$3),materiali!$C:$K,5,0),"")</f>
        <v/>
      </c>
      <c r="J1150" s="85" t="str">
        <f>IFERROR(VLOOKUP(CONCATENATE($B1150,"_",J$3),materiali!$C:$K,6,0),"")</f>
        <v/>
      </c>
      <c r="K1150" s="86"/>
      <c r="L1150" s="84" t="str">
        <f>IFERROR(VLOOKUP(CONCATENATE($B1150,"_",L$3),materiali!$C:$K,5,0),"")</f>
        <v/>
      </c>
      <c r="M1150" s="85" t="str">
        <f>IFERROR(VLOOKUP(CONCATENATE($B1150,"_",M$3),materiali!$C:$K,6,0),"")</f>
        <v/>
      </c>
      <c r="N1150" s="86"/>
      <c r="O1150" s="84" t="str">
        <f>IFERROR(VLOOKUP(CONCATENATE($B1150,"_",O$3),materiali!$C:$K,5,0),"")</f>
        <v/>
      </c>
      <c r="P1150" s="85" t="str">
        <f>IFERROR(VLOOKUP(CONCATENATE($B1150,"_",P$3),materiali!$C:$K,6,0),"")</f>
        <v/>
      </c>
      <c r="Q1150" s="86"/>
      <c r="R1150" s="84" t="str">
        <f>IFERROR(VLOOKUP(CONCATENATE($B1150,"_",R$3),materiali!$C:$K,5,0),"")</f>
        <v/>
      </c>
      <c r="S1150" s="85" t="str">
        <f>IFERROR(VLOOKUP(CONCATENATE($B1150,"_",S$3),materiali!$C:$K,6,0),"")</f>
        <v/>
      </c>
      <c r="T1150" s="86"/>
      <c r="U1150" s="31"/>
      <c r="AD1150" s="97"/>
    </row>
    <row r="1151" spans="1:30" ht="35.1" hidden="1" customHeight="1" x14ac:dyDescent="0.25">
      <c r="A1151" s="83"/>
      <c r="B1151" s="7"/>
      <c r="C1151" s="8"/>
      <c r="D1151" s="8"/>
      <c r="E1151" s="60"/>
      <c r="F1151" s="84" t="str">
        <f>IFERROR(VLOOKUP(CONCATENATE($B1151,"_",F$3),materiali!$C:$K,5,0),"")</f>
        <v/>
      </c>
      <c r="G1151" s="85" t="str">
        <f>IFERROR(VLOOKUP(CONCATENATE($B1151,"_",G$3),materiali!$C:$K,6,0),"")</f>
        <v/>
      </c>
      <c r="H1151" s="86"/>
      <c r="I1151" s="84" t="str">
        <f>IFERROR(VLOOKUP(CONCATENATE($B1151,"_",I$3),materiali!$C:$K,5,0),"")</f>
        <v/>
      </c>
      <c r="J1151" s="85" t="str">
        <f>IFERROR(VLOOKUP(CONCATENATE($B1151,"_",J$3),materiali!$C:$K,6,0),"")</f>
        <v/>
      </c>
      <c r="K1151" s="86"/>
      <c r="L1151" s="84" t="str">
        <f>IFERROR(VLOOKUP(CONCATENATE($B1151,"_",L$3),materiali!$C:$K,5,0),"")</f>
        <v/>
      </c>
      <c r="M1151" s="85" t="str">
        <f>IFERROR(VLOOKUP(CONCATENATE($B1151,"_",M$3),materiali!$C:$K,6,0),"")</f>
        <v/>
      </c>
      <c r="N1151" s="86"/>
      <c r="O1151" s="84" t="str">
        <f>IFERROR(VLOOKUP(CONCATENATE($B1151,"_",O$3),materiali!$C:$K,5,0),"")</f>
        <v/>
      </c>
      <c r="P1151" s="85" t="str">
        <f>IFERROR(VLOOKUP(CONCATENATE($B1151,"_",P$3),materiali!$C:$K,6,0),"")</f>
        <v/>
      </c>
      <c r="Q1151" s="86"/>
      <c r="R1151" s="84" t="str">
        <f>IFERROR(VLOOKUP(CONCATENATE($B1151,"_",R$3),materiali!$C:$K,5,0),"")</f>
        <v/>
      </c>
      <c r="S1151" s="85" t="str">
        <f>IFERROR(VLOOKUP(CONCATENATE($B1151,"_",S$3),materiali!$C:$K,6,0),"")</f>
        <v/>
      </c>
      <c r="T1151" s="86"/>
      <c r="U1151" s="31"/>
      <c r="AD1151" s="97"/>
    </row>
    <row r="1152" spans="1:30" ht="35.1" hidden="1" customHeight="1" x14ac:dyDescent="0.25">
      <c r="A1152" s="83"/>
      <c r="B1152" s="7"/>
      <c r="C1152" s="8"/>
      <c r="D1152" s="8"/>
      <c r="E1152" s="60"/>
      <c r="F1152" s="84" t="str">
        <f>IFERROR(VLOOKUP(CONCATENATE($B1152,"_",F$3),materiali!$C:$K,5,0),"")</f>
        <v/>
      </c>
      <c r="G1152" s="85" t="str">
        <f>IFERROR(VLOOKUP(CONCATENATE($B1152,"_",G$3),materiali!$C:$K,6,0),"")</f>
        <v/>
      </c>
      <c r="H1152" s="86"/>
      <c r="I1152" s="84" t="str">
        <f>IFERROR(VLOOKUP(CONCATENATE($B1152,"_",I$3),materiali!$C:$K,5,0),"")</f>
        <v/>
      </c>
      <c r="J1152" s="85" t="str">
        <f>IFERROR(VLOOKUP(CONCATENATE($B1152,"_",J$3),materiali!$C:$K,6,0),"")</f>
        <v/>
      </c>
      <c r="K1152" s="86"/>
      <c r="L1152" s="84" t="str">
        <f>IFERROR(VLOOKUP(CONCATENATE($B1152,"_",L$3),materiali!$C:$K,5,0),"")</f>
        <v/>
      </c>
      <c r="M1152" s="85" t="str">
        <f>IFERROR(VLOOKUP(CONCATENATE($B1152,"_",M$3),materiali!$C:$K,6,0),"")</f>
        <v/>
      </c>
      <c r="N1152" s="86"/>
      <c r="O1152" s="84" t="str">
        <f>IFERROR(VLOOKUP(CONCATENATE($B1152,"_",O$3),materiali!$C:$K,5,0),"")</f>
        <v/>
      </c>
      <c r="P1152" s="85" t="str">
        <f>IFERROR(VLOOKUP(CONCATENATE($B1152,"_",P$3),materiali!$C:$K,6,0),"")</f>
        <v/>
      </c>
      <c r="Q1152" s="86"/>
      <c r="R1152" s="84" t="str">
        <f>IFERROR(VLOOKUP(CONCATENATE($B1152,"_",R$3),materiali!$C:$K,5,0),"")</f>
        <v/>
      </c>
      <c r="S1152" s="85" t="str">
        <f>IFERROR(VLOOKUP(CONCATENATE($B1152,"_",S$3),materiali!$C:$K,6,0),"")</f>
        <v/>
      </c>
      <c r="T1152" s="86"/>
      <c r="U1152" s="31"/>
      <c r="AD1152" s="97"/>
    </row>
    <row r="1153" spans="1:30" ht="35.1" hidden="1" customHeight="1" x14ac:dyDescent="0.25">
      <c r="A1153" s="83"/>
      <c r="B1153" s="7"/>
      <c r="C1153" s="8"/>
      <c r="D1153" s="8"/>
      <c r="E1153" s="60"/>
      <c r="F1153" s="84" t="str">
        <f>IFERROR(VLOOKUP(CONCATENATE($B1153,"_",F$3),materiali!$C:$K,5,0),"")</f>
        <v/>
      </c>
      <c r="G1153" s="85" t="str">
        <f>IFERROR(VLOOKUP(CONCATENATE($B1153,"_",G$3),materiali!$C:$K,6,0),"")</f>
        <v/>
      </c>
      <c r="H1153" s="86"/>
      <c r="I1153" s="84" t="str">
        <f>IFERROR(VLOOKUP(CONCATENATE($B1153,"_",I$3),materiali!$C:$K,5,0),"")</f>
        <v/>
      </c>
      <c r="J1153" s="85" t="str">
        <f>IFERROR(VLOOKUP(CONCATENATE($B1153,"_",J$3),materiali!$C:$K,6,0),"")</f>
        <v/>
      </c>
      <c r="K1153" s="86"/>
      <c r="L1153" s="84" t="str">
        <f>IFERROR(VLOOKUP(CONCATENATE($B1153,"_",L$3),materiali!$C:$K,5,0),"")</f>
        <v/>
      </c>
      <c r="M1153" s="85" t="str">
        <f>IFERROR(VLOOKUP(CONCATENATE($B1153,"_",M$3),materiali!$C:$K,6,0),"")</f>
        <v/>
      </c>
      <c r="N1153" s="86"/>
      <c r="O1153" s="84" t="str">
        <f>IFERROR(VLOOKUP(CONCATENATE($B1153,"_",O$3),materiali!$C:$K,5,0),"")</f>
        <v/>
      </c>
      <c r="P1153" s="85" t="str">
        <f>IFERROR(VLOOKUP(CONCATENATE($B1153,"_",P$3),materiali!$C:$K,6,0),"")</f>
        <v/>
      </c>
      <c r="Q1153" s="86"/>
      <c r="R1153" s="84" t="str">
        <f>IFERROR(VLOOKUP(CONCATENATE($B1153,"_",R$3),materiali!$C:$K,5,0),"")</f>
        <v/>
      </c>
      <c r="S1153" s="85" t="str">
        <f>IFERROR(VLOOKUP(CONCATENATE($B1153,"_",S$3),materiali!$C:$K,6,0),"")</f>
        <v/>
      </c>
      <c r="T1153" s="86"/>
      <c r="U1153" s="31"/>
      <c r="AD1153" s="97"/>
    </row>
    <row r="1154" spans="1:30" ht="35.1" hidden="1" customHeight="1" x14ac:dyDescent="0.25">
      <c r="A1154" s="83"/>
      <c r="B1154" s="7"/>
      <c r="C1154" s="8"/>
      <c r="D1154" s="8"/>
      <c r="E1154" s="60"/>
      <c r="F1154" s="84" t="str">
        <f>IFERROR(VLOOKUP(CONCATENATE($B1154,"_",F$3),materiali!$C:$K,5,0),"")</f>
        <v/>
      </c>
      <c r="G1154" s="85" t="str">
        <f>IFERROR(VLOOKUP(CONCATENATE($B1154,"_",G$3),materiali!$C:$K,6,0),"")</f>
        <v/>
      </c>
      <c r="H1154" s="86"/>
      <c r="I1154" s="84" t="str">
        <f>IFERROR(VLOOKUP(CONCATENATE($B1154,"_",I$3),materiali!$C:$K,5,0),"")</f>
        <v/>
      </c>
      <c r="J1154" s="85" t="str">
        <f>IFERROR(VLOOKUP(CONCATENATE($B1154,"_",J$3),materiali!$C:$K,6,0),"")</f>
        <v/>
      </c>
      <c r="K1154" s="86"/>
      <c r="L1154" s="84" t="str">
        <f>IFERROR(VLOOKUP(CONCATENATE($B1154,"_",L$3),materiali!$C:$K,5,0),"")</f>
        <v/>
      </c>
      <c r="M1154" s="85" t="str">
        <f>IFERROR(VLOOKUP(CONCATENATE($B1154,"_",M$3),materiali!$C:$K,6,0),"")</f>
        <v/>
      </c>
      <c r="N1154" s="86"/>
      <c r="O1154" s="84" t="str">
        <f>IFERROR(VLOOKUP(CONCATENATE($B1154,"_",O$3),materiali!$C:$K,5,0),"")</f>
        <v/>
      </c>
      <c r="P1154" s="85" t="str">
        <f>IFERROR(VLOOKUP(CONCATENATE($B1154,"_",P$3),materiali!$C:$K,6,0),"")</f>
        <v/>
      </c>
      <c r="Q1154" s="86"/>
      <c r="R1154" s="84" t="str">
        <f>IFERROR(VLOOKUP(CONCATENATE($B1154,"_",R$3),materiali!$C:$K,5,0),"")</f>
        <v/>
      </c>
      <c r="S1154" s="85" t="str">
        <f>IFERROR(VLOOKUP(CONCATENATE($B1154,"_",S$3),materiali!$C:$K,6,0),"")</f>
        <v/>
      </c>
      <c r="T1154" s="86"/>
      <c r="U1154" s="31"/>
      <c r="AD1154" s="97"/>
    </row>
    <row r="1155" spans="1:30" ht="35.1" hidden="1" customHeight="1" x14ac:dyDescent="0.25">
      <c r="A1155" s="83"/>
      <c r="B1155" s="7"/>
      <c r="C1155" s="8"/>
      <c r="D1155" s="8"/>
      <c r="E1155" s="60"/>
      <c r="F1155" s="84" t="str">
        <f>IFERROR(VLOOKUP(CONCATENATE($B1155,"_",F$3),materiali!$C:$K,5,0),"")</f>
        <v/>
      </c>
      <c r="G1155" s="85" t="str">
        <f>IFERROR(VLOOKUP(CONCATENATE($B1155,"_",G$3),materiali!$C:$K,6,0),"")</f>
        <v/>
      </c>
      <c r="H1155" s="86"/>
      <c r="I1155" s="84" t="str">
        <f>IFERROR(VLOOKUP(CONCATENATE($B1155,"_",I$3),materiali!$C:$K,5,0),"")</f>
        <v/>
      </c>
      <c r="J1155" s="85" t="str">
        <f>IFERROR(VLOOKUP(CONCATENATE($B1155,"_",J$3),materiali!$C:$K,6,0),"")</f>
        <v/>
      </c>
      <c r="K1155" s="86"/>
      <c r="L1155" s="84" t="str">
        <f>IFERROR(VLOOKUP(CONCATENATE($B1155,"_",L$3),materiali!$C:$K,5,0),"")</f>
        <v/>
      </c>
      <c r="M1155" s="85" t="str">
        <f>IFERROR(VLOOKUP(CONCATENATE($B1155,"_",M$3),materiali!$C:$K,6,0),"")</f>
        <v/>
      </c>
      <c r="N1155" s="86"/>
      <c r="O1155" s="84" t="str">
        <f>IFERROR(VLOOKUP(CONCATENATE($B1155,"_",O$3),materiali!$C:$K,5,0),"")</f>
        <v/>
      </c>
      <c r="P1155" s="85" t="str">
        <f>IFERROR(VLOOKUP(CONCATENATE($B1155,"_",P$3),materiali!$C:$K,6,0),"")</f>
        <v/>
      </c>
      <c r="Q1155" s="86"/>
      <c r="R1155" s="84" t="str">
        <f>IFERROR(VLOOKUP(CONCATENATE($B1155,"_",R$3),materiali!$C:$K,5,0),"")</f>
        <v/>
      </c>
      <c r="S1155" s="85" t="str">
        <f>IFERROR(VLOOKUP(CONCATENATE($B1155,"_",S$3),materiali!$C:$K,6,0),"")</f>
        <v/>
      </c>
      <c r="T1155" s="86"/>
      <c r="U1155" s="31"/>
      <c r="AD1155" s="97"/>
    </row>
    <row r="1156" spans="1:30" ht="35.1" hidden="1" customHeight="1" x14ac:dyDescent="0.25">
      <c r="A1156" s="83"/>
      <c r="B1156" s="7"/>
      <c r="C1156" s="8"/>
      <c r="D1156" s="8"/>
      <c r="E1156" s="60"/>
      <c r="F1156" s="84" t="str">
        <f>IFERROR(VLOOKUP(CONCATENATE($B1156,"_",F$3),materiali!$C:$K,5,0),"")</f>
        <v/>
      </c>
      <c r="G1156" s="85" t="str">
        <f>IFERROR(VLOOKUP(CONCATENATE($B1156,"_",G$3),materiali!$C:$K,6,0),"")</f>
        <v/>
      </c>
      <c r="H1156" s="86"/>
      <c r="I1156" s="84" t="str">
        <f>IFERROR(VLOOKUP(CONCATENATE($B1156,"_",I$3),materiali!$C:$K,5,0),"")</f>
        <v/>
      </c>
      <c r="J1156" s="85" t="str">
        <f>IFERROR(VLOOKUP(CONCATENATE($B1156,"_",J$3),materiali!$C:$K,6,0),"")</f>
        <v/>
      </c>
      <c r="K1156" s="86"/>
      <c r="L1156" s="84" t="str">
        <f>IFERROR(VLOOKUP(CONCATENATE($B1156,"_",L$3),materiali!$C:$K,5,0),"")</f>
        <v/>
      </c>
      <c r="M1156" s="85" t="str">
        <f>IFERROR(VLOOKUP(CONCATENATE($B1156,"_",M$3),materiali!$C:$K,6,0),"")</f>
        <v/>
      </c>
      <c r="N1156" s="86"/>
      <c r="O1156" s="84" t="str">
        <f>IFERROR(VLOOKUP(CONCATENATE($B1156,"_",O$3),materiali!$C:$K,5,0),"")</f>
        <v/>
      </c>
      <c r="P1156" s="85" t="str">
        <f>IFERROR(VLOOKUP(CONCATENATE($B1156,"_",P$3),materiali!$C:$K,6,0),"")</f>
        <v/>
      </c>
      <c r="Q1156" s="86"/>
      <c r="R1156" s="84" t="str">
        <f>IFERROR(VLOOKUP(CONCATENATE($B1156,"_",R$3),materiali!$C:$K,5,0),"")</f>
        <v/>
      </c>
      <c r="S1156" s="85" t="str">
        <f>IFERROR(VLOOKUP(CONCATENATE($B1156,"_",S$3),materiali!$C:$K,6,0),"")</f>
        <v/>
      </c>
      <c r="T1156" s="86"/>
      <c r="U1156" s="31"/>
      <c r="AD1156" s="97"/>
    </row>
    <row r="1157" spans="1:30" ht="35.1" hidden="1" customHeight="1" x14ac:dyDescent="0.25">
      <c r="A1157" s="83"/>
      <c r="B1157" s="7"/>
      <c r="C1157" s="8"/>
      <c r="D1157" s="8"/>
      <c r="E1157" s="60"/>
      <c r="F1157" s="84" t="str">
        <f>IFERROR(VLOOKUP(CONCATENATE($B1157,"_",F$3),materiali!$C:$K,5,0),"")</f>
        <v/>
      </c>
      <c r="G1157" s="85" t="str">
        <f>IFERROR(VLOOKUP(CONCATENATE($B1157,"_",G$3),materiali!$C:$K,6,0),"")</f>
        <v/>
      </c>
      <c r="H1157" s="86"/>
      <c r="I1157" s="84" t="str">
        <f>IFERROR(VLOOKUP(CONCATENATE($B1157,"_",I$3),materiali!$C:$K,5,0),"")</f>
        <v/>
      </c>
      <c r="J1157" s="85" t="str">
        <f>IFERROR(VLOOKUP(CONCATENATE($B1157,"_",J$3),materiali!$C:$K,6,0),"")</f>
        <v/>
      </c>
      <c r="K1157" s="86"/>
      <c r="L1157" s="84" t="str">
        <f>IFERROR(VLOOKUP(CONCATENATE($B1157,"_",L$3),materiali!$C:$K,5,0),"")</f>
        <v/>
      </c>
      <c r="M1157" s="85" t="str">
        <f>IFERROR(VLOOKUP(CONCATENATE($B1157,"_",M$3),materiali!$C:$K,6,0),"")</f>
        <v/>
      </c>
      <c r="N1157" s="86"/>
      <c r="O1157" s="84" t="str">
        <f>IFERROR(VLOOKUP(CONCATENATE($B1157,"_",O$3),materiali!$C:$K,5,0),"")</f>
        <v/>
      </c>
      <c r="P1157" s="85" t="str">
        <f>IFERROR(VLOOKUP(CONCATENATE($B1157,"_",P$3),materiali!$C:$K,6,0),"")</f>
        <v/>
      </c>
      <c r="Q1157" s="86"/>
      <c r="R1157" s="84" t="str">
        <f>IFERROR(VLOOKUP(CONCATENATE($B1157,"_",R$3),materiali!$C:$K,5,0),"")</f>
        <v/>
      </c>
      <c r="S1157" s="85" t="str">
        <f>IFERROR(VLOOKUP(CONCATENATE($B1157,"_",S$3),materiali!$C:$K,6,0),"")</f>
        <v/>
      </c>
      <c r="T1157" s="86"/>
      <c r="U1157" s="31"/>
      <c r="AD1157" s="97"/>
    </row>
    <row r="1158" spans="1:30" ht="35.1" hidden="1" customHeight="1" x14ac:dyDescent="0.25">
      <c r="A1158" s="83"/>
      <c r="B1158" s="7"/>
      <c r="C1158" s="8"/>
      <c r="D1158" s="8"/>
      <c r="E1158" s="60"/>
      <c r="F1158" s="84" t="str">
        <f>IFERROR(VLOOKUP(CONCATENATE($B1158,"_",F$3),materiali!$C:$K,5,0),"")</f>
        <v/>
      </c>
      <c r="G1158" s="85" t="str">
        <f>IFERROR(VLOOKUP(CONCATENATE($B1158,"_",G$3),materiali!$C:$K,6,0),"")</f>
        <v/>
      </c>
      <c r="H1158" s="86"/>
      <c r="I1158" s="84" t="str">
        <f>IFERROR(VLOOKUP(CONCATENATE($B1158,"_",I$3),materiali!$C:$K,5,0),"")</f>
        <v/>
      </c>
      <c r="J1158" s="85" t="str">
        <f>IFERROR(VLOOKUP(CONCATENATE($B1158,"_",J$3),materiali!$C:$K,6,0),"")</f>
        <v/>
      </c>
      <c r="K1158" s="86"/>
      <c r="L1158" s="84" t="str">
        <f>IFERROR(VLOOKUP(CONCATENATE($B1158,"_",L$3),materiali!$C:$K,5,0),"")</f>
        <v/>
      </c>
      <c r="M1158" s="85" t="str">
        <f>IFERROR(VLOOKUP(CONCATENATE($B1158,"_",M$3),materiali!$C:$K,6,0),"")</f>
        <v/>
      </c>
      <c r="N1158" s="86"/>
      <c r="O1158" s="84" t="str">
        <f>IFERROR(VLOOKUP(CONCATENATE($B1158,"_",O$3),materiali!$C:$K,5,0),"")</f>
        <v/>
      </c>
      <c r="P1158" s="85" t="str">
        <f>IFERROR(VLOOKUP(CONCATENATE($B1158,"_",P$3),materiali!$C:$K,6,0),"")</f>
        <v/>
      </c>
      <c r="Q1158" s="86"/>
      <c r="R1158" s="84" t="str">
        <f>IFERROR(VLOOKUP(CONCATENATE($B1158,"_",R$3),materiali!$C:$K,5,0),"")</f>
        <v/>
      </c>
      <c r="S1158" s="85" t="str">
        <f>IFERROR(VLOOKUP(CONCATENATE($B1158,"_",S$3),materiali!$C:$K,6,0),"")</f>
        <v/>
      </c>
      <c r="T1158" s="86"/>
      <c r="U1158" s="31"/>
      <c r="AD1158" s="97"/>
    </row>
    <row r="1159" spans="1:30" ht="35.1" hidden="1" customHeight="1" x14ac:dyDescent="0.25">
      <c r="A1159" s="83"/>
      <c r="B1159" s="7"/>
      <c r="C1159" s="8"/>
      <c r="D1159" s="8"/>
      <c r="E1159" s="60"/>
      <c r="F1159" s="84" t="str">
        <f>IFERROR(VLOOKUP(CONCATENATE($B1159,"_",F$3),materiali!$C:$K,5,0),"")</f>
        <v/>
      </c>
      <c r="G1159" s="85" t="str">
        <f>IFERROR(VLOOKUP(CONCATENATE($B1159,"_",G$3),materiali!$C:$K,6,0),"")</f>
        <v/>
      </c>
      <c r="H1159" s="86"/>
      <c r="I1159" s="84" t="str">
        <f>IFERROR(VLOOKUP(CONCATENATE($B1159,"_",I$3),materiali!$C:$K,5,0),"")</f>
        <v/>
      </c>
      <c r="J1159" s="85" t="str">
        <f>IFERROR(VLOOKUP(CONCATENATE($B1159,"_",J$3),materiali!$C:$K,6,0),"")</f>
        <v/>
      </c>
      <c r="K1159" s="86"/>
      <c r="L1159" s="84" t="str">
        <f>IFERROR(VLOOKUP(CONCATENATE($B1159,"_",L$3),materiali!$C:$K,5,0),"")</f>
        <v/>
      </c>
      <c r="M1159" s="85" t="str">
        <f>IFERROR(VLOOKUP(CONCATENATE($B1159,"_",M$3),materiali!$C:$K,6,0),"")</f>
        <v/>
      </c>
      <c r="N1159" s="86"/>
      <c r="O1159" s="84" t="str">
        <f>IFERROR(VLOOKUP(CONCATENATE($B1159,"_",O$3),materiali!$C:$K,5,0),"")</f>
        <v/>
      </c>
      <c r="P1159" s="85" t="str">
        <f>IFERROR(VLOOKUP(CONCATENATE($B1159,"_",P$3),materiali!$C:$K,6,0),"")</f>
        <v/>
      </c>
      <c r="Q1159" s="86"/>
      <c r="R1159" s="84" t="str">
        <f>IFERROR(VLOOKUP(CONCATENATE($B1159,"_",R$3),materiali!$C:$K,5,0),"")</f>
        <v/>
      </c>
      <c r="S1159" s="85" t="str">
        <f>IFERROR(VLOOKUP(CONCATENATE($B1159,"_",S$3),materiali!$C:$K,6,0),"")</f>
        <v/>
      </c>
      <c r="T1159" s="86"/>
      <c r="U1159" s="31"/>
      <c r="AD1159" s="97"/>
    </row>
    <row r="1160" spans="1:30" ht="35.1" hidden="1" customHeight="1" x14ac:dyDescent="0.25">
      <c r="A1160" s="83"/>
      <c r="B1160" s="7"/>
      <c r="C1160" s="8"/>
      <c r="D1160" s="8"/>
      <c r="E1160" s="60"/>
      <c r="F1160" s="84" t="str">
        <f>IFERROR(VLOOKUP(CONCATENATE($B1160,"_",F$3),materiali!$C:$K,5,0),"")</f>
        <v/>
      </c>
      <c r="G1160" s="85" t="str">
        <f>IFERROR(VLOOKUP(CONCATENATE($B1160,"_",G$3),materiali!$C:$K,6,0),"")</f>
        <v/>
      </c>
      <c r="H1160" s="86"/>
      <c r="I1160" s="84" t="str">
        <f>IFERROR(VLOOKUP(CONCATENATE($B1160,"_",I$3),materiali!$C:$K,5,0),"")</f>
        <v/>
      </c>
      <c r="J1160" s="85" t="str">
        <f>IFERROR(VLOOKUP(CONCATENATE($B1160,"_",J$3),materiali!$C:$K,6,0),"")</f>
        <v/>
      </c>
      <c r="K1160" s="86"/>
      <c r="L1160" s="84" t="str">
        <f>IFERROR(VLOOKUP(CONCATENATE($B1160,"_",L$3),materiali!$C:$K,5,0),"")</f>
        <v/>
      </c>
      <c r="M1160" s="85" t="str">
        <f>IFERROR(VLOOKUP(CONCATENATE($B1160,"_",M$3),materiali!$C:$K,6,0),"")</f>
        <v/>
      </c>
      <c r="N1160" s="86"/>
      <c r="O1160" s="84" t="str">
        <f>IFERROR(VLOOKUP(CONCATENATE($B1160,"_",O$3),materiali!$C:$K,5,0),"")</f>
        <v/>
      </c>
      <c r="P1160" s="85" t="str">
        <f>IFERROR(VLOOKUP(CONCATENATE($B1160,"_",P$3),materiali!$C:$K,6,0),"")</f>
        <v/>
      </c>
      <c r="Q1160" s="86"/>
      <c r="R1160" s="84" t="str">
        <f>IFERROR(VLOOKUP(CONCATENATE($B1160,"_",R$3),materiali!$C:$K,5,0),"")</f>
        <v/>
      </c>
      <c r="S1160" s="85" t="str">
        <f>IFERROR(VLOOKUP(CONCATENATE($B1160,"_",S$3),materiali!$C:$K,6,0),"")</f>
        <v/>
      </c>
      <c r="T1160" s="86"/>
      <c r="U1160" s="31"/>
      <c r="AD1160" s="97"/>
    </row>
    <row r="1161" spans="1:30" ht="35.1" hidden="1" customHeight="1" x14ac:dyDescent="0.25">
      <c r="A1161" s="83"/>
      <c r="B1161" s="7"/>
      <c r="C1161" s="8"/>
      <c r="D1161" s="8"/>
      <c r="E1161" s="60"/>
      <c r="F1161" s="84" t="str">
        <f>IFERROR(VLOOKUP(CONCATENATE($B1161,"_",F$3),materiali!$C:$K,5,0),"")</f>
        <v/>
      </c>
      <c r="G1161" s="85" t="str">
        <f>IFERROR(VLOOKUP(CONCATENATE($B1161,"_",G$3),materiali!$C:$K,6,0),"")</f>
        <v/>
      </c>
      <c r="H1161" s="86"/>
      <c r="I1161" s="84" t="str">
        <f>IFERROR(VLOOKUP(CONCATENATE($B1161,"_",I$3),materiali!$C:$K,5,0),"")</f>
        <v/>
      </c>
      <c r="J1161" s="85" t="str">
        <f>IFERROR(VLOOKUP(CONCATENATE($B1161,"_",J$3),materiali!$C:$K,6,0),"")</f>
        <v/>
      </c>
      <c r="K1161" s="86"/>
      <c r="L1161" s="84" t="str">
        <f>IFERROR(VLOOKUP(CONCATENATE($B1161,"_",L$3),materiali!$C:$K,5,0),"")</f>
        <v/>
      </c>
      <c r="M1161" s="85" t="str">
        <f>IFERROR(VLOOKUP(CONCATENATE($B1161,"_",M$3),materiali!$C:$K,6,0),"")</f>
        <v/>
      </c>
      <c r="N1161" s="86"/>
      <c r="O1161" s="84" t="str">
        <f>IFERROR(VLOOKUP(CONCATENATE($B1161,"_",O$3),materiali!$C:$K,5,0),"")</f>
        <v/>
      </c>
      <c r="P1161" s="85" t="str">
        <f>IFERROR(VLOOKUP(CONCATENATE($B1161,"_",P$3),materiali!$C:$K,6,0),"")</f>
        <v/>
      </c>
      <c r="Q1161" s="86"/>
      <c r="R1161" s="84" t="str">
        <f>IFERROR(VLOOKUP(CONCATENATE($B1161,"_",R$3),materiali!$C:$K,5,0),"")</f>
        <v/>
      </c>
      <c r="S1161" s="85" t="str">
        <f>IFERROR(VLOOKUP(CONCATENATE($B1161,"_",S$3),materiali!$C:$K,6,0),"")</f>
        <v/>
      </c>
      <c r="T1161" s="86"/>
      <c r="U1161" s="31"/>
      <c r="AD1161" s="97"/>
    </row>
    <row r="1162" spans="1:30" ht="35.1" hidden="1" customHeight="1" x14ac:dyDescent="0.25">
      <c r="A1162" s="83"/>
      <c r="B1162" s="7"/>
      <c r="C1162" s="8"/>
      <c r="D1162" s="8"/>
      <c r="E1162" s="60"/>
      <c r="F1162" s="84" t="str">
        <f>IFERROR(VLOOKUP(CONCATENATE($B1162,"_",F$3),materiali!$C:$K,5,0),"")</f>
        <v/>
      </c>
      <c r="G1162" s="85" t="str">
        <f>IFERROR(VLOOKUP(CONCATENATE($B1162,"_",G$3),materiali!$C:$K,6,0),"")</f>
        <v/>
      </c>
      <c r="H1162" s="86"/>
      <c r="I1162" s="84" t="str">
        <f>IFERROR(VLOOKUP(CONCATENATE($B1162,"_",I$3),materiali!$C:$K,5,0),"")</f>
        <v/>
      </c>
      <c r="J1162" s="85" t="str">
        <f>IFERROR(VLOOKUP(CONCATENATE($B1162,"_",J$3),materiali!$C:$K,6,0),"")</f>
        <v/>
      </c>
      <c r="K1162" s="86"/>
      <c r="L1162" s="84" t="str">
        <f>IFERROR(VLOOKUP(CONCATENATE($B1162,"_",L$3),materiali!$C:$K,5,0),"")</f>
        <v/>
      </c>
      <c r="M1162" s="85" t="str">
        <f>IFERROR(VLOOKUP(CONCATENATE($B1162,"_",M$3),materiali!$C:$K,6,0),"")</f>
        <v/>
      </c>
      <c r="N1162" s="86"/>
      <c r="O1162" s="84" t="str">
        <f>IFERROR(VLOOKUP(CONCATENATE($B1162,"_",O$3),materiali!$C:$K,5,0),"")</f>
        <v/>
      </c>
      <c r="P1162" s="85" t="str">
        <f>IFERROR(VLOOKUP(CONCATENATE($B1162,"_",P$3),materiali!$C:$K,6,0),"")</f>
        <v/>
      </c>
      <c r="Q1162" s="86"/>
      <c r="R1162" s="84" t="str">
        <f>IFERROR(VLOOKUP(CONCATENATE($B1162,"_",R$3),materiali!$C:$K,5,0),"")</f>
        <v/>
      </c>
      <c r="S1162" s="85" t="str">
        <f>IFERROR(VLOOKUP(CONCATENATE($B1162,"_",S$3),materiali!$C:$K,6,0),"")</f>
        <v/>
      </c>
      <c r="T1162" s="86"/>
      <c r="U1162" s="31"/>
      <c r="AD1162" s="97"/>
    </row>
    <row r="1163" spans="1:30" ht="35.1" hidden="1" customHeight="1" x14ac:dyDescent="0.25">
      <c r="A1163" s="83"/>
      <c r="B1163" s="7"/>
      <c r="C1163" s="8"/>
      <c r="D1163" s="8"/>
      <c r="E1163" s="60"/>
      <c r="F1163" s="84" t="str">
        <f>IFERROR(VLOOKUP(CONCATENATE($B1163,"_",F$3),materiali!$C:$K,5,0),"")</f>
        <v/>
      </c>
      <c r="G1163" s="85" t="str">
        <f>IFERROR(VLOOKUP(CONCATENATE($B1163,"_",G$3),materiali!$C:$K,6,0),"")</f>
        <v/>
      </c>
      <c r="H1163" s="86"/>
      <c r="I1163" s="84" t="str">
        <f>IFERROR(VLOOKUP(CONCATENATE($B1163,"_",I$3),materiali!$C:$K,5,0),"")</f>
        <v/>
      </c>
      <c r="J1163" s="85" t="str">
        <f>IFERROR(VLOOKUP(CONCATENATE($B1163,"_",J$3),materiali!$C:$K,6,0),"")</f>
        <v/>
      </c>
      <c r="K1163" s="86"/>
      <c r="L1163" s="84" t="str">
        <f>IFERROR(VLOOKUP(CONCATENATE($B1163,"_",L$3),materiali!$C:$K,5,0),"")</f>
        <v/>
      </c>
      <c r="M1163" s="85" t="str">
        <f>IFERROR(VLOOKUP(CONCATENATE($B1163,"_",M$3),materiali!$C:$K,6,0),"")</f>
        <v/>
      </c>
      <c r="N1163" s="86"/>
      <c r="O1163" s="84" t="str">
        <f>IFERROR(VLOOKUP(CONCATENATE($B1163,"_",O$3),materiali!$C:$K,5,0),"")</f>
        <v/>
      </c>
      <c r="P1163" s="85" t="str">
        <f>IFERROR(VLOOKUP(CONCATENATE($B1163,"_",P$3),materiali!$C:$K,6,0),"")</f>
        <v/>
      </c>
      <c r="Q1163" s="86"/>
      <c r="R1163" s="84" t="str">
        <f>IFERROR(VLOOKUP(CONCATENATE($B1163,"_",R$3),materiali!$C:$K,5,0),"")</f>
        <v/>
      </c>
      <c r="S1163" s="85" t="str">
        <f>IFERROR(VLOOKUP(CONCATENATE($B1163,"_",S$3),materiali!$C:$K,6,0),"")</f>
        <v/>
      </c>
      <c r="T1163" s="86"/>
      <c r="U1163" s="31"/>
      <c r="AD1163" s="97"/>
    </row>
    <row r="1164" spans="1:30" ht="35.1" hidden="1" customHeight="1" x14ac:dyDescent="0.25">
      <c r="A1164" s="83"/>
      <c r="B1164" s="7"/>
      <c r="C1164" s="8"/>
      <c r="D1164" s="8"/>
      <c r="E1164" s="60"/>
      <c r="F1164" s="84" t="str">
        <f>IFERROR(VLOOKUP(CONCATENATE($B1164,"_",F$3),materiali!$C:$K,5,0),"")</f>
        <v/>
      </c>
      <c r="G1164" s="85" t="str">
        <f>IFERROR(VLOOKUP(CONCATENATE($B1164,"_",G$3),materiali!$C:$K,6,0),"")</f>
        <v/>
      </c>
      <c r="H1164" s="86"/>
      <c r="I1164" s="84" t="str">
        <f>IFERROR(VLOOKUP(CONCATENATE($B1164,"_",I$3),materiali!$C:$K,5,0),"")</f>
        <v/>
      </c>
      <c r="J1164" s="85" t="str">
        <f>IFERROR(VLOOKUP(CONCATENATE($B1164,"_",J$3),materiali!$C:$K,6,0),"")</f>
        <v/>
      </c>
      <c r="K1164" s="86"/>
      <c r="L1164" s="84" t="str">
        <f>IFERROR(VLOOKUP(CONCATENATE($B1164,"_",L$3),materiali!$C:$K,5,0),"")</f>
        <v/>
      </c>
      <c r="M1164" s="85" t="str">
        <f>IFERROR(VLOOKUP(CONCATENATE($B1164,"_",M$3),materiali!$C:$K,6,0),"")</f>
        <v/>
      </c>
      <c r="N1164" s="86"/>
      <c r="O1164" s="84" t="str">
        <f>IFERROR(VLOOKUP(CONCATENATE($B1164,"_",O$3),materiali!$C:$K,5,0),"")</f>
        <v/>
      </c>
      <c r="P1164" s="85" t="str">
        <f>IFERROR(VLOOKUP(CONCATENATE($B1164,"_",P$3),materiali!$C:$K,6,0),"")</f>
        <v/>
      </c>
      <c r="Q1164" s="86"/>
      <c r="R1164" s="84" t="str">
        <f>IFERROR(VLOOKUP(CONCATENATE($B1164,"_",R$3),materiali!$C:$K,5,0),"")</f>
        <v/>
      </c>
      <c r="S1164" s="85" t="str">
        <f>IFERROR(VLOOKUP(CONCATENATE($B1164,"_",S$3),materiali!$C:$K,6,0),"")</f>
        <v/>
      </c>
      <c r="T1164" s="86"/>
      <c r="U1164" s="31"/>
      <c r="AD1164" s="97"/>
    </row>
    <row r="1165" spans="1:30" ht="35.1" hidden="1" customHeight="1" x14ac:dyDescent="0.25">
      <c r="A1165" s="83"/>
      <c r="B1165" s="7"/>
      <c r="C1165" s="8"/>
      <c r="D1165" s="8"/>
      <c r="E1165" s="60"/>
      <c r="F1165" s="84" t="str">
        <f>IFERROR(VLOOKUP(CONCATENATE($B1165,"_",F$3),materiali!$C:$K,5,0),"")</f>
        <v/>
      </c>
      <c r="G1165" s="85" t="str">
        <f>IFERROR(VLOOKUP(CONCATENATE($B1165,"_",G$3),materiali!$C:$K,6,0),"")</f>
        <v/>
      </c>
      <c r="H1165" s="86"/>
      <c r="I1165" s="84" t="str">
        <f>IFERROR(VLOOKUP(CONCATENATE($B1165,"_",I$3),materiali!$C:$K,5,0),"")</f>
        <v/>
      </c>
      <c r="J1165" s="85" t="str">
        <f>IFERROR(VLOOKUP(CONCATENATE($B1165,"_",J$3),materiali!$C:$K,6,0),"")</f>
        <v/>
      </c>
      <c r="K1165" s="86"/>
      <c r="L1165" s="84" t="str">
        <f>IFERROR(VLOOKUP(CONCATENATE($B1165,"_",L$3),materiali!$C:$K,5,0),"")</f>
        <v/>
      </c>
      <c r="M1165" s="85" t="str">
        <f>IFERROR(VLOOKUP(CONCATENATE($B1165,"_",M$3),materiali!$C:$K,6,0),"")</f>
        <v/>
      </c>
      <c r="N1165" s="86"/>
      <c r="O1165" s="84" t="str">
        <f>IFERROR(VLOOKUP(CONCATENATE($B1165,"_",O$3),materiali!$C:$K,5,0),"")</f>
        <v/>
      </c>
      <c r="P1165" s="85" t="str">
        <f>IFERROR(VLOOKUP(CONCATENATE($B1165,"_",P$3),materiali!$C:$K,6,0),"")</f>
        <v/>
      </c>
      <c r="Q1165" s="86"/>
      <c r="R1165" s="84" t="str">
        <f>IFERROR(VLOOKUP(CONCATENATE($B1165,"_",R$3),materiali!$C:$K,5,0),"")</f>
        <v/>
      </c>
      <c r="S1165" s="85" t="str">
        <f>IFERROR(VLOOKUP(CONCATENATE($B1165,"_",S$3),materiali!$C:$K,6,0),"")</f>
        <v/>
      </c>
      <c r="T1165" s="86"/>
      <c r="U1165" s="31"/>
      <c r="AD1165" s="97"/>
    </row>
    <row r="1166" spans="1:30" ht="35.1" hidden="1" customHeight="1" x14ac:dyDescent="0.25">
      <c r="A1166" s="83"/>
      <c r="B1166" s="7"/>
      <c r="C1166" s="8"/>
      <c r="D1166" s="8"/>
      <c r="E1166" s="60"/>
      <c r="F1166" s="84" t="str">
        <f>IFERROR(VLOOKUP(CONCATENATE($B1166,"_",F$3),materiali!$C:$K,5,0),"")</f>
        <v/>
      </c>
      <c r="G1166" s="85" t="str">
        <f>IFERROR(VLOOKUP(CONCATENATE($B1166,"_",G$3),materiali!$C:$K,6,0),"")</f>
        <v/>
      </c>
      <c r="H1166" s="86"/>
      <c r="I1166" s="84" t="str">
        <f>IFERROR(VLOOKUP(CONCATENATE($B1166,"_",I$3),materiali!$C:$K,5,0),"")</f>
        <v/>
      </c>
      <c r="J1166" s="85" t="str">
        <f>IFERROR(VLOOKUP(CONCATENATE($B1166,"_",J$3),materiali!$C:$K,6,0),"")</f>
        <v/>
      </c>
      <c r="K1166" s="86"/>
      <c r="L1166" s="84" t="str">
        <f>IFERROR(VLOOKUP(CONCATENATE($B1166,"_",L$3),materiali!$C:$K,5,0),"")</f>
        <v/>
      </c>
      <c r="M1166" s="85" t="str">
        <f>IFERROR(VLOOKUP(CONCATENATE($B1166,"_",M$3),materiali!$C:$K,6,0),"")</f>
        <v/>
      </c>
      <c r="N1166" s="86"/>
      <c r="O1166" s="84" t="str">
        <f>IFERROR(VLOOKUP(CONCATENATE($B1166,"_",O$3),materiali!$C:$K,5,0),"")</f>
        <v/>
      </c>
      <c r="P1166" s="85" t="str">
        <f>IFERROR(VLOOKUP(CONCATENATE($B1166,"_",P$3),materiali!$C:$K,6,0),"")</f>
        <v/>
      </c>
      <c r="Q1166" s="86"/>
      <c r="R1166" s="84" t="str">
        <f>IFERROR(VLOOKUP(CONCATENATE($B1166,"_",R$3),materiali!$C:$K,5,0),"")</f>
        <v/>
      </c>
      <c r="S1166" s="85" t="str">
        <f>IFERROR(VLOOKUP(CONCATENATE($B1166,"_",S$3),materiali!$C:$K,6,0),"")</f>
        <v/>
      </c>
      <c r="T1166" s="86"/>
      <c r="U1166" s="31"/>
      <c r="AD1166" s="97"/>
    </row>
    <row r="1167" spans="1:30" ht="35.1" hidden="1" customHeight="1" x14ac:dyDescent="0.25">
      <c r="A1167" s="83"/>
      <c r="B1167" s="7"/>
      <c r="C1167" s="8"/>
      <c r="D1167" s="8"/>
      <c r="E1167" s="60"/>
      <c r="F1167" s="84" t="str">
        <f>IFERROR(VLOOKUP(CONCATENATE($B1167,"_",F$3),materiali!$C:$K,5,0),"")</f>
        <v/>
      </c>
      <c r="G1167" s="85" t="str">
        <f>IFERROR(VLOOKUP(CONCATENATE($B1167,"_",G$3),materiali!$C:$K,6,0),"")</f>
        <v/>
      </c>
      <c r="H1167" s="86"/>
      <c r="I1167" s="84" t="str">
        <f>IFERROR(VLOOKUP(CONCATENATE($B1167,"_",I$3),materiali!$C:$K,5,0),"")</f>
        <v/>
      </c>
      <c r="J1167" s="85" t="str">
        <f>IFERROR(VLOOKUP(CONCATENATE($B1167,"_",J$3),materiali!$C:$K,6,0),"")</f>
        <v/>
      </c>
      <c r="K1167" s="86"/>
      <c r="L1167" s="84" t="str">
        <f>IFERROR(VLOOKUP(CONCATENATE($B1167,"_",L$3),materiali!$C:$K,5,0),"")</f>
        <v/>
      </c>
      <c r="M1167" s="85" t="str">
        <f>IFERROR(VLOOKUP(CONCATENATE($B1167,"_",M$3),materiali!$C:$K,6,0),"")</f>
        <v/>
      </c>
      <c r="N1167" s="86"/>
      <c r="O1167" s="84" t="str">
        <f>IFERROR(VLOOKUP(CONCATENATE($B1167,"_",O$3),materiali!$C:$K,5,0),"")</f>
        <v/>
      </c>
      <c r="P1167" s="85" t="str">
        <f>IFERROR(VLOOKUP(CONCATENATE($B1167,"_",P$3),materiali!$C:$K,6,0),"")</f>
        <v/>
      </c>
      <c r="Q1167" s="86"/>
      <c r="R1167" s="84" t="str">
        <f>IFERROR(VLOOKUP(CONCATENATE($B1167,"_",R$3),materiali!$C:$K,5,0),"")</f>
        <v/>
      </c>
      <c r="S1167" s="85" t="str">
        <f>IFERROR(VLOOKUP(CONCATENATE($B1167,"_",S$3),materiali!$C:$K,6,0),"")</f>
        <v/>
      </c>
      <c r="T1167" s="86"/>
      <c r="U1167" s="31"/>
      <c r="AD1167" s="97"/>
    </row>
    <row r="1168" spans="1:30" ht="35.1" hidden="1" customHeight="1" x14ac:dyDescent="0.25">
      <c r="A1168" s="83"/>
      <c r="B1168" s="7"/>
      <c r="C1168" s="8"/>
      <c r="D1168" s="8"/>
      <c r="E1168" s="60"/>
      <c r="F1168" s="84" t="str">
        <f>IFERROR(VLOOKUP(CONCATENATE($B1168,"_",F$3),materiali!$C:$K,5,0),"")</f>
        <v/>
      </c>
      <c r="G1168" s="85" t="str">
        <f>IFERROR(VLOOKUP(CONCATENATE($B1168,"_",G$3),materiali!$C:$K,6,0),"")</f>
        <v/>
      </c>
      <c r="H1168" s="86"/>
      <c r="I1168" s="84" t="str">
        <f>IFERROR(VLOOKUP(CONCATENATE($B1168,"_",I$3),materiali!$C:$K,5,0),"")</f>
        <v/>
      </c>
      <c r="J1168" s="85" t="str">
        <f>IFERROR(VLOOKUP(CONCATENATE($B1168,"_",J$3),materiali!$C:$K,6,0),"")</f>
        <v/>
      </c>
      <c r="K1168" s="86"/>
      <c r="L1168" s="84" t="str">
        <f>IFERROR(VLOOKUP(CONCATENATE($B1168,"_",L$3),materiali!$C:$K,5,0),"")</f>
        <v/>
      </c>
      <c r="M1168" s="85" t="str">
        <f>IFERROR(VLOOKUP(CONCATENATE($B1168,"_",M$3),materiali!$C:$K,6,0),"")</f>
        <v/>
      </c>
      <c r="N1168" s="86"/>
      <c r="O1168" s="84" t="str">
        <f>IFERROR(VLOOKUP(CONCATENATE($B1168,"_",O$3),materiali!$C:$K,5,0),"")</f>
        <v/>
      </c>
      <c r="P1168" s="85" t="str">
        <f>IFERROR(VLOOKUP(CONCATENATE($B1168,"_",P$3),materiali!$C:$K,6,0),"")</f>
        <v/>
      </c>
      <c r="Q1168" s="86"/>
      <c r="R1168" s="84" t="str">
        <f>IFERROR(VLOOKUP(CONCATENATE($B1168,"_",R$3),materiali!$C:$K,5,0),"")</f>
        <v/>
      </c>
      <c r="S1168" s="85" t="str">
        <f>IFERROR(VLOOKUP(CONCATENATE($B1168,"_",S$3),materiali!$C:$K,6,0),"")</f>
        <v/>
      </c>
      <c r="T1168" s="86"/>
      <c r="U1168" s="31"/>
      <c r="AD1168" s="97"/>
    </row>
    <row r="1169" spans="1:30" ht="35.1" hidden="1" customHeight="1" x14ac:dyDescent="0.25">
      <c r="A1169" s="83"/>
      <c r="B1169" s="7"/>
      <c r="C1169" s="8"/>
      <c r="D1169" s="8"/>
      <c r="E1169" s="60"/>
      <c r="F1169" s="84" t="str">
        <f>IFERROR(VLOOKUP(CONCATENATE($B1169,"_",F$3),materiali!$C:$K,5,0),"")</f>
        <v/>
      </c>
      <c r="G1169" s="85" t="str">
        <f>IFERROR(VLOOKUP(CONCATENATE($B1169,"_",G$3),materiali!$C:$K,6,0),"")</f>
        <v/>
      </c>
      <c r="H1169" s="86"/>
      <c r="I1169" s="84" t="str">
        <f>IFERROR(VLOOKUP(CONCATENATE($B1169,"_",I$3),materiali!$C:$K,5,0),"")</f>
        <v/>
      </c>
      <c r="J1169" s="85" t="str">
        <f>IFERROR(VLOOKUP(CONCATENATE($B1169,"_",J$3),materiali!$C:$K,6,0),"")</f>
        <v/>
      </c>
      <c r="K1169" s="86"/>
      <c r="L1169" s="84" t="str">
        <f>IFERROR(VLOOKUP(CONCATENATE($B1169,"_",L$3),materiali!$C:$K,5,0),"")</f>
        <v/>
      </c>
      <c r="M1169" s="85" t="str">
        <f>IFERROR(VLOOKUP(CONCATENATE($B1169,"_",M$3),materiali!$C:$K,6,0),"")</f>
        <v/>
      </c>
      <c r="N1169" s="86"/>
      <c r="O1169" s="84" t="str">
        <f>IFERROR(VLOOKUP(CONCATENATE($B1169,"_",O$3),materiali!$C:$K,5,0),"")</f>
        <v/>
      </c>
      <c r="P1169" s="85" t="str">
        <f>IFERROR(VLOOKUP(CONCATENATE($B1169,"_",P$3),materiali!$C:$K,6,0),"")</f>
        <v/>
      </c>
      <c r="Q1169" s="86"/>
      <c r="R1169" s="84" t="str">
        <f>IFERROR(VLOOKUP(CONCATENATE($B1169,"_",R$3),materiali!$C:$K,5,0),"")</f>
        <v/>
      </c>
      <c r="S1169" s="85" t="str">
        <f>IFERROR(VLOOKUP(CONCATENATE($B1169,"_",S$3),materiali!$C:$K,6,0),"")</f>
        <v/>
      </c>
      <c r="T1169" s="86"/>
      <c r="U1169" s="31"/>
      <c r="AD1169" s="97"/>
    </row>
    <row r="1170" spans="1:30" ht="35.1" hidden="1" customHeight="1" x14ac:dyDescent="0.25">
      <c r="A1170" s="83"/>
      <c r="B1170" s="7"/>
      <c r="C1170" s="8"/>
      <c r="D1170" s="8"/>
      <c r="E1170" s="60"/>
      <c r="F1170" s="84" t="str">
        <f>IFERROR(VLOOKUP(CONCATENATE($B1170,"_",F$3),materiali!$C:$K,5,0),"")</f>
        <v/>
      </c>
      <c r="G1170" s="85" t="str">
        <f>IFERROR(VLOOKUP(CONCATENATE($B1170,"_",G$3),materiali!$C:$K,6,0),"")</f>
        <v/>
      </c>
      <c r="H1170" s="86"/>
      <c r="I1170" s="84" t="str">
        <f>IFERROR(VLOOKUP(CONCATENATE($B1170,"_",I$3),materiali!$C:$K,5,0),"")</f>
        <v/>
      </c>
      <c r="J1170" s="85" t="str">
        <f>IFERROR(VLOOKUP(CONCATENATE($B1170,"_",J$3),materiali!$C:$K,6,0),"")</f>
        <v/>
      </c>
      <c r="K1170" s="86"/>
      <c r="L1170" s="84" t="str">
        <f>IFERROR(VLOOKUP(CONCATENATE($B1170,"_",L$3),materiali!$C:$K,5,0),"")</f>
        <v/>
      </c>
      <c r="M1170" s="85" t="str">
        <f>IFERROR(VLOOKUP(CONCATENATE($B1170,"_",M$3),materiali!$C:$K,6,0),"")</f>
        <v/>
      </c>
      <c r="N1170" s="86"/>
      <c r="O1170" s="84" t="str">
        <f>IFERROR(VLOOKUP(CONCATENATE($B1170,"_",O$3),materiali!$C:$K,5,0),"")</f>
        <v/>
      </c>
      <c r="P1170" s="85" t="str">
        <f>IFERROR(VLOOKUP(CONCATENATE($B1170,"_",P$3),materiali!$C:$K,6,0),"")</f>
        <v/>
      </c>
      <c r="Q1170" s="86"/>
      <c r="R1170" s="84" t="str">
        <f>IFERROR(VLOOKUP(CONCATENATE($B1170,"_",R$3),materiali!$C:$K,5,0),"")</f>
        <v/>
      </c>
      <c r="S1170" s="85" t="str">
        <f>IFERROR(VLOOKUP(CONCATENATE($B1170,"_",S$3),materiali!$C:$K,6,0),"")</f>
        <v/>
      </c>
      <c r="T1170" s="86"/>
      <c r="U1170" s="31"/>
      <c r="AD1170" s="97"/>
    </row>
    <row r="1171" spans="1:30" ht="35.1" hidden="1" customHeight="1" x14ac:dyDescent="0.25">
      <c r="A1171" s="83"/>
      <c r="B1171" s="7"/>
      <c r="C1171" s="8"/>
      <c r="D1171" s="8"/>
      <c r="E1171" s="60"/>
      <c r="F1171" s="84" t="str">
        <f>IFERROR(VLOOKUP(CONCATENATE($B1171,"_",F$3),materiali!$C:$K,5,0),"")</f>
        <v/>
      </c>
      <c r="G1171" s="85" t="str">
        <f>IFERROR(VLOOKUP(CONCATENATE($B1171,"_",G$3),materiali!$C:$K,6,0),"")</f>
        <v/>
      </c>
      <c r="H1171" s="86"/>
      <c r="I1171" s="84" t="str">
        <f>IFERROR(VLOOKUP(CONCATENATE($B1171,"_",I$3),materiali!$C:$K,5,0),"")</f>
        <v/>
      </c>
      <c r="J1171" s="85" t="str">
        <f>IFERROR(VLOOKUP(CONCATENATE($B1171,"_",J$3),materiali!$C:$K,6,0),"")</f>
        <v/>
      </c>
      <c r="K1171" s="86"/>
      <c r="L1171" s="84" t="str">
        <f>IFERROR(VLOOKUP(CONCATENATE($B1171,"_",L$3),materiali!$C:$K,5,0),"")</f>
        <v/>
      </c>
      <c r="M1171" s="85" t="str">
        <f>IFERROR(VLOOKUP(CONCATENATE($B1171,"_",M$3),materiali!$C:$K,6,0),"")</f>
        <v/>
      </c>
      <c r="N1171" s="86"/>
      <c r="O1171" s="84" t="str">
        <f>IFERROR(VLOOKUP(CONCATENATE($B1171,"_",O$3),materiali!$C:$K,5,0),"")</f>
        <v/>
      </c>
      <c r="P1171" s="85" t="str">
        <f>IFERROR(VLOOKUP(CONCATENATE($B1171,"_",P$3),materiali!$C:$K,6,0),"")</f>
        <v/>
      </c>
      <c r="Q1171" s="86"/>
      <c r="R1171" s="84" t="str">
        <f>IFERROR(VLOOKUP(CONCATENATE($B1171,"_",R$3),materiali!$C:$K,5,0),"")</f>
        <v/>
      </c>
      <c r="S1171" s="85" t="str">
        <f>IFERROR(VLOOKUP(CONCATENATE($B1171,"_",S$3),materiali!$C:$K,6,0),"")</f>
        <v/>
      </c>
      <c r="T1171" s="86"/>
      <c r="U1171" s="31"/>
      <c r="AD1171" s="97"/>
    </row>
    <row r="1172" spans="1:30" ht="35.1" hidden="1" customHeight="1" x14ac:dyDescent="0.25">
      <c r="A1172" s="83"/>
      <c r="B1172" s="7"/>
      <c r="C1172" s="8"/>
      <c r="D1172" s="8"/>
      <c r="E1172" s="60"/>
      <c r="F1172" s="84" t="str">
        <f>IFERROR(VLOOKUP(CONCATENATE($B1172,"_",F$3),materiali!$C:$K,5,0),"")</f>
        <v/>
      </c>
      <c r="G1172" s="85" t="str">
        <f>IFERROR(VLOOKUP(CONCATENATE($B1172,"_",G$3),materiali!$C:$K,6,0),"")</f>
        <v/>
      </c>
      <c r="H1172" s="86"/>
      <c r="I1172" s="84" t="str">
        <f>IFERROR(VLOOKUP(CONCATENATE($B1172,"_",I$3),materiali!$C:$K,5,0),"")</f>
        <v/>
      </c>
      <c r="J1172" s="85" t="str">
        <f>IFERROR(VLOOKUP(CONCATENATE($B1172,"_",J$3),materiali!$C:$K,6,0),"")</f>
        <v/>
      </c>
      <c r="K1172" s="86"/>
      <c r="L1172" s="84" t="str">
        <f>IFERROR(VLOOKUP(CONCATENATE($B1172,"_",L$3),materiali!$C:$K,5,0),"")</f>
        <v/>
      </c>
      <c r="M1172" s="85" t="str">
        <f>IFERROR(VLOOKUP(CONCATENATE($B1172,"_",M$3),materiali!$C:$K,6,0),"")</f>
        <v/>
      </c>
      <c r="N1172" s="86"/>
      <c r="O1172" s="84" t="str">
        <f>IFERROR(VLOOKUP(CONCATENATE($B1172,"_",O$3),materiali!$C:$K,5,0),"")</f>
        <v/>
      </c>
      <c r="P1172" s="85" t="str">
        <f>IFERROR(VLOOKUP(CONCATENATE($B1172,"_",P$3),materiali!$C:$K,6,0),"")</f>
        <v/>
      </c>
      <c r="Q1172" s="86"/>
      <c r="R1172" s="84" t="str">
        <f>IFERROR(VLOOKUP(CONCATENATE($B1172,"_",R$3),materiali!$C:$K,5,0),"")</f>
        <v/>
      </c>
      <c r="S1172" s="85" t="str">
        <f>IFERROR(VLOOKUP(CONCATENATE($B1172,"_",S$3),materiali!$C:$K,6,0),"")</f>
        <v/>
      </c>
      <c r="T1172" s="86"/>
      <c r="U1172" s="31"/>
      <c r="AD1172" s="97"/>
    </row>
    <row r="1173" spans="1:30" ht="35.1" hidden="1" customHeight="1" x14ac:dyDescent="0.25">
      <c r="A1173" s="83"/>
      <c r="B1173" s="7"/>
      <c r="C1173" s="8"/>
      <c r="D1173" s="8"/>
      <c r="E1173" s="60"/>
      <c r="F1173" s="84" t="str">
        <f>IFERROR(VLOOKUP(CONCATENATE($B1173,"_",F$3),materiali!$C:$K,5,0),"")</f>
        <v/>
      </c>
      <c r="G1173" s="85" t="str">
        <f>IFERROR(VLOOKUP(CONCATENATE($B1173,"_",G$3),materiali!$C:$K,6,0),"")</f>
        <v/>
      </c>
      <c r="H1173" s="86"/>
      <c r="I1173" s="84" t="str">
        <f>IFERROR(VLOOKUP(CONCATENATE($B1173,"_",I$3),materiali!$C:$K,5,0),"")</f>
        <v/>
      </c>
      <c r="J1173" s="85" t="str">
        <f>IFERROR(VLOOKUP(CONCATENATE($B1173,"_",J$3),materiali!$C:$K,6,0),"")</f>
        <v/>
      </c>
      <c r="K1173" s="86"/>
      <c r="L1173" s="84" t="str">
        <f>IFERROR(VLOOKUP(CONCATENATE($B1173,"_",L$3),materiali!$C:$K,5,0),"")</f>
        <v/>
      </c>
      <c r="M1173" s="85" t="str">
        <f>IFERROR(VLOOKUP(CONCATENATE($B1173,"_",M$3),materiali!$C:$K,6,0),"")</f>
        <v/>
      </c>
      <c r="N1173" s="86"/>
      <c r="O1173" s="84" t="str">
        <f>IFERROR(VLOOKUP(CONCATENATE($B1173,"_",O$3),materiali!$C:$K,5,0),"")</f>
        <v/>
      </c>
      <c r="P1173" s="85" t="str">
        <f>IFERROR(VLOOKUP(CONCATENATE($B1173,"_",P$3),materiali!$C:$K,6,0),"")</f>
        <v/>
      </c>
      <c r="Q1173" s="86"/>
      <c r="R1173" s="84" t="str">
        <f>IFERROR(VLOOKUP(CONCATENATE($B1173,"_",R$3),materiali!$C:$K,5,0),"")</f>
        <v/>
      </c>
      <c r="S1173" s="85" t="str">
        <f>IFERROR(VLOOKUP(CONCATENATE($B1173,"_",S$3),materiali!$C:$K,6,0),"")</f>
        <v/>
      </c>
      <c r="T1173" s="86"/>
      <c r="U1173" s="31"/>
      <c r="AD1173" s="97"/>
    </row>
    <row r="1174" spans="1:30" ht="35.1" hidden="1" customHeight="1" x14ac:dyDescent="0.25">
      <c r="A1174" s="83"/>
      <c r="B1174" s="7"/>
      <c r="C1174" s="8"/>
      <c r="D1174" s="8"/>
      <c r="E1174" s="60"/>
      <c r="F1174" s="84" t="str">
        <f>IFERROR(VLOOKUP(CONCATENATE($B1174,"_",F$3),materiali!$C:$K,5,0),"")</f>
        <v/>
      </c>
      <c r="G1174" s="85" t="str">
        <f>IFERROR(VLOOKUP(CONCATENATE($B1174,"_",G$3),materiali!$C:$K,6,0),"")</f>
        <v/>
      </c>
      <c r="H1174" s="86"/>
      <c r="I1174" s="84" t="str">
        <f>IFERROR(VLOOKUP(CONCATENATE($B1174,"_",I$3),materiali!$C:$K,5,0),"")</f>
        <v/>
      </c>
      <c r="J1174" s="85" t="str">
        <f>IFERROR(VLOOKUP(CONCATENATE($B1174,"_",J$3),materiali!$C:$K,6,0),"")</f>
        <v/>
      </c>
      <c r="K1174" s="86"/>
      <c r="L1174" s="84" t="str">
        <f>IFERROR(VLOOKUP(CONCATENATE($B1174,"_",L$3),materiali!$C:$K,5,0),"")</f>
        <v/>
      </c>
      <c r="M1174" s="85" t="str">
        <f>IFERROR(VLOOKUP(CONCATENATE($B1174,"_",M$3),materiali!$C:$K,6,0),"")</f>
        <v/>
      </c>
      <c r="N1174" s="86"/>
      <c r="O1174" s="84" t="str">
        <f>IFERROR(VLOOKUP(CONCATENATE($B1174,"_",O$3),materiali!$C:$K,5,0),"")</f>
        <v/>
      </c>
      <c r="P1174" s="85" t="str">
        <f>IFERROR(VLOOKUP(CONCATENATE($B1174,"_",P$3),materiali!$C:$K,6,0),"")</f>
        <v/>
      </c>
      <c r="Q1174" s="86"/>
      <c r="R1174" s="84" t="str">
        <f>IFERROR(VLOOKUP(CONCATENATE($B1174,"_",R$3),materiali!$C:$K,5,0),"")</f>
        <v/>
      </c>
      <c r="S1174" s="85" t="str">
        <f>IFERROR(VLOOKUP(CONCATENATE($B1174,"_",S$3),materiali!$C:$K,6,0),"")</f>
        <v/>
      </c>
      <c r="T1174" s="86"/>
      <c r="U1174" s="31"/>
      <c r="AD1174" s="97"/>
    </row>
    <row r="1175" spans="1:30" ht="35.1" hidden="1" customHeight="1" x14ac:dyDescent="0.25">
      <c r="A1175" s="83"/>
      <c r="B1175" s="7"/>
      <c r="C1175" s="8"/>
      <c r="D1175" s="8"/>
      <c r="E1175" s="60"/>
      <c r="F1175" s="84" t="str">
        <f>IFERROR(VLOOKUP(CONCATENATE($B1175,"_",F$3),materiali!$C:$K,5,0),"")</f>
        <v/>
      </c>
      <c r="G1175" s="85" t="str">
        <f>IFERROR(VLOOKUP(CONCATENATE($B1175,"_",G$3),materiali!$C:$K,6,0),"")</f>
        <v/>
      </c>
      <c r="H1175" s="86"/>
      <c r="I1175" s="84" t="str">
        <f>IFERROR(VLOOKUP(CONCATENATE($B1175,"_",I$3),materiali!$C:$K,5,0),"")</f>
        <v/>
      </c>
      <c r="J1175" s="85" t="str">
        <f>IFERROR(VLOOKUP(CONCATENATE($B1175,"_",J$3),materiali!$C:$K,6,0),"")</f>
        <v/>
      </c>
      <c r="K1175" s="86"/>
      <c r="L1175" s="84" t="str">
        <f>IFERROR(VLOOKUP(CONCATENATE($B1175,"_",L$3),materiali!$C:$K,5,0),"")</f>
        <v/>
      </c>
      <c r="M1175" s="85" t="str">
        <f>IFERROR(VLOOKUP(CONCATENATE($B1175,"_",M$3),materiali!$C:$K,6,0),"")</f>
        <v/>
      </c>
      <c r="N1175" s="86"/>
      <c r="O1175" s="84" t="str">
        <f>IFERROR(VLOOKUP(CONCATENATE($B1175,"_",O$3),materiali!$C:$K,5,0),"")</f>
        <v/>
      </c>
      <c r="P1175" s="85" t="str">
        <f>IFERROR(VLOOKUP(CONCATENATE($B1175,"_",P$3),materiali!$C:$K,6,0),"")</f>
        <v/>
      </c>
      <c r="Q1175" s="86"/>
      <c r="R1175" s="84" t="str">
        <f>IFERROR(VLOOKUP(CONCATENATE($B1175,"_",R$3),materiali!$C:$K,5,0),"")</f>
        <v/>
      </c>
      <c r="S1175" s="85" t="str">
        <f>IFERROR(VLOOKUP(CONCATENATE($B1175,"_",S$3),materiali!$C:$K,6,0),"")</f>
        <v/>
      </c>
      <c r="T1175" s="86"/>
      <c r="U1175" s="31"/>
      <c r="AD1175" s="97"/>
    </row>
    <row r="1176" spans="1:30" ht="35.1" hidden="1" customHeight="1" x14ac:dyDescent="0.25">
      <c r="A1176" s="83"/>
      <c r="B1176" s="7"/>
      <c r="C1176" s="8"/>
      <c r="D1176" s="8"/>
      <c r="E1176" s="60"/>
      <c r="F1176" s="84" t="str">
        <f>IFERROR(VLOOKUP(CONCATENATE($B1176,"_",F$3),materiali!$C:$K,5,0),"")</f>
        <v/>
      </c>
      <c r="G1176" s="85" t="str">
        <f>IFERROR(VLOOKUP(CONCATENATE($B1176,"_",G$3),materiali!$C:$K,6,0),"")</f>
        <v/>
      </c>
      <c r="H1176" s="86"/>
      <c r="I1176" s="84" t="str">
        <f>IFERROR(VLOOKUP(CONCATENATE($B1176,"_",I$3),materiali!$C:$K,5,0),"")</f>
        <v/>
      </c>
      <c r="J1176" s="85" t="str">
        <f>IFERROR(VLOOKUP(CONCATENATE($B1176,"_",J$3),materiali!$C:$K,6,0),"")</f>
        <v/>
      </c>
      <c r="K1176" s="86"/>
      <c r="L1176" s="84" t="str">
        <f>IFERROR(VLOOKUP(CONCATENATE($B1176,"_",L$3),materiali!$C:$K,5,0),"")</f>
        <v/>
      </c>
      <c r="M1176" s="85" t="str">
        <f>IFERROR(VLOOKUP(CONCATENATE($B1176,"_",M$3),materiali!$C:$K,6,0),"")</f>
        <v/>
      </c>
      <c r="N1176" s="86"/>
      <c r="O1176" s="84" t="str">
        <f>IFERROR(VLOOKUP(CONCATENATE($B1176,"_",O$3),materiali!$C:$K,5,0),"")</f>
        <v/>
      </c>
      <c r="P1176" s="85" t="str">
        <f>IFERROR(VLOOKUP(CONCATENATE($B1176,"_",P$3),materiali!$C:$K,6,0),"")</f>
        <v/>
      </c>
      <c r="Q1176" s="86"/>
      <c r="R1176" s="84" t="str">
        <f>IFERROR(VLOOKUP(CONCATENATE($B1176,"_",R$3),materiali!$C:$K,5,0),"")</f>
        <v/>
      </c>
      <c r="S1176" s="85" t="str">
        <f>IFERROR(VLOOKUP(CONCATENATE($B1176,"_",S$3),materiali!$C:$K,6,0),"")</f>
        <v/>
      </c>
      <c r="T1176" s="86"/>
      <c r="U1176" s="31"/>
      <c r="AD1176" s="97"/>
    </row>
    <row r="1177" spans="1:30" ht="35.1" hidden="1" customHeight="1" x14ac:dyDescent="0.25">
      <c r="A1177" s="83"/>
      <c r="B1177" s="7"/>
      <c r="C1177" s="8"/>
      <c r="D1177" s="8"/>
      <c r="E1177" s="60"/>
      <c r="F1177" s="84" t="str">
        <f>IFERROR(VLOOKUP(CONCATENATE($B1177,"_",F$3),materiali!$C:$K,5,0),"")</f>
        <v/>
      </c>
      <c r="G1177" s="85" t="str">
        <f>IFERROR(VLOOKUP(CONCATENATE($B1177,"_",G$3),materiali!$C:$K,6,0),"")</f>
        <v/>
      </c>
      <c r="H1177" s="86"/>
      <c r="I1177" s="84" t="str">
        <f>IFERROR(VLOOKUP(CONCATENATE($B1177,"_",I$3),materiali!$C:$K,5,0),"")</f>
        <v/>
      </c>
      <c r="J1177" s="85" t="str">
        <f>IFERROR(VLOOKUP(CONCATENATE($B1177,"_",J$3),materiali!$C:$K,6,0),"")</f>
        <v/>
      </c>
      <c r="K1177" s="86"/>
      <c r="L1177" s="84" t="str">
        <f>IFERROR(VLOOKUP(CONCATENATE($B1177,"_",L$3),materiali!$C:$K,5,0),"")</f>
        <v/>
      </c>
      <c r="M1177" s="85" t="str">
        <f>IFERROR(VLOOKUP(CONCATENATE($B1177,"_",M$3),materiali!$C:$K,6,0),"")</f>
        <v/>
      </c>
      <c r="N1177" s="86"/>
      <c r="O1177" s="84" t="str">
        <f>IFERROR(VLOOKUP(CONCATENATE($B1177,"_",O$3),materiali!$C:$K,5,0),"")</f>
        <v/>
      </c>
      <c r="P1177" s="85" t="str">
        <f>IFERROR(VLOOKUP(CONCATENATE($B1177,"_",P$3),materiali!$C:$K,6,0),"")</f>
        <v/>
      </c>
      <c r="Q1177" s="86"/>
      <c r="R1177" s="84" t="str">
        <f>IFERROR(VLOOKUP(CONCATENATE($B1177,"_",R$3),materiali!$C:$K,5,0),"")</f>
        <v/>
      </c>
      <c r="S1177" s="85" t="str">
        <f>IFERROR(VLOOKUP(CONCATENATE($B1177,"_",S$3),materiali!$C:$K,6,0),"")</f>
        <v/>
      </c>
      <c r="T1177" s="86"/>
      <c r="U1177" s="31"/>
      <c r="AD1177" s="97"/>
    </row>
    <row r="1178" spans="1:30" ht="35.1" hidden="1" customHeight="1" x14ac:dyDescent="0.25">
      <c r="A1178" s="83"/>
      <c r="B1178" s="7"/>
      <c r="C1178" s="8"/>
      <c r="D1178" s="8"/>
      <c r="E1178" s="60"/>
      <c r="F1178" s="84" t="str">
        <f>IFERROR(VLOOKUP(CONCATENATE($B1178,"_",F$3),materiali!$C:$K,5,0),"")</f>
        <v/>
      </c>
      <c r="G1178" s="85" t="str">
        <f>IFERROR(VLOOKUP(CONCATENATE($B1178,"_",G$3),materiali!$C:$K,6,0),"")</f>
        <v/>
      </c>
      <c r="H1178" s="86"/>
      <c r="I1178" s="84" t="str">
        <f>IFERROR(VLOOKUP(CONCATENATE($B1178,"_",I$3),materiali!$C:$K,5,0),"")</f>
        <v/>
      </c>
      <c r="J1178" s="85" t="str">
        <f>IFERROR(VLOOKUP(CONCATENATE($B1178,"_",J$3),materiali!$C:$K,6,0),"")</f>
        <v/>
      </c>
      <c r="K1178" s="86"/>
      <c r="L1178" s="84" t="str">
        <f>IFERROR(VLOOKUP(CONCATENATE($B1178,"_",L$3),materiali!$C:$K,5,0),"")</f>
        <v/>
      </c>
      <c r="M1178" s="85" t="str">
        <f>IFERROR(VLOOKUP(CONCATENATE($B1178,"_",M$3),materiali!$C:$K,6,0),"")</f>
        <v/>
      </c>
      <c r="N1178" s="86"/>
      <c r="O1178" s="84" t="str">
        <f>IFERROR(VLOOKUP(CONCATENATE($B1178,"_",O$3),materiali!$C:$K,5,0),"")</f>
        <v/>
      </c>
      <c r="P1178" s="85" t="str">
        <f>IFERROR(VLOOKUP(CONCATENATE($B1178,"_",P$3),materiali!$C:$K,6,0),"")</f>
        <v/>
      </c>
      <c r="Q1178" s="86"/>
      <c r="R1178" s="84" t="str">
        <f>IFERROR(VLOOKUP(CONCATENATE($B1178,"_",R$3),materiali!$C:$K,5,0),"")</f>
        <v/>
      </c>
      <c r="S1178" s="85" t="str">
        <f>IFERROR(VLOOKUP(CONCATENATE($B1178,"_",S$3),materiali!$C:$K,6,0),"")</f>
        <v/>
      </c>
      <c r="T1178" s="86"/>
      <c r="U1178" s="31"/>
      <c r="AD1178" s="97"/>
    </row>
    <row r="1179" spans="1:30" ht="35.1" hidden="1" customHeight="1" x14ac:dyDescent="0.25">
      <c r="A1179" s="83"/>
      <c r="B1179" s="7"/>
      <c r="C1179" s="8"/>
      <c r="D1179" s="8"/>
      <c r="E1179" s="60"/>
      <c r="F1179" s="84" t="str">
        <f>IFERROR(VLOOKUP(CONCATENATE($B1179,"_",F$3),materiali!$C:$K,5,0),"")</f>
        <v/>
      </c>
      <c r="G1179" s="85" t="str">
        <f>IFERROR(VLOOKUP(CONCATENATE($B1179,"_",G$3),materiali!$C:$K,6,0),"")</f>
        <v/>
      </c>
      <c r="H1179" s="86"/>
      <c r="I1179" s="84" t="str">
        <f>IFERROR(VLOOKUP(CONCATENATE($B1179,"_",I$3),materiali!$C:$K,5,0),"")</f>
        <v/>
      </c>
      <c r="J1179" s="85" t="str">
        <f>IFERROR(VLOOKUP(CONCATENATE($B1179,"_",J$3),materiali!$C:$K,6,0),"")</f>
        <v/>
      </c>
      <c r="K1179" s="86"/>
      <c r="L1179" s="84" t="str">
        <f>IFERROR(VLOOKUP(CONCATENATE($B1179,"_",L$3),materiali!$C:$K,5,0),"")</f>
        <v/>
      </c>
      <c r="M1179" s="85" t="str">
        <f>IFERROR(VLOOKUP(CONCATENATE($B1179,"_",M$3),materiali!$C:$K,6,0),"")</f>
        <v/>
      </c>
      <c r="N1179" s="86"/>
      <c r="O1179" s="84" t="str">
        <f>IFERROR(VLOOKUP(CONCATENATE($B1179,"_",O$3),materiali!$C:$K,5,0),"")</f>
        <v/>
      </c>
      <c r="P1179" s="85" t="str">
        <f>IFERROR(VLOOKUP(CONCATENATE($B1179,"_",P$3),materiali!$C:$K,6,0),"")</f>
        <v/>
      </c>
      <c r="Q1179" s="86"/>
      <c r="R1179" s="84" t="str">
        <f>IFERROR(VLOOKUP(CONCATENATE($B1179,"_",R$3),materiali!$C:$K,5,0),"")</f>
        <v/>
      </c>
      <c r="S1179" s="85" t="str">
        <f>IFERROR(VLOOKUP(CONCATENATE($B1179,"_",S$3),materiali!$C:$K,6,0),"")</f>
        <v/>
      </c>
      <c r="T1179" s="86"/>
      <c r="U1179" s="31"/>
      <c r="AD1179" s="97"/>
    </row>
    <row r="1180" spans="1:30" ht="35.1" hidden="1" customHeight="1" x14ac:dyDescent="0.25">
      <c r="A1180" s="83"/>
      <c r="B1180" s="7"/>
      <c r="C1180" s="8"/>
      <c r="D1180" s="8"/>
      <c r="E1180" s="60"/>
      <c r="F1180" s="84" t="str">
        <f>IFERROR(VLOOKUP(CONCATENATE($B1180,"_",F$3),materiali!$C:$K,5,0),"")</f>
        <v/>
      </c>
      <c r="G1180" s="85" t="str">
        <f>IFERROR(VLOOKUP(CONCATENATE($B1180,"_",G$3),materiali!$C:$K,6,0),"")</f>
        <v/>
      </c>
      <c r="H1180" s="86"/>
      <c r="I1180" s="84" t="str">
        <f>IFERROR(VLOOKUP(CONCATENATE($B1180,"_",I$3),materiali!$C:$K,5,0),"")</f>
        <v/>
      </c>
      <c r="J1180" s="85" t="str">
        <f>IFERROR(VLOOKUP(CONCATENATE($B1180,"_",J$3),materiali!$C:$K,6,0),"")</f>
        <v/>
      </c>
      <c r="K1180" s="86"/>
      <c r="L1180" s="84" t="str">
        <f>IFERROR(VLOOKUP(CONCATENATE($B1180,"_",L$3),materiali!$C:$K,5,0),"")</f>
        <v/>
      </c>
      <c r="M1180" s="85" t="str">
        <f>IFERROR(VLOOKUP(CONCATENATE($B1180,"_",M$3),materiali!$C:$K,6,0),"")</f>
        <v/>
      </c>
      <c r="N1180" s="86"/>
      <c r="O1180" s="84" t="str">
        <f>IFERROR(VLOOKUP(CONCATENATE($B1180,"_",O$3),materiali!$C:$K,5,0),"")</f>
        <v/>
      </c>
      <c r="P1180" s="85" t="str">
        <f>IFERROR(VLOOKUP(CONCATENATE($B1180,"_",P$3),materiali!$C:$K,6,0),"")</f>
        <v/>
      </c>
      <c r="Q1180" s="86"/>
      <c r="R1180" s="84" t="str">
        <f>IFERROR(VLOOKUP(CONCATENATE($B1180,"_",R$3),materiali!$C:$K,5,0),"")</f>
        <v/>
      </c>
      <c r="S1180" s="85" t="str">
        <f>IFERROR(VLOOKUP(CONCATENATE($B1180,"_",S$3),materiali!$C:$K,6,0),"")</f>
        <v/>
      </c>
      <c r="T1180" s="86"/>
      <c r="U1180" s="31"/>
      <c r="AD1180" s="97"/>
    </row>
    <row r="1181" spans="1:30" ht="35.1" hidden="1" customHeight="1" x14ac:dyDescent="0.25">
      <c r="A1181" s="83"/>
      <c r="B1181" s="7"/>
      <c r="C1181" s="8"/>
      <c r="D1181" s="8"/>
      <c r="E1181" s="60"/>
      <c r="F1181" s="84" t="str">
        <f>IFERROR(VLOOKUP(CONCATENATE($B1181,"_",F$3),materiali!$C:$K,5,0),"")</f>
        <v/>
      </c>
      <c r="G1181" s="85" t="str">
        <f>IFERROR(VLOOKUP(CONCATENATE($B1181,"_",G$3),materiali!$C:$K,6,0),"")</f>
        <v/>
      </c>
      <c r="H1181" s="86"/>
      <c r="I1181" s="84" t="str">
        <f>IFERROR(VLOOKUP(CONCATENATE($B1181,"_",I$3),materiali!$C:$K,5,0),"")</f>
        <v/>
      </c>
      <c r="J1181" s="85" t="str">
        <f>IFERROR(VLOOKUP(CONCATENATE($B1181,"_",J$3),materiali!$C:$K,6,0),"")</f>
        <v/>
      </c>
      <c r="K1181" s="86"/>
      <c r="L1181" s="84" t="str">
        <f>IFERROR(VLOOKUP(CONCATENATE($B1181,"_",L$3),materiali!$C:$K,5,0),"")</f>
        <v/>
      </c>
      <c r="M1181" s="85" t="str">
        <f>IFERROR(VLOOKUP(CONCATENATE($B1181,"_",M$3),materiali!$C:$K,6,0),"")</f>
        <v/>
      </c>
      <c r="N1181" s="86"/>
      <c r="O1181" s="84" t="str">
        <f>IFERROR(VLOOKUP(CONCATENATE($B1181,"_",O$3),materiali!$C:$K,5,0),"")</f>
        <v/>
      </c>
      <c r="P1181" s="85" t="str">
        <f>IFERROR(VLOOKUP(CONCATENATE($B1181,"_",P$3),materiali!$C:$K,6,0),"")</f>
        <v/>
      </c>
      <c r="Q1181" s="86"/>
      <c r="R1181" s="84" t="str">
        <f>IFERROR(VLOOKUP(CONCATENATE($B1181,"_",R$3),materiali!$C:$K,5,0),"")</f>
        <v/>
      </c>
      <c r="S1181" s="85" t="str">
        <f>IFERROR(VLOOKUP(CONCATENATE($B1181,"_",S$3),materiali!$C:$K,6,0),"")</f>
        <v/>
      </c>
      <c r="T1181" s="86"/>
      <c r="U1181" s="31"/>
      <c r="AD1181" s="97"/>
    </row>
    <row r="1182" spans="1:30" ht="35.1" hidden="1" customHeight="1" x14ac:dyDescent="0.25">
      <c r="A1182" s="83"/>
      <c r="B1182" s="7"/>
      <c r="C1182" s="8"/>
      <c r="D1182" s="8"/>
      <c r="E1182" s="60"/>
      <c r="F1182" s="84" t="str">
        <f>IFERROR(VLOOKUP(CONCATENATE($B1182,"_",F$3),materiali!$C:$K,5,0),"")</f>
        <v/>
      </c>
      <c r="G1182" s="85" t="str">
        <f>IFERROR(VLOOKUP(CONCATENATE($B1182,"_",G$3),materiali!$C:$K,6,0),"")</f>
        <v/>
      </c>
      <c r="H1182" s="86"/>
      <c r="I1182" s="84" t="str">
        <f>IFERROR(VLOOKUP(CONCATENATE($B1182,"_",I$3),materiali!$C:$K,5,0),"")</f>
        <v/>
      </c>
      <c r="J1182" s="85" t="str">
        <f>IFERROR(VLOOKUP(CONCATENATE($B1182,"_",J$3),materiali!$C:$K,6,0),"")</f>
        <v/>
      </c>
      <c r="K1182" s="86"/>
      <c r="L1182" s="84" t="str">
        <f>IFERROR(VLOOKUP(CONCATENATE($B1182,"_",L$3),materiali!$C:$K,5,0),"")</f>
        <v/>
      </c>
      <c r="M1182" s="85" t="str">
        <f>IFERROR(VLOOKUP(CONCATENATE($B1182,"_",M$3),materiali!$C:$K,6,0),"")</f>
        <v/>
      </c>
      <c r="N1182" s="86"/>
      <c r="O1182" s="84" t="str">
        <f>IFERROR(VLOOKUP(CONCATENATE($B1182,"_",O$3),materiali!$C:$K,5,0),"")</f>
        <v/>
      </c>
      <c r="P1182" s="85" t="str">
        <f>IFERROR(VLOOKUP(CONCATENATE($B1182,"_",P$3),materiali!$C:$K,6,0),"")</f>
        <v/>
      </c>
      <c r="Q1182" s="86"/>
      <c r="R1182" s="84" t="str">
        <f>IFERROR(VLOOKUP(CONCATENATE($B1182,"_",R$3),materiali!$C:$K,5,0),"")</f>
        <v/>
      </c>
      <c r="S1182" s="85" t="str">
        <f>IFERROR(VLOOKUP(CONCATENATE($B1182,"_",S$3),materiali!$C:$K,6,0),"")</f>
        <v/>
      </c>
      <c r="T1182" s="86"/>
      <c r="U1182" s="31"/>
      <c r="AD1182" s="97"/>
    </row>
    <row r="1183" spans="1:30" ht="35.1" hidden="1" customHeight="1" x14ac:dyDescent="0.25">
      <c r="A1183" s="83"/>
      <c r="B1183" s="7"/>
      <c r="C1183" s="8"/>
      <c r="D1183" s="8"/>
      <c r="E1183" s="60"/>
      <c r="F1183" s="84" t="str">
        <f>IFERROR(VLOOKUP(CONCATENATE($B1183,"_",F$3),materiali!$C:$K,5,0),"")</f>
        <v/>
      </c>
      <c r="G1183" s="85" t="str">
        <f>IFERROR(VLOOKUP(CONCATENATE($B1183,"_",G$3),materiali!$C:$K,6,0),"")</f>
        <v/>
      </c>
      <c r="H1183" s="86"/>
      <c r="I1183" s="84" t="str">
        <f>IFERROR(VLOOKUP(CONCATENATE($B1183,"_",I$3),materiali!$C:$K,5,0),"")</f>
        <v/>
      </c>
      <c r="J1183" s="85" t="str">
        <f>IFERROR(VLOOKUP(CONCATENATE($B1183,"_",J$3),materiali!$C:$K,6,0),"")</f>
        <v/>
      </c>
      <c r="K1183" s="86"/>
      <c r="L1183" s="84" t="str">
        <f>IFERROR(VLOOKUP(CONCATENATE($B1183,"_",L$3),materiali!$C:$K,5,0),"")</f>
        <v/>
      </c>
      <c r="M1183" s="85" t="str">
        <f>IFERROR(VLOOKUP(CONCATENATE($B1183,"_",M$3),materiali!$C:$K,6,0),"")</f>
        <v/>
      </c>
      <c r="N1183" s="86"/>
      <c r="O1183" s="84" t="str">
        <f>IFERROR(VLOOKUP(CONCATENATE($B1183,"_",O$3),materiali!$C:$K,5,0),"")</f>
        <v/>
      </c>
      <c r="P1183" s="85" t="str">
        <f>IFERROR(VLOOKUP(CONCATENATE($B1183,"_",P$3),materiali!$C:$K,6,0),"")</f>
        <v/>
      </c>
      <c r="Q1183" s="86"/>
      <c r="R1183" s="84" t="str">
        <f>IFERROR(VLOOKUP(CONCATENATE($B1183,"_",R$3),materiali!$C:$K,5,0),"")</f>
        <v/>
      </c>
      <c r="S1183" s="85" t="str">
        <f>IFERROR(VLOOKUP(CONCATENATE($B1183,"_",S$3),materiali!$C:$K,6,0),"")</f>
        <v/>
      </c>
      <c r="T1183" s="86"/>
      <c r="U1183" s="31"/>
      <c r="AD1183" s="97"/>
    </row>
    <row r="1184" spans="1:30" ht="35.1" hidden="1" customHeight="1" x14ac:dyDescent="0.25">
      <c r="A1184" s="83"/>
      <c r="B1184" s="7"/>
      <c r="C1184" s="8"/>
      <c r="D1184" s="8"/>
      <c r="E1184" s="60"/>
      <c r="F1184" s="84" t="str">
        <f>IFERROR(VLOOKUP(CONCATENATE($B1184,"_",F$3),materiali!$C:$K,5,0),"")</f>
        <v/>
      </c>
      <c r="G1184" s="85" t="str">
        <f>IFERROR(VLOOKUP(CONCATENATE($B1184,"_",G$3),materiali!$C:$K,6,0),"")</f>
        <v/>
      </c>
      <c r="H1184" s="86"/>
      <c r="I1184" s="84" t="str">
        <f>IFERROR(VLOOKUP(CONCATENATE($B1184,"_",I$3),materiali!$C:$K,5,0),"")</f>
        <v/>
      </c>
      <c r="J1184" s="85" t="str">
        <f>IFERROR(VLOOKUP(CONCATENATE($B1184,"_",J$3),materiali!$C:$K,6,0),"")</f>
        <v/>
      </c>
      <c r="K1184" s="86"/>
      <c r="L1184" s="84" t="str">
        <f>IFERROR(VLOOKUP(CONCATENATE($B1184,"_",L$3),materiali!$C:$K,5,0),"")</f>
        <v/>
      </c>
      <c r="M1184" s="85" t="str">
        <f>IFERROR(VLOOKUP(CONCATENATE($B1184,"_",M$3),materiali!$C:$K,6,0),"")</f>
        <v/>
      </c>
      <c r="N1184" s="86"/>
      <c r="O1184" s="84" t="str">
        <f>IFERROR(VLOOKUP(CONCATENATE($B1184,"_",O$3),materiali!$C:$K,5,0),"")</f>
        <v/>
      </c>
      <c r="P1184" s="85" t="str">
        <f>IFERROR(VLOOKUP(CONCATENATE($B1184,"_",P$3),materiali!$C:$K,6,0),"")</f>
        <v/>
      </c>
      <c r="Q1184" s="86"/>
      <c r="R1184" s="84" t="str">
        <f>IFERROR(VLOOKUP(CONCATENATE($B1184,"_",R$3),materiali!$C:$K,5,0),"")</f>
        <v/>
      </c>
      <c r="S1184" s="85" t="str">
        <f>IFERROR(VLOOKUP(CONCATENATE($B1184,"_",S$3),materiali!$C:$K,6,0),"")</f>
        <v/>
      </c>
      <c r="T1184" s="86"/>
      <c r="U1184" s="31"/>
      <c r="AD1184" s="97"/>
    </row>
    <row r="1185" spans="1:30" ht="35.1" hidden="1" customHeight="1" x14ac:dyDescent="0.25">
      <c r="A1185" s="83"/>
      <c r="B1185" s="7"/>
      <c r="C1185" s="8"/>
      <c r="D1185" s="8"/>
      <c r="E1185" s="60"/>
      <c r="F1185" s="84" t="str">
        <f>IFERROR(VLOOKUP(CONCATENATE($B1185,"_",F$3),materiali!$C:$K,5,0),"")</f>
        <v/>
      </c>
      <c r="G1185" s="85" t="str">
        <f>IFERROR(VLOOKUP(CONCATENATE($B1185,"_",G$3),materiali!$C:$K,6,0),"")</f>
        <v/>
      </c>
      <c r="H1185" s="86"/>
      <c r="I1185" s="84" t="str">
        <f>IFERROR(VLOOKUP(CONCATENATE($B1185,"_",I$3),materiali!$C:$K,5,0),"")</f>
        <v/>
      </c>
      <c r="J1185" s="85" t="str">
        <f>IFERROR(VLOOKUP(CONCATENATE($B1185,"_",J$3),materiali!$C:$K,6,0),"")</f>
        <v/>
      </c>
      <c r="K1185" s="86"/>
      <c r="L1185" s="84" t="str">
        <f>IFERROR(VLOOKUP(CONCATENATE($B1185,"_",L$3),materiali!$C:$K,5,0),"")</f>
        <v/>
      </c>
      <c r="M1185" s="85" t="str">
        <f>IFERROR(VLOOKUP(CONCATENATE($B1185,"_",M$3),materiali!$C:$K,6,0),"")</f>
        <v/>
      </c>
      <c r="N1185" s="86"/>
      <c r="O1185" s="84" t="str">
        <f>IFERROR(VLOOKUP(CONCATENATE($B1185,"_",O$3),materiali!$C:$K,5,0),"")</f>
        <v/>
      </c>
      <c r="P1185" s="85" t="str">
        <f>IFERROR(VLOOKUP(CONCATENATE($B1185,"_",P$3),materiali!$C:$K,6,0),"")</f>
        <v/>
      </c>
      <c r="Q1185" s="86"/>
      <c r="R1185" s="84" t="str">
        <f>IFERROR(VLOOKUP(CONCATENATE($B1185,"_",R$3),materiali!$C:$K,5,0),"")</f>
        <v/>
      </c>
      <c r="S1185" s="85" t="str">
        <f>IFERROR(VLOOKUP(CONCATENATE($B1185,"_",S$3),materiali!$C:$K,6,0),"")</f>
        <v/>
      </c>
      <c r="T1185" s="86"/>
      <c r="U1185" s="31"/>
      <c r="AD1185" s="97"/>
    </row>
    <row r="1186" spans="1:30" ht="35.1" hidden="1" customHeight="1" x14ac:dyDescent="0.25">
      <c r="A1186" s="83"/>
      <c r="B1186" s="7"/>
      <c r="C1186" s="8"/>
      <c r="D1186" s="8"/>
      <c r="E1186" s="60"/>
      <c r="F1186" s="84" t="str">
        <f>IFERROR(VLOOKUP(CONCATENATE($B1186,"_",F$3),materiali!$C:$K,5,0),"")</f>
        <v/>
      </c>
      <c r="G1186" s="85" t="str">
        <f>IFERROR(VLOOKUP(CONCATENATE($B1186,"_",G$3),materiali!$C:$K,6,0),"")</f>
        <v/>
      </c>
      <c r="H1186" s="86"/>
      <c r="I1186" s="84" t="str">
        <f>IFERROR(VLOOKUP(CONCATENATE($B1186,"_",I$3),materiali!$C:$K,5,0),"")</f>
        <v/>
      </c>
      <c r="J1186" s="85" t="str">
        <f>IFERROR(VLOOKUP(CONCATENATE($B1186,"_",J$3),materiali!$C:$K,6,0),"")</f>
        <v/>
      </c>
      <c r="K1186" s="86"/>
      <c r="L1186" s="84" t="str">
        <f>IFERROR(VLOOKUP(CONCATENATE($B1186,"_",L$3),materiali!$C:$K,5,0),"")</f>
        <v/>
      </c>
      <c r="M1186" s="85" t="str">
        <f>IFERROR(VLOOKUP(CONCATENATE($B1186,"_",M$3),materiali!$C:$K,6,0),"")</f>
        <v/>
      </c>
      <c r="N1186" s="86"/>
      <c r="O1186" s="84" t="str">
        <f>IFERROR(VLOOKUP(CONCATENATE($B1186,"_",O$3),materiali!$C:$K,5,0),"")</f>
        <v/>
      </c>
      <c r="P1186" s="85" t="str">
        <f>IFERROR(VLOOKUP(CONCATENATE($B1186,"_",P$3),materiali!$C:$K,6,0),"")</f>
        <v/>
      </c>
      <c r="Q1186" s="86"/>
      <c r="R1186" s="84" t="str">
        <f>IFERROR(VLOOKUP(CONCATENATE($B1186,"_",R$3),materiali!$C:$K,5,0),"")</f>
        <v/>
      </c>
      <c r="S1186" s="85" t="str">
        <f>IFERROR(VLOOKUP(CONCATENATE($B1186,"_",S$3),materiali!$C:$K,6,0),"")</f>
        <v/>
      </c>
      <c r="T1186" s="86"/>
      <c r="U1186" s="31"/>
      <c r="AD1186" s="97"/>
    </row>
    <row r="1187" spans="1:30" ht="35.1" hidden="1" customHeight="1" x14ac:dyDescent="0.25">
      <c r="A1187" s="83"/>
      <c r="B1187" s="7"/>
      <c r="C1187" s="8"/>
      <c r="D1187" s="8"/>
      <c r="E1187" s="60"/>
      <c r="F1187" s="84" t="str">
        <f>IFERROR(VLOOKUP(CONCATENATE($B1187,"_",F$3),materiali!$C:$K,5,0),"")</f>
        <v/>
      </c>
      <c r="G1187" s="85" t="str">
        <f>IFERROR(VLOOKUP(CONCATENATE($B1187,"_",G$3),materiali!$C:$K,6,0),"")</f>
        <v/>
      </c>
      <c r="H1187" s="86"/>
      <c r="I1187" s="84" t="str">
        <f>IFERROR(VLOOKUP(CONCATENATE($B1187,"_",I$3),materiali!$C:$K,5,0),"")</f>
        <v/>
      </c>
      <c r="J1187" s="85" t="str">
        <f>IFERROR(VLOOKUP(CONCATENATE($B1187,"_",J$3),materiali!$C:$K,6,0),"")</f>
        <v/>
      </c>
      <c r="K1187" s="86"/>
      <c r="L1187" s="84" t="str">
        <f>IFERROR(VLOOKUP(CONCATENATE($B1187,"_",L$3),materiali!$C:$K,5,0),"")</f>
        <v/>
      </c>
      <c r="M1187" s="85" t="str">
        <f>IFERROR(VLOOKUP(CONCATENATE($B1187,"_",M$3),materiali!$C:$K,6,0),"")</f>
        <v/>
      </c>
      <c r="N1187" s="86"/>
      <c r="O1187" s="84" t="str">
        <f>IFERROR(VLOOKUP(CONCATENATE($B1187,"_",O$3),materiali!$C:$K,5,0),"")</f>
        <v/>
      </c>
      <c r="P1187" s="85" t="str">
        <f>IFERROR(VLOOKUP(CONCATENATE($B1187,"_",P$3),materiali!$C:$K,6,0),"")</f>
        <v/>
      </c>
      <c r="Q1187" s="86"/>
      <c r="R1187" s="84" t="str">
        <f>IFERROR(VLOOKUP(CONCATENATE($B1187,"_",R$3),materiali!$C:$K,5,0),"")</f>
        <v/>
      </c>
      <c r="S1187" s="85" t="str">
        <f>IFERROR(VLOOKUP(CONCATENATE($B1187,"_",S$3),materiali!$C:$K,6,0),"")</f>
        <v/>
      </c>
      <c r="T1187" s="86"/>
      <c r="U1187" s="31"/>
      <c r="AD1187" s="97"/>
    </row>
    <row r="1188" spans="1:30" ht="35.1" hidden="1" customHeight="1" x14ac:dyDescent="0.25">
      <c r="A1188" s="83"/>
      <c r="B1188" s="7"/>
      <c r="C1188" s="8"/>
      <c r="D1188" s="8"/>
      <c r="E1188" s="60"/>
      <c r="F1188" s="84" t="str">
        <f>IFERROR(VLOOKUP(CONCATENATE($B1188,"_",F$3),materiali!$C:$K,5,0),"")</f>
        <v/>
      </c>
      <c r="G1188" s="85" t="str">
        <f>IFERROR(VLOOKUP(CONCATENATE($B1188,"_",G$3),materiali!$C:$K,6,0),"")</f>
        <v/>
      </c>
      <c r="H1188" s="86"/>
      <c r="I1188" s="84" t="str">
        <f>IFERROR(VLOOKUP(CONCATENATE($B1188,"_",I$3),materiali!$C:$K,5,0),"")</f>
        <v/>
      </c>
      <c r="J1188" s="85" t="str">
        <f>IFERROR(VLOOKUP(CONCATENATE($B1188,"_",J$3),materiali!$C:$K,6,0),"")</f>
        <v/>
      </c>
      <c r="K1188" s="86"/>
      <c r="L1188" s="84" t="str">
        <f>IFERROR(VLOOKUP(CONCATENATE($B1188,"_",L$3),materiali!$C:$K,5,0),"")</f>
        <v/>
      </c>
      <c r="M1188" s="85" t="str">
        <f>IFERROR(VLOOKUP(CONCATENATE($B1188,"_",M$3),materiali!$C:$K,6,0),"")</f>
        <v/>
      </c>
      <c r="N1188" s="86"/>
      <c r="O1188" s="84" t="str">
        <f>IFERROR(VLOOKUP(CONCATENATE($B1188,"_",O$3),materiali!$C:$K,5,0),"")</f>
        <v/>
      </c>
      <c r="P1188" s="85" t="str">
        <f>IFERROR(VLOOKUP(CONCATENATE($B1188,"_",P$3),materiali!$C:$K,6,0),"")</f>
        <v/>
      </c>
      <c r="Q1188" s="86"/>
      <c r="R1188" s="84" t="str">
        <f>IFERROR(VLOOKUP(CONCATENATE($B1188,"_",R$3),materiali!$C:$K,5,0),"")</f>
        <v/>
      </c>
      <c r="S1188" s="85" t="str">
        <f>IFERROR(VLOOKUP(CONCATENATE($B1188,"_",S$3),materiali!$C:$K,6,0),"")</f>
        <v/>
      </c>
      <c r="T1188" s="86"/>
      <c r="U1188" s="31"/>
      <c r="AD1188" s="97"/>
    </row>
    <row r="1189" spans="1:30" ht="35.1" hidden="1" customHeight="1" x14ac:dyDescent="0.25">
      <c r="A1189" s="83"/>
      <c r="B1189" s="7"/>
      <c r="C1189" s="8"/>
      <c r="D1189" s="8"/>
      <c r="E1189" s="60"/>
      <c r="F1189" s="84" t="str">
        <f>IFERROR(VLOOKUP(CONCATENATE($B1189,"_",F$3),materiali!$C:$K,5,0),"")</f>
        <v/>
      </c>
      <c r="G1189" s="85" t="str">
        <f>IFERROR(VLOOKUP(CONCATENATE($B1189,"_",G$3),materiali!$C:$K,6,0),"")</f>
        <v/>
      </c>
      <c r="H1189" s="86"/>
      <c r="I1189" s="84" t="str">
        <f>IFERROR(VLOOKUP(CONCATENATE($B1189,"_",I$3),materiali!$C:$K,5,0),"")</f>
        <v/>
      </c>
      <c r="J1189" s="85" t="str">
        <f>IFERROR(VLOOKUP(CONCATENATE($B1189,"_",J$3),materiali!$C:$K,6,0),"")</f>
        <v/>
      </c>
      <c r="K1189" s="86"/>
      <c r="L1189" s="84" t="str">
        <f>IFERROR(VLOOKUP(CONCATENATE($B1189,"_",L$3),materiali!$C:$K,5,0),"")</f>
        <v/>
      </c>
      <c r="M1189" s="85" t="str">
        <f>IFERROR(VLOOKUP(CONCATENATE($B1189,"_",M$3),materiali!$C:$K,6,0),"")</f>
        <v/>
      </c>
      <c r="N1189" s="86"/>
      <c r="O1189" s="84" t="str">
        <f>IFERROR(VLOOKUP(CONCATENATE($B1189,"_",O$3),materiali!$C:$K,5,0),"")</f>
        <v/>
      </c>
      <c r="P1189" s="85" t="str">
        <f>IFERROR(VLOOKUP(CONCATENATE($B1189,"_",P$3),materiali!$C:$K,6,0),"")</f>
        <v/>
      </c>
      <c r="Q1189" s="86"/>
      <c r="R1189" s="84" t="str">
        <f>IFERROR(VLOOKUP(CONCATENATE($B1189,"_",R$3),materiali!$C:$K,5,0),"")</f>
        <v/>
      </c>
      <c r="S1189" s="85" t="str">
        <f>IFERROR(VLOOKUP(CONCATENATE($B1189,"_",S$3),materiali!$C:$K,6,0),"")</f>
        <v/>
      </c>
      <c r="T1189" s="86"/>
      <c r="U1189" s="31"/>
      <c r="AD1189" s="97"/>
    </row>
    <row r="1190" spans="1:30" ht="35.1" hidden="1" customHeight="1" x14ac:dyDescent="0.25">
      <c r="A1190" s="83"/>
      <c r="B1190" s="7"/>
      <c r="C1190" s="8"/>
      <c r="D1190" s="8"/>
      <c r="E1190" s="60"/>
      <c r="F1190" s="84" t="str">
        <f>IFERROR(VLOOKUP(CONCATENATE($B1190,"_",F$3),materiali!$C:$K,5,0),"")</f>
        <v/>
      </c>
      <c r="G1190" s="85" t="str">
        <f>IFERROR(VLOOKUP(CONCATENATE($B1190,"_",G$3),materiali!$C:$K,6,0),"")</f>
        <v/>
      </c>
      <c r="H1190" s="86"/>
      <c r="I1190" s="84" t="str">
        <f>IFERROR(VLOOKUP(CONCATENATE($B1190,"_",I$3),materiali!$C:$K,5,0),"")</f>
        <v/>
      </c>
      <c r="J1190" s="85" t="str">
        <f>IFERROR(VLOOKUP(CONCATENATE($B1190,"_",J$3),materiali!$C:$K,6,0),"")</f>
        <v/>
      </c>
      <c r="K1190" s="86"/>
      <c r="L1190" s="84" t="str">
        <f>IFERROR(VLOOKUP(CONCATENATE($B1190,"_",L$3),materiali!$C:$K,5,0),"")</f>
        <v/>
      </c>
      <c r="M1190" s="85" t="str">
        <f>IFERROR(VLOOKUP(CONCATENATE($B1190,"_",M$3),materiali!$C:$K,6,0),"")</f>
        <v/>
      </c>
      <c r="N1190" s="86"/>
      <c r="O1190" s="84" t="str">
        <f>IFERROR(VLOOKUP(CONCATENATE($B1190,"_",O$3),materiali!$C:$K,5,0),"")</f>
        <v/>
      </c>
      <c r="P1190" s="85" t="str">
        <f>IFERROR(VLOOKUP(CONCATENATE($B1190,"_",P$3),materiali!$C:$K,6,0),"")</f>
        <v/>
      </c>
      <c r="Q1190" s="86"/>
      <c r="R1190" s="84" t="str">
        <f>IFERROR(VLOOKUP(CONCATENATE($B1190,"_",R$3),materiali!$C:$K,5,0),"")</f>
        <v/>
      </c>
      <c r="S1190" s="85" t="str">
        <f>IFERROR(VLOOKUP(CONCATENATE($B1190,"_",S$3),materiali!$C:$K,6,0),"")</f>
        <v/>
      </c>
      <c r="T1190" s="86"/>
      <c r="U1190" s="31"/>
      <c r="AD1190" s="97"/>
    </row>
    <row r="1191" spans="1:30" ht="35.1" hidden="1" customHeight="1" x14ac:dyDescent="0.25">
      <c r="A1191" s="83"/>
      <c r="B1191" s="7"/>
      <c r="C1191" s="8"/>
      <c r="D1191" s="8"/>
      <c r="E1191" s="60"/>
      <c r="F1191" s="84" t="str">
        <f>IFERROR(VLOOKUP(CONCATENATE($B1191,"_",F$3),materiali!$C:$K,5,0),"")</f>
        <v/>
      </c>
      <c r="G1191" s="85" t="str">
        <f>IFERROR(VLOOKUP(CONCATENATE($B1191,"_",G$3),materiali!$C:$K,6,0),"")</f>
        <v/>
      </c>
      <c r="H1191" s="86"/>
      <c r="I1191" s="84" t="str">
        <f>IFERROR(VLOOKUP(CONCATENATE($B1191,"_",I$3),materiali!$C:$K,5,0),"")</f>
        <v/>
      </c>
      <c r="J1191" s="85" t="str">
        <f>IFERROR(VLOOKUP(CONCATENATE($B1191,"_",J$3),materiali!$C:$K,6,0),"")</f>
        <v/>
      </c>
      <c r="K1191" s="86"/>
      <c r="L1191" s="84" t="str">
        <f>IFERROR(VLOOKUP(CONCATENATE($B1191,"_",L$3),materiali!$C:$K,5,0),"")</f>
        <v/>
      </c>
      <c r="M1191" s="85" t="str">
        <f>IFERROR(VLOOKUP(CONCATENATE($B1191,"_",M$3),materiali!$C:$K,6,0),"")</f>
        <v/>
      </c>
      <c r="N1191" s="86"/>
      <c r="O1191" s="84" t="str">
        <f>IFERROR(VLOOKUP(CONCATENATE($B1191,"_",O$3),materiali!$C:$K,5,0),"")</f>
        <v/>
      </c>
      <c r="P1191" s="85" t="str">
        <f>IFERROR(VLOOKUP(CONCATENATE($B1191,"_",P$3),materiali!$C:$K,6,0),"")</f>
        <v/>
      </c>
      <c r="Q1191" s="86"/>
      <c r="R1191" s="84" t="str">
        <f>IFERROR(VLOOKUP(CONCATENATE($B1191,"_",R$3),materiali!$C:$K,5,0),"")</f>
        <v/>
      </c>
      <c r="S1191" s="85" t="str">
        <f>IFERROR(VLOOKUP(CONCATENATE($B1191,"_",S$3),materiali!$C:$K,6,0),"")</f>
        <v/>
      </c>
      <c r="T1191" s="86"/>
      <c r="U1191" s="31"/>
      <c r="AD1191" s="97"/>
    </row>
    <row r="1192" spans="1:30" ht="35.1" hidden="1" customHeight="1" x14ac:dyDescent="0.25">
      <c r="A1192" s="83"/>
      <c r="B1192" s="7"/>
      <c r="C1192" s="8"/>
      <c r="D1192" s="8"/>
      <c r="E1192" s="60"/>
      <c r="F1192" s="84" t="str">
        <f>IFERROR(VLOOKUP(CONCATENATE($B1192,"_",F$3),materiali!$C:$K,5,0),"")</f>
        <v/>
      </c>
      <c r="G1192" s="85" t="str">
        <f>IFERROR(VLOOKUP(CONCATENATE($B1192,"_",G$3),materiali!$C:$K,6,0),"")</f>
        <v/>
      </c>
      <c r="H1192" s="86"/>
      <c r="I1192" s="84" t="str">
        <f>IFERROR(VLOOKUP(CONCATENATE($B1192,"_",I$3),materiali!$C:$K,5,0),"")</f>
        <v/>
      </c>
      <c r="J1192" s="85" t="str">
        <f>IFERROR(VLOOKUP(CONCATENATE($B1192,"_",J$3),materiali!$C:$K,6,0),"")</f>
        <v/>
      </c>
      <c r="K1192" s="86"/>
      <c r="L1192" s="84" t="str">
        <f>IFERROR(VLOOKUP(CONCATENATE($B1192,"_",L$3),materiali!$C:$K,5,0),"")</f>
        <v/>
      </c>
      <c r="M1192" s="85" t="str">
        <f>IFERROR(VLOOKUP(CONCATENATE($B1192,"_",M$3),materiali!$C:$K,6,0),"")</f>
        <v/>
      </c>
      <c r="N1192" s="86"/>
      <c r="O1192" s="84" t="str">
        <f>IFERROR(VLOOKUP(CONCATENATE($B1192,"_",O$3),materiali!$C:$K,5,0),"")</f>
        <v/>
      </c>
      <c r="P1192" s="85" t="str">
        <f>IFERROR(VLOOKUP(CONCATENATE($B1192,"_",P$3),materiali!$C:$K,6,0),"")</f>
        <v/>
      </c>
      <c r="Q1192" s="86"/>
      <c r="R1192" s="84" t="str">
        <f>IFERROR(VLOOKUP(CONCATENATE($B1192,"_",R$3),materiali!$C:$K,5,0),"")</f>
        <v/>
      </c>
      <c r="S1192" s="85" t="str">
        <f>IFERROR(VLOOKUP(CONCATENATE($B1192,"_",S$3),materiali!$C:$K,6,0),"")</f>
        <v/>
      </c>
      <c r="T1192" s="86"/>
      <c r="U1192" s="31"/>
      <c r="AD1192" s="97"/>
    </row>
    <row r="1193" spans="1:30" ht="35.1" hidden="1" customHeight="1" x14ac:dyDescent="0.25">
      <c r="A1193" s="83"/>
      <c r="B1193" s="7"/>
      <c r="C1193" s="8"/>
      <c r="D1193" s="8"/>
      <c r="E1193" s="60"/>
      <c r="F1193" s="84" t="str">
        <f>IFERROR(VLOOKUP(CONCATENATE($B1193,"_",F$3),materiali!$C:$K,5,0),"")</f>
        <v/>
      </c>
      <c r="G1193" s="85" t="str">
        <f>IFERROR(VLOOKUP(CONCATENATE($B1193,"_",G$3),materiali!$C:$K,6,0),"")</f>
        <v/>
      </c>
      <c r="H1193" s="86"/>
      <c r="I1193" s="84" t="str">
        <f>IFERROR(VLOOKUP(CONCATENATE($B1193,"_",I$3),materiali!$C:$K,5,0),"")</f>
        <v/>
      </c>
      <c r="J1193" s="85" t="str">
        <f>IFERROR(VLOOKUP(CONCATENATE($B1193,"_",J$3),materiali!$C:$K,6,0),"")</f>
        <v/>
      </c>
      <c r="K1193" s="86"/>
      <c r="L1193" s="84" t="str">
        <f>IFERROR(VLOOKUP(CONCATENATE($B1193,"_",L$3),materiali!$C:$K,5,0),"")</f>
        <v/>
      </c>
      <c r="M1193" s="85" t="str">
        <f>IFERROR(VLOOKUP(CONCATENATE($B1193,"_",M$3),materiali!$C:$K,6,0),"")</f>
        <v/>
      </c>
      <c r="N1193" s="86"/>
      <c r="O1193" s="84" t="str">
        <f>IFERROR(VLOOKUP(CONCATENATE($B1193,"_",O$3),materiali!$C:$K,5,0),"")</f>
        <v/>
      </c>
      <c r="P1193" s="85" t="str">
        <f>IFERROR(VLOOKUP(CONCATENATE($B1193,"_",P$3),materiali!$C:$K,6,0),"")</f>
        <v/>
      </c>
      <c r="Q1193" s="86"/>
      <c r="R1193" s="84" t="str">
        <f>IFERROR(VLOOKUP(CONCATENATE($B1193,"_",R$3),materiali!$C:$K,5,0),"")</f>
        <v/>
      </c>
      <c r="S1193" s="85" t="str">
        <f>IFERROR(VLOOKUP(CONCATENATE($B1193,"_",S$3),materiali!$C:$K,6,0),"")</f>
        <v/>
      </c>
      <c r="T1193" s="86"/>
      <c r="U1193" s="31"/>
      <c r="AD1193" s="97"/>
    </row>
    <row r="1194" spans="1:30" ht="35.1" hidden="1" customHeight="1" x14ac:dyDescent="0.25">
      <c r="A1194" s="83"/>
      <c r="B1194" s="7"/>
      <c r="C1194" s="8"/>
      <c r="D1194" s="8"/>
      <c r="E1194" s="60"/>
      <c r="F1194" s="84" t="str">
        <f>IFERROR(VLOOKUP(CONCATENATE($B1194,"_",F$3),materiali!$C:$K,5,0),"")</f>
        <v/>
      </c>
      <c r="G1194" s="85" t="str">
        <f>IFERROR(VLOOKUP(CONCATENATE($B1194,"_",G$3),materiali!$C:$K,6,0),"")</f>
        <v/>
      </c>
      <c r="H1194" s="86"/>
      <c r="I1194" s="84" t="str">
        <f>IFERROR(VLOOKUP(CONCATENATE($B1194,"_",I$3),materiali!$C:$K,5,0),"")</f>
        <v/>
      </c>
      <c r="J1194" s="85" t="str">
        <f>IFERROR(VLOOKUP(CONCATENATE($B1194,"_",J$3),materiali!$C:$K,6,0),"")</f>
        <v/>
      </c>
      <c r="K1194" s="86"/>
      <c r="L1194" s="84" t="str">
        <f>IFERROR(VLOOKUP(CONCATENATE($B1194,"_",L$3),materiali!$C:$K,5,0),"")</f>
        <v/>
      </c>
      <c r="M1194" s="85" t="str">
        <f>IFERROR(VLOOKUP(CONCATENATE($B1194,"_",M$3),materiali!$C:$K,6,0),"")</f>
        <v/>
      </c>
      <c r="N1194" s="86"/>
      <c r="O1194" s="84" t="str">
        <f>IFERROR(VLOOKUP(CONCATENATE($B1194,"_",O$3),materiali!$C:$K,5,0),"")</f>
        <v/>
      </c>
      <c r="P1194" s="85" t="str">
        <f>IFERROR(VLOOKUP(CONCATENATE($B1194,"_",P$3),materiali!$C:$K,6,0),"")</f>
        <v/>
      </c>
      <c r="Q1194" s="86"/>
      <c r="R1194" s="84" t="str">
        <f>IFERROR(VLOOKUP(CONCATENATE($B1194,"_",R$3),materiali!$C:$K,5,0),"")</f>
        <v/>
      </c>
      <c r="S1194" s="85" t="str">
        <f>IFERROR(VLOOKUP(CONCATENATE($B1194,"_",S$3),materiali!$C:$K,6,0),"")</f>
        <v/>
      </c>
      <c r="T1194" s="86"/>
      <c r="U1194" s="31"/>
      <c r="AD1194" s="97"/>
    </row>
    <row r="1195" spans="1:30" ht="35.1" hidden="1" customHeight="1" x14ac:dyDescent="0.25">
      <c r="A1195" s="83"/>
      <c r="B1195" s="7"/>
      <c r="C1195" s="8"/>
      <c r="D1195" s="8"/>
      <c r="E1195" s="60"/>
      <c r="F1195" s="84" t="str">
        <f>IFERROR(VLOOKUP(CONCATENATE($B1195,"_",F$3),materiali!$C:$K,5,0),"")</f>
        <v/>
      </c>
      <c r="G1195" s="85" t="str">
        <f>IFERROR(VLOOKUP(CONCATENATE($B1195,"_",G$3),materiali!$C:$K,6,0),"")</f>
        <v/>
      </c>
      <c r="H1195" s="86"/>
      <c r="I1195" s="84" t="str">
        <f>IFERROR(VLOOKUP(CONCATENATE($B1195,"_",I$3),materiali!$C:$K,5,0),"")</f>
        <v/>
      </c>
      <c r="J1195" s="85" t="str">
        <f>IFERROR(VLOOKUP(CONCATENATE($B1195,"_",J$3),materiali!$C:$K,6,0),"")</f>
        <v/>
      </c>
      <c r="K1195" s="86"/>
      <c r="L1195" s="84" t="str">
        <f>IFERROR(VLOOKUP(CONCATENATE($B1195,"_",L$3),materiali!$C:$K,5,0),"")</f>
        <v/>
      </c>
      <c r="M1195" s="85" t="str">
        <f>IFERROR(VLOOKUP(CONCATENATE($B1195,"_",M$3),materiali!$C:$K,6,0),"")</f>
        <v/>
      </c>
      <c r="N1195" s="86"/>
      <c r="O1195" s="84" t="str">
        <f>IFERROR(VLOOKUP(CONCATENATE($B1195,"_",O$3),materiali!$C:$K,5,0),"")</f>
        <v/>
      </c>
      <c r="P1195" s="85" t="str">
        <f>IFERROR(VLOOKUP(CONCATENATE($B1195,"_",P$3),materiali!$C:$K,6,0),"")</f>
        <v/>
      </c>
      <c r="Q1195" s="86"/>
      <c r="R1195" s="84" t="str">
        <f>IFERROR(VLOOKUP(CONCATENATE($B1195,"_",R$3),materiali!$C:$K,5,0),"")</f>
        <v/>
      </c>
      <c r="S1195" s="85" t="str">
        <f>IFERROR(VLOOKUP(CONCATENATE($B1195,"_",S$3),materiali!$C:$K,6,0),"")</f>
        <v/>
      </c>
      <c r="T1195" s="86"/>
      <c r="U1195" s="31"/>
      <c r="AD1195" s="97"/>
    </row>
    <row r="1196" spans="1:30" ht="35.1" hidden="1" customHeight="1" x14ac:dyDescent="0.25">
      <c r="A1196" s="83"/>
      <c r="B1196" s="7"/>
      <c r="C1196" s="8"/>
      <c r="D1196" s="8"/>
      <c r="E1196" s="60"/>
      <c r="F1196" s="84" t="str">
        <f>IFERROR(VLOOKUP(CONCATENATE($B1196,"_",F$3),materiali!$C:$K,5,0),"")</f>
        <v/>
      </c>
      <c r="G1196" s="85" t="str">
        <f>IFERROR(VLOOKUP(CONCATENATE($B1196,"_",G$3),materiali!$C:$K,6,0),"")</f>
        <v/>
      </c>
      <c r="H1196" s="86"/>
      <c r="I1196" s="84" t="str">
        <f>IFERROR(VLOOKUP(CONCATENATE($B1196,"_",I$3),materiali!$C:$K,5,0),"")</f>
        <v/>
      </c>
      <c r="J1196" s="85" t="str">
        <f>IFERROR(VLOOKUP(CONCATENATE($B1196,"_",J$3),materiali!$C:$K,6,0),"")</f>
        <v/>
      </c>
      <c r="K1196" s="86"/>
      <c r="L1196" s="84" t="str">
        <f>IFERROR(VLOOKUP(CONCATENATE($B1196,"_",L$3),materiali!$C:$K,5,0),"")</f>
        <v/>
      </c>
      <c r="M1196" s="85" t="str">
        <f>IFERROR(VLOOKUP(CONCATENATE($B1196,"_",M$3),materiali!$C:$K,6,0),"")</f>
        <v/>
      </c>
      <c r="N1196" s="86"/>
      <c r="O1196" s="84" t="str">
        <f>IFERROR(VLOOKUP(CONCATENATE($B1196,"_",O$3),materiali!$C:$K,5,0),"")</f>
        <v/>
      </c>
      <c r="P1196" s="85" t="str">
        <f>IFERROR(VLOOKUP(CONCATENATE($B1196,"_",P$3),materiali!$C:$K,6,0),"")</f>
        <v/>
      </c>
      <c r="Q1196" s="86"/>
      <c r="R1196" s="84" t="str">
        <f>IFERROR(VLOOKUP(CONCATENATE($B1196,"_",R$3),materiali!$C:$K,5,0),"")</f>
        <v/>
      </c>
      <c r="S1196" s="85" t="str">
        <f>IFERROR(VLOOKUP(CONCATENATE($B1196,"_",S$3),materiali!$C:$K,6,0),"")</f>
        <v/>
      </c>
      <c r="T1196" s="86"/>
      <c r="U1196" s="31"/>
      <c r="AD1196" s="97"/>
    </row>
    <row r="1197" spans="1:30" ht="35.1" hidden="1" customHeight="1" x14ac:dyDescent="0.25">
      <c r="A1197" s="83"/>
      <c r="B1197" s="7"/>
      <c r="C1197" s="8"/>
      <c r="D1197" s="8"/>
      <c r="E1197" s="60"/>
      <c r="F1197" s="84" t="str">
        <f>IFERROR(VLOOKUP(CONCATENATE($B1197,"_",F$3),materiali!$C:$K,5,0),"")</f>
        <v/>
      </c>
      <c r="G1197" s="85" t="str">
        <f>IFERROR(VLOOKUP(CONCATENATE($B1197,"_",G$3),materiali!$C:$K,6,0),"")</f>
        <v/>
      </c>
      <c r="H1197" s="86"/>
      <c r="I1197" s="84" t="str">
        <f>IFERROR(VLOOKUP(CONCATENATE($B1197,"_",I$3),materiali!$C:$K,5,0),"")</f>
        <v/>
      </c>
      <c r="J1197" s="85" t="str">
        <f>IFERROR(VLOOKUP(CONCATENATE($B1197,"_",J$3),materiali!$C:$K,6,0),"")</f>
        <v/>
      </c>
      <c r="K1197" s="86"/>
      <c r="L1197" s="84" t="str">
        <f>IFERROR(VLOOKUP(CONCATENATE($B1197,"_",L$3),materiali!$C:$K,5,0),"")</f>
        <v/>
      </c>
      <c r="M1197" s="85" t="str">
        <f>IFERROR(VLOOKUP(CONCATENATE($B1197,"_",M$3),materiali!$C:$K,6,0),"")</f>
        <v/>
      </c>
      <c r="N1197" s="86"/>
      <c r="O1197" s="84" t="str">
        <f>IFERROR(VLOOKUP(CONCATENATE($B1197,"_",O$3),materiali!$C:$K,5,0),"")</f>
        <v/>
      </c>
      <c r="P1197" s="85" t="str">
        <f>IFERROR(VLOOKUP(CONCATENATE($B1197,"_",P$3),materiali!$C:$K,6,0),"")</f>
        <v/>
      </c>
      <c r="Q1197" s="86"/>
      <c r="R1197" s="84" t="str">
        <f>IFERROR(VLOOKUP(CONCATENATE($B1197,"_",R$3),materiali!$C:$K,5,0),"")</f>
        <v/>
      </c>
      <c r="S1197" s="85" t="str">
        <f>IFERROR(VLOOKUP(CONCATENATE($B1197,"_",S$3),materiali!$C:$K,6,0),"")</f>
        <v/>
      </c>
      <c r="T1197" s="86"/>
      <c r="U1197" s="31"/>
      <c r="AD1197" s="97"/>
    </row>
    <row r="1198" spans="1:30" ht="35.1" hidden="1" customHeight="1" x14ac:dyDescent="0.25">
      <c r="A1198" s="83"/>
      <c r="B1198" s="7"/>
      <c r="C1198" s="8"/>
      <c r="D1198" s="8"/>
      <c r="E1198" s="60"/>
      <c r="F1198" s="84" t="str">
        <f>IFERROR(VLOOKUP(CONCATENATE($B1198,"_",F$3),materiali!$C:$K,5,0),"")</f>
        <v/>
      </c>
      <c r="G1198" s="85" t="str">
        <f>IFERROR(VLOOKUP(CONCATENATE($B1198,"_",G$3),materiali!$C:$K,6,0),"")</f>
        <v/>
      </c>
      <c r="H1198" s="86"/>
      <c r="I1198" s="84" t="str">
        <f>IFERROR(VLOOKUP(CONCATENATE($B1198,"_",I$3),materiali!$C:$K,5,0),"")</f>
        <v/>
      </c>
      <c r="J1198" s="85" t="str">
        <f>IFERROR(VLOOKUP(CONCATENATE($B1198,"_",J$3),materiali!$C:$K,6,0),"")</f>
        <v/>
      </c>
      <c r="K1198" s="86"/>
      <c r="L1198" s="84" t="str">
        <f>IFERROR(VLOOKUP(CONCATENATE($B1198,"_",L$3),materiali!$C:$K,5,0),"")</f>
        <v/>
      </c>
      <c r="M1198" s="85" t="str">
        <f>IFERROR(VLOOKUP(CONCATENATE($B1198,"_",M$3),materiali!$C:$K,6,0),"")</f>
        <v/>
      </c>
      <c r="N1198" s="86"/>
      <c r="O1198" s="84" t="str">
        <f>IFERROR(VLOOKUP(CONCATENATE($B1198,"_",O$3),materiali!$C:$K,5,0),"")</f>
        <v/>
      </c>
      <c r="P1198" s="85" t="str">
        <f>IFERROR(VLOOKUP(CONCATENATE($B1198,"_",P$3),materiali!$C:$K,6,0),"")</f>
        <v/>
      </c>
      <c r="Q1198" s="86"/>
      <c r="R1198" s="84" t="str">
        <f>IFERROR(VLOOKUP(CONCATENATE($B1198,"_",R$3),materiali!$C:$K,5,0),"")</f>
        <v/>
      </c>
      <c r="S1198" s="85" t="str">
        <f>IFERROR(VLOOKUP(CONCATENATE($B1198,"_",S$3),materiali!$C:$K,6,0),"")</f>
        <v/>
      </c>
      <c r="T1198" s="86"/>
      <c r="U1198" s="31"/>
      <c r="AD1198" s="97"/>
    </row>
    <row r="1199" spans="1:30" ht="35.1" hidden="1" customHeight="1" x14ac:dyDescent="0.25">
      <c r="A1199" s="83"/>
      <c r="B1199" s="7"/>
      <c r="C1199" s="8"/>
      <c r="D1199" s="8"/>
      <c r="E1199" s="60"/>
      <c r="F1199" s="84" t="str">
        <f>IFERROR(VLOOKUP(CONCATENATE($B1199,"_",F$3),materiali!$C:$K,5,0),"")</f>
        <v/>
      </c>
      <c r="G1199" s="85" t="str">
        <f>IFERROR(VLOOKUP(CONCATENATE($B1199,"_",G$3),materiali!$C:$K,6,0),"")</f>
        <v/>
      </c>
      <c r="H1199" s="86"/>
      <c r="I1199" s="84" t="str">
        <f>IFERROR(VLOOKUP(CONCATENATE($B1199,"_",I$3),materiali!$C:$K,5,0),"")</f>
        <v/>
      </c>
      <c r="J1199" s="85" t="str">
        <f>IFERROR(VLOOKUP(CONCATENATE($B1199,"_",J$3),materiali!$C:$K,6,0),"")</f>
        <v/>
      </c>
      <c r="K1199" s="86"/>
      <c r="L1199" s="84" t="str">
        <f>IFERROR(VLOOKUP(CONCATENATE($B1199,"_",L$3),materiali!$C:$K,5,0),"")</f>
        <v/>
      </c>
      <c r="M1199" s="85" t="str">
        <f>IFERROR(VLOOKUP(CONCATENATE($B1199,"_",M$3),materiali!$C:$K,6,0),"")</f>
        <v/>
      </c>
      <c r="N1199" s="86"/>
      <c r="O1199" s="84" t="str">
        <f>IFERROR(VLOOKUP(CONCATENATE($B1199,"_",O$3),materiali!$C:$K,5,0),"")</f>
        <v/>
      </c>
      <c r="P1199" s="85" t="str">
        <f>IFERROR(VLOOKUP(CONCATENATE($B1199,"_",P$3),materiali!$C:$K,6,0),"")</f>
        <v/>
      </c>
      <c r="Q1199" s="86"/>
      <c r="R1199" s="84" t="str">
        <f>IFERROR(VLOOKUP(CONCATENATE($B1199,"_",R$3),materiali!$C:$K,5,0),"")</f>
        <v/>
      </c>
      <c r="S1199" s="85" t="str">
        <f>IFERROR(VLOOKUP(CONCATENATE($B1199,"_",S$3),materiali!$C:$K,6,0),"")</f>
        <v/>
      </c>
      <c r="T1199" s="86"/>
      <c r="U1199" s="31"/>
      <c r="AD1199" s="97"/>
    </row>
    <row r="1200" spans="1:30" ht="35.1" hidden="1" customHeight="1" x14ac:dyDescent="0.25">
      <c r="A1200" s="83"/>
      <c r="B1200" s="7"/>
      <c r="C1200" s="8"/>
      <c r="D1200" s="8"/>
      <c r="E1200" s="60"/>
      <c r="F1200" s="84" t="str">
        <f>IFERROR(VLOOKUP(CONCATENATE($B1200,"_",F$3),materiali!$C:$K,5,0),"")</f>
        <v/>
      </c>
      <c r="G1200" s="85" t="str">
        <f>IFERROR(VLOOKUP(CONCATENATE($B1200,"_",G$3),materiali!$C:$K,6,0),"")</f>
        <v/>
      </c>
      <c r="H1200" s="86"/>
      <c r="I1200" s="84" t="str">
        <f>IFERROR(VLOOKUP(CONCATENATE($B1200,"_",I$3),materiali!$C:$K,5,0),"")</f>
        <v/>
      </c>
      <c r="J1200" s="85" t="str">
        <f>IFERROR(VLOOKUP(CONCATENATE($B1200,"_",J$3),materiali!$C:$K,6,0),"")</f>
        <v/>
      </c>
      <c r="K1200" s="86"/>
      <c r="L1200" s="84" t="str">
        <f>IFERROR(VLOOKUP(CONCATENATE($B1200,"_",L$3),materiali!$C:$K,5,0),"")</f>
        <v/>
      </c>
      <c r="M1200" s="85" t="str">
        <f>IFERROR(VLOOKUP(CONCATENATE($B1200,"_",M$3),materiali!$C:$K,6,0),"")</f>
        <v/>
      </c>
      <c r="N1200" s="86"/>
      <c r="O1200" s="84" t="str">
        <f>IFERROR(VLOOKUP(CONCATENATE($B1200,"_",O$3),materiali!$C:$K,5,0),"")</f>
        <v/>
      </c>
      <c r="P1200" s="85" t="str">
        <f>IFERROR(VLOOKUP(CONCATENATE($B1200,"_",P$3),materiali!$C:$K,6,0),"")</f>
        <v/>
      </c>
      <c r="Q1200" s="86"/>
      <c r="R1200" s="84" t="str">
        <f>IFERROR(VLOOKUP(CONCATENATE($B1200,"_",R$3),materiali!$C:$K,5,0),"")</f>
        <v/>
      </c>
      <c r="S1200" s="85" t="str">
        <f>IFERROR(VLOOKUP(CONCATENATE($B1200,"_",S$3),materiali!$C:$K,6,0),"")</f>
        <v/>
      </c>
      <c r="T1200" s="86"/>
      <c r="U1200" s="31"/>
      <c r="AD1200" s="97"/>
    </row>
    <row r="1201" spans="1:30" ht="35.1" hidden="1" customHeight="1" x14ac:dyDescent="0.25">
      <c r="A1201" s="83"/>
      <c r="B1201" s="7"/>
      <c r="C1201" s="8"/>
      <c r="D1201" s="8"/>
      <c r="E1201" s="60"/>
      <c r="F1201" s="84" t="str">
        <f>IFERROR(VLOOKUP(CONCATENATE($B1201,"_",F$3),materiali!$C:$K,5,0),"")</f>
        <v/>
      </c>
      <c r="G1201" s="85" t="str">
        <f>IFERROR(VLOOKUP(CONCATENATE($B1201,"_",G$3),materiali!$C:$K,6,0),"")</f>
        <v/>
      </c>
      <c r="H1201" s="86"/>
      <c r="I1201" s="84" t="str">
        <f>IFERROR(VLOOKUP(CONCATENATE($B1201,"_",I$3),materiali!$C:$K,5,0),"")</f>
        <v/>
      </c>
      <c r="J1201" s="85" t="str">
        <f>IFERROR(VLOOKUP(CONCATENATE($B1201,"_",J$3),materiali!$C:$K,6,0),"")</f>
        <v/>
      </c>
      <c r="K1201" s="86"/>
      <c r="L1201" s="84" t="str">
        <f>IFERROR(VLOOKUP(CONCATENATE($B1201,"_",L$3),materiali!$C:$K,5,0),"")</f>
        <v/>
      </c>
      <c r="M1201" s="85" t="str">
        <f>IFERROR(VLOOKUP(CONCATENATE($B1201,"_",M$3),materiali!$C:$K,6,0),"")</f>
        <v/>
      </c>
      <c r="N1201" s="86"/>
      <c r="O1201" s="84" t="str">
        <f>IFERROR(VLOOKUP(CONCATENATE($B1201,"_",O$3),materiali!$C:$K,5,0),"")</f>
        <v/>
      </c>
      <c r="P1201" s="85" t="str">
        <f>IFERROR(VLOOKUP(CONCATENATE($B1201,"_",P$3),materiali!$C:$K,6,0),"")</f>
        <v/>
      </c>
      <c r="Q1201" s="86"/>
      <c r="R1201" s="84" t="str">
        <f>IFERROR(VLOOKUP(CONCATENATE($B1201,"_",R$3),materiali!$C:$K,5,0),"")</f>
        <v/>
      </c>
      <c r="S1201" s="85" t="str">
        <f>IFERROR(VLOOKUP(CONCATENATE($B1201,"_",S$3),materiali!$C:$K,6,0),"")</f>
        <v/>
      </c>
      <c r="T1201" s="86"/>
      <c r="U1201" s="31"/>
      <c r="AD1201" s="97"/>
    </row>
    <row r="1202" spans="1:30" ht="35.1" hidden="1" customHeight="1" x14ac:dyDescent="0.25">
      <c r="A1202" s="83"/>
      <c r="B1202" s="7"/>
      <c r="C1202" s="8"/>
      <c r="D1202" s="8"/>
      <c r="E1202" s="60"/>
      <c r="F1202" s="84" t="str">
        <f>IFERROR(VLOOKUP(CONCATENATE($B1202,"_",F$3),materiali!$C:$K,5,0),"")</f>
        <v/>
      </c>
      <c r="G1202" s="85" t="str">
        <f>IFERROR(VLOOKUP(CONCATENATE($B1202,"_",G$3),materiali!$C:$K,6,0),"")</f>
        <v/>
      </c>
      <c r="H1202" s="86"/>
      <c r="I1202" s="84" t="str">
        <f>IFERROR(VLOOKUP(CONCATENATE($B1202,"_",I$3),materiali!$C:$K,5,0),"")</f>
        <v/>
      </c>
      <c r="J1202" s="85" t="str">
        <f>IFERROR(VLOOKUP(CONCATENATE($B1202,"_",J$3),materiali!$C:$K,6,0),"")</f>
        <v/>
      </c>
      <c r="K1202" s="86"/>
      <c r="L1202" s="84" t="str">
        <f>IFERROR(VLOOKUP(CONCATENATE($B1202,"_",L$3),materiali!$C:$K,5,0),"")</f>
        <v/>
      </c>
      <c r="M1202" s="85" t="str">
        <f>IFERROR(VLOOKUP(CONCATENATE($B1202,"_",M$3),materiali!$C:$K,6,0),"")</f>
        <v/>
      </c>
      <c r="N1202" s="86"/>
      <c r="O1202" s="84" t="str">
        <f>IFERROR(VLOOKUP(CONCATENATE($B1202,"_",O$3),materiali!$C:$K,5,0),"")</f>
        <v/>
      </c>
      <c r="P1202" s="85" t="str">
        <f>IFERROR(VLOOKUP(CONCATENATE($B1202,"_",P$3),materiali!$C:$K,6,0),"")</f>
        <v/>
      </c>
      <c r="Q1202" s="86"/>
      <c r="R1202" s="84" t="str">
        <f>IFERROR(VLOOKUP(CONCATENATE($B1202,"_",R$3),materiali!$C:$K,5,0),"")</f>
        <v/>
      </c>
      <c r="S1202" s="85" t="str">
        <f>IFERROR(VLOOKUP(CONCATENATE($B1202,"_",S$3),materiali!$C:$K,6,0),"")</f>
        <v/>
      </c>
      <c r="T1202" s="86"/>
      <c r="U1202" s="31"/>
      <c r="AD1202" s="97"/>
    </row>
    <row r="1203" spans="1:30" ht="35.1" hidden="1" customHeight="1" x14ac:dyDescent="0.25">
      <c r="A1203" s="83"/>
      <c r="B1203" s="7"/>
      <c r="C1203" s="8"/>
      <c r="D1203" s="8"/>
      <c r="E1203" s="60"/>
      <c r="F1203" s="84" t="str">
        <f>IFERROR(VLOOKUP(CONCATENATE($B1203,"_",F$3),materiali!$C:$K,5,0),"")</f>
        <v/>
      </c>
      <c r="G1203" s="85" t="str">
        <f>IFERROR(VLOOKUP(CONCATENATE($B1203,"_",G$3),materiali!$C:$K,6,0),"")</f>
        <v/>
      </c>
      <c r="H1203" s="86"/>
      <c r="I1203" s="84" t="str">
        <f>IFERROR(VLOOKUP(CONCATENATE($B1203,"_",I$3),materiali!$C:$K,5,0),"")</f>
        <v/>
      </c>
      <c r="J1203" s="85" t="str">
        <f>IFERROR(VLOOKUP(CONCATENATE($B1203,"_",J$3),materiali!$C:$K,6,0),"")</f>
        <v/>
      </c>
      <c r="K1203" s="86"/>
      <c r="L1203" s="84" t="str">
        <f>IFERROR(VLOOKUP(CONCATENATE($B1203,"_",L$3),materiali!$C:$K,5,0),"")</f>
        <v/>
      </c>
      <c r="M1203" s="85" t="str">
        <f>IFERROR(VLOOKUP(CONCATENATE($B1203,"_",M$3),materiali!$C:$K,6,0),"")</f>
        <v/>
      </c>
      <c r="N1203" s="86"/>
      <c r="O1203" s="84" t="str">
        <f>IFERROR(VLOOKUP(CONCATENATE($B1203,"_",O$3),materiali!$C:$K,5,0),"")</f>
        <v/>
      </c>
      <c r="P1203" s="85" t="str">
        <f>IFERROR(VLOOKUP(CONCATENATE($B1203,"_",P$3),materiali!$C:$K,6,0),"")</f>
        <v/>
      </c>
      <c r="Q1203" s="86"/>
      <c r="R1203" s="84" t="str">
        <f>IFERROR(VLOOKUP(CONCATENATE($B1203,"_",R$3),materiali!$C:$K,5,0),"")</f>
        <v/>
      </c>
      <c r="S1203" s="85" t="str">
        <f>IFERROR(VLOOKUP(CONCATENATE($B1203,"_",S$3),materiali!$C:$K,6,0),"")</f>
        <v/>
      </c>
      <c r="T1203" s="86"/>
      <c r="U1203" s="31"/>
      <c r="AD1203" s="97"/>
    </row>
    <row r="1204" spans="1:30" ht="35.1" hidden="1" customHeight="1" x14ac:dyDescent="0.25">
      <c r="A1204" s="83"/>
      <c r="B1204" s="7"/>
      <c r="C1204" s="8"/>
      <c r="D1204" s="8"/>
      <c r="E1204" s="60"/>
      <c r="F1204" s="84" t="str">
        <f>IFERROR(VLOOKUP(CONCATENATE($B1204,"_",F$3),materiali!$C:$K,5,0),"")</f>
        <v/>
      </c>
      <c r="G1204" s="85" t="str">
        <f>IFERROR(VLOOKUP(CONCATENATE($B1204,"_",G$3),materiali!$C:$K,6,0),"")</f>
        <v/>
      </c>
      <c r="H1204" s="86"/>
      <c r="I1204" s="84" t="str">
        <f>IFERROR(VLOOKUP(CONCATENATE($B1204,"_",I$3),materiali!$C:$K,5,0),"")</f>
        <v/>
      </c>
      <c r="J1204" s="85" t="str">
        <f>IFERROR(VLOOKUP(CONCATENATE($B1204,"_",J$3),materiali!$C:$K,6,0),"")</f>
        <v/>
      </c>
      <c r="K1204" s="86"/>
      <c r="L1204" s="84" t="str">
        <f>IFERROR(VLOOKUP(CONCATENATE($B1204,"_",L$3),materiali!$C:$K,5,0),"")</f>
        <v/>
      </c>
      <c r="M1204" s="85" t="str">
        <f>IFERROR(VLOOKUP(CONCATENATE($B1204,"_",M$3),materiali!$C:$K,6,0),"")</f>
        <v/>
      </c>
      <c r="N1204" s="86"/>
      <c r="O1204" s="84" t="str">
        <f>IFERROR(VLOOKUP(CONCATENATE($B1204,"_",O$3),materiali!$C:$K,5,0),"")</f>
        <v/>
      </c>
      <c r="P1204" s="85" t="str">
        <f>IFERROR(VLOOKUP(CONCATENATE($B1204,"_",P$3),materiali!$C:$K,6,0),"")</f>
        <v/>
      </c>
      <c r="Q1204" s="86"/>
      <c r="R1204" s="84" t="str">
        <f>IFERROR(VLOOKUP(CONCATENATE($B1204,"_",R$3),materiali!$C:$K,5,0),"")</f>
        <v/>
      </c>
      <c r="S1204" s="85" t="str">
        <f>IFERROR(VLOOKUP(CONCATENATE($B1204,"_",S$3),materiali!$C:$K,6,0),"")</f>
        <v/>
      </c>
      <c r="T1204" s="86"/>
      <c r="U1204" s="31"/>
      <c r="AD1204" s="97"/>
    </row>
    <row r="1205" spans="1:30" ht="35.1" hidden="1" customHeight="1" x14ac:dyDescent="0.25">
      <c r="A1205" s="83"/>
      <c r="B1205" s="7"/>
      <c r="C1205" s="8"/>
      <c r="D1205" s="8"/>
      <c r="E1205" s="60"/>
      <c r="F1205" s="84" t="str">
        <f>IFERROR(VLOOKUP(CONCATENATE($B1205,"_",F$3),materiali!$C:$K,5,0),"")</f>
        <v/>
      </c>
      <c r="G1205" s="85" t="str">
        <f>IFERROR(VLOOKUP(CONCATENATE($B1205,"_",G$3),materiali!$C:$K,6,0),"")</f>
        <v/>
      </c>
      <c r="H1205" s="86"/>
      <c r="I1205" s="84" t="str">
        <f>IFERROR(VLOOKUP(CONCATENATE($B1205,"_",I$3),materiali!$C:$K,5,0),"")</f>
        <v/>
      </c>
      <c r="J1205" s="85" t="str">
        <f>IFERROR(VLOOKUP(CONCATENATE($B1205,"_",J$3),materiali!$C:$K,6,0),"")</f>
        <v/>
      </c>
      <c r="K1205" s="86"/>
      <c r="L1205" s="84" t="str">
        <f>IFERROR(VLOOKUP(CONCATENATE($B1205,"_",L$3),materiali!$C:$K,5,0),"")</f>
        <v/>
      </c>
      <c r="M1205" s="85" t="str">
        <f>IFERROR(VLOOKUP(CONCATENATE($B1205,"_",M$3),materiali!$C:$K,6,0),"")</f>
        <v/>
      </c>
      <c r="N1205" s="86"/>
      <c r="O1205" s="84" t="str">
        <f>IFERROR(VLOOKUP(CONCATENATE($B1205,"_",O$3),materiali!$C:$K,5,0),"")</f>
        <v/>
      </c>
      <c r="P1205" s="85" t="str">
        <f>IFERROR(VLOOKUP(CONCATENATE($B1205,"_",P$3),materiali!$C:$K,6,0),"")</f>
        <v/>
      </c>
      <c r="Q1205" s="86"/>
      <c r="R1205" s="84" t="str">
        <f>IFERROR(VLOOKUP(CONCATENATE($B1205,"_",R$3),materiali!$C:$K,5,0),"")</f>
        <v/>
      </c>
      <c r="S1205" s="85" t="str">
        <f>IFERROR(VLOOKUP(CONCATENATE($B1205,"_",S$3),materiali!$C:$K,6,0),"")</f>
        <v/>
      </c>
      <c r="T1205" s="86"/>
      <c r="U1205" s="31"/>
      <c r="AD1205" s="97"/>
    </row>
    <row r="1206" spans="1:30" ht="35.1" hidden="1" customHeight="1" x14ac:dyDescent="0.25">
      <c r="A1206" s="83"/>
      <c r="B1206" s="7"/>
      <c r="C1206" s="8"/>
      <c r="D1206" s="8"/>
      <c r="E1206" s="60"/>
      <c r="F1206" s="84" t="str">
        <f>IFERROR(VLOOKUP(CONCATENATE($B1206,"_",F$3),materiali!$C:$K,5,0),"")</f>
        <v/>
      </c>
      <c r="G1206" s="85" t="str">
        <f>IFERROR(VLOOKUP(CONCATENATE($B1206,"_",G$3),materiali!$C:$K,6,0),"")</f>
        <v/>
      </c>
      <c r="H1206" s="86"/>
      <c r="I1206" s="84" t="str">
        <f>IFERROR(VLOOKUP(CONCATENATE($B1206,"_",I$3),materiali!$C:$K,5,0),"")</f>
        <v/>
      </c>
      <c r="J1206" s="85" t="str">
        <f>IFERROR(VLOOKUP(CONCATENATE($B1206,"_",J$3),materiali!$C:$K,6,0),"")</f>
        <v/>
      </c>
      <c r="K1206" s="86"/>
      <c r="L1206" s="84" t="str">
        <f>IFERROR(VLOOKUP(CONCATENATE($B1206,"_",L$3),materiali!$C:$K,5,0),"")</f>
        <v/>
      </c>
      <c r="M1206" s="85" t="str">
        <f>IFERROR(VLOOKUP(CONCATENATE($B1206,"_",M$3),materiali!$C:$K,6,0),"")</f>
        <v/>
      </c>
      <c r="N1206" s="86"/>
      <c r="O1206" s="84" t="str">
        <f>IFERROR(VLOOKUP(CONCATENATE($B1206,"_",O$3),materiali!$C:$K,5,0),"")</f>
        <v/>
      </c>
      <c r="P1206" s="85" t="str">
        <f>IFERROR(VLOOKUP(CONCATENATE($B1206,"_",P$3),materiali!$C:$K,6,0),"")</f>
        <v/>
      </c>
      <c r="Q1206" s="86"/>
      <c r="R1206" s="84" t="str">
        <f>IFERROR(VLOOKUP(CONCATENATE($B1206,"_",R$3),materiali!$C:$K,5,0),"")</f>
        <v/>
      </c>
      <c r="S1206" s="85" t="str">
        <f>IFERROR(VLOOKUP(CONCATENATE($B1206,"_",S$3),materiali!$C:$K,6,0),"")</f>
        <v/>
      </c>
      <c r="T1206" s="86"/>
      <c r="U1206" s="31"/>
      <c r="AD1206" s="97"/>
    </row>
    <row r="1207" spans="1:30" ht="35.1" hidden="1" customHeight="1" x14ac:dyDescent="0.25">
      <c r="A1207" s="83"/>
      <c r="B1207" s="7"/>
      <c r="C1207" s="8"/>
      <c r="D1207" s="8"/>
      <c r="E1207" s="60"/>
      <c r="F1207" s="84" t="str">
        <f>IFERROR(VLOOKUP(CONCATENATE($B1207,"_",F$3),materiali!$C:$K,5,0),"")</f>
        <v/>
      </c>
      <c r="G1207" s="85" t="str">
        <f>IFERROR(VLOOKUP(CONCATENATE($B1207,"_",G$3),materiali!$C:$K,6,0),"")</f>
        <v/>
      </c>
      <c r="H1207" s="86"/>
      <c r="I1207" s="84" t="str">
        <f>IFERROR(VLOOKUP(CONCATENATE($B1207,"_",I$3),materiali!$C:$K,5,0),"")</f>
        <v/>
      </c>
      <c r="J1207" s="85" t="str">
        <f>IFERROR(VLOOKUP(CONCATENATE($B1207,"_",J$3),materiali!$C:$K,6,0),"")</f>
        <v/>
      </c>
      <c r="K1207" s="86"/>
      <c r="L1207" s="84" t="str">
        <f>IFERROR(VLOOKUP(CONCATENATE($B1207,"_",L$3),materiali!$C:$K,5,0),"")</f>
        <v/>
      </c>
      <c r="M1207" s="85" t="str">
        <f>IFERROR(VLOOKUP(CONCATENATE($B1207,"_",M$3),materiali!$C:$K,6,0),"")</f>
        <v/>
      </c>
      <c r="N1207" s="86"/>
      <c r="O1207" s="84" t="str">
        <f>IFERROR(VLOOKUP(CONCATENATE($B1207,"_",O$3),materiali!$C:$K,5,0),"")</f>
        <v/>
      </c>
      <c r="P1207" s="85" t="str">
        <f>IFERROR(VLOOKUP(CONCATENATE($B1207,"_",P$3),materiali!$C:$K,6,0),"")</f>
        <v/>
      </c>
      <c r="Q1207" s="86"/>
      <c r="R1207" s="84" t="str">
        <f>IFERROR(VLOOKUP(CONCATENATE($B1207,"_",R$3),materiali!$C:$K,5,0),"")</f>
        <v/>
      </c>
      <c r="S1207" s="85" t="str">
        <f>IFERROR(VLOOKUP(CONCATENATE($B1207,"_",S$3),materiali!$C:$K,6,0),"")</f>
        <v/>
      </c>
      <c r="T1207" s="86"/>
      <c r="U1207" s="31"/>
      <c r="AD1207" s="97"/>
    </row>
    <row r="1208" spans="1:30" ht="35.1" hidden="1" customHeight="1" x14ac:dyDescent="0.25">
      <c r="A1208" s="83"/>
      <c r="B1208" s="7"/>
      <c r="C1208" s="8"/>
      <c r="D1208" s="8"/>
      <c r="E1208" s="60"/>
      <c r="F1208" s="84" t="str">
        <f>IFERROR(VLOOKUP(CONCATENATE($B1208,"_",F$3),materiali!$C:$K,5,0),"")</f>
        <v/>
      </c>
      <c r="G1208" s="85" t="str">
        <f>IFERROR(VLOOKUP(CONCATENATE($B1208,"_",G$3),materiali!$C:$K,6,0),"")</f>
        <v/>
      </c>
      <c r="H1208" s="86"/>
      <c r="I1208" s="84" t="str">
        <f>IFERROR(VLOOKUP(CONCATENATE($B1208,"_",I$3),materiali!$C:$K,5,0),"")</f>
        <v/>
      </c>
      <c r="J1208" s="85" t="str">
        <f>IFERROR(VLOOKUP(CONCATENATE($B1208,"_",J$3),materiali!$C:$K,6,0),"")</f>
        <v/>
      </c>
      <c r="K1208" s="86"/>
      <c r="L1208" s="84" t="str">
        <f>IFERROR(VLOOKUP(CONCATENATE($B1208,"_",L$3),materiali!$C:$K,5,0),"")</f>
        <v/>
      </c>
      <c r="M1208" s="85" t="str">
        <f>IFERROR(VLOOKUP(CONCATENATE($B1208,"_",M$3),materiali!$C:$K,6,0),"")</f>
        <v/>
      </c>
      <c r="N1208" s="86"/>
      <c r="O1208" s="84" t="str">
        <f>IFERROR(VLOOKUP(CONCATENATE($B1208,"_",O$3),materiali!$C:$K,5,0),"")</f>
        <v/>
      </c>
      <c r="P1208" s="85" t="str">
        <f>IFERROR(VLOOKUP(CONCATENATE($B1208,"_",P$3),materiali!$C:$K,6,0),"")</f>
        <v/>
      </c>
      <c r="Q1208" s="86"/>
      <c r="R1208" s="84" t="str">
        <f>IFERROR(VLOOKUP(CONCATENATE($B1208,"_",R$3),materiali!$C:$K,5,0),"")</f>
        <v/>
      </c>
      <c r="S1208" s="85" t="str">
        <f>IFERROR(VLOOKUP(CONCATENATE($B1208,"_",S$3),materiali!$C:$K,6,0),"")</f>
        <v/>
      </c>
      <c r="T1208" s="86"/>
      <c r="U1208" s="31"/>
      <c r="AD1208" s="97"/>
    </row>
    <row r="1209" spans="1:30" ht="35.1" hidden="1" customHeight="1" x14ac:dyDescent="0.25">
      <c r="A1209" s="83"/>
      <c r="B1209" s="7"/>
      <c r="C1209" s="8"/>
      <c r="D1209" s="8"/>
      <c r="E1209" s="60"/>
      <c r="F1209" s="84" t="str">
        <f>IFERROR(VLOOKUP(CONCATENATE($B1209,"_",F$3),materiali!$C:$K,5,0),"")</f>
        <v/>
      </c>
      <c r="G1209" s="85" t="str">
        <f>IFERROR(VLOOKUP(CONCATENATE($B1209,"_",G$3),materiali!$C:$K,6,0),"")</f>
        <v/>
      </c>
      <c r="H1209" s="86"/>
      <c r="I1209" s="84" t="str">
        <f>IFERROR(VLOOKUP(CONCATENATE($B1209,"_",I$3),materiali!$C:$K,5,0),"")</f>
        <v/>
      </c>
      <c r="J1209" s="85" t="str">
        <f>IFERROR(VLOOKUP(CONCATENATE($B1209,"_",J$3),materiali!$C:$K,6,0),"")</f>
        <v/>
      </c>
      <c r="K1209" s="86"/>
      <c r="L1209" s="84" t="str">
        <f>IFERROR(VLOOKUP(CONCATENATE($B1209,"_",L$3),materiali!$C:$K,5,0),"")</f>
        <v/>
      </c>
      <c r="M1209" s="85" t="str">
        <f>IFERROR(VLOOKUP(CONCATENATE($B1209,"_",M$3),materiali!$C:$K,6,0),"")</f>
        <v/>
      </c>
      <c r="N1209" s="86"/>
      <c r="O1209" s="84" t="str">
        <f>IFERROR(VLOOKUP(CONCATENATE($B1209,"_",O$3),materiali!$C:$K,5,0),"")</f>
        <v/>
      </c>
      <c r="P1209" s="85" t="str">
        <f>IFERROR(VLOOKUP(CONCATENATE($B1209,"_",P$3),materiali!$C:$K,6,0),"")</f>
        <v/>
      </c>
      <c r="Q1209" s="86"/>
      <c r="R1209" s="84" t="str">
        <f>IFERROR(VLOOKUP(CONCATENATE($B1209,"_",R$3),materiali!$C:$K,5,0),"")</f>
        <v/>
      </c>
      <c r="S1209" s="85" t="str">
        <f>IFERROR(VLOOKUP(CONCATENATE($B1209,"_",S$3),materiali!$C:$K,6,0),"")</f>
        <v/>
      </c>
      <c r="T1209" s="86"/>
      <c r="U1209" s="31"/>
      <c r="AD1209" s="97"/>
    </row>
    <row r="1210" spans="1:30" ht="35.1" hidden="1" customHeight="1" x14ac:dyDescent="0.25">
      <c r="A1210" s="83"/>
      <c r="B1210" s="7"/>
      <c r="C1210" s="8"/>
      <c r="D1210" s="8"/>
      <c r="E1210" s="60"/>
      <c r="F1210" s="84" t="str">
        <f>IFERROR(VLOOKUP(CONCATENATE($B1210,"_",F$3),materiali!$C:$K,5,0),"")</f>
        <v/>
      </c>
      <c r="G1210" s="85" t="str">
        <f>IFERROR(VLOOKUP(CONCATENATE($B1210,"_",G$3),materiali!$C:$K,6,0),"")</f>
        <v/>
      </c>
      <c r="H1210" s="86"/>
      <c r="I1210" s="84" t="str">
        <f>IFERROR(VLOOKUP(CONCATENATE($B1210,"_",I$3),materiali!$C:$K,5,0),"")</f>
        <v/>
      </c>
      <c r="J1210" s="85" t="str">
        <f>IFERROR(VLOOKUP(CONCATENATE($B1210,"_",J$3),materiali!$C:$K,6,0),"")</f>
        <v/>
      </c>
      <c r="K1210" s="86"/>
      <c r="L1210" s="84" t="str">
        <f>IFERROR(VLOOKUP(CONCATENATE($B1210,"_",L$3),materiali!$C:$K,5,0),"")</f>
        <v/>
      </c>
      <c r="M1210" s="85" t="str">
        <f>IFERROR(VLOOKUP(CONCATENATE($B1210,"_",M$3),materiali!$C:$K,6,0),"")</f>
        <v/>
      </c>
      <c r="N1210" s="86"/>
      <c r="O1210" s="84" t="str">
        <f>IFERROR(VLOOKUP(CONCATENATE($B1210,"_",O$3),materiali!$C:$K,5,0),"")</f>
        <v/>
      </c>
      <c r="P1210" s="85" t="str">
        <f>IFERROR(VLOOKUP(CONCATENATE($B1210,"_",P$3),materiali!$C:$K,6,0),"")</f>
        <v/>
      </c>
      <c r="Q1210" s="86"/>
      <c r="R1210" s="84" t="str">
        <f>IFERROR(VLOOKUP(CONCATENATE($B1210,"_",R$3),materiali!$C:$K,5,0),"")</f>
        <v/>
      </c>
      <c r="S1210" s="85" t="str">
        <f>IFERROR(VLOOKUP(CONCATENATE($B1210,"_",S$3),materiali!$C:$K,6,0),"")</f>
        <v/>
      </c>
      <c r="T1210" s="86"/>
      <c r="U1210" s="31"/>
      <c r="AD1210" s="97"/>
    </row>
    <row r="1211" spans="1:30" ht="35.1" hidden="1" customHeight="1" x14ac:dyDescent="0.25">
      <c r="A1211" s="83"/>
      <c r="B1211" s="7"/>
      <c r="C1211" s="8"/>
      <c r="D1211" s="8"/>
      <c r="E1211" s="60"/>
      <c r="F1211" s="84" t="str">
        <f>IFERROR(VLOOKUP(CONCATENATE($B1211,"_",F$3),materiali!$C:$K,5,0),"")</f>
        <v/>
      </c>
      <c r="G1211" s="85" t="str">
        <f>IFERROR(VLOOKUP(CONCATENATE($B1211,"_",G$3),materiali!$C:$K,6,0),"")</f>
        <v/>
      </c>
      <c r="H1211" s="86"/>
      <c r="I1211" s="84" t="str">
        <f>IFERROR(VLOOKUP(CONCATENATE($B1211,"_",I$3),materiali!$C:$K,5,0),"")</f>
        <v/>
      </c>
      <c r="J1211" s="85" t="str">
        <f>IFERROR(VLOOKUP(CONCATENATE($B1211,"_",J$3),materiali!$C:$K,6,0),"")</f>
        <v/>
      </c>
      <c r="K1211" s="86"/>
      <c r="L1211" s="84" t="str">
        <f>IFERROR(VLOOKUP(CONCATENATE($B1211,"_",L$3),materiali!$C:$K,5,0),"")</f>
        <v/>
      </c>
      <c r="M1211" s="85" t="str">
        <f>IFERROR(VLOOKUP(CONCATENATE($B1211,"_",M$3),materiali!$C:$K,6,0),"")</f>
        <v/>
      </c>
      <c r="N1211" s="86"/>
      <c r="O1211" s="84" t="str">
        <f>IFERROR(VLOOKUP(CONCATENATE($B1211,"_",O$3),materiali!$C:$K,5,0),"")</f>
        <v/>
      </c>
      <c r="P1211" s="85" t="str">
        <f>IFERROR(VLOOKUP(CONCATENATE($B1211,"_",P$3),materiali!$C:$K,6,0),"")</f>
        <v/>
      </c>
      <c r="Q1211" s="86"/>
      <c r="R1211" s="84" t="str">
        <f>IFERROR(VLOOKUP(CONCATENATE($B1211,"_",R$3),materiali!$C:$K,5,0),"")</f>
        <v/>
      </c>
      <c r="S1211" s="85" t="str">
        <f>IFERROR(VLOOKUP(CONCATENATE($B1211,"_",S$3),materiali!$C:$K,6,0),"")</f>
        <v/>
      </c>
      <c r="T1211" s="86"/>
      <c r="U1211" s="31"/>
      <c r="AD1211" s="97"/>
    </row>
    <row r="1212" spans="1:30" ht="35.1" hidden="1" customHeight="1" x14ac:dyDescent="0.25">
      <c r="A1212" s="83"/>
      <c r="B1212" s="7"/>
      <c r="C1212" s="8"/>
      <c r="D1212" s="8"/>
      <c r="E1212" s="60"/>
      <c r="F1212" s="84" t="str">
        <f>IFERROR(VLOOKUP(CONCATENATE($B1212,"_",F$3),materiali!$C:$K,5,0),"")</f>
        <v/>
      </c>
      <c r="G1212" s="85" t="str">
        <f>IFERROR(VLOOKUP(CONCATENATE($B1212,"_",G$3),materiali!$C:$K,6,0),"")</f>
        <v/>
      </c>
      <c r="H1212" s="86"/>
      <c r="I1212" s="84" t="str">
        <f>IFERROR(VLOOKUP(CONCATENATE($B1212,"_",I$3),materiali!$C:$K,5,0),"")</f>
        <v/>
      </c>
      <c r="J1212" s="85" t="str">
        <f>IFERROR(VLOOKUP(CONCATENATE($B1212,"_",J$3),materiali!$C:$K,6,0),"")</f>
        <v/>
      </c>
      <c r="K1212" s="86"/>
      <c r="L1212" s="84" t="str">
        <f>IFERROR(VLOOKUP(CONCATENATE($B1212,"_",L$3),materiali!$C:$K,5,0),"")</f>
        <v/>
      </c>
      <c r="M1212" s="85" t="str">
        <f>IFERROR(VLOOKUP(CONCATENATE($B1212,"_",M$3),materiali!$C:$K,6,0),"")</f>
        <v/>
      </c>
      <c r="N1212" s="86"/>
      <c r="O1212" s="84" t="str">
        <f>IFERROR(VLOOKUP(CONCATENATE($B1212,"_",O$3),materiali!$C:$K,5,0),"")</f>
        <v/>
      </c>
      <c r="P1212" s="85" t="str">
        <f>IFERROR(VLOOKUP(CONCATENATE($B1212,"_",P$3),materiali!$C:$K,6,0),"")</f>
        <v/>
      </c>
      <c r="Q1212" s="86"/>
      <c r="R1212" s="84" t="str">
        <f>IFERROR(VLOOKUP(CONCATENATE($B1212,"_",R$3),materiali!$C:$K,5,0),"")</f>
        <v/>
      </c>
      <c r="S1212" s="85" t="str">
        <f>IFERROR(VLOOKUP(CONCATENATE($B1212,"_",S$3),materiali!$C:$K,6,0),"")</f>
        <v/>
      </c>
      <c r="T1212" s="86"/>
      <c r="U1212" s="31"/>
      <c r="AD1212" s="97"/>
    </row>
    <row r="1213" spans="1:30" ht="35.1" hidden="1" customHeight="1" x14ac:dyDescent="0.25">
      <c r="A1213" s="83"/>
      <c r="B1213" s="7"/>
      <c r="C1213" s="8"/>
      <c r="D1213" s="8"/>
      <c r="E1213" s="60"/>
      <c r="F1213" s="84" t="str">
        <f>IFERROR(VLOOKUP(CONCATENATE($B1213,"_",F$3),materiali!$C:$K,5,0),"")</f>
        <v/>
      </c>
      <c r="G1213" s="85" t="str">
        <f>IFERROR(VLOOKUP(CONCATENATE($B1213,"_",G$3),materiali!$C:$K,6,0),"")</f>
        <v/>
      </c>
      <c r="H1213" s="86"/>
      <c r="I1213" s="84" t="str">
        <f>IFERROR(VLOOKUP(CONCATENATE($B1213,"_",I$3),materiali!$C:$K,5,0),"")</f>
        <v/>
      </c>
      <c r="J1213" s="85" t="str">
        <f>IFERROR(VLOOKUP(CONCATENATE($B1213,"_",J$3),materiali!$C:$K,6,0),"")</f>
        <v/>
      </c>
      <c r="K1213" s="86"/>
      <c r="L1213" s="84" t="str">
        <f>IFERROR(VLOOKUP(CONCATENATE($B1213,"_",L$3),materiali!$C:$K,5,0),"")</f>
        <v/>
      </c>
      <c r="M1213" s="85" t="str">
        <f>IFERROR(VLOOKUP(CONCATENATE($B1213,"_",M$3),materiali!$C:$K,6,0),"")</f>
        <v/>
      </c>
      <c r="N1213" s="86"/>
      <c r="O1213" s="84" t="str">
        <f>IFERROR(VLOOKUP(CONCATENATE($B1213,"_",O$3),materiali!$C:$K,5,0),"")</f>
        <v/>
      </c>
      <c r="P1213" s="85" t="str">
        <f>IFERROR(VLOOKUP(CONCATENATE($B1213,"_",P$3),materiali!$C:$K,6,0),"")</f>
        <v/>
      </c>
      <c r="Q1213" s="86"/>
      <c r="R1213" s="84" t="str">
        <f>IFERROR(VLOOKUP(CONCATENATE($B1213,"_",R$3),materiali!$C:$K,5,0),"")</f>
        <v/>
      </c>
      <c r="S1213" s="85" t="str">
        <f>IFERROR(VLOOKUP(CONCATENATE($B1213,"_",S$3),materiali!$C:$K,6,0),"")</f>
        <v/>
      </c>
      <c r="T1213" s="86"/>
      <c r="U1213" s="31"/>
      <c r="AD1213" s="97"/>
    </row>
    <row r="1214" spans="1:30" ht="35.1" hidden="1" customHeight="1" x14ac:dyDescent="0.25">
      <c r="A1214" s="83"/>
      <c r="B1214" s="7"/>
      <c r="C1214" s="8"/>
      <c r="D1214" s="8"/>
      <c r="E1214" s="60"/>
      <c r="F1214" s="84" t="str">
        <f>IFERROR(VLOOKUP(CONCATENATE($B1214,"_",F$3),materiali!$C:$K,5,0),"")</f>
        <v/>
      </c>
      <c r="G1214" s="85" t="str">
        <f>IFERROR(VLOOKUP(CONCATENATE($B1214,"_",G$3),materiali!$C:$K,6,0),"")</f>
        <v/>
      </c>
      <c r="H1214" s="86"/>
      <c r="I1214" s="84" t="str">
        <f>IFERROR(VLOOKUP(CONCATENATE($B1214,"_",I$3),materiali!$C:$K,5,0),"")</f>
        <v/>
      </c>
      <c r="J1214" s="85" t="str">
        <f>IFERROR(VLOOKUP(CONCATENATE($B1214,"_",J$3),materiali!$C:$K,6,0),"")</f>
        <v/>
      </c>
      <c r="K1214" s="86"/>
      <c r="L1214" s="84" t="str">
        <f>IFERROR(VLOOKUP(CONCATENATE($B1214,"_",L$3),materiali!$C:$K,5,0),"")</f>
        <v/>
      </c>
      <c r="M1214" s="85" t="str">
        <f>IFERROR(VLOOKUP(CONCATENATE($B1214,"_",M$3),materiali!$C:$K,6,0),"")</f>
        <v/>
      </c>
      <c r="N1214" s="86"/>
      <c r="O1214" s="84" t="str">
        <f>IFERROR(VLOOKUP(CONCATENATE($B1214,"_",O$3),materiali!$C:$K,5,0),"")</f>
        <v/>
      </c>
      <c r="P1214" s="85" t="str">
        <f>IFERROR(VLOOKUP(CONCATENATE($B1214,"_",P$3),materiali!$C:$K,6,0),"")</f>
        <v/>
      </c>
      <c r="Q1214" s="86"/>
      <c r="R1214" s="84" t="str">
        <f>IFERROR(VLOOKUP(CONCATENATE($B1214,"_",R$3),materiali!$C:$K,5,0),"")</f>
        <v/>
      </c>
      <c r="S1214" s="85" t="str">
        <f>IFERROR(VLOOKUP(CONCATENATE($B1214,"_",S$3),materiali!$C:$K,6,0),"")</f>
        <v/>
      </c>
      <c r="T1214" s="86"/>
      <c r="U1214" s="31"/>
      <c r="AD1214" s="97"/>
    </row>
    <row r="1215" spans="1:30" ht="35.1" hidden="1" customHeight="1" x14ac:dyDescent="0.25">
      <c r="A1215" s="83"/>
      <c r="B1215" s="7"/>
      <c r="C1215" s="8"/>
      <c r="D1215" s="8"/>
      <c r="E1215" s="60"/>
      <c r="F1215" s="84" t="str">
        <f>IFERROR(VLOOKUP(CONCATENATE($B1215,"_",F$3),materiali!$C:$K,5,0),"")</f>
        <v/>
      </c>
      <c r="G1215" s="85" t="str">
        <f>IFERROR(VLOOKUP(CONCATENATE($B1215,"_",G$3),materiali!$C:$K,6,0),"")</f>
        <v/>
      </c>
      <c r="H1215" s="86"/>
      <c r="I1215" s="84" t="str">
        <f>IFERROR(VLOOKUP(CONCATENATE($B1215,"_",I$3),materiali!$C:$K,5,0),"")</f>
        <v/>
      </c>
      <c r="J1215" s="85" t="str">
        <f>IFERROR(VLOOKUP(CONCATENATE($B1215,"_",J$3),materiali!$C:$K,6,0),"")</f>
        <v/>
      </c>
      <c r="K1215" s="86"/>
      <c r="L1215" s="84" t="str">
        <f>IFERROR(VLOOKUP(CONCATENATE($B1215,"_",L$3),materiali!$C:$K,5,0),"")</f>
        <v/>
      </c>
      <c r="M1215" s="85" t="str">
        <f>IFERROR(VLOOKUP(CONCATENATE($B1215,"_",M$3),materiali!$C:$K,6,0),"")</f>
        <v/>
      </c>
      <c r="N1215" s="86"/>
      <c r="O1215" s="84" t="str">
        <f>IFERROR(VLOOKUP(CONCATENATE($B1215,"_",O$3),materiali!$C:$K,5,0),"")</f>
        <v/>
      </c>
      <c r="P1215" s="85" t="str">
        <f>IFERROR(VLOOKUP(CONCATENATE($B1215,"_",P$3),materiali!$C:$K,6,0),"")</f>
        <v/>
      </c>
      <c r="Q1215" s="86"/>
      <c r="R1215" s="84" t="str">
        <f>IFERROR(VLOOKUP(CONCATENATE($B1215,"_",R$3),materiali!$C:$K,5,0),"")</f>
        <v/>
      </c>
      <c r="S1215" s="85" t="str">
        <f>IFERROR(VLOOKUP(CONCATENATE($B1215,"_",S$3),materiali!$C:$K,6,0),"")</f>
        <v/>
      </c>
      <c r="T1215" s="86"/>
      <c r="U1215" s="31"/>
      <c r="AD1215" s="97"/>
    </row>
    <row r="1216" spans="1:30" ht="35.1" hidden="1" customHeight="1" x14ac:dyDescent="0.25">
      <c r="A1216" s="83"/>
      <c r="B1216" s="7"/>
      <c r="C1216" s="8"/>
      <c r="D1216" s="8"/>
      <c r="E1216" s="60"/>
      <c r="F1216" s="84" t="str">
        <f>IFERROR(VLOOKUP(CONCATENATE($B1216,"_",F$3),materiali!$C:$K,5,0),"")</f>
        <v/>
      </c>
      <c r="G1216" s="85" t="str">
        <f>IFERROR(VLOOKUP(CONCATENATE($B1216,"_",G$3),materiali!$C:$K,6,0),"")</f>
        <v/>
      </c>
      <c r="H1216" s="86"/>
      <c r="I1216" s="84" t="str">
        <f>IFERROR(VLOOKUP(CONCATENATE($B1216,"_",I$3),materiali!$C:$K,5,0),"")</f>
        <v/>
      </c>
      <c r="J1216" s="85" t="str">
        <f>IFERROR(VLOOKUP(CONCATENATE($B1216,"_",J$3),materiali!$C:$K,6,0),"")</f>
        <v/>
      </c>
      <c r="K1216" s="86"/>
      <c r="L1216" s="84" t="str">
        <f>IFERROR(VLOOKUP(CONCATENATE($B1216,"_",L$3),materiali!$C:$K,5,0),"")</f>
        <v/>
      </c>
      <c r="M1216" s="85" t="str">
        <f>IFERROR(VLOOKUP(CONCATENATE($B1216,"_",M$3),materiali!$C:$K,6,0),"")</f>
        <v/>
      </c>
      <c r="N1216" s="86"/>
      <c r="O1216" s="84" t="str">
        <f>IFERROR(VLOOKUP(CONCATENATE($B1216,"_",O$3),materiali!$C:$K,5,0),"")</f>
        <v/>
      </c>
      <c r="P1216" s="85" t="str">
        <f>IFERROR(VLOOKUP(CONCATENATE($B1216,"_",P$3),materiali!$C:$K,6,0),"")</f>
        <v/>
      </c>
      <c r="Q1216" s="86"/>
      <c r="R1216" s="84" t="str">
        <f>IFERROR(VLOOKUP(CONCATENATE($B1216,"_",R$3),materiali!$C:$K,5,0),"")</f>
        <v/>
      </c>
      <c r="S1216" s="85" t="str">
        <f>IFERROR(VLOOKUP(CONCATENATE($B1216,"_",S$3),materiali!$C:$K,6,0),"")</f>
        <v/>
      </c>
      <c r="T1216" s="86"/>
      <c r="U1216" s="31"/>
      <c r="AD1216" s="97"/>
    </row>
    <row r="1217" spans="1:30" ht="35.1" hidden="1" customHeight="1" x14ac:dyDescent="0.25">
      <c r="A1217" s="83"/>
      <c r="B1217" s="7"/>
      <c r="C1217" s="8"/>
      <c r="D1217" s="8"/>
      <c r="E1217" s="60"/>
      <c r="F1217" s="84" t="str">
        <f>IFERROR(VLOOKUP(CONCATENATE($B1217,"_",F$3),materiali!$C:$K,5,0),"")</f>
        <v/>
      </c>
      <c r="G1217" s="85" t="str">
        <f>IFERROR(VLOOKUP(CONCATENATE($B1217,"_",G$3),materiali!$C:$K,6,0),"")</f>
        <v/>
      </c>
      <c r="H1217" s="86"/>
      <c r="I1217" s="84" t="str">
        <f>IFERROR(VLOOKUP(CONCATENATE($B1217,"_",I$3),materiali!$C:$K,5,0),"")</f>
        <v/>
      </c>
      <c r="J1217" s="85" t="str">
        <f>IFERROR(VLOOKUP(CONCATENATE($B1217,"_",J$3),materiali!$C:$K,6,0),"")</f>
        <v/>
      </c>
      <c r="K1217" s="86"/>
      <c r="L1217" s="84" t="str">
        <f>IFERROR(VLOOKUP(CONCATENATE($B1217,"_",L$3),materiali!$C:$K,5,0),"")</f>
        <v/>
      </c>
      <c r="M1217" s="85" t="str">
        <f>IFERROR(VLOOKUP(CONCATENATE($B1217,"_",M$3),materiali!$C:$K,6,0),"")</f>
        <v/>
      </c>
      <c r="N1217" s="86"/>
      <c r="O1217" s="84" t="str">
        <f>IFERROR(VLOOKUP(CONCATENATE($B1217,"_",O$3),materiali!$C:$K,5,0),"")</f>
        <v/>
      </c>
      <c r="P1217" s="85" t="str">
        <f>IFERROR(VLOOKUP(CONCATENATE($B1217,"_",P$3),materiali!$C:$K,6,0),"")</f>
        <v/>
      </c>
      <c r="Q1217" s="86"/>
      <c r="R1217" s="84" t="str">
        <f>IFERROR(VLOOKUP(CONCATENATE($B1217,"_",R$3),materiali!$C:$K,5,0),"")</f>
        <v/>
      </c>
      <c r="S1217" s="85" t="str">
        <f>IFERROR(VLOOKUP(CONCATENATE($B1217,"_",S$3),materiali!$C:$K,6,0),"")</f>
        <v/>
      </c>
      <c r="T1217" s="86"/>
      <c r="U1217" s="31"/>
      <c r="AD1217" s="97"/>
    </row>
    <row r="1218" spans="1:30" ht="35.1" hidden="1" customHeight="1" x14ac:dyDescent="0.25">
      <c r="A1218" s="83"/>
      <c r="B1218" s="7"/>
      <c r="C1218" s="8"/>
      <c r="D1218" s="8"/>
      <c r="E1218" s="60"/>
      <c r="F1218" s="84" t="str">
        <f>IFERROR(VLOOKUP(CONCATENATE($B1218,"_",F$3),materiali!$C:$K,5,0),"")</f>
        <v/>
      </c>
      <c r="G1218" s="85" t="str">
        <f>IFERROR(VLOOKUP(CONCATENATE($B1218,"_",G$3),materiali!$C:$K,6,0),"")</f>
        <v/>
      </c>
      <c r="H1218" s="86"/>
      <c r="I1218" s="84" t="str">
        <f>IFERROR(VLOOKUP(CONCATENATE($B1218,"_",I$3),materiali!$C:$K,5,0),"")</f>
        <v/>
      </c>
      <c r="J1218" s="85" t="str">
        <f>IFERROR(VLOOKUP(CONCATENATE($B1218,"_",J$3),materiali!$C:$K,6,0),"")</f>
        <v/>
      </c>
      <c r="K1218" s="86"/>
      <c r="L1218" s="84" t="str">
        <f>IFERROR(VLOOKUP(CONCATENATE($B1218,"_",L$3),materiali!$C:$K,5,0),"")</f>
        <v/>
      </c>
      <c r="M1218" s="85" t="str">
        <f>IFERROR(VLOOKUP(CONCATENATE($B1218,"_",M$3),materiali!$C:$K,6,0),"")</f>
        <v/>
      </c>
      <c r="N1218" s="86"/>
      <c r="O1218" s="84" t="str">
        <f>IFERROR(VLOOKUP(CONCATENATE($B1218,"_",O$3),materiali!$C:$K,5,0),"")</f>
        <v/>
      </c>
      <c r="P1218" s="85" t="str">
        <f>IFERROR(VLOOKUP(CONCATENATE($B1218,"_",P$3),materiali!$C:$K,6,0),"")</f>
        <v/>
      </c>
      <c r="Q1218" s="86"/>
      <c r="R1218" s="84" t="str">
        <f>IFERROR(VLOOKUP(CONCATENATE($B1218,"_",R$3),materiali!$C:$K,5,0),"")</f>
        <v/>
      </c>
      <c r="S1218" s="85" t="str">
        <f>IFERROR(VLOOKUP(CONCATENATE($B1218,"_",S$3),materiali!$C:$K,6,0),"")</f>
        <v/>
      </c>
      <c r="T1218" s="86"/>
      <c r="U1218" s="31"/>
      <c r="AD1218" s="97"/>
    </row>
    <row r="1219" spans="1:30" ht="35.1" hidden="1" customHeight="1" x14ac:dyDescent="0.25">
      <c r="A1219" s="83"/>
      <c r="B1219" s="7"/>
      <c r="C1219" s="8"/>
      <c r="D1219" s="8"/>
      <c r="E1219" s="60"/>
      <c r="F1219" s="84" t="str">
        <f>IFERROR(VLOOKUP(CONCATENATE($B1219,"_",F$3),materiali!$C:$K,5,0),"")</f>
        <v/>
      </c>
      <c r="G1219" s="85" t="str">
        <f>IFERROR(VLOOKUP(CONCATENATE($B1219,"_",G$3),materiali!$C:$K,6,0),"")</f>
        <v/>
      </c>
      <c r="H1219" s="86"/>
      <c r="I1219" s="84" t="str">
        <f>IFERROR(VLOOKUP(CONCATENATE($B1219,"_",I$3),materiali!$C:$K,5,0),"")</f>
        <v/>
      </c>
      <c r="J1219" s="85" t="str">
        <f>IFERROR(VLOOKUP(CONCATENATE($B1219,"_",J$3),materiali!$C:$K,6,0),"")</f>
        <v/>
      </c>
      <c r="K1219" s="86"/>
      <c r="L1219" s="84" t="str">
        <f>IFERROR(VLOOKUP(CONCATENATE($B1219,"_",L$3),materiali!$C:$K,5,0),"")</f>
        <v/>
      </c>
      <c r="M1219" s="85" t="str">
        <f>IFERROR(VLOOKUP(CONCATENATE($B1219,"_",M$3),materiali!$C:$K,6,0),"")</f>
        <v/>
      </c>
      <c r="N1219" s="86"/>
      <c r="O1219" s="84" t="str">
        <f>IFERROR(VLOOKUP(CONCATENATE($B1219,"_",O$3),materiali!$C:$K,5,0),"")</f>
        <v/>
      </c>
      <c r="P1219" s="85" t="str">
        <f>IFERROR(VLOOKUP(CONCATENATE($B1219,"_",P$3),materiali!$C:$K,6,0),"")</f>
        <v/>
      </c>
      <c r="Q1219" s="86"/>
      <c r="R1219" s="84" t="str">
        <f>IFERROR(VLOOKUP(CONCATENATE($B1219,"_",R$3),materiali!$C:$K,5,0),"")</f>
        <v/>
      </c>
      <c r="S1219" s="85" t="str">
        <f>IFERROR(VLOOKUP(CONCATENATE($B1219,"_",S$3),materiali!$C:$K,6,0),"")</f>
        <v/>
      </c>
      <c r="T1219" s="86"/>
      <c r="U1219" s="31"/>
      <c r="AD1219" s="97"/>
    </row>
    <row r="1220" spans="1:30" ht="35.1" hidden="1" customHeight="1" x14ac:dyDescent="0.25">
      <c r="A1220" s="83"/>
      <c r="B1220" s="7"/>
      <c r="C1220" s="8"/>
      <c r="D1220" s="8"/>
      <c r="E1220" s="60"/>
      <c r="F1220" s="84" t="str">
        <f>IFERROR(VLOOKUP(CONCATENATE($B1220,"_",F$3),materiali!$C:$K,5,0),"")</f>
        <v/>
      </c>
      <c r="G1220" s="85" t="str">
        <f>IFERROR(VLOOKUP(CONCATENATE($B1220,"_",G$3),materiali!$C:$K,6,0),"")</f>
        <v/>
      </c>
      <c r="H1220" s="86"/>
      <c r="I1220" s="84" t="str">
        <f>IFERROR(VLOOKUP(CONCATENATE($B1220,"_",I$3),materiali!$C:$K,5,0),"")</f>
        <v/>
      </c>
      <c r="J1220" s="85" t="str">
        <f>IFERROR(VLOOKUP(CONCATENATE($B1220,"_",J$3),materiali!$C:$K,6,0),"")</f>
        <v/>
      </c>
      <c r="K1220" s="86"/>
      <c r="L1220" s="84" t="str">
        <f>IFERROR(VLOOKUP(CONCATENATE($B1220,"_",L$3),materiali!$C:$K,5,0),"")</f>
        <v/>
      </c>
      <c r="M1220" s="85" t="str">
        <f>IFERROR(VLOOKUP(CONCATENATE($B1220,"_",M$3),materiali!$C:$K,6,0),"")</f>
        <v/>
      </c>
      <c r="N1220" s="86"/>
      <c r="O1220" s="84" t="str">
        <f>IFERROR(VLOOKUP(CONCATENATE($B1220,"_",O$3),materiali!$C:$K,5,0),"")</f>
        <v/>
      </c>
      <c r="P1220" s="85" t="str">
        <f>IFERROR(VLOOKUP(CONCATENATE($B1220,"_",P$3),materiali!$C:$K,6,0),"")</f>
        <v/>
      </c>
      <c r="Q1220" s="86"/>
      <c r="R1220" s="84" t="str">
        <f>IFERROR(VLOOKUP(CONCATENATE($B1220,"_",R$3),materiali!$C:$K,5,0),"")</f>
        <v/>
      </c>
      <c r="S1220" s="85" t="str">
        <f>IFERROR(VLOOKUP(CONCATENATE($B1220,"_",S$3),materiali!$C:$K,6,0),"")</f>
        <v/>
      </c>
      <c r="T1220" s="86"/>
      <c r="U1220" s="31"/>
      <c r="AD1220" s="97"/>
    </row>
    <row r="1221" spans="1:30" ht="35.1" hidden="1" customHeight="1" x14ac:dyDescent="0.25">
      <c r="A1221" s="83"/>
      <c r="B1221" s="7"/>
      <c r="C1221" s="8"/>
      <c r="D1221" s="8"/>
      <c r="E1221" s="60"/>
      <c r="F1221" s="84" t="str">
        <f>IFERROR(VLOOKUP(CONCATENATE($B1221,"_",F$3),materiali!$C:$K,5,0),"")</f>
        <v/>
      </c>
      <c r="G1221" s="85" t="str">
        <f>IFERROR(VLOOKUP(CONCATENATE($B1221,"_",G$3),materiali!$C:$K,6,0),"")</f>
        <v/>
      </c>
      <c r="H1221" s="86"/>
      <c r="I1221" s="84" t="str">
        <f>IFERROR(VLOOKUP(CONCATENATE($B1221,"_",I$3),materiali!$C:$K,5,0),"")</f>
        <v/>
      </c>
      <c r="J1221" s="85" t="str">
        <f>IFERROR(VLOOKUP(CONCATENATE($B1221,"_",J$3),materiali!$C:$K,6,0),"")</f>
        <v/>
      </c>
      <c r="K1221" s="86"/>
      <c r="L1221" s="84" t="str">
        <f>IFERROR(VLOOKUP(CONCATENATE($B1221,"_",L$3),materiali!$C:$K,5,0),"")</f>
        <v/>
      </c>
      <c r="M1221" s="85" t="str">
        <f>IFERROR(VLOOKUP(CONCATENATE($B1221,"_",M$3),materiali!$C:$K,6,0),"")</f>
        <v/>
      </c>
      <c r="N1221" s="86"/>
      <c r="O1221" s="84" t="str">
        <f>IFERROR(VLOOKUP(CONCATENATE($B1221,"_",O$3),materiali!$C:$K,5,0),"")</f>
        <v/>
      </c>
      <c r="P1221" s="85" t="str">
        <f>IFERROR(VLOOKUP(CONCATENATE($B1221,"_",P$3),materiali!$C:$K,6,0),"")</f>
        <v/>
      </c>
      <c r="Q1221" s="86"/>
      <c r="R1221" s="84" t="str">
        <f>IFERROR(VLOOKUP(CONCATENATE($B1221,"_",R$3),materiali!$C:$K,5,0),"")</f>
        <v/>
      </c>
      <c r="S1221" s="85" t="str">
        <f>IFERROR(VLOOKUP(CONCATENATE($B1221,"_",S$3),materiali!$C:$K,6,0),"")</f>
        <v/>
      </c>
      <c r="T1221" s="86"/>
      <c r="U1221" s="31"/>
      <c r="AD1221" s="97"/>
    </row>
    <row r="1222" spans="1:30" ht="35.1" hidden="1" customHeight="1" x14ac:dyDescent="0.25">
      <c r="A1222" s="83"/>
      <c r="B1222" s="7"/>
      <c r="C1222" s="8"/>
      <c r="D1222" s="8"/>
      <c r="E1222" s="60"/>
      <c r="F1222" s="84" t="str">
        <f>IFERROR(VLOOKUP(CONCATENATE($B1222,"_",F$3),materiali!$C:$K,5,0),"")</f>
        <v/>
      </c>
      <c r="G1222" s="85" t="str">
        <f>IFERROR(VLOOKUP(CONCATENATE($B1222,"_",G$3),materiali!$C:$K,6,0),"")</f>
        <v/>
      </c>
      <c r="H1222" s="86"/>
      <c r="I1222" s="84" t="str">
        <f>IFERROR(VLOOKUP(CONCATENATE($B1222,"_",I$3),materiali!$C:$K,5,0),"")</f>
        <v/>
      </c>
      <c r="J1222" s="85" t="str">
        <f>IFERROR(VLOOKUP(CONCATENATE($B1222,"_",J$3),materiali!$C:$K,6,0),"")</f>
        <v/>
      </c>
      <c r="K1222" s="86"/>
      <c r="L1222" s="84" t="str">
        <f>IFERROR(VLOOKUP(CONCATENATE($B1222,"_",L$3),materiali!$C:$K,5,0),"")</f>
        <v/>
      </c>
      <c r="M1222" s="85" t="str">
        <f>IFERROR(VLOOKUP(CONCATENATE($B1222,"_",M$3),materiali!$C:$K,6,0),"")</f>
        <v/>
      </c>
      <c r="N1222" s="86"/>
      <c r="O1222" s="84" t="str">
        <f>IFERROR(VLOOKUP(CONCATENATE($B1222,"_",O$3),materiali!$C:$K,5,0),"")</f>
        <v/>
      </c>
      <c r="P1222" s="85" t="str">
        <f>IFERROR(VLOOKUP(CONCATENATE($B1222,"_",P$3),materiali!$C:$K,6,0),"")</f>
        <v/>
      </c>
      <c r="Q1222" s="86"/>
      <c r="R1222" s="84" t="str">
        <f>IFERROR(VLOOKUP(CONCATENATE($B1222,"_",R$3),materiali!$C:$K,5,0),"")</f>
        <v/>
      </c>
      <c r="S1222" s="85" t="str">
        <f>IFERROR(VLOOKUP(CONCATENATE($B1222,"_",S$3),materiali!$C:$K,6,0),"")</f>
        <v/>
      </c>
      <c r="T1222" s="86"/>
      <c r="U1222" s="31"/>
      <c r="AD1222" s="97"/>
    </row>
    <row r="1223" spans="1:30" ht="35.1" hidden="1" customHeight="1" x14ac:dyDescent="0.25">
      <c r="A1223" s="83"/>
      <c r="B1223" s="7"/>
      <c r="C1223" s="8"/>
      <c r="D1223" s="8"/>
      <c r="E1223" s="60"/>
      <c r="F1223" s="84" t="str">
        <f>IFERROR(VLOOKUP(CONCATENATE($B1223,"_",F$3),materiali!$C:$K,5,0),"")</f>
        <v/>
      </c>
      <c r="G1223" s="85" t="str">
        <f>IFERROR(VLOOKUP(CONCATENATE($B1223,"_",G$3),materiali!$C:$K,6,0),"")</f>
        <v/>
      </c>
      <c r="H1223" s="86"/>
      <c r="I1223" s="84" t="str">
        <f>IFERROR(VLOOKUP(CONCATENATE($B1223,"_",I$3),materiali!$C:$K,5,0),"")</f>
        <v/>
      </c>
      <c r="J1223" s="85" t="str">
        <f>IFERROR(VLOOKUP(CONCATENATE($B1223,"_",J$3),materiali!$C:$K,6,0),"")</f>
        <v/>
      </c>
      <c r="K1223" s="86"/>
      <c r="L1223" s="84" t="str">
        <f>IFERROR(VLOOKUP(CONCATENATE($B1223,"_",L$3),materiali!$C:$K,5,0),"")</f>
        <v/>
      </c>
      <c r="M1223" s="85" t="str">
        <f>IFERROR(VLOOKUP(CONCATENATE($B1223,"_",M$3),materiali!$C:$K,6,0),"")</f>
        <v/>
      </c>
      <c r="N1223" s="86"/>
      <c r="O1223" s="84" t="str">
        <f>IFERROR(VLOOKUP(CONCATENATE($B1223,"_",O$3),materiali!$C:$K,5,0),"")</f>
        <v/>
      </c>
      <c r="P1223" s="85" t="str">
        <f>IFERROR(VLOOKUP(CONCATENATE($B1223,"_",P$3),materiali!$C:$K,6,0),"")</f>
        <v/>
      </c>
      <c r="Q1223" s="86"/>
      <c r="R1223" s="84" t="str">
        <f>IFERROR(VLOOKUP(CONCATENATE($B1223,"_",R$3),materiali!$C:$K,5,0),"")</f>
        <v/>
      </c>
      <c r="S1223" s="85" t="str">
        <f>IFERROR(VLOOKUP(CONCATENATE($B1223,"_",S$3),materiali!$C:$K,6,0),"")</f>
        <v/>
      </c>
      <c r="T1223" s="86"/>
      <c r="U1223" s="31"/>
      <c r="AD1223" s="97"/>
    </row>
    <row r="1224" spans="1:30" ht="35.1" hidden="1" customHeight="1" x14ac:dyDescent="0.25">
      <c r="A1224" s="83"/>
      <c r="B1224" s="7"/>
      <c r="C1224" s="8"/>
      <c r="D1224" s="8"/>
      <c r="E1224" s="60"/>
      <c r="F1224" s="84" t="str">
        <f>IFERROR(VLOOKUP(CONCATENATE($B1224,"_",F$3),materiali!$C:$K,5,0),"")</f>
        <v/>
      </c>
      <c r="G1224" s="85" t="str">
        <f>IFERROR(VLOOKUP(CONCATENATE($B1224,"_",G$3),materiali!$C:$K,6,0),"")</f>
        <v/>
      </c>
      <c r="H1224" s="86"/>
      <c r="I1224" s="84" t="str">
        <f>IFERROR(VLOOKUP(CONCATENATE($B1224,"_",I$3),materiali!$C:$K,5,0),"")</f>
        <v/>
      </c>
      <c r="J1224" s="85" t="str">
        <f>IFERROR(VLOOKUP(CONCATENATE($B1224,"_",J$3),materiali!$C:$K,6,0),"")</f>
        <v/>
      </c>
      <c r="K1224" s="86"/>
      <c r="L1224" s="84" t="str">
        <f>IFERROR(VLOOKUP(CONCATENATE($B1224,"_",L$3),materiali!$C:$K,5,0),"")</f>
        <v/>
      </c>
      <c r="M1224" s="85" t="str">
        <f>IFERROR(VLOOKUP(CONCATENATE($B1224,"_",M$3),materiali!$C:$K,6,0),"")</f>
        <v/>
      </c>
      <c r="N1224" s="86"/>
      <c r="O1224" s="84" t="str">
        <f>IFERROR(VLOOKUP(CONCATENATE($B1224,"_",O$3),materiali!$C:$K,5,0),"")</f>
        <v/>
      </c>
      <c r="P1224" s="85" t="str">
        <f>IFERROR(VLOOKUP(CONCATENATE($B1224,"_",P$3),materiali!$C:$K,6,0),"")</f>
        <v/>
      </c>
      <c r="Q1224" s="86"/>
      <c r="R1224" s="84" t="str">
        <f>IFERROR(VLOOKUP(CONCATENATE($B1224,"_",R$3),materiali!$C:$K,5,0),"")</f>
        <v/>
      </c>
      <c r="S1224" s="85" t="str">
        <f>IFERROR(VLOOKUP(CONCATENATE($B1224,"_",S$3),materiali!$C:$K,6,0),"")</f>
        <v/>
      </c>
      <c r="T1224" s="86"/>
      <c r="U1224" s="31"/>
      <c r="AD1224" s="97"/>
    </row>
    <row r="1225" spans="1:30" ht="35.1" hidden="1" customHeight="1" x14ac:dyDescent="0.25">
      <c r="A1225" s="83"/>
      <c r="B1225" s="7"/>
      <c r="C1225" s="8"/>
      <c r="D1225" s="8"/>
      <c r="E1225" s="60"/>
      <c r="F1225" s="84" t="str">
        <f>IFERROR(VLOOKUP(CONCATENATE($B1225,"_",F$3),materiali!$C:$K,5,0),"")</f>
        <v/>
      </c>
      <c r="G1225" s="85" t="str">
        <f>IFERROR(VLOOKUP(CONCATENATE($B1225,"_",G$3),materiali!$C:$K,6,0),"")</f>
        <v/>
      </c>
      <c r="H1225" s="86"/>
      <c r="I1225" s="84" t="str">
        <f>IFERROR(VLOOKUP(CONCATENATE($B1225,"_",I$3),materiali!$C:$K,5,0),"")</f>
        <v/>
      </c>
      <c r="J1225" s="85" t="str">
        <f>IFERROR(VLOOKUP(CONCATENATE($B1225,"_",J$3),materiali!$C:$K,6,0),"")</f>
        <v/>
      </c>
      <c r="K1225" s="86"/>
      <c r="L1225" s="84" t="str">
        <f>IFERROR(VLOOKUP(CONCATENATE($B1225,"_",L$3),materiali!$C:$K,5,0),"")</f>
        <v/>
      </c>
      <c r="M1225" s="85" t="str">
        <f>IFERROR(VLOOKUP(CONCATENATE($B1225,"_",M$3),materiali!$C:$K,6,0),"")</f>
        <v/>
      </c>
      <c r="N1225" s="86"/>
      <c r="O1225" s="84" t="str">
        <f>IFERROR(VLOOKUP(CONCATENATE($B1225,"_",O$3),materiali!$C:$K,5,0),"")</f>
        <v/>
      </c>
      <c r="P1225" s="85" t="str">
        <f>IFERROR(VLOOKUP(CONCATENATE($B1225,"_",P$3),materiali!$C:$K,6,0),"")</f>
        <v/>
      </c>
      <c r="Q1225" s="86"/>
      <c r="R1225" s="84" t="str">
        <f>IFERROR(VLOOKUP(CONCATENATE($B1225,"_",R$3),materiali!$C:$K,5,0),"")</f>
        <v/>
      </c>
      <c r="S1225" s="85" t="str">
        <f>IFERROR(VLOOKUP(CONCATENATE($B1225,"_",S$3),materiali!$C:$K,6,0),"")</f>
        <v/>
      </c>
      <c r="T1225" s="86"/>
      <c r="U1225" s="31"/>
      <c r="AD1225" s="97"/>
    </row>
    <row r="1226" spans="1:30" ht="35.1" hidden="1" customHeight="1" x14ac:dyDescent="0.25">
      <c r="A1226" s="83"/>
      <c r="B1226" s="7"/>
      <c r="C1226" s="8"/>
      <c r="D1226" s="8"/>
      <c r="E1226" s="60"/>
      <c r="F1226" s="84" t="str">
        <f>IFERROR(VLOOKUP(CONCATENATE($B1226,"_",F$3),materiali!$C:$K,5,0),"")</f>
        <v/>
      </c>
      <c r="G1226" s="85" t="str">
        <f>IFERROR(VLOOKUP(CONCATENATE($B1226,"_",G$3),materiali!$C:$K,6,0),"")</f>
        <v/>
      </c>
      <c r="H1226" s="86"/>
      <c r="I1226" s="84" t="str">
        <f>IFERROR(VLOOKUP(CONCATENATE($B1226,"_",I$3),materiali!$C:$K,5,0),"")</f>
        <v/>
      </c>
      <c r="J1226" s="85" t="str">
        <f>IFERROR(VLOOKUP(CONCATENATE($B1226,"_",J$3),materiali!$C:$K,6,0),"")</f>
        <v/>
      </c>
      <c r="K1226" s="86"/>
      <c r="L1226" s="84" t="str">
        <f>IFERROR(VLOOKUP(CONCATENATE($B1226,"_",L$3),materiali!$C:$K,5,0),"")</f>
        <v/>
      </c>
      <c r="M1226" s="85" t="str">
        <f>IFERROR(VLOOKUP(CONCATENATE($B1226,"_",M$3),materiali!$C:$K,6,0),"")</f>
        <v/>
      </c>
      <c r="N1226" s="86"/>
      <c r="O1226" s="84" t="str">
        <f>IFERROR(VLOOKUP(CONCATENATE($B1226,"_",O$3),materiali!$C:$K,5,0),"")</f>
        <v/>
      </c>
      <c r="P1226" s="85" t="str">
        <f>IFERROR(VLOOKUP(CONCATENATE($B1226,"_",P$3),materiali!$C:$K,6,0),"")</f>
        <v/>
      </c>
      <c r="Q1226" s="86"/>
      <c r="R1226" s="84" t="str">
        <f>IFERROR(VLOOKUP(CONCATENATE($B1226,"_",R$3),materiali!$C:$K,5,0),"")</f>
        <v/>
      </c>
      <c r="S1226" s="85" t="str">
        <f>IFERROR(VLOOKUP(CONCATENATE($B1226,"_",S$3),materiali!$C:$K,6,0),"")</f>
        <v/>
      </c>
      <c r="T1226" s="86"/>
      <c r="U1226" s="31"/>
      <c r="AD1226" s="97"/>
    </row>
    <row r="1227" spans="1:30" ht="35.1" hidden="1" customHeight="1" x14ac:dyDescent="0.25">
      <c r="A1227" s="83"/>
      <c r="B1227" s="7"/>
      <c r="C1227" s="8"/>
      <c r="D1227" s="8"/>
      <c r="E1227" s="60"/>
      <c r="F1227" s="84" t="str">
        <f>IFERROR(VLOOKUP(CONCATENATE($B1227,"_",F$3),materiali!$C:$K,5,0),"")</f>
        <v/>
      </c>
      <c r="G1227" s="85" t="str">
        <f>IFERROR(VLOOKUP(CONCATENATE($B1227,"_",G$3),materiali!$C:$K,6,0),"")</f>
        <v/>
      </c>
      <c r="H1227" s="86"/>
      <c r="I1227" s="84" t="str">
        <f>IFERROR(VLOOKUP(CONCATENATE($B1227,"_",I$3),materiali!$C:$K,5,0),"")</f>
        <v/>
      </c>
      <c r="J1227" s="85" t="str">
        <f>IFERROR(VLOOKUP(CONCATENATE($B1227,"_",J$3),materiali!$C:$K,6,0),"")</f>
        <v/>
      </c>
      <c r="K1227" s="86"/>
      <c r="L1227" s="84" t="str">
        <f>IFERROR(VLOOKUP(CONCATENATE($B1227,"_",L$3),materiali!$C:$K,5,0),"")</f>
        <v/>
      </c>
      <c r="M1227" s="85" t="str">
        <f>IFERROR(VLOOKUP(CONCATENATE($B1227,"_",M$3),materiali!$C:$K,6,0),"")</f>
        <v/>
      </c>
      <c r="N1227" s="86"/>
      <c r="O1227" s="84" t="str">
        <f>IFERROR(VLOOKUP(CONCATENATE($B1227,"_",O$3),materiali!$C:$K,5,0),"")</f>
        <v/>
      </c>
      <c r="P1227" s="85" t="str">
        <f>IFERROR(VLOOKUP(CONCATENATE($B1227,"_",P$3),materiali!$C:$K,6,0),"")</f>
        <v/>
      </c>
      <c r="Q1227" s="86"/>
      <c r="R1227" s="84" t="str">
        <f>IFERROR(VLOOKUP(CONCATENATE($B1227,"_",R$3),materiali!$C:$K,5,0),"")</f>
        <v/>
      </c>
      <c r="S1227" s="85" t="str">
        <f>IFERROR(VLOOKUP(CONCATENATE($B1227,"_",S$3),materiali!$C:$K,6,0),"")</f>
        <v/>
      </c>
      <c r="T1227" s="86"/>
      <c r="U1227" s="31"/>
      <c r="AD1227" s="97"/>
    </row>
    <row r="1228" spans="1:30" ht="35.1" hidden="1" customHeight="1" x14ac:dyDescent="0.25">
      <c r="A1228" s="83"/>
      <c r="B1228" s="7"/>
      <c r="C1228" s="8"/>
      <c r="D1228" s="8"/>
      <c r="E1228" s="60"/>
      <c r="F1228" s="84" t="str">
        <f>IFERROR(VLOOKUP(CONCATENATE($B1228,"_",F$3),materiali!$C:$K,5,0),"")</f>
        <v/>
      </c>
      <c r="G1228" s="85" t="str">
        <f>IFERROR(VLOOKUP(CONCATENATE($B1228,"_",G$3),materiali!$C:$K,6,0),"")</f>
        <v/>
      </c>
      <c r="H1228" s="86"/>
      <c r="I1228" s="84" t="str">
        <f>IFERROR(VLOOKUP(CONCATENATE($B1228,"_",I$3),materiali!$C:$K,5,0),"")</f>
        <v/>
      </c>
      <c r="J1228" s="85" t="str">
        <f>IFERROR(VLOOKUP(CONCATENATE($B1228,"_",J$3),materiali!$C:$K,6,0),"")</f>
        <v/>
      </c>
      <c r="K1228" s="86"/>
      <c r="L1228" s="84" t="str">
        <f>IFERROR(VLOOKUP(CONCATENATE($B1228,"_",L$3),materiali!$C:$K,5,0),"")</f>
        <v/>
      </c>
      <c r="M1228" s="85" t="str">
        <f>IFERROR(VLOOKUP(CONCATENATE($B1228,"_",M$3),materiali!$C:$K,6,0),"")</f>
        <v/>
      </c>
      <c r="N1228" s="86"/>
      <c r="O1228" s="84" t="str">
        <f>IFERROR(VLOOKUP(CONCATENATE($B1228,"_",O$3),materiali!$C:$K,5,0),"")</f>
        <v/>
      </c>
      <c r="P1228" s="85" t="str">
        <f>IFERROR(VLOOKUP(CONCATENATE($B1228,"_",P$3),materiali!$C:$K,6,0),"")</f>
        <v/>
      </c>
      <c r="Q1228" s="86"/>
      <c r="R1228" s="84" t="str">
        <f>IFERROR(VLOOKUP(CONCATENATE($B1228,"_",R$3),materiali!$C:$K,5,0),"")</f>
        <v/>
      </c>
      <c r="S1228" s="85" t="str">
        <f>IFERROR(VLOOKUP(CONCATENATE($B1228,"_",S$3),materiali!$C:$K,6,0),"")</f>
        <v/>
      </c>
      <c r="T1228" s="86"/>
      <c r="U1228" s="31"/>
      <c r="AD1228" s="97"/>
    </row>
    <row r="1229" spans="1:30" ht="35.1" hidden="1" customHeight="1" x14ac:dyDescent="0.25">
      <c r="A1229" s="83"/>
      <c r="B1229" s="7"/>
      <c r="C1229" s="8"/>
      <c r="D1229" s="8"/>
      <c r="E1229" s="60"/>
      <c r="F1229" s="84" t="str">
        <f>IFERROR(VLOOKUP(CONCATENATE($B1229,"_",F$3),materiali!$C:$K,5,0),"")</f>
        <v/>
      </c>
      <c r="G1229" s="85" t="str">
        <f>IFERROR(VLOOKUP(CONCATENATE($B1229,"_",G$3),materiali!$C:$K,6,0),"")</f>
        <v/>
      </c>
      <c r="H1229" s="86"/>
      <c r="I1229" s="84" t="str">
        <f>IFERROR(VLOOKUP(CONCATENATE($B1229,"_",I$3),materiali!$C:$K,5,0),"")</f>
        <v/>
      </c>
      <c r="J1229" s="85" t="str">
        <f>IFERROR(VLOOKUP(CONCATENATE($B1229,"_",J$3),materiali!$C:$K,6,0),"")</f>
        <v/>
      </c>
      <c r="K1229" s="86"/>
      <c r="L1229" s="84" t="str">
        <f>IFERROR(VLOOKUP(CONCATENATE($B1229,"_",L$3),materiali!$C:$K,5,0),"")</f>
        <v/>
      </c>
      <c r="M1229" s="85" t="str">
        <f>IFERROR(VLOOKUP(CONCATENATE($B1229,"_",M$3),materiali!$C:$K,6,0),"")</f>
        <v/>
      </c>
      <c r="N1229" s="86"/>
      <c r="O1229" s="84" t="str">
        <f>IFERROR(VLOOKUP(CONCATENATE($B1229,"_",O$3),materiali!$C:$K,5,0),"")</f>
        <v/>
      </c>
      <c r="P1229" s="85" t="str">
        <f>IFERROR(VLOOKUP(CONCATENATE($B1229,"_",P$3),materiali!$C:$K,6,0),"")</f>
        <v/>
      </c>
      <c r="Q1229" s="86"/>
      <c r="R1229" s="84" t="str">
        <f>IFERROR(VLOOKUP(CONCATENATE($B1229,"_",R$3),materiali!$C:$K,5,0),"")</f>
        <v/>
      </c>
      <c r="S1229" s="85" t="str">
        <f>IFERROR(VLOOKUP(CONCATENATE($B1229,"_",S$3),materiali!$C:$K,6,0),"")</f>
        <v/>
      </c>
      <c r="T1229" s="86"/>
      <c r="U1229" s="31"/>
      <c r="AD1229" s="97"/>
    </row>
    <row r="1230" spans="1:30" ht="35.1" hidden="1" customHeight="1" x14ac:dyDescent="0.25">
      <c r="A1230" s="83"/>
      <c r="B1230" s="7"/>
      <c r="C1230" s="8"/>
      <c r="D1230" s="8"/>
      <c r="E1230" s="60"/>
      <c r="F1230" s="84" t="str">
        <f>IFERROR(VLOOKUP(CONCATENATE($B1230,"_",F$3),materiali!$C:$K,5,0),"")</f>
        <v/>
      </c>
      <c r="G1230" s="85" t="str">
        <f>IFERROR(VLOOKUP(CONCATENATE($B1230,"_",G$3),materiali!$C:$K,6,0),"")</f>
        <v/>
      </c>
      <c r="H1230" s="86"/>
      <c r="I1230" s="84" t="str">
        <f>IFERROR(VLOOKUP(CONCATENATE($B1230,"_",I$3),materiali!$C:$K,5,0),"")</f>
        <v/>
      </c>
      <c r="J1230" s="85" t="str">
        <f>IFERROR(VLOOKUP(CONCATENATE($B1230,"_",J$3),materiali!$C:$K,6,0),"")</f>
        <v/>
      </c>
      <c r="K1230" s="86"/>
      <c r="L1230" s="84" t="str">
        <f>IFERROR(VLOOKUP(CONCATENATE($B1230,"_",L$3),materiali!$C:$K,5,0),"")</f>
        <v/>
      </c>
      <c r="M1230" s="85" t="str">
        <f>IFERROR(VLOOKUP(CONCATENATE($B1230,"_",M$3),materiali!$C:$K,6,0),"")</f>
        <v/>
      </c>
      <c r="N1230" s="86"/>
      <c r="O1230" s="84" t="str">
        <f>IFERROR(VLOOKUP(CONCATENATE($B1230,"_",O$3),materiali!$C:$K,5,0),"")</f>
        <v/>
      </c>
      <c r="P1230" s="85" t="str">
        <f>IFERROR(VLOOKUP(CONCATENATE($B1230,"_",P$3),materiali!$C:$K,6,0),"")</f>
        <v/>
      </c>
      <c r="Q1230" s="86"/>
      <c r="R1230" s="84" t="str">
        <f>IFERROR(VLOOKUP(CONCATENATE($B1230,"_",R$3),materiali!$C:$K,5,0),"")</f>
        <v/>
      </c>
      <c r="S1230" s="85" t="str">
        <f>IFERROR(VLOOKUP(CONCATENATE($B1230,"_",S$3),materiali!$C:$K,6,0),"")</f>
        <v/>
      </c>
      <c r="T1230" s="86"/>
      <c r="U1230" s="31"/>
      <c r="AD1230" s="97"/>
    </row>
    <row r="1231" spans="1:30" ht="35.1" hidden="1" customHeight="1" x14ac:dyDescent="0.25">
      <c r="A1231" s="83"/>
      <c r="B1231" s="7"/>
      <c r="C1231" s="8"/>
      <c r="D1231" s="8"/>
      <c r="E1231" s="60"/>
      <c r="F1231" s="84" t="str">
        <f>IFERROR(VLOOKUP(CONCATENATE($B1231,"_",F$3),materiali!$C:$K,5,0),"")</f>
        <v/>
      </c>
      <c r="G1231" s="85" t="str">
        <f>IFERROR(VLOOKUP(CONCATENATE($B1231,"_",G$3),materiali!$C:$K,6,0),"")</f>
        <v/>
      </c>
      <c r="H1231" s="86"/>
      <c r="I1231" s="84" t="str">
        <f>IFERROR(VLOOKUP(CONCATENATE($B1231,"_",I$3),materiali!$C:$K,5,0),"")</f>
        <v/>
      </c>
      <c r="J1231" s="85" t="str">
        <f>IFERROR(VLOOKUP(CONCATENATE($B1231,"_",J$3),materiali!$C:$K,6,0),"")</f>
        <v/>
      </c>
      <c r="K1231" s="86"/>
      <c r="L1231" s="84" t="str">
        <f>IFERROR(VLOOKUP(CONCATENATE($B1231,"_",L$3),materiali!$C:$K,5,0),"")</f>
        <v/>
      </c>
      <c r="M1231" s="85" t="str">
        <f>IFERROR(VLOOKUP(CONCATENATE($B1231,"_",M$3),materiali!$C:$K,6,0),"")</f>
        <v/>
      </c>
      <c r="N1231" s="86"/>
      <c r="O1231" s="84" t="str">
        <f>IFERROR(VLOOKUP(CONCATENATE($B1231,"_",O$3),materiali!$C:$K,5,0),"")</f>
        <v/>
      </c>
      <c r="P1231" s="85" t="str">
        <f>IFERROR(VLOOKUP(CONCATENATE($B1231,"_",P$3),materiali!$C:$K,6,0),"")</f>
        <v/>
      </c>
      <c r="Q1231" s="86"/>
      <c r="R1231" s="84" t="str">
        <f>IFERROR(VLOOKUP(CONCATENATE($B1231,"_",R$3),materiali!$C:$K,5,0),"")</f>
        <v/>
      </c>
      <c r="S1231" s="85" t="str">
        <f>IFERROR(VLOOKUP(CONCATENATE($B1231,"_",S$3),materiali!$C:$K,6,0),"")</f>
        <v/>
      </c>
      <c r="T1231" s="86"/>
      <c r="U1231" s="31"/>
      <c r="AD1231" s="97"/>
    </row>
    <row r="1232" spans="1:30" ht="35.1" hidden="1" customHeight="1" x14ac:dyDescent="0.25">
      <c r="A1232" s="83"/>
      <c r="B1232" s="7"/>
      <c r="C1232" s="8"/>
      <c r="D1232" s="8"/>
      <c r="E1232" s="60"/>
      <c r="F1232" s="84" t="str">
        <f>IFERROR(VLOOKUP(CONCATENATE($B1232,"_",F$3),materiali!$C:$K,5,0),"")</f>
        <v/>
      </c>
      <c r="G1232" s="85" t="str">
        <f>IFERROR(VLOOKUP(CONCATENATE($B1232,"_",G$3),materiali!$C:$K,6,0),"")</f>
        <v/>
      </c>
      <c r="H1232" s="86"/>
      <c r="I1232" s="84" t="str">
        <f>IFERROR(VLOOKUP(CONCATENATE($B1232,"_",I$3),materiali!$C:$K,5,0),"")</f>
        <v/>
      </c>
      <c r="J1232" s="85" t="str">
        <f>IFERROR(VLOOKUP(CONCATENATE($B1232,"_",J$3),materiali!$C:$K,6,0),"")</f>
        <v/>
      </c>
      <c r="K1232" s="86"/>
      <c r="L1232" s="84" t="str">
        <f>IFERROR(VLOOKUP(CONCATENATE($B1232,"_",L$3),materiali!$C:$K,5,0),"")</f>
        <v/>
      </c>
      <c r="M1232" s="85" t="str">
        <f>IFERROR(VLOOKUP(CONCATENATE($B1232,"_",M$3),materiali!$C:$K,6,0),"")</f>
        <v/>
      </c>
      <c r="N1232" s="86"/>
      <c r="O1232" s="84" t="str">
        <f>IFERROR(VLOOKUP(CONCATENATE($B1232,"_",O$3),materiali!$C:$K,5,0),"")</f>
        <v/>
      </c>
      <c r="P1232" s="85" t="str">
        <f>IFERROR(VLOOKUP(CONCATENATE($B1232,"_",P$3),materiali!$C:$K,6,0),"")</f>
        <v/>
      </c>
      <c r="Q1232" s="86"/>
      <c r="R1232" s="84" t="str">
        <f>IFERROR(VLOOKUP(CONCATENATE($B1232,"_",R$3),materiali!$C:$K,5,0),"")</f>
        <v/>
      </c>
      <c r="S1232" s="85" t="str">
        <f>IFERROR(VLOOKUP(CONCATENATE($B1232,"_",S$3),materiali!$C:$K,6,0),"")</f>
        <v/>
      </c>
      <c r="T1232" s="86"/>
      <c r="U1232" s="31"/>
      <c r="AD1232" s="97"/>
    </row>
    <row r="1233" spans="1:30" ht="35.1" hidden="1" customHeight="1" x14ac:dyDescent="0.25">
      <c r="A1233" s="83"/>
      <c r="B1233" s="7"/>
      <c r="C1233" s="8"/>
      <c r="D1233" s="8"/>
      <c r="E1233" s="60"/>
      <c r="F1233" s="84" t="str">
        <f>IFERROR(VLOOKUP(CONCATENATE($B1233,"_",F$3),materiali!$C:$K,5,0),"")</f>
        <v/>
      </c>
      <c r="G1233" s="85" t="str">
        <f>IFERROR(VLOOKUP(CONCATENATE($B1233,"_",G$3),materiali!$C:$K,6,0),"")</f>
        <v/>
      </c>
      <c r="H1233" s="86"/>
      <c r="I1233" s="84" t="str">
        <f>IFERROR(VLOOKUP(CONCATENATE($B1233,"_",I$3),materiali!$C:$K,5,0),"")</f>
        <v/>
      </c>
      <c r="J1233" s="85" t="str">
        <f>IFERROR(VLOOKUP(CONCATENATE($B1233,"_",J$3),materiali!$C:$K,6,0),"")</f>
        <v/>
      </c>
      <c r="K1233" s="86"/>
      <c r="L1233" s="84" t="str">
        <f>IFERROR(VLOOKUP(CONCATENATE($B1233,"_",L$3),materiali!$C:$K,5,0),"")</f>
        <v/>
      </c>
      <c r="M1233" s="85" t="str">
        <f>IFERROR(VLOOKUP(CONCATENATE($B1233,"_",M$3),materiali!$C:$K,6,0),"")</f>
        <v/>
      </c>
      <c r="N1233" s="86"/>
      <c r="O1233" s="84" t="str">
        <f>IFERROR(VLOOKUP(CONCATENATE($B1233,"_",O$3),materiali!$C:$K,5,0),"")</f>
        <v/>
      </c>
      <c r="P1233" s="85" t="str">
        <f>IFERROR(VLOOKUP(CONCATENATE($B1233,"_",P$3),materiali!$C:$K,6,0),"")</f>
        <v/>
      </c>
      <c r="Q1233" s="86"/>
      <c r="R1233" s="84" t="str">
        <f>IFERROR(VLOOKUP(CONCATENATE($B1233,"_",R$3),materiali!$C:$K,5,0),"")</f>
        <v/>
      </c>
      <c r="S1233" s="85" t="str">
        <f>IFERROR(VLOOKUP(CONCATENATE($B1233,"_",S$3),materiali!$C:$K,6,0),"")</f>
        <v/>
      </c>
      <c r="T1233" s="86"/>
      <c r="U1233" s="31"/>
      <c r="AD1233" s="97"/>
    </row>
    <row r="1234" spans="1:30" ht="35.1" hidden="1" customHeight="1" x14ac:dyDescent="0.25">
      <c r="A1234" s="83"/>
      <c r="B1234" s="7"/>
      <c r="C1234" s="8"/>
      <c r="D1234" s="8"/>
      <c r="E1234" s="60"/>
      <c r="F1234" s="84" t="str">
        <f>IFERROR(VLOOKUP(CONCATENATE($B1234,"_",F$3),materiali!$C:$K,5,0),"")</f>
        <v/>
      </c>
      <c r="G1234" s="85" t="str">
        <f>IFERROR(VLOOKUP(CONCATENATE($B1234,"_",G$3),materiali!$C:$K,6,0),"")</f>
        <v/>
      </c>
      <c r="H1234" s="86"/>
      <c r="I1234" s="84" t="str">
        <f>IFERROR(VLOOKUP(CONCATENATE($B1234,"_",I$3),materiali!$C:$K,5,0),"")</f>
        <v/>
      </c>
      <c r="J1234" s="85" t="str">
        <f>IFERROR(VLOOKUP(CONCATENATE($B1234,"_",J$3),materiali!$C:$K,6,0),"")</f>
        <v/>
      </c>
      <c r="K1234" s="86"/>
      <c r="L1234" s="84" t="str">
        <f>IFERROR(VLOOKUP(CONCATENATE($B1234,"_",L$3),materiali!$C:$K,5,0),"")</f>
        <v/>
      </c>
      <c r="M1234" s="85" t="str">
        <f>IFERROR(VLOOKUP(CONCATENATE($B1234,"_",M$3),materiali!$C:$K,6,0),"")</f>
        <v/>
      </c>
      <c r="N1234" s="86"/>
      <c r="O1234" s="84" t="str">
        <f>IFERROR(VLOOKUP(CONCATENATE($B1234,"_",O$3),materiali!$C:$K,5,0),"")</f>
        <v/>
      </c>
      <c r="P1234" s="85" t="str">
        <f>IFERROR(VLOOKUP(CONCATENATE($B1234,"_",P$3),materiali!$C:$K,6,0),"")</f>
        <v/>
      </c>
      <c r="Q1234" s="86"/>
      <c r="R1234" s="84" t="str">
        <f>IFERROR(VLOOKUP(CONCATENATE($B1234,"_",R$3),materiali!$C:$K,5,0),"")</f>
        <v/>
      </c>
      <c r="S1234" s="85" t="str">
        <f>IFERROR(VLOOKUP(CONCATENATE($B1234,"_",S$3),materiali!$C:$K,6,0),"")</f>
        <v/>
      </c>
      <c r="T1234" s="86"/>
      <c r="U1234" s="31"/>
      <c r="AD1234" s="97"/>
    </row>
    <row r="1235" spans="1:30" ht="35.1" hidden="1" customHeight="1" x14ac:dyDescent="0.25">
      <c r="A1235" s="83"/>
      <c r="B1235" s="7"/>
      <c r="C1235" s="8"/>
      <c r="D1235" s="8"/>
      <c r="E1235" s="60"/>
      <c r="F1235" s="84" t="str">
        <f>IFERROR(VLOOKUP(CONCATENATE($B1235,"_",F$3),materiali!$C:$K,5,0),"")</f>
        <v/>
      </c>
      <c r="G1235" s="85" t="str">
        <f>IFERROR(VLOOKUP(CONCATENATE($B1235,"_",G$3),materiali!$C:$K,6,0),"")</f>
        <v/>
      </c>
      <c r="H1235" s="86"/>
      <c r="I1235" s="84" t="str">
        <f>IFERROR(VLOOKUP(CONCATENATE($B1235,"_",I$3),materiali!$C:$K,5,0),"")</f>
        <v/>
      </c>
      <c r="J1235" s="85" t="str">
        <f>IFERROR(VLOOKUP(CONCATENATE($B1235,"_",J$3),materiali!$C:$K,6,0),"")</f>
        <v/>
      </c>
      <c r="K1235" s="86"/>
      <c r="L1235" s="84" t="str">
        <f>IFERROR(VLOOKUP(CONCATENATE($B1235,"_",L$3),materiali!$C:$K,5,0),"")</f>
        <v/>
      </c>
      <c r="M1235" s="85" t="str">
        <f>IFERROR(VLOOKUP(CONCATENATE($B1235,"_",M$3),materiali!$C:$K,6,0),"")</f>
        <v/>
      </c>
      <c r="N1235" s="86"/>
      <c r="O1235" s="84" t="str">
        <f>IFERROR(VLOOKUP(CONCATENATE($B1235,"_",O$3),materiali!$C:$K,5,0),"")</f>
        <v/>
      </c>
      <c r="P1235" s="85" t="str">
        <f>IFERROR(VLOOKUP(CONCATENATE($B1235,"_",P$3),materiali!$C:$K,6,0),"")</f>
        <v/>
      </c>
      <c r="Q1235" s="86"/>
      <c r="R1235" s="84" t="str">
        <f>IFERROR(VLOOKUP(CONCATENATE($B1235,"_",R$3),materiali!$C:$K,5,0),"")</f>
        <v/>
      </c>
      <c r="S1235" s="85" t="str">
        <f>IFERROR(VLOOKUP(CONCATENATE($B1235,"_",S$3),materiali!$C:$K,6,0),"")</f>
        <v/>
      </c>
      <c r="T1235" s="86"/>
      <c r="U1235" s="31"/>
      <c r="AD1235" s="97"/>
    </row>
    <row r="1236" spans="1:30" ht="35.1" hidden="1" customHeight="1" x14ac:dyDescent="0.25">
      <c r="A1236" s="83"/>
      <c r="B1236" s="7"/>
      <c r="C1236" s="8"/>
      <c r="D1236" s="8"/>
      <c r="E1236" s="60"/>
      <c r="F1236" s="84" t="str">
        <f>IFERROR(VLOOKUP(CONCATENATE($B1236,"_",F$3),materiali!$C:$K,5,0),"")</f>
        <v/>
      </c>
      <c r="G1236" s="85" t="str">
        <f>IFERROR(VLOOKUP(CONCATENATE($B1236,"_",G$3),materiali!$C:$K,6,0),"")</f>
        <v/>
      </c>
      <c r="H1236" s="86"/>
      <c r="I1236" s="84" t="str">
        <f>IFERROR(VLOOKUP(CONCATENATE($B1236,"_",I$3),materiali!$C:$K,5,0),"")</f>
        <v/>
      </c>
      <c r="J1236" s="85" t="str">
        <f>IFERROR(VLOOKUP(CONCATENATE($B1236,"_",J$3),materiali!$C:$K,6,0),"")</f>
        <v/>
      </c>
      <c r="K1236" s="86"/>
      <c r="L1236" s="84" t="str">
        <f>IFERROR(VLOOKUP(CONCATENATE($B1236,"_",L$3),materiali!$C:$K,5,0),"")</f>
        <v/>
      </c>
      <c r="M1236" s="85" t="str">
        <f>IFERROR(VLOOKUP(CONCATENATE($B1236,"_",M$3),materiali!$C:$K,6,0),"")</f>
        <v/>
      </c>
      <c r="N1236" s="86"/>
      <c r="O1236" s="84" t="str">
        <f>IFERROR(VLOOKUP(CONCATENATE($B1236,"_",O$3),materiali!$C:$K,5,0),"")</f>
        <v/>
      </c>
      <c r="P1236" s="85" t="str">
        <f>IFERROR(VLOOKUP(CONCATENATE($B1236,"_",P$3),materiali!$C:$K,6,0),"")</f>
        <v/>
      </c>
      <c r="Q1236" s="86"/>
      <c r="R1236" s="84" t="str">
        <f>IFERROR(VLOOKUP(CONCATENATE($B1236,"_",R$3),materiali!$C:$K,5,0),"")</f>
        <v/>
      </c>
      <c r="S1236" s="85" t="str">
        <f>IFERROR(VLOOKUP(CONCATENATE($B1236,"_",S$3),materiali!$C:$K,6,0),"")</f>
        <v/>
      </c>
      <c r="T1236" s="86"/>
      <c r="U1236" s="31"/>
      <c r="AD1236" s="97"/>
    </row>
    <row r="1237" spans="1:30" ht="35.1" hidden="1" customHeight="1" x14ac:dyDescent="0.25">
      <c r="A1237" s="83"/>
      <c r="B1237" s="7"/>
      <c r="C1237" s="8"/>
      <c r="D1237" s="8"/>
      <c r="E1237" s="60"/>
      <c r="F1237" s="84" t="str">
        <f>IFERROR(VLOOKUP(CONCATENATE($B1237,"_",F$3),materiali!$C:$K,5,0),"")</f>
        <v/>
      </c>
      <c r="G1237" s="85" t="str">
        <f>IFERROR(VLOOKUP(CONCATENATE($B1237,"_",G$3),materiali!$C:$K,6,0),"")</f>
        <v/>
      </c>
      <c r="H1237" s="86"/>
      <c r="I1237" s="84" t="str">
        <f>IFERROR(VLOOKUP(CONCATENATE($B1237,"_",I$3),materiali!$C:$K,5,0),"")</f>
        <v/>
      </c>
      <c r="J1237" s="85" t="str">
        <f>IFERROR(VLOOKUP(CONCATENATE($B1237,"_",J$3),materiali!$C:$K,6,0),"")</f>
        <v/>
      </c>
      <c r="K1237" s="86"/>
      <c r="L1237" s="84" t="str">
        <f>IFERROR(VLOOKUP(CONCATENATE($B1237,"_",L$3),materiali!$C:$K,5,0),"")</f>
        <v/>
      </c>
      <c r="M1237" s="85" t="str">
        <f>IFERROR(VLOOKUP(CONCATENATE($B1237,"_",M$3),materiali!$C:$K,6,0),"")</f>
        <v/>
      </c>
      <c r="N1237" s="86"/>
      <c r="O1237" s="84" t="str">
        <f>IFERROR(VLOOKUP(CONCATENATE($B1237,"_",O$3),materiali!$C:$K,5,0),"")</f>
        <v/>
      </c>
      <c r="P1237" s="85" t="str">
        <f>IFERROR(VLOOKUP(CONCATENATE($B1237,"_",P$3),materiali!$C:$K,6,0),"")</f>
        <v/>
      </c>
      <c r="Q1237" s="86"/>
      <c r="R1237" s="84" t="str">
        <f>IFERROR(VLOOKUP(CONCATENATE($B1237,"_",R$3),materiali!$C:$K,5,0),"")</f>
        <v/>
      </c>
      <c r="S1237" s="85" t="str">
        <f>IFERROR(VLOOKUP(CONCATENATE($B1237,"_",S$3),materiali!$C:$K,6,0),"")</f>
        <v/>
      </c>
      <c r="T1237" s="86"/>
      <c r="U1237" s="31"/>
      <c r="AD1237" s="97"/>
    </row>
    <row r="1238" spans="1:30" ht="35.1" hidden="1" customHeight="1" x14ac:dyDescent="0.25">
      <c r="A1238" s="83"/>
      <c r="B1238" s="7"/>
      <c r="C1238" s="8"/>
      <c r="D1238" s="8"/>
      <c r="E1238" s="60"/>
      <c r="F1238" s="84" t="str">
        <f>IFERROR(VLOOKUP(CONCATENATE($B1238,"_",F$3),materiali!$C:$K,5,0),"")</f>
        <v/>
      </c>
      <c r="G1238" s="85" t="str">
        <f>IFERROR(VLOOKUP(CONCATENATE($B1238,"_",G$3),materiali!$C:$K,6,0),"")</f>
        <v/>
      </c>
      <c r="H1238" s="86"/>
      <c r="I1238" s="84" t="str">
        <f>IFERROR(VLOOKUP(CONCATENATE($B1238,"_",I$3),materiali!$C:$K,5,0),"")</f>
        <v/>
      </c>
      <c r="J1238" s="85" t="str">
        <f>IFERROR(VLOOKUP(CONCATENATE($B1238,"_",J$3),materiali!$C:$K,6,0),"")</f>
        <v/>
      </c>
      <c r="K1238" s="86"/>
      <c r="L1238" s="84" t="str">
        <f>IFERROR(VLOOKUP(CONCATENATE($B1238,"_",L$3),materiali!$C:$K,5,0),"")</f>
        <v/>
      </c>
      <c r="M1238" s="85" t="str">
        <f>IFERROR(VLOOKUP(CONCATENATE($B1238,"_",M$3),materiali!$C:$K,6,0),"")</f>
        <v/>
      </c>
      <c r="N1238" s="86"/>
      <c r="O1238" s="84" t="str">
        <f>IFERROR(VLOOKUP(CONCATENATE($B1238,"_",O$3),materiali!$C:$K,5,0),"")</f>
        <v/>
      </c>
      <c r="P1238" s="85" t="str">
        <f>IFERROR(VLOOKUP(CONCATENATE($B1238,"_",P$3),materiali!$C:$K,6,0),"")</f>
        <v/>
      </c>
      <c r="Q1238" s="86"/>
      <c r="R1238" s="84" t="str">
        <f>IFERROR(VLOOKUP(CONCATENATE($B1238,"_",R$3),materiali!$C:$K,5,0),"")</f>
        <v/>
      </c>
      <c r="S1238" s="85" t="str">
        <f>IFERROR(VLOOKUP(CONCATENATE($B1238,"_",S$3),materiali!$C:$K,6,0),"")</f>
        <v/>
      </c>
      <c r="T1238" s="86"/>
      <c r="U1238" s="31"/>
      <c r="AD1238" s="97"/>
    </row>
    <row r="1239" spans="1:30" ht="35.1" hidden="1" customHeight="1" x14ac:dyDescent="0.25">
      <c r="A1239" s="83"/>
      <c r="B1239" s="7"/>
      <c r="C1239" s="8"/>
      <c r="D1239" s="8"/>
      <c r="E1239" s="60"/>
      <c r="F1239" s="84" t="str">
        <f>IFERROR(VLOOKUP(CONCATENATE($B1239,"_",F$3),materiali!$C:$K,5,0),"")</f>
        <v/>
      </c>
      <c r="G1239" s="85" t="str">
        <f>IFERROR(VLOOKUP(CONCATENATE($B1239,"_",G$3),materiali!$C:$K,6,0),"")</f>
        <v/>
      </c>
      <c r="H1239" s="86"/>
      <c r="I1239" s="84" t="str">
        <f>IFERROR(VLOOKUP(CONCATENATE($B1239,"_",I$3),materiali!$C:$K,5,0),"")</f>
        <v/>
      </c>
      <c r="J1239" s="85" t="str">
        <f>IFERROR(VLOOKUP(CONCATENATE($B1239,"_",J$3),materiali!$C:$K,6,0),"")</f>
        <v/>
      </c>
      <c r="K1239" s="86"/>
      <c r="L1239" s="84" t="str">
        <f>IFERROR(VLOOKUP(CONCATENATE($B1239,"_",L$3),materiali!$C:$K,5,0),"")</f>
        <v/>
      </c>
      <c r="M1239" s="85" t="str">
        <f>IFERROR(VLOOKUP(CONCATENATE($B1239,"_",M$3),materiali!$C:$K,6,0),"")</f>
        <v/>
      </c>
      <c r="N1239" s="86"/>
      <c r="O1239" s="84" t="str">
        <f>IFERROR(VLOOKUP(CONCATENATE($B1239,"_",O$3),materiali!$C:$K,5,0),"")</f>
        <v/>
      </c>
      <c r="P1239" s="85" t="str">
        <f>IFERROR(VLOOKUP(CONCATENATE($B1239,"_",P$3),materiali!$C:$K,6,0),"")</f>
        <v/>
      </c>
      <c r="Q1239" s="86"/>
      <c r="R1239" s="84" t="str">
        <f>IFERROR(VLOOKUP(CONCATENATE($B1239,"_",R$3),materiali!$C:$K,5,0),"")</f>
        <v/>
      </c>
      <c r="S1239" s="85" t="str">
        <f>IFERROR(VLOOKUP(CONCATENATE($B1239,"_",S$3),materiali!$C:$K,6,0),"")</f>
        <v/>
      </c>
      <c r="T1239" s="86"/>
      <c r="U1239" s="31"/>
      <c r="AD1239" s="97"/>
    </row>
    <row r="1240" spans="1:30" ht="35.1" hidden="1" customHeight="1" x14ac:dyDescent="0.25">
      <c r="A1240" s="83"/>
      <c r="B1240" s="7"/>
      <c r="C1240" s="8"/>
      <c r="D1240" s="8"/>
      <c r="E1240" s="60"/>
      <c r="F1240" s="84" t="str">
        <f>IFERROR(VLOOKUP(CONCATENATE($B1240,"_",F$3),materiali!$C:$K,5,0),"")</f>
        <v/>
      </c>
      <c r="G1240" s="85" t="str">
        <f>IFERROR(VLOOKUP(CONCATENATE($B1240,"_",G$3),materiali!$C:$K,6,0),"")</f>
        <v/>
      </c>
      <c r="H1240" s="86"/>
      <c r="I1240" s="84" t="str">
        <f>IFERROR(VLOOKUP(CONCATENATE($B1240,"_",I$3),materiali!$C:$K,5,0),"")</f>
        <v/>
      </c>
      <c r="J1240" s="85" t="str">
        <f>IFERROR(VLOOKUP(CONCATENATE($B1240,"_",J$3),materiali!$C:$K,6,0),"")</f>
        <v/>
      </c>
      <c r="K1240" s="86"/>
      <c r="L1240" s="84" t="str">
        <f>IFERROR(VLOOKUP(CONCATENATE($B1240,"_",L$3),materiali!$C:$K,5,0),"")</f>
        <v/>
      </c>
      <c r="M1240" s="85" t="str">
        <f>IFERROR(VLOOKUP(CONCATENATE($B1240,"_",M$3),materiali!$C:$K,6,0),"")</f>
        <v/>
      </c>
      <c r="N1240" s="86"/>
      <c r="O1240" s="84" t="str">
        <f>IFERROR(VLOOKUP(CONCATENATE($B1240,"_",O$3),materiali!$C:$K,5,0),"")</f>
        <v/>
      </c>
      <c r="P1240" s="85" t="str">
        <f>IFERROR(VLOOKUP(CONCATENATE($B1240,"_",P$3),materiali!$C:$K,6,0),"")</f>
        <v/>
      </c>
      <c r="Q1240" s="86"/>
      <c r="R1240" s="84" t="str">
        <f>IFERROR(VLOOKUP(CONCATENATE($B1240,"_",R$3),materiali!$C:$K,5,0),"")</f>
        <v/>
      </c>
      <c r="S1240" s="85" t="str">
        <f>IFERROR(VLOOKUP(CONCATENATE($B1240,"_",S$3),materiali!$C:$K,6,0),"")</f>
        <v/>
      </c>
      <c r="T1240" s="86"/>
      <c r="U1240" s="31"/>
      <c r="AD1240" s="97"/>
    </row>
    <row r="1241" spans="1:30" ht="35.1" hidden="1" customHeight="1" x14ac:dyDescent="0.25">
      <c r="A1241" s="83"/>
      <c r="B1241" s="7"/>
      <c r="C1241" s="8"/>
      <c r="D1241" s="8"/>
      <c r="E1241" s="60"/>
      <c r="F1241" s="84" t="str">
        <f>IFERROR(VLOOKUP(CONCATENATE($B1241,"_",F$3),materiali!$C:$K,5,0),"")</f>
        <v/>
      </c>
      <c r="G1241" s="85" t="str">
        <f>IFERROR(VLOOKUP(CONCATENATE($B1241,"_",G$3),materiali!$C:$K,6,0),"")</f>
        <v/>
      </c>
      <c r="H1241" s="86"/>
      <c r="I1241" s="84" t="str">
        <f>IFERROR(VLOOKUP(CONCATENATE($B1241,"_",I$3),materiali!$C:$K,5,0),"")</f>
        <v/>
      </c>
      <c r="J1241" s="85" t="str">
        <f>IFERROR(VLOOKUP(CONCATENATE($B1241,"_",J$3),materiali!$C:$K,6,0),"")</f>
        <v/>
      </c>
      <c r="K1241" s="86"/>
      <c r="L1241" s="84" t="str">
        <f>IFERROR(VLOOKUP(CONCATENATE($B1241,"_",L$3),materiali!$C:$K,5,0),"")</f>
        <v/>
      </c>
      <c r="M1241" s="85" t="str">
        <f>IFERROR(VLOOKUP(CONCATENATE($B1241,"_",M$3),materiali!$C:$K,6,0),"")</f>
        <v/>
      </c>
      <c r="N1241" s="86"/>
      <c r="O1241" s="84" t="str">
        <f>IFERROR(VLOOKUP(CONCATENATE($B1241,"_",O$3),materiali!$C:$K,5,0),"")</f>
        <v/>
      </c>
      <c r="P1241" s="85" t="str">
        <f>IFERROR(VLOOKUP(CONCATENATE($B1241,"_",P$3),materiali!$C:$K,6,0),"")</f>
        <v/>
      </c>
      <c r="Q1241" s="86"/>
      <c r="R1241" s="84" t="str">
        <f>IFERROR(VLOOKUP(CONCATENATE($B1241,"_",R$3),materiali!$C:$K,5,0),"")</f>
        <v/>
      </c>
      <c r="S1241" s="85" t="str">
        <f>IFERROR(VLOOKUP(CONCATENATE($B1241,"_",S$3),materiali!$C:$K,6,0),"")</f>
        <v/>
      </c>
      <c r="T1241" s="86"/>
      <c r="U1241" s="31"/>
      <c r="AD1241" s="97"/>
    </row>
    <row r="1242" spans="1:30" ht="35.1" hidden="1" customHeight="1" x14ac:dyDescent="0.25">
      <c r="A1242" s="83"/>
      <c r="B1242" s="7"/>
      <c r="C1242" s="8"/>
      <c r="D1242" s="8"/>
      <c r="E1242" s="60"/>
      <c r="F1242" s="84" t="str">
        <f>IFERROR(VLOOKUP(CONCATENATE($B1242,"_",F$3),materiali!$C:$K,5,0),"")</f>
        <v/>
      </c>
      <c r="G1242" s="85" t="str">
        <f>IFERROR(VLOOKUP(CONCATENATE($B1242,"_",G$3),materiali!$C:$K,6,0),"")</f>
        <v/>
      </c>
      <c r="H1242" s="86"/>
      <c r="I1242" s="84" t="str">
        <f>IFERROR(VLOOKUP(CONCATENATE($B1242,"_",I$3),materiali!$C:$K,5,0),"")</f>
        <v/>
      </c>
      <c r="J1242" s="85" t="str">
        <f>IFERROR(VLOOKUP(CONCATENATE($B1242,"_",J$3),materiali!$C:$K,6,0),"")</f>
        <v/>
      </c>
      <c r="K1242" s="86"/>
      <c r="L1242" s="84" t="str">
        <f>IFERROR(VLOOKUP(CONCATENATE($B1242,"_",L$3),materiali!$C:$K,5,0),"")</f>
        <v/>
      </c>
      <c r="M1242" s="85" t="str">
        <f>IFERROR(VLOOKUP(CONCATENATE($B1242,"_",M$3),materiali!$C:$K,6,0),"")</f>
        <v/>
      </c>
      <c r="N1242" s="86"/>
      <c r="O1242" s="84" t="str">
        <f>IFERROR(VLOOKUP(CONCATENATE($B1242,"_",O$3),materiali!$C:$K,5,0),"")</f>
        <v/>
      </c>
      <c r="P1242" s="85" t="str">
        <f>IFERROR(VLOOKUP(CONCATENATE($B1242,"_",P$3),materiali!$C:$K,6,0),"")</f>
        <v/>
      </c>
      <c r="Q1242" s="86"/>
      <c r="R1242" s="84" t="str">
        <f>IFERROR(VLOOKUP(CONCATENATE($B1242,"_",R$3),materiali!$C:$K,5,0),"")</f>
        <v/>
      </c>
      <c r="S1242" s="85" t="str">
        <f>IFERROR(VLOOKUP(CONCATENATE($B1242,"_",S$3),materiali!$C:$K,6,0),"")</f>
        <v/>
      </c>
      <c r="T1242" s="86"/>
      <c r="U1242" s="31"/>
      <c r="AD1242" s="97"/>
    </row>
    <row r="1243" spans="1:30" ht="35.1" hidden="1" customHeight="1" x14ac:dyDescent="0.25">
      <c r="A1243" s="83"/>
      <c r="B1243" s="7"/>
      <c r="C1243" s="8"/>
      <c r="D1243" s="8"/>
      <c r="E1243" s="60"/>
      <c r="F1243" s="84" t="str">
        <f>IFERROR(VLOOKUP(CONCATENATE($B1243,"_",F$3),materiali!$C:$K,5,0),"")</f>
        <v/>
      </c>
      <c r="G1243" s="85" t="str">
        <f>IFERROR(VLOOKUP(CONCATENATE($B1243,"_",G$3),materiali!$C:$K,6,0),"")</f>
        <v/>
      </c>
      <c r="H1243" s="86"/>
      <c r="I1243" s="84" t="str">
        <f>IFERROR(VLOOKUP(CONCATENATE($B1243,"_",I$3),materiali!$C:$K,5,0),"")</f>
        <v/>
      </c>
      <c r="J1243" s="85" t="str">
        <f>IFERROR(VLOOKUP(CONCATENATE($B1243,"_",J$3),materiali!$C:$K,6,0),"")</f>
        <v/>
      </c>
      <c r="K1243" s="86"/>
      <c r="L1243" s="84" t="str">
        <f>IFERROR(VLOOKUP(CONCATENATE($B1243,"_",L$3),materiali!$C:$K,5,0),"")</f>
        <v/>
      </c>
      <c r="M1243" s="85" t="str">
        <f>IFERROR(VLOOKUP(CONCATENATE($B1243,"_",M$3),materiali!$C:$K,6,0),"")</f>
        <v/>
      </c>
      <c r="N1243" s="86"/>
      <c r="O1243" s="84" t="str">
        <f>IFERROR(VLOOKUP(CONCATENATE($B1243,"_",O$3),materiali!$C:$K,5,0),"")</f>
        <v/>
      </c>
      <c r="P1243" s="85" t="str">
        <f>IFERROR(VLOOKUP(CONCATENATE($B1243,"_",P$3),materiali!$C:$K,6,0),"")</f>
        <v/>
      </c>
      <c r="Q1243" s="86"/>
      <c r="R1243" s="84" t="str">
        <f>IFERROR(VLOOKUP(CONCATENATE($B1243,"_",R$3),materiali!$C:$K,5,0),"")</f>
        <v/>
      </c>
      <c r="S1243" s="85" t="str">
        <f>IFERROR(VLOOKUP(CONCATENATE($B1243,"_",S$3),materiali!$C:$K,6,0),"")</f>
        <v/>
      </c>
      <c r="T1243" s="86"/>
      <c r="U1243" s="31"/>
      <c r="AD1243" s="97"/>
    </row>
    <row r="1244" spans="1:30" ht="35.1" hidden="1" customHeight="1" x14ac:dyDescent="0.25">
      <c r="A1244" s="83"/>
      <c r="B1244" s="7"/>
      <c r="C1244" s="8"/>
      <c r="D1244" s="8"/>
      <c r="E1244" s="60"/>
      <c r="F1244" s="84" t="str">
        <f>IFERROR(VLOOKUP(CONCATENATE($B1244,"_",F$3),materiali!$C:$K,5,0),"")</f>
        <v/>
      </c>
      <c r="G1244" s="85" t="str">
        <f>IFERROR(VLOOKUP(CONCATENATE($B1244,"_",G$3),materiali!$C:$K,6,0),"")</f>
        <v/>
      </c>
      <c r="H1244" s="86"/>
      <c r="I1244" s="84" t="str">
        <f>IFERROR(VLOOKUP(CONCATENATE($B1244,"_",I$3),materiali!$C:$K,5,0),"")</f>
        <v/>
      </c>
      <c r="J1244" s="85" t="str">
        <f>IFERROR(VLOOKUP(CONCATENATE($B1244,"_",J$3),materiali!$C:$K,6,0),"")</f>
        <v/>
      </c>
      <c r="K1244" s="86"/>
      <c r="L1244" s="84" t="str">
        <f>IFERROR(VLOOKUP(CONCATENATE($B1244,"_",L$3),materiali!$C:$K,5,0),"")</f>
        <v/>
      </c>
      <c r="M1244" s="85" t="str">
        <f>IFERROR(VLOOKUP(CONCATENATE($B1244,"_",M$3),materiali!$C:$K,6,0),"")</f>
        <v/>
      </c>
      <c r="N1244" s="86"/>
      <c r="O1244" s="84" t="str">
        <f>IFERROR(VLOOKUP(CONCATENATE($B1244,"_",O$3),materiali!$C:$K,5,0),"")</f>
        <v/>
      </c>
      <c r="P1244" s="85" t="str">
        <f>IFERROR(VLOOKUP(CONCATENATE($B1244,"_",P$3),materiali!$C:$K,6,0),"")</f>
        <v/>
      </c>
      <c r="Q1244" s="86"/>
      <c r="R1244" s="84" t="str">
        <f>IFERROR(VLOOKUP(CONCATENATE($B1244,"_",R$3),materiali!$C:$K,5,0),"")</f>
        <v/>
      </c>
      <c r="S1244" s="85" t="str">
        <f>IFERROR(VLOOKUP(CONCATENATE($B1244,"_",S$3),materiali!$C:$K,6,0),"")</f>
        <v/>
      </c>
      <c r="T1244" s="86"/>
      <c r="U1244" s="31"/>
      <c r="AD1244" s="97"/>
    </row>
    <row r="1245" spans="1:30" ht="35.1" hidden="1" customHeight="1" x14ac:dyDescent="0.25">
      <c r="A1245" s="83"/>
      <c r="B1245" s="7"/>
      <c r="C1245" s="8"/>
      <c r="D1245" s="8"/>
      <c r="E1245" s="60"/>
      <c r="F1245" s="84" t="str">
        <f>IFERROR(VLOOKUP(CONCATENATE($B1245,"_",F$3),materiali!$C:$K,5,0),"")</f>
        <v/>
      </c>
      <c r="G1245" s="85" t="str">
        <f>IFERROR(VLOOKUP(CONCATENATE($B1245,"_",G$3),materiali!$C:$K,6,0),"")</f>
        <v/>
      </c>
      <c r="H1245" s="86"/>
      <c r="I1245" s="84" t="str">
        <f>IFERROR(VLOOKUP(CONCATENATE($B1245,"_",I$3),materiali!$C:$K,5,0),"")</f>
        <v/>
      </c>
      <c r="J1245" s="85" t="str">
        <f>IFERROR(VLOOKUP(CONCATENATE($B1245,"_",J$3),materiali!$C:$K,6,0),"")</f>
        <v/>
      </c>
      <c r="K1245" s="86"/>
      <c r="L1245" s="84" t="str">
        <f>IFERROR(VLOOKUP(CONCATENATE($B1245,"_",L$3),materiali!$C:$K,5,0),"")</f>
        <v/>
      </c>
      <c r="M1245" s="85" t="str">
        <f>IFERROR(VLOOKUP(CONCATENATE($B1245,"_",M$3),materiali!$C:$K,6,0),"")</f>
        <v/>
      </c>
      <c r="N1245" s="86"/>
      <c r="O1245" s="84" t="str">
        <f>IFERROR(VLOOKUP(CONCATENATE($B1245,"_",O$3),materiali!$C:$K,5,0),"")</f>
        <v/>
      </c>
      <c r="P1245" s="85" t="str">
        <f>IFERROR(VLOOKUP(CONCATENATE($B1245,"_",P$3),materiali!$C:$K,6,0),"")</f>
        <v/>
      </c>
      <c r="Q1245" s="86"/>
      <c r="R1245" s="84" t="str">
        <f>IFERROR(VLOOKUP(CONCATENATE($B1245,"_",R$3),materiali!$C:$K,5,0),"")</f>
        <v/>
      </c>
      <c r="S1245" s="85" t="str">
        <f>IFERROR(VLOOKUP(CONCATENATE($B1245,"_",S$3),materiali!$C:$K,6,0),"")</f>
        <v/>
      </c>
      <c r="T1245" s="86"/>
      <c r="U1245" s="31"/>
      <c r="AD1245" s="97"/>
    </row>
    <row r="1246" spans="1:30" ht="35.1" hidden="1" customHeight="1" x14ac:dyDescent="0.25">
      <c r="A1246" s="83"/>
      <c r="B1246" s="7"/>
      <c r="C1246" s="8"/>
      <c r="D1246" s="8"/>
      <c r="E1246" s="60"/>
      <c r="F1246" s="84" t="str">
        <f>IFERROR(VLOOKUP(CONCATENATE($B1246,"_",F$3),materiali!$C:$K,5,0),"")</f>
        <v/>
      </c>
      <c r="G1246" s="85" t="str">
        <f>IFERROR(VLOOKUP(CONCATENATE($B1246,"_",G$3),materiali!$C:$K,6,0),"")</f>
        <v/>
      </c>
      <c r="H1246" s="86"/>
      <c r="I1246" s="84" t="str">
        <f>IFERROR(VLOOKUP(CONCATENATE($B1246,"_",I$3),materiali!$C:$K,5,0),"")</f>
        <v/>
      </c>
      <c r="J1246" s="85" t="str">
        <f>IFERROR(VLOOKUP(CONCATENATE($B1246,"_",J$3),materiali!$C:$K,6,0),"")</f>
        <v/>
      </c>
      <c r="K1246" s="86"/>
      <c r="L1246" s="84" t="str">
        <f>IFERROR(VLOOKUP(CONCATENATE($B1246,"_",L$3),materiali!$C:$K,5,0),"")</f>
        <v/>
      </c>
      <c r="M1246" s="85" t="str">
        <f>IFERROR(VLOOKUP(CONCATENATE($B1246,"_",M$3),materiali!$C:$K,6,0),"")</f>
        <v/>
      </c>
      <c r="N1246" s="86"/>
      <c r="O1246" s="84" t="str">
        <f>IFERROR(VLOOKUP(CONCATENATE($B1246,"_",O$3),materiali!$C:$K,5,0),"")</f>
        <v/>
      </c>
      <c r="P1246" s="85" t="str">
        <f>IFERROR(VLOOKUP(CONCATENATE($B1246,"_",P$3),materiali!$C:$K,6,0),"")</f>
        <v/>
      </c>
      <c r="Q1246" s="86"/>
      <c r="R1246" s="84" t="str">
        <f>IFERROR(VLOOKUP(CONCATENATE($B1246,"_",R$3),materiali!$C:$K,5,0),"")</f>
        <v/>
      </c>
      <c r="S1246" s="85" t="str">
        <f>IFERROR(VLOOKUP(CONCATENATE($B1246,"_",S$3),materiali!$C:$K,6,0),"")</f>
        <v/>
      </c>
      <c r="T1246" s="86"/>
      <c r="U1246" s="31"/>
      <c r="AD1246" s="97"/>
    </row>
    <row r="1247" spans="1:30" ht="35.1" hidden="1" customHeight="1" x14ac:dyDescent="0.25">
      <c r="A1247" s="83"/>
      <c r="B1247" s="7"/>
      <c r="C1247" s="8"/>
      <c r="D1247" s="8"/>
      <c r="E1247" s="60"/>
      <c r="F1247" s="84" t="str">
        <f>IFERROR(VLOOKUP(CONCATENATE($B1247,"_",F$3),materiali!$C:$K,5,0),"")</f>
        <v/>
      </c>
      <c r="G1247" s="85" t="str">
        <f>IFERROR(VLOOKUP(CONCATENATE($B1247,"_",G$3),materiali!$C:$K,6,0),"")</f>
        <v/>
      </c>
      <c r="H1247" s="86"/>
      <c r="I1247" s="84" t="str">
        <f>IFERROR(VLOOKUP(CONCATENATE($B1247,"_",I$3),materiali!$C:$K,5,0),"")</f>
        <v/>
      </c>
      <c r="J1247" s="85" t="str">
        <f>IFERROR(VLOOKUP(CONCATENATE($B1247,"_",J$3),materiali!$C:$K,6,0),"")</f>
        <v/>
      </c>
      <c r="K1247" s="86"/>
      <c r="L1247" s="84" t="str">
        <f>IFERROR(VLOOKUP(CONCATENATE($B1247,"_",L$3),materiali!$C:$K,5,0),"")</f>
        <v/>
      </c>
      <c r="M1247" s="85" t="str">
        <f>IFERROR(VLOOKUP(CONCATENATE($B1247,"_",M$3),materiali!$C:$K,6,0),"")</f>
        <v/>
      </c>
      <c r="N1247" s="86"/>
      <c r="O1247" s="84" t="str">
        <f>IFERROR(VLOOKUP(CONCATENATE($B1247,"_",O$3),materiali!$C:$K,5,0),"")</f>
        <v/>
      </c>
      <c r="P1247" s="85" t="str">
        <f>IFERROR(VLOOKUP(CONCATENATE($B1247,"_",P$3),materiali!$C:$K,6,0),"")</f>
        <v/>
      </c>
      <c r="Q1247" s="86"/>
      <c r="R1247" s="84" t="str">
        <f>IFERROR(VLOOKUP(CONCATENATE($B1247,"_",R$3),materiali!$C:$K,5,0),"")</f>
        <v/>
      </c>
      <c r="S1247" s="85" t="str">
        <f>IFERROR(VLOOKUP(CONCATENATE($B1247,"_",S$3),materiali!$C:$K,6,0),"")</f>
        <v/>
      </c>
      <c r="T1247" s="86"/>
      <c r="U1247" s="31"/>
      <c r="AD1247" s="97"/>
    </row>
    <row r="1248" spans="1:30" ht="35.1" hidden="1" customHeight="1" x14ac:dyDescent="0.25">
      <c r="A1248" s="83"/>
      <c r="B1248" s="7"/>
      <c r="C1248" s="8"/>
      <c r="D1248" s="8"/>
      <c r="E1248" s="60"/>
      <c r="F1248" s="84" t="str">
        <f>IFERROR(VLOOKUP(CONCATENATE($B1248,"_",F$3),materiali!$C:$K,5,0),"")</f>
        <v/>
      </c>
      <c r="G1248" s="85" t="str">
        <f>IFERROR(VLOOKUP(CONCATENATE($B1248,"_",G$3),materiali!$C:$K,6,0),"")</f>
        <v/>
      </c>
      <c r="H1248" s="86"/>
      <c r="I1248" s="84" t="str">
        <f>IFERROR(VLOOKUP(CONCATENATE($B1248,"_",I$3),materiali!$C:$K,5,0),"")</f>
        <v/>
      </c>
      <c r="J1248" s="85" t="str">
        <f>IFERROR(VLOOKUP(CONCATENATE($B1248,"_",J$3),materiali!$C:$K,6,0),"")</f>
        <v/>
      </c>
      <c r="K1248" s="86"/>
      <c r="L1248" s="84" t="str">
        <f>IFERROR(VLOOKUP(CONCATENATE($B1248,"_",L$3),materiali!$C:$K,5,0),"")</f>
        <v/>
      </c>
      <c r="M1248" s="85" t="str">
        <f>IFERROR(VLOOKUP(CONCATENATE($B1248,"_",M$3),materiali!$C:$K,6,0),"")</f>
        <v/>
      </c>
      <c r="N1248" s="86"/>
      <c r="O1248" s="84" t="str">
        <f>IFERROR(VLOOKUP(CONCATENATE($B1248,"_",O$3),materiali!$C:$K,5,0),"")</f>
        <v/>
      </c>
      <c r="P1248" s="85" t="str">
        <f>IFERROR(VLOOKUP(CONCATENATE($B1248,"_",P$3),materiali!$C:$K,6,0),"")</f>
        <v/>
      </c>
      <c r="Q1248" s="86"/>
      <c r="R1248" s="84" t="str">
        <f>IFERROR(VLOOKUP(CONCATENATE($B1248,"_",R$3),materiali!$C:$K,5,0),"")</f>
        <v/>
      </c>
      <c r="S1248" s="85" t="str">
        <f>IFERROR(VLOOKUP(CONCATENATE($B1248,"_",S$3),materiali!$C:$K,6,0),"")</f>
        <v/>
      </c>
      <c r="T1248" s="86"/>
      <c r="U1248" s="31"/>
      <c r="AD1248" s="97"/>
    </row>
    <row r="1249" spans="1:30" ht="35.1" hidden="1" customHeight="1" x14ac:dyDescent="0.25">
      <c r="A1249" s="83"/>
      <c r="B1249" s="7"/>
      <c r="C1249" s="8"/>
      <c r="D1249" s="8"/>
      <c r="E1249" s="60"/>
      <c r="F1249" s="84" t="str">
        <f>IFERROR(VLOOKUP(CONCATENATE($B1249,"_",F$3),materiali!$C:$K,5,0),"")</f>
        <v/>
      </c>
      <c r="G1249" s="85" t="str">
        <f>IFERROR(VLOOKUP(CONCATENATE($B1249,"_",G$3),materiali!$C:$K,6,0),"")</f>
        <v/>
      </c>
      <c r="H1249" s="86"/>
      <c r="I1249" s="84" t="str">
        <f>IFERROR(VLOOKUP(CONCATENATE($B1249,"_",I$3),materiali!$C:$K,5,0),"")</f>
        <v/>
      </c>
      <c r="J1249" s="85" t="str">
        <f>IFERROR(VLOOKUP(CONCATENATE($B1249,"_",J$3),materiali!$C:$K,6,0),"")</f>
        <v/>
      </c>
      <c r="K1249" s="86"/>
      <c r="L1249" s="84" t="str">
        <f>IFERROR(VLOOKUP(CONCATENATE($B1249,"_",L$3),materiali!$C:$K,5,0),"")</f>
        <v/>
      </c>
      <c r="M1249" s="85" t="str">
        <f>IFERROR(VLOOKUP(CONCATENATE($B1249,"_",M$3),materiali!$C:$K,6,0),"")</f>
        <v/>
      </c>
      <c r="N1249" s="86"/>
      <c r="O1249" s="84" t="str">
        <f>IFERROR(VLOOKUP(CONCATENATE($B1249,"_",O$3),materiali!$C:$K,5,0),"")</f>
        <v/>
      </c>
      <c r="P1249" s="85" t="str">
        <f>IFERROR(VLOOKUP(CONCATENATE($B1249,"_",P$3),materiali!$C:$K,6,0),"")</f>
        <v/>
      </c>
      <c r="Q1249" s="86"/>
      <c r="R1249" s="84" t="str">
        <f>IFERROR(VLOOKUP(CONCATENATE($B1249,"_",R$3),materiali!$C:$K,5,0),"")</f>
        <v/>
      </c>
      <c r="S1249" s="85" t="str">
        <f>IFERROR(VLOOKUP(CONCATENATE($B1249,"_",S$3),materiali!$C:$K,6,0),"")</f>
        <v/>
      </c>
      <c r="T1249" s="86"/>
      <c r="U1249" s="31"/>
      <c r="AD1249" s="97"/>
    </row>
    <row r="1250" spans="1:30" ht="35.1" hidden="1" customHeight="1" x14ac:dyDescent="0.25">
      <c r="A1250" s="83"/>
      <c r="B1250" s="7"/>
      <c r="C1250" s="8"/>
      <c r="D1250" s="8"/>
      <c r="E1250" s="60"/>
      <c r="F1250" s="84" t="str">
        <f>IFERROR(VLOOKUP(CONCATENATE($B1250,"_",F$3),materiali!$C:$K,5,0),"")</f>
        <v/>
      </c>
      <c r="G1250" s="85" t="str">
        <f>IFERROR(VLOOKUP(CONCATENATE($B1250,"_",G$3),materiali!$C:$K,6,0),"")</f>
        <v/>
      </c>
      <c r="H1250" s="86"/>
      <c r="I1250" s="84" t="str">
        <f>IFERROR(VLOOKUP(CONCATENATE($B1250,"_",I$3),materiali!$C:$K,5,0),"")</f>
        <v/>
      </c>
      <c r="J1250" s="85" t="str">
        <f>IFERROR(VLOOKUP(CONCATENATE($B1250,"_",J$3),materiali!$C:$K,6,0),"")</f>
        <v/>
      </c>
      <c r="K1250" s="86"/>
      <c r="L1250" s="84" t="str">
        <f>IFERROR(VLOOKUP(CONCATENATE($B1250,"_",L$3),materiali!$C:$K,5,0),"")</f>
        <v/>
      </c>
      <c r="M1250" s="85" t="str">
        <f>IFERROR(VLOOKUP(CONCATENATE($B1250,"_",M$3),materiali!$C:$K,6,0),"")</f>
        <v/>
      </c>
      <c r="N1250" s="86"/>
      <c r="O1250" s="84" t="str">
        <f>IFERROR(VLOOKUP(CONCATENATE($B1250,"_",O$3),materiali!$C:$K,5,0),"")</f>
        <v/>
      </c>
      <c r="P1250" s="85" t="str">
        <f>IFERROR(VLOOKUP(CONCATENATE($B1250,"_",P$3),materiali!$C:$K,6,0),"")</f>
        <v/>
      </c>
      <c r="Q1250" s="86"/>
      <c r="R1250" s="84" t="str">
        <f>IFERROR(VLOOKUP(CONCATENATE($B1250,"_",R$3),materiali!$C:$K,5,0),"")</f>
        <v/>
      </c>
      <c r="S1250" s="85" t="str">
        <f>IFERROR(VLOOKUP(CONCATENATE($B1250,"_",S$3),materiali!$C:$K,6,0),"")</f>
        <v/>
      </c>
      <c r="T1250" s="86"/>
      <c r="U1250" s="31"/>
      <c r="AD1250" s="97"/>
    </row>
    <row r="1251" spans="1:30" ht="35.1" hidden="1" customHeight="1" x14ac:dyDescent="0.25">
      <c r="A1251" s="83"/>
      <c r="B1251" s="7"/>
      <c r="C1251" s="8"/>
      <c r="D1251" s="8"/>
      <c r="E1251" s="60"/>
      <c r="F1251" s="84" t="str">
        <f>IFERROR(VLOOKUP(CONCATENATE($B1251,"_",F$3),materiali!$C:$K,5,0),"")</f>
        <v/>
      </c>
      <c r="G1251" s="85" t="str">
        <f>IFERROR(VLOOKUP(CONCATENATE($B1251,"_",G$3),materiali!$C:$K,6,0),"")</f>
        <v/>
      </c>
      <c r="H1251" s="86"/>
      <c r="I1251" s="84" t="str">
        <f>IFERROR(VLOOKUP(CONCATENATE($B1251,"_",I$3),materiali!$C:$K,5,0),"")</f>
        <v/>
      </c>
      <c r="J1251" s="85" t="str">
        <f>IFERROR(VLOOKUP(CONCATENATE($B1251,"_",J$3),materiali!$C:$K,6,0),"")</f>
        <v/>
      </c>
      <c r="K1251" s="86"/>
      <c r="L1251" s="84" t="str">
        <f>IFERROR(VLOOKUP(CONCATENATE($B1251,"_",L$3),materiali!$C:$K,5,0),"")</f>
        <v/>
      </c>
      <c r="M1251" s="85" t="str">
        <f>IFERROR(VLOOKUP(CONCATENATE($B1251,"_",M$3),materiali!$C:$K,6,0),"")</f>
        <v/>
      </c>
      <c r="N1251" s="86"/>
      <c r="O1251" s="84" t="str">
        <f>IFERROR(VLOOKUP(CONCATENATE($B1251,"_",O$3),materiali!$C:$K,5,0),"")</f>
        <v/>
      </c>
      <c r="P1251" s="85" t="str">
        <f>IFERROR(VLOOKUP(CONCATENATE($B1251,"_",P$3),materiali!$C:$K,6,0),"")</f>
        <v/>
      </c>
      <c r="Q1251" s="86"/>
      <c r="R1251" s="84" t="str">
        <f>IFERROR(VLOOKUP(CONCATENATE($B1251,"_",R$3),materiali!$C:$K,5,0),"")</f>
        <v/>
      </c>
      <c r="S1251" s="85" t="str">
        <f>IFERROR(VLOOKUP(CONCATENATE($B1251,"_",S$3),materiali!$C:$K,6,0),"")</f>
        <v/>
      </c>
      <c r="T1251" s="86"/>
      <c r="U1251" s="31"/>
      <c r="AD1251" s="97"/>
    </row>
    <row r="1252" spans="1:30" ht="35.1" hidden="1" customHeight="1" x14ac:dyDescent="0.25">
      <c r="A1252" s="83"/>
      <c r="B1252" s="7"/>
      <c r="C1252" s="8"/>
      <c r="D1252" s="8"/>
      <c r="E1252" s="60"/>
      <c r="F1252" s="84" t="str">
        <f>IFERROR(VLOOKUP(CONCATENATE($B1252,"_",F$3),materiali!$C:$K,5,0),"")</f>
        <v/>
      </c>
      <c r="G1252" s="85" t="str">
        <f>IFERROR(VLOOKUP(CONCATENATE($B1252,"_",G$3),materiali!$C:$K,6,0),"")</f>
        <v/>
      </c>
      <c r="H1252" s="86"/>
      <c r="I1252" s="84" t="str">
        <f>IFERROR(VLOOKUP(CONCATENATE($B1252,"_",I$3),materiali!$C:$K,5,0),"")</f>
        <v/>
      </c>
      <c r="J1252" s="85" t="str">
        <f>IFERROR(VLOOKUP(CONCATENATE($B1252,"_",J$3),materiali!$C:$K,6,0),"")</f>
        <v/>
      </c>
      <c r="K1252" s="86"/>
      <c r="L1252" s="84" t="str">
        <f>IFERROR(VLOOKUP(CONCATENATE($B1252,"_",L$3),materiali!$C:$K,5,0),"")</f>
        <v/>
      </c>
      <c r="M1252" s="85" t="str">
        <f>IFERROR(VLOOKUP(CONCATENATE($B1252,"_",M$3),materiali!$C:$K,6,0),"")</f>
        <v/>
      </c>
      <c r="N1252" s="86"/>
      <c r="O1252" s="84" t="str">
        <f>IFERROR(VLOOKUP(CONCATENATE($B1252,"_",O$3),materiali!$C:$K,5,0),"")</f>
        <v/>
      </c>
      <c r="P1252" s="85" t="str">
        <f>IFERROR(VLOOKUP(CONCATENATE($B1252,"_",P$3),materiali!$C:$K,6,0),"")</f>
        <v/>
      </c>
      <c r="Q1252" s="86"/>
      <c r="R1252" s="84" t="str">
        <f>IFERROR(VLOOKUP(CONCATENATE($B1252,"_",R$3),materiali!$C:$K,5,0),"")</f>
        <v/>
      </c>
      <c r="S1252" s="85" t="str">
        <f>IFERROR(VLOOKUP(CONCATENATE($B1252,"_",S$3),materiali!$C:$K,6,0),"")</f>
        <v/>
      </c>
      <c r="T1252" s="86"/>
      <c r="U1252" s="31"/>
      <c r="AD1252" s="97"/>
    </row>
    <row r="1253" spans="1:30" ht="35.1" hidden="1" customHeight="1" x14ac:dyDescent="0.25">
      <c r="A1253" s="83"/>
      <c r="B1253" s="7"/>
      <c r="C1253" s="8"/>
      <c r="D1253" s="8"/>
      <c r="E1253" s="60"/>
      <c r="F1253" s="84" t="str">
        <f>IFERROR(VLOOKUP(CONCATENATE($B1253,"_",F$3),materiali!$C:$K,5,0),"")</f>
        <v/>
      </c>
      <c r="G1253" s="85" t="str">
        <f>IFERROR(VLOOKUP(CONCATENATE($B1253,"_",G$3),materiali!$C:$K,6,0),"")</f>
        <v/>
      </c>
      <c r="H1253" s="86"/>
      <c r="I1253" s="84" t="str">
        <f>IFERROR(VLOOKUP(CONCATENATE($B1253,"_",I$3),materiali!$C:$K,5,0),"")</f>
        <v/>
      </c>
      <c r="J1253" s="85" t="str">
        <f>IFERROR(VLOOKUP(CONCATENATE($B1253,"_",J$3),materiali!$C:$K,6,0),"")</f>
        <v/>
      </c>
      <c r="K1253" s="86"/>
      <c r="L1253" s="84" t="str">
        <f>IFERROR(VLOOKUP(CONCATENATE($B1253,"_",L$3),materiali!$C:$K,5,0),"")</f>
        <v/>
      </c>
      <c r="M1253" s="85" t="str">
        <f>IFERROR(VLOOKUP(CONCATENATE($B1253,"_",M$3),materiali!$C:$K,6,0),"")</f>
        <v/>
      </c>
      <c r="N1253" s="86"/>
      <c r="O1253" s="84" t="str">
        <f>IFERROR(VLOOKUP(CONCATENATE($B1253,"_",O$3),materiali!$C:$K,5,0),"")</f>
        <v/>
      </c>
      <c r="P1253" s="85" t="str">
        <f>IFERROR(VLOOKUP(CONCATENATE($B1253,"_",P$3),materiali!$C:$K,6,0),"")</f>
        <v/>
      </c>
      <c r="Q1253" s="86"/>
      <c r="R1253" s="84" t="str">
        <f>IFERROR(VLOOKUP(CONCATENATE($B1253,"_",R$3),materiali!$C:$K,5,0),"")</f>
        <v/>
      </c>
      <c r="S1253" s="85" t="str">
        <f>IFERROR(VLOOKUP(CONCATENATE($B1253,"_",S$3),materiali!$C:$K,6,0),"")</f>
        <v/>
      </c>
      <c r="T1253" s="86"/>
      <c r="U1253" s="31"/>
      <c r="AD1253" s="97"/>
    </row>
    <row r="1254" spans="1:30" ht="35.1" hidden="1" customHeight="1" x14ac:dyDescent="0.25">
      <c r="A1254" s="83"/>
      <c r="B1254" s="7"/>
      <c r="C1254" s="8"/>
      <c r="D1254" s="8"/>
      <c r="E1254" s="60"/>
      <c r="F1254" s="84" t="str">
        <f>IFERROR(VLOOKUP(CONCATENATE($B1254,"_",F$3),materiali!$C:$K,5,0),"")</f>
        <v/>
      </c>
      <c r="G1254" s="85" t="str">
        <f>IFERROR(VLOOKUP(CONCATENATE($B1254,"_",G$3),materiali!$C:$K,6,0),"")</f>
        <v/>
      </c>
      <c r="H1254" s="86"/>
      <c r="I1254" s="84" t="str">
        <f>IFERROR(VLOOKUP(CONCATENATE($B1254,"_",I$3),materiali!$C:$K,5,0),"")</f>
        <v/>
      </c>
      <c r="J1254" s="85" t="str">
        <f>IFERROR(VLOOKUP(CONCATENATE($B1254,"_",J$3),materiali!$C:$K,6,0),"")</f>
        <v/>
      </c>
      <c r="K1254" s="86"/>
      <c r="L1254" s="84" t="str">
        <f>IFERROR(VLOOKUP(CONCATENATE($B1254,"_",L$3),materiali!$C:$K,5,0),"")</f>
        <v/>
      </c>
      <c r="M1254" s="85" t="str">
        <f>IFERROR(VLOOKUP(CONCATENATE($B1254,"_",M$3),materiali!$C:$K,6,0),"")</f>
        <v/>
      </c>
      <c r="N1254" s="86"/>
      <c r="O1254" s="84" t="str">
        <f>IFERROR(VLOOKUP(CONCATENATE($B1254,"_",O$3),materiali!$C:$K,5,0),"")</f>
        <v/>
      </c>
      <c r="P1254" s="85" t="str">
        <f>IFERROR(VLOOKUP(CONCATENATE($B1254,"_",P$3),materiali!$C:$K,6,0),"")</f>
        <v/>
      </c>
      <c r="Q1254" s="86"/>
      <c r="R1254" s="84" t="str">
        <f>IFERROR(VLOOKUP(CONCATENATE($B1254,"_",R$3),materiali!$C:$K,5,0),"")</f>
        <v/>
      </c>
      <c r="S1254" s="85" t="str">
        <f>IFERROR(VLOOKUP(CONCATENATE($B1254,"_",S$3),materiali!$C:$K,6,0),"")</f>
        <v/>
      </c>
      <c r="T1254" s="86"/>
      <c r="U1254" s="31"/>
      <c r="AD1254" s="97"/>
    </row>
    <row r="1255" spans="1:30" ht="35.1" hidden="1" customHeight="1" x14ac:dyDescent="0.25">
      <c r="A1255" s="83"/>
      <c r="B1255" s="7"/>
      <c r="C1255" s="8"/>
      <c r="D1255" s="8"/>
      <c r="E1255" s="60"/>
      <c r="F1255" s="84" t="str">
        <f>IFERROR(VLOOKUP(CONCATENATE($B1255,"_",F$3),materiali!$C:$K,5,0),"")</f>
        <v/>
      </c>
      <c r="G1255" s="85" t="str">
        <f>IFERROR(VLOOKUP(CONCATENATE($B1255,"_",G$3),materiali!$C:$K,6,0),"")</f>
        <v/>
      </c>
      <c r="H1255" s="86"/>
      <c r="I1255" s="84" t="str">
        <f>IFERROR(VLOOKUP(CONCATENATE($B1255,"_",I$3),materiali!$C:$K,5,0),"")</f>
        <v/>
      </c>
      <c r="J1255" s="85" t="str">
        <f>IFERROR(VLOOKUP(CONCATENATE($B1255,"_",J$3),materiali!$C:$K,6,0),"")</f>
        <v/>
      </c>
      <c r="K1255" s="86"/>
      <c r="L1255" s="84" t="str">
        <f>IFERROR(VLOOKUP(CONCATENATE($B1255,"_",L$3),materiali!$C:$K,5,0),"")</f>
        <v/>
      </c>
      <c r="M1255" s="85" t="str">
        <f>IFERROR(VLOOKUP(CONCATENATE($B1255,"_",M$3),materiali!$C:$K,6,0),"")</f>
        <v/>
      </c>
      <c r="N1255" s="86"/>
      <c r="O1255" s="84" t="str">
        <f>IFERROR(VLOOKUP(CONCATENATE($B1255,"_",O$3),materiali!$C:$K,5,0),"")</f>
        <v/>
      </c>
      <c r="P1255" s="85" t="str">
        <f>IFERROR(VLOOKUP(CONCATENATE($B1255,"_",P$3),materiali!$C:$K,6,0),"")</f>
        <v/>
      </c>
      <c r="Q1255" s="86"/>
      <c r="R1255" s="84" t="str">
        <f>IFERROR(VLOOKUP(CONCATENATE($B1255,"_",R$3),materiali!$C:$K,5,0),"")</f>
        <v/>
      </c>
      <c r="S1255" s="85" t="str">
        <f>IFERROR(VLOOKUP(CONCATENATE($B1255,"_",S$3),materiali!$C:$K,6,0),"")</f>
        <v/>
      </c>
      <c r="T1255" s="86"/>
      <c r="U1255" s="31"/>
      <c r="AD1255" s="97"/>
    </row>
    <row r="1256" spans="1:30" ht="35.1" hidden="1" customHeight="1" x14ac:dyDescent="0.25">
      <c r="A1256" s="83"/>
      <c r="B1256" s="7"/>
      <c r="C1256" s="8"/>
      <c r="D1256" s="8"/>
      <c r="E1256" s="60"/>
      <c r="F1256" s="84" t="str">
        <f>IFERROR(VLOOKUP(CONCATENATE($B1256,"_",F$3),materiali!$C:$K,5,0),"")</f>
        <v/>
      </c>
      <c r="G1256" s="85" t="str">
        <f>IFERROR(VLOOKUP(CONCATENATE($B1256,"_",G$3),materiali!$C:$K,6,0),"")</f>
        <v/>
      </c>
      <c r="H1256" s="86"/>
      <c r="I1256" s="84" t="str">
        <f>IFERROR(VLOOKUP(CONCATENATE($B1256,"_",I$3),materiali!$C:$K,5,0),"")</f>
        <v/>
      </c>
      <c r="J1256" s="85" t="str">
        <f>IFERROR(VLOOKUP(CONCATENATE($B1256,"_",J$3),materiali!$C:$K,6,0),"")</f>
        <v/>
      </c>
      <c r="K1256" s="86"/>
      <c r="L1256" s="84" t="str">
        <f>IFERROR(VLOOKUP(CONCATENATE($B1256,"_",L$3),materiali!$C:$K,5,0),"")</f>
        <v/>
      </c>
      <c r="M1256" s="85" t="str">
        <f>IFERROR(VLOOKUP(CONCATENATE($B1256,"_",M$3),materiali!$C:$K,6,0),"")</f>
        <v/>
      </c>
      <c r="N1256" s="86"/>
      <c r="O1256" s="84" t="str">
        <f>IFERROR(VLOOKUP(CONCATENATE($B1256,"_",O$3),materiali!$C:$K,5,0),"")</f>
        <v/>
      </c>
      <c r="P1256" s="85" t="str">
        <f>IFERROR(VLOOKUP(CONCATENATE($B1256,"_",P$3),materiali!$C:$K,6,0),"")</f>
        <v/>
      </c>
      <c r="Q1256" s="86"/>
      <c r="R1256" s="84" t="str">
        <f>IFERROR(VLOOKUP(CONCATENATE($B1256,"_",R$3),materiali!$C:$K,5,0),"")</f>
        <v/>
      </c>
      <c r="S1256" s="85" t="str">
        <f>IFERROR(VLOOKUP(CONCATENATE($B1256,"_",S$3),materiali!$C:$K,6,0),"")</f>
        <v/>
      </c>
      <c r="T1256" s="86"/>
      <c r="U1256" s="31"/>
      <c r="AD1256" s="97"/>
    </row>
    <row r="1257" spans="1:30" ht="35.1" hidden="1" customHeight="1" x14ac:dyDescent="0.25">
      <c r="A1257" s="83"/>
      <c r="B1257" s="7"/>
      <c r="C1257" s="8"/>
      <c r="D1257" s="8"/>
      <c r="E1257" s="60"/>
      <c r="F1257" s="84" t="str">
        <f>IFERROR(VLOOKUP(CONCATENATE($B1257,"_",F$3),materiali!$C:$K,5,0),"")</f>
        <v/>
      </c>
      <c r="G1257" s="85" t="str">
        <f>IFERROR(VLOOKUP(CONCATENATE($B1257,"_",G$3),materiali!$C:$K,6,0),"")</f>
        <v/>
      </c>
      <c r="H1257" s="86"/>
      <c r="I1257" s="84" t="str">
        <f>IFERROR(VLOOKUP(CONCATENATE($B1257,"_",I$3),materiali!$C:$K,5,0),"")</f>
        <v/>
      </c>
      <c r="J1257" s="85" t="str">
        <f>IFERROR(VLOOKUP(CONCATENATE($B1257,"_",J$3),materiali!$C:$K,6,0),"")</f>
        <v/>
      </c>
      <c r="K1257" s="86"/>
      <c r="L1257" s="84" t="str">
        <f>IFERROR(VLOOKUP(CONCATENATE($B1257,"_",L$3),materiali!$C:$K,5,0),"")</f>
        <v/>
      </c>
      <c r="M1257" s="85" t="str">
        <f>IFERROR(VLOOKUP(CONCATENATE($B1257,"_",M$3),materiali!$C:$K,6,0),"")</f>
        <v/>
      </c>
      <c r="N1257" s="86"/>
      <c r="O1257" s="84" t="str">
        <f>IFERROR(VLOOKUP(CONCATENATE($B1257,"_",O$3),materiali!$C:$K,5,0),"")</f>
        <v/>
      </c>
      <c r="P1257" s="85" t="str">
        <f>IFERROR(VLOOKUP(CONCATENATE($B1257,"_",P$3),materiali!$C:$K,6,0),"")</f>
        <v/>
      </c>
      <c r="Q1257" s="86"/>
      <c r="R1257" s="84" t="str">
        <f>IFERROR(VLOOKUP(CONCATENATE($B1257,"_",R$3),materiali!$C:$K,5,0),"")</f>
        <v/>
      </c>
      <c r="S1257" s="85" t="str">
        <f>IFERROR(VLOOKUP(CONCATENATE($B1257,"_",S$3),materiali!$C:$K,6,0),"")</f>
        <v/>
      </c>
      <c r="T1257" s="86"/>
      <c r="U1257" s="31"/>
      <c r="AD1257" s="97"/>
    </row>
    <row r="1258" spans="1:30" ht="35.1" hidden="1" customHeight="1" x14ac:dyDescent="0.25">
      <c r="A1258" s="83"/>
      <c r="B1258" s="7"/>
      <c r="C1258" s="8"/>
      <c r="D1258" s="8"/>
      <c r="E1258" s="60"/>
      <c r="F1258" s="84" t="str">
        <f>IFERROR(VLOOKUP(CONCATENATE($B1258,"_",F$3),materiali!$C:$K,5,0),"")</f>
        <v/>
      </c>
      <c r="G1258" s="85" t="str">
        <f>IFERROR(VLOOKUP(CONCATENATE($B1258,"_",G$3),materiali!$C:$K,6,0),"")</f>
        <v/>
      </c>
      <c r="H1258" s="86"/>
      <c r="I1258" s="84" t="str">
        <f>IFERROR(VLOOKUP(CONCATENATE($B1258,"_",I$3),materiali!$C:$K,5,0),"")</f>
        <v/>
      </c>
      <c r="J1258" s="85" t="str">
        <f>IFERROR(VLOOKUP(CONCATENATE($B1258,"_",J$3),materiali!$C:$K,6,0),"")</f>
        <v/>
      </c>
      <c r="K1258" s="86"/>
      <c r="L1258" s="84" t="str">
        <f>IFERROR(VLOOKUP(CONCATENATE($B1258,"_",L$3),materiali!$C:$K,5,0),"")</f>
        <v/>
      </c>
      <c r="M1258" s="85" t="str">
        <f>IFERROR(VLOOKUP(CONCATENATE($B1258,"_",M$3),materiali!$C:$K,6,0),"")</f>
        <v/>
      </c>
      <c r="N1258" s="86"/>
      <c r="O1258" s="84" t="str">
        <f>IFERROR(VLOOKUP(CONCATENATE($B1258,"_",O$3),materiali!$C:$K,5,0),"")</f>
        <v/>
      </c>
      <c r="P1258" s="85" t="str">
        <f>IFERROR(VLOOKUP(CONCATENATE($B1258,"_",P$3),materiali!$C:$K,6,0),"")</f>
        <v/>
      </c>
      <c r="Q1258" s="86"/>
      <c r="R1258" s="84" t="str">
        <f>IFERROR(VLOOKUP(CONCATENATE($B1258,"_",R$3),materiali!$C:$K,5,0),"")</f>
        <v/>
      </c>
      <c r="S1258" s="85" t="str">
        <f>IFERROR(VLOOKUP(CONCATENATE($B1258,"_",S$3),materiali!$C:$K,6,0),"")</f>
        <v/>
      </c>
      <c r="T1258" s="86"/>
      <c r="U1258" s="31"/>
      <c r="AD1258" s="97"/>
    </row>
    <row r="1259" spans="1:30" ht="35.1" hidden="1" customHeight="1" x14ac:dyDescent="0.25">
      <c r="A1259" s="83"/>
      <c r="B1259" s="7"/>
      <c r="C1259" s="8"/>
      <c r="D1259" s="8"/>
      <c r="E1259" s="60"/>
      <c r="F1259" s="84" t="str">
        <f>IFERROR(VLOOKUP(CONCATENATE($B1259,"_",F$3),materiali!$C:$K,5,0),"")</f>
        <v/>
      </c>
      <c r="G1259" s="85" t="str">
        <f>IFERROR(VLOOKUP(CONCATENATE($B1259,"_",G$3),materiali!$C:$K,6,0),"")</f>
        <v/>
      </c>
      <c r="H1259" s="86"/>
      <c r="I1259" s="84" t="str">
        <f>IFERROR(VLOOKUP(CONCATENATE($B1259,"_",I$3),materiali!$C:$K,5,0),"")</f>
        <v/>
      </c>
      <c r="J1259" s="85" t="str">
        <f>IFERROR(VLOOKUP(CONCATENATE($B1259,"_",J$3),materiali!$C:$K,6,0),"")</f>
        <v/>
      </c>
      <c r="K1259" s="86"/>
      <c r="L1259" s="84" t="str">
        <f>IFERROR(VLOOKUP(CONCATENATE($B1259,"_",L$3),materiali!$C:$K,5,0),"")</f>
        <v/>
      </c>
      <c r="M1259" s="85" t="str">
        <f>IFERROR(VLOOKUP(CONCATENATE($B1259,"_",M$3),materiali!$C:$K,6,0),"")</f>
        <v/>
      </c>
      <c r="N1259" s="86"/>
      <c r="O1259" s="84" t="str">
        <f>IFERROR(VLOOKUP(CONCATENATE($B1259,"_",O$3),materiali!$C:$K,5,0),"")</f>
        <v/>
      </c>
      <c r="P1259" s="85" t="str">
        <f>IFERROR(VLOOKUP(CONCATENATE($B1259,"_",P$3),materiali!$C:$K,6,0),"")</f>
        <v/>
      </c>
      <c r="Q1259" s="86"/>
      <c r="R1259" s="84" t="str">
        <f>IFERROR(VLOOKUP(CONCATENATE($B1259,"_",R$3),materiali!$C:$K,5,0),"")</f>
        <v/>
      </c>
      <c r="S1259" s="85" t="str">
        <f>IFERROR(VLOOKUP(CONCATENATE($B1259,"_",S$3),materiali!$C:$K,6,0),"")</f>
        <v/>
      </c>
      <c r="T1259" s="86"/>
      <c r="U1259" s="31"/>
      <c r="AD1259" s="97"/>
    </row>
    <row r="1260" spans="1:30" ht="35.1" hidden="1" customHeight="1" x14ac:dyDescent="0.25">
      <c r="A1260" s="83"/>
      <c r="B1260" s="7"/>
      <c r="C1260" s="8"/>
      <c r="D1260" s="8"/>
      <c r="E1260" s="60"/>
      <c r="F1260" s="84" t="str">
        <f>IFERROR(VLOOKUP(CONCATENATE($B1260,"_",F$3),materiali!$C:$K,5,0),"")</f>
        <v/>
      </c>
      <c r="G1260" s="85" t="str">
        <f>IFERROR(VLOOKUP(CONCATENATE($B1260,"_",G$3),materiali!$C:$K,6,0),"")</f>
        <v/>
      </c>
      <c r="H1260" s="86"/>
      <c r="I1260" s="84" t="str">
        <f>IFERROR(VLOOKUP(CONCATENATE($B1260,"_",I$3),materiali!$C:$K,5,0),"")</f>
        <v/>
      </c>
      <c r="J1260" s="85" t="str">
        <f>IFERROR(VLOOKUP(CONCATENATE($B1260,"_",J$3),materiali!$C:$K,6,0),"")</f>
        <v/>
      </c>
      <c r="K1260" s="86"/>
      <c r="L1260" s="84" t="str">
        <f>IFERROR(VLOOKUP(CONCATENATE($B1260,"_",L$3),materiali!$C:$K,5,0),"")</f>
        <v/>
      </c>
      <c r="M1260" s="85" t="str">
        <f>IFERROR(VLOOKUP(CONCATENATE($B1260,"_",M$3),materiali!$C:$K,6,0),"")</f>
        <v/>
      </c>
      <c r="N1260" s="86"/>
      <c r="O1260" s="84" t="str">
        <f>IFERROR(VLOOKUP(CONCATENATE($B1260,"_",O$3),materiali!$C:$K,5,0),"")</f>
        <v/>
      </c>
      <c r="P1260" s="85" t="str">
        <f>IFERROR(VLOOKUP(CONCATENATE($B1260,"_",P$3),materiali!$C:$K,6,0),"")</f>
        <v/>
      </c>
      <c r="Q1260" s="86"/>
      <c r="R1260" s="84" t="str">
        <f>IFERROR(VLOOKUP(CONCATENATE($B1260,"_",R$3),materiali!$C:$K,5,0),"")</f>
        <v/>
      </c>
      <c r="S1260" s="85" t="str">
        <f>IFERROR(VLOOKUP(CONCATENATE($B1260,"_",S$3),materiali!$C:$K,6,0),"")</f>
        <v/>
      </c>
      <c r="T1260" s="86"/>
      <c r="U1260" s="31"/>
      <c r="AD1260" s="97"/>
    </row>
    <row r="1261" spans="1:30" ht="35.1" hidden="1" customHeight="1" x14ac:dyDescent="0.25">
      <c r="A1261" s="83"/>
      <c r="B1261" s="7"/>
      <c r="C1261" s="8"/>
      <c r="D1261" s="8"/>
      <c r="E1261" s="60"/>
      <c r="F1261" s="84" t="str">
        <f>IFERROR(VLOOKUP(CONCATENATE($B1261,"_",F$3),materiali!$C:$K,5,0),"")</f>
        <v/>
      </c>
      <c r="G1261" s="85" t="str">
        <f>IFERROR(VLOOKUP(CONCATENATE($B1261,"_",G$3),materiali!$C:$K,6,0),"")</f>
        <v/>
      </c>
      <c r="H1261" s="86"/>
      <c r="I1261" s="84" t="str">
        <f>IFERROR(VLOOKUP(CONCATENATE($B1261,"_",I$3),materiali!$C:$K,5,0),"")</f>
        <v/>
      </c>
      <c r="J1261" s="85" t="str">
        <f>IFERROR(VLOOKUP(CONCATENATE($B1261,"_",J$3),materiali!$C:$K,6,0),"")</f>
        <v/>
      </c>
      <c r="K1261" s="86"/>
      <c r="L1261" s="84" t="str">
        <f>IFERROR(VLOOKUP(CONCATENATE($B1261,"_",L$3),materiali!$C:$K,5,0),"")</f>
        <v/>
      </c>
      <c r="M1261" s="85" t="str">
        <f>IFERROR(VLOOKUP(CONCATENATE($B1261,"_",M$3),materiali!$C:$K,6,0),"")</f>
        <v/>
      </c>
      <c r="N1261" s="86"/>
      <c r="O1261" s="84" t="str">
        <f>IFERROR(VLOOKUP(CONCATENATE($B1261,"_",O$3),materiali!$C:$K,5,0),"")</f>
        <v/>
      </c>
      <c r="P1261" s="85" t="str">
        <f>IFERROR(VLOOKUP(CONCATENATE($B1261,"_",P$3),materiali!$C:$K,6,0),"")</f>
        <v/>
      </c>
      <c r="Q1261" s="86"/>
      <c r="R1261" s="84" t="str">
        <f>IFERROR(VLOOKUP(CONCATENATE($B1261,"_",R$3),materiali!$C:$K,5,0),"")</f>
        <v/>
      </c>
      <c r="S1261" s="85" t="str">
        <f>IFERROR(VLOOKUP(CONCATENATE($B1261,"_",S$3),materiali!$C:$K,6,0),"")</f>
        <v/>
      </c>
      <c r="T1261" s="86"/>
      <c r="U1261" s="31"/>
      <c r="AD1261" s="97"/>
    </row>
    <row r="1262" spans="1:30" ht="35.1" hidden="1" customHeight="1" x14ac:dyDescent="0.25">
      <c r="A1262" s="83"/>
      <c r="B1262" s="7"/>
      <c r="C1262" s="8"/>
      <c r="D1262" s="8"/>
      <c r="E1262" s="60"/>
      <c r="F1262" s="84" t="str">
        <f>IFERROR(VLOOKUP(CONCATENATE($B1262,"_",F$3),materiali!$C:$K,5,0),"")</f>
        <v/>
      </c>
      <c r="G1262" s="85" t="str">
        <f>IFERROR(VLOOKUP(CONCATENATE($B1262,"_",G$3),materiali!$C:$K,6,0),"")</f>
        <v/>
      </c>
      <c r="H1262" s="86"/>
      <c r="I1262" s="84" t="str">
        <f>IFERROR(VLOOKUP(CONCATENATE($B1262,"_",I$3),materiali!$C:$K,5,0),"")</f>
        <v/>
      </c>
      <c r="J1262" s="85" t="str">
        <f>IFERROR(VLOOKUP(CONCATENATE($B1262,"_",J$3),materiali!$C:$K,6,0),"")</f>
        <v/>
      </c>
      <c r="K1262" s="86"/>
      <c r="L1262" s="84" t="str">
        <f>IFERROR(VLOOKUP(CONCATENATE($B1262,"_",L$3),materiali!$C:$K,5,0),"")</f>
        <v/>
      </c>
      <c r="M1262" s="85" t="str">
        <f>IFERROR(VLOOKUP(CONCATENATE($B1262,"_",M$3),materiali!$C:$K,6,0),"")</f>
        <v/>
      </c>
      <c r="N1262" s="86"/>
      <c r="O1262" s="84" t="str">
        <f>IFERROR(VLOOKUP(CONCATENATE($B1262,"_",O$3),materiali!$C:$K,5,0),"")</f>
        <v/>
      </c>
      <c r="P1262" s="85" t="str">
        <f>IFERROR(VLOOKUP(CONCATENATE($B1262,"_",P$3),materiali!$C:$K,6,0),"")</f>
        <v/>
      </c>
      <c r="Q1262" s="86"/>
      <c r="R1262" s="84" t="str">
        <f>IFERROR(VLOOKUP(CONCATENATE($B1262,"_",R$3),materiali!$C:$K,5,0),"")</f>
        <v/>
      </c>
      <c r="S1262" s="85" t="str">
        <f>IFERROR(VLOOKUP(CONCATENATE($B1262,"_",S$3),materiali!$C:$K,6,0),"")</f>
        <v/>
      </c>
      <c r="T1262" s="86"/>
      <c r="U1262" s="31"/>
      <c r="AD1262" s="97"/>
    </row>
    <row r="1263" spans="1:30" ht="35.1" hidden="1" customHeight="1" x14ac:dyDescent="0.25">
      <c r="A1263" s="83"/>
      <c r="B1263" s="7"/>
      <c r="C1263" s="8"/>
      <c r="D1263" s="8"/>
      <c r="E1263" s="60"/>
      <c r="F1263" s="84" t="str">
        <f>IFERROR(VLOOKUP(CONCATENATE($B1263,"_",F$3),materiali!$C:$K,5,0),"")</f>
        <v/>
      </c>
      <c r="G1263" s="85" t="str">
        <f>IFERROR(VLOOKUP(CONCATENATE($B1263,"_",G$3),materiali!$C:$K,6,0),"")</f>
        <v/>
      </c>
      <c r="H1263" s="86"/>
      <c r="I1263" s="84" t="str">
        <f>IFERROR(VLOOKUP(CONCATENATE($B1263,"_",I$3),materiali!$C:$K,5,0),"")</f>
        <v/>
      </c>
      <c r="J1263" s="85" t="str">
        <f>IFERROR(VLOOKUP(CONCATENATE($B1263,"_",J$3),materiali!$C:$K,6,0),"")</f>
        <v/>
      </c>
      <c r="K1263" s="86"/>
      <c r="L1263" s="84" t="str">
        <f>IFERROR(VLOOKUP(CONCATENATE($B1263,"_",L$3),materiali!$C:$K,5,0),"")</f>
        <v/>
      </c>
      <c r="M1263" s="85" t="str">
        <f>IFERROR(VLOOKUP(CONCATENATE($B1263,"_",M$3),materiali!$C:$K,6,0),"")</f>
        <v/>
      </c>
      <c r="N1263" s="86"/>
      <c r="O1263" s="84" t="str">
        <f>IFERROR(VLOOKUP(CONCATENATE($B1263,"_",O$3),materiali!$C:$K,5,0),"")</f>
        <v/>
      </c>
      <c r="P1263" s="85" t="str">
        <f>IFERROR(VLOOKUP(CONCATENATE($B1263,"_",P$3),materiali!$C:$K,6,0),"")</f>
        <v/>
      </c>
      <c r="Q1263" s="86"/>
      <c r="R1263" s="84" t="str">
        <f>IFERROR(VLOOKUP(CONCATENATE($B1263,"_",R$3),materiali!$C:$K,5,0),"")</f>
        <v/>
      </c>
      <c r="S1263" s="85" t="str">
        <f>IFERROR(VLOOKUP(CONCATENATE($B1263,"_",S$3),materiali!$C:$K,6,0),"")</f>
        <v/>
      </c>
      <c r="T1263" s="86"/>
      <c r="U1263" s="31"/>
      <c r="AD1263" s="97"/>
    </row>
    <row r="1264" spans="1:30" ht="35.1" hidden="1" customHeight="1" x14ac:dyDescent="0.25">
      <c r="A1264" s="83"/>
      <c r="B1264" s="7"/>
      <c r="C1264" s="8"/>
      <c r="D1264" s="8"/>
      <c r="E1264" s="60"/>
      <c r="F1264" s="84" t="str">
        <f>IFERROR(VLOOKUP(CONCATENATE($B1264,"_",F$3),materiali!$C:$K,5,0),"")</f>
        <v/>
      </c>
      <c r="G1264" s="85" t="str">
        <f>IFERROR(VLOOKUP(CONCATENATE($B1264,"_",G$3),materiali!$C:$K,6,0),"")</f>
        <v/>
      </c>
      <c r="H1264" s="86"/>
      <c r="I1264" s="84" t="str">
        <f>IFERROR(VLOOKUP(CONCATENATE($B1264,"_",I$3),materiali!$C:$K,5,0),"")</f>
        <v/>
      </c>
      <c r="J1264" s="85" t="str">
        <f>IFERROR(VLOOKUP(CONCATENATE($B1264,"_",J$3),materiali!$C:$K,6,0),"")</f>
        <v/>
      </c>
      <c r="K1264" s="86"/>
      <c r="L1264" s="84" t="str">
        <f>IFERROR(VLOOKUP(CONCATENATE($B1264,"_",L$3),materiali!$C:$K,5,0),"")</f>
        <v/>
      </c>
      <c r="M1264" s="85" t="str">
        <f>IFERROR(VLOOKUP(CONCATENATE($B1264,"_",M$3),materiali!$C:$K,6,0),"")</f>
        <v/>
      </c>
      <c r="N1264" s="86"/>
      <c r="O1264" s="84" t="str">
        <f>IFERROR(VLOOKUP(CONCATENATE($B1264,"_",O$3),materiali!$C:$K,5,0),"")</f>
        <v/>
      </c>
      <c r="P1264" s="85" t="str">
        <f>IFERROR(VLOOKUP(CONCATENATE($B1264,"_",P$3),materiali!$C:$K,6,0),"")</f>
        <v/>
      </c>
      <c r="Q1264" s="86"/>
      <c r="R1264" s="84" t="str">
        <f>IFERROR(VLOOKUP(CONCATENATE($B1264,"_",R$3),materiali!$C:$K,5,0),"")</f>
        <v/>
      </c>
      <c r="S1264" s="85" t="str">
        <f>IFERROR(VLOOKUP(CONCATENATE($B1264,"_",S$3),materiali!$C:$K,6,0),"")</f>
        <v/>
      </c>
      <c r="T1264" s="86"/>
      <c r="U1264" s="31"/>
      <c r="AD1264" s="97"/>
    </row>
    <row r="1265" spans="1:30" ht="35.1" hidden="1" customHeight="1" x14ac:dyDescent="0.25">
      <c r="A1265" s="83"/>
      <c r="B1265" s="7"/>
      <c r="C1265" s="8"/>
      <c r="D1265" s="8"/>
      <c r="E1265" s="60"/>
      <c r="F1265" s="84" t="str">
        <f>IFERROR(VLOOKUP(CONCATENATE($B1265,"_",F$3),materiali!$C:$K,5,0),"")</f>
        <v/>
      </c>
      <c r="G1265" s="85" t="str">
        <f>IFERROR(VLOOKUP(CONCATENATE($B1265,"_",G$3),materiali!$C:$K,6,0),"")</f>
        <v/>
      </c>
      <c r="H1265" s="86"/>
      <c r="I1265" s="84" t="str">
        <f>IFERROR(VLOOKUP(CONCATENATE($B1265,"_",I$3),materiali!$C:$K,5,0),"")</f>
        <v/>
      </c>
      <c r="J1265" s="85" t="str">
        <f>IFERROR(VLOOKUP(CONCATENATE($B1265,"_",J$3),materiali!$C:$K,6,0),"")</f>
        <v/>
      </c>
      <c r="K1265" s="86"/>
      <c r="L1265" s="84" t="str">
        <f>IFERROR(VLOOKUP(CONCATENATE($B1265,"_",L$3),materiali!$C:$K,5,0),"")</f>
        <v/>
      </c>
      <c r="M1265" s="85" t="str">
        <f>IFERROR(VLOOKUP(CONCATENATE($B1265,"_",M$3),materiali!$C:$K,6,0),"")</f>
        <v/>
      </c>
      <c r="N1265" s="86"/>
      <c r="O1265" s="84" t="str">
        <f>IFERROR(VLOOKUP(CONCATENATE($B1265,"_",O$3),materiali!$C:$K,5,0),"")</f>
        <v/>
      </c>
      <c r="P1265" s="85" t="str">
        <f>IFERROR(VLOOKUP(CONCATENATE($B1265,"_",P$3),materiali!$C:$K,6,0),"")</f>
        <v/>
      </c>
      <c r="Q1265" s="86"/>
      <c r="R1265" s="84" t="str">
        <f>IFERROR(VLOOKUP(CONCATENATE($B1265,"_",R$3),materiali!$C:$K,5,0),"")</f>
        <v/>
      </c>
      <c r="S1265" s="85" t="str">
        <f>IFERROR(VLOOKUP(CONCATENATE($B1265,"_",S$3),materiali!$C:$K,6,0),"")</f>
        <v/>
      </c>
      <c r="T1265" s="86"/>
      <c r="U1265" s="31"/>
      <c r="AD1265" s="97"/>
    </row>
    <row r="1266" spans="1:30" ht="35.1" hidden="1" customHeight="1" x14ac:dyDescent="0.25">
      <c r="A1266" s="83"/>
      <c r="B1266" s="7"/>
      <c r="C1266" s="8"/>
      <c r="D1266" s="8"/>
      <c r="E1266" s="60"/>
      <c r="F1266" s="84" t="str">
        <f>IFERROR(VLOOKUP(CONCATENATE($B1266,"_",F$3),materiali!$C:$K,5,0),"")</f>
        <v/>
      </c>
      <c r="G1266" s="85" t="str">
        <f>IFERROR(VLOOKUP(CONCATENATE($B1266,"_",G$3),materiali!$C:$K,6,0),"")</f>
        <v/>
      </c>
      <c r="H1266" s="86"/>
      <c r="I1266" s="84" t="str">
        <f>IFERROR(VLOOKUP(CONCATENATE($B1266,"_",I$3),materiali!$C:$K,5,0),"")</f>
        <v/>
      </c>
      <c r="J1266" s="85" t="str">
        <f>IFERROR(VLOOKUP(CONCATENATE($B1266,"_",J$3),materiali!$C:$K,6,0),"")</f>
        <v/>
      </c>
      <c r="K1266" s="86"/>
      <c r="L1266" s="84" t="str">
        <f>IFERROR(VLOOKUP(CONCATENATE($B1266,"_",L$3),materiali!$C:$K,5,0),"")</f>
        <v/>
      </c>
      <c r="M1266" s="85" t="str">
        <f>IFERROR(VLOOKUP(CONCATENATE($B1266,"_",M$3),materiali!$C:$K,6,0),"")</f>
        <v/>
      </c>
      <c r="N1266" s="86"/>
      <c r="O1266" s="84" t="str">
        <f>IFERROR(VLOOKUP(CONCATENATE($B1266,"_",O$3),materiali!$C:$K,5,0),"")</f>
        <v/>
      </c>
      <c r="P1266" s="85" t="str">
        <f>IFERROR(VLOOKUP(CONCATENATE($B1266,"_",P$3),materiali!$C:$K,6,0),"")</f>
        <v/>
      </c>
      <c r="Q1266" s="86"/>
      <c r="R1266" s="84" t="str">
        <f>IFERROR(VLOOKUP(CONCATENATE($B1266,"_",R$3),materiali!$C:$K,5,0),"")</f>
        <v/>
      </c>
      <c r="S1266" s="85" t="str">
        <f>IFERROR(VLOOKUP(CONCATENATE($B1266,"_",S$3),materiali!$C:$K,6,0),"")</f>
        <v/>
      </c>
      <c r="T1266" s="86"/>
      <c r="U1266" s="31"/>
      <c r="AD1266" s="97"/>
    </row>
    <row r="1267" spans="1:30" ht="35.1" hidden="1" customHeight="1" x14ac:dyDescent="0.25">
      <c r="A1267" s="83"/>
      <c r="B1267" s="7"/>
      <c r="C1267" s="8"/>
      <c r="D1267" s="8"/>
      <c r="E1267" s="60"/>
      <c r="F1267" s="84" t="str">
        <f>IFERROR(VLOOKUP(CONCATENATE($B1267,"_",F$3),materiali!$C:$K,5,0),"")</f>
        <v/>
      </c>
      <c r="G1267" s="85" t="str">
        <f>IFERROR(VLOOKUP(CONCATENATE($B1267,"_",G$3),materiali!$C:$K,6,0),"")</f>
        <v/>
      </c>
      <c r="H1267" s="86"/>
      <c r="I1267" s="84" t="str">
        <f>IFERROR(VLOOKUP(CONCATENATE($B1267,"_",I$3),materiali!$C:$K,5,0),"")</f>
        <v/>
      </c>
      <c r="J1267" s="85" t="str">
        <f>IFERROR(VLOOKUP(CONCATENATE($B1267,"_",J$3),materiali!$C:$K,6,0),"")</f>
        <v/>
      </c>
      <c r="K1267" s="86"/>
      <c r="L1267" s="84" t="str">
        <f>IFERROR(VLOOKUP(CONCATENATE($B1267,"_",L$3),materiali!$C:$K,5,0),"")</f>
        <v/>
      </c>
      <c r="M1267" s="85" t="str">
        <f>IFERROR(VLOOKUP(CONCATENATE($B1267,"_",M$3),materiali!$C:$K,6,0),"")</f>
        <v/>
      </c>
      <c r="N1267" s="86"/>
      <c r="O1267" s="84" t="str">
        <f>IFERROR(VLOOKUP(CONCATENATE($B1267,"_",O$3),materiali!$C:$K,5,0),"")</f>
        <v/>
      </c>
      <c r="P1267" s="85" t="str">
        <f>IFERROR(VLOOKUP(CONCATENATE($B1267,"_",P$3),materiali!$C:$K,6,0),"")</f>
        <v/>
      </c>
      <c r="Q1267" s="86"/>
      <c r="R1267" s="84" t="str">
        <f>IFERROR(VLOOKUP(CONCATENATE($B1267,"_",R$3),materiali!$C:$K,5,0),"")</f>
        <v/>
      </c>
      <c r="S1267" s="85" t="str">
        <f>IFERROR(VLOOKUP(CONCATENATE($B1267,"_",S$3),materiali!$C:$K,6,0),"")</f>
        <v/>
      </c>
      <c r="T1267" s="86"/>
      <c r="U1267" s="31"/>
      <c r="AD1267" s="97"/>
    </row>
    <row r="1268" spans="1:30" ht="35.1" hidden="1" customHeight="1" x14ac:dyDescent="0.25">
      <c r="A1268" s="83"/>
      <c r="B1268" s="7"/>
      <c r="C1268" s="8"/>
      <c r="D1268" s="8"/>
      <c r="E1268" s="60"/>
      <c r="F1268" s="84" t="str">
        <f>IFERROR(VLOOKUP(CONCATENATE($B1268,"_",F$3),materiali!$C:$K,5,0),"")</f>
        <v/>
      </c>
      <c r="G1268" s="85" t="str">
        <f>IFERROR(VLOOKUP(CONCATENATE($B1268,"_",G$3),materiali!$C:$K,6,0),"")</f>
        <v/>
      </c>
      <c r="H1268" s="86"/>
      <c r="I1268" s="84" t="str">
        <f>IFERROR(VLOOKUP(CONCATENATE($B1268,"_",I$3),materiali!$C:$K,5,0),"")</f>
        <v/>
      </c>
      <c r="J1268" s="85" t="str">
        <f>IFERROR(VLOOKUP(CONCATENATE($B1268,"_",J$3),materiali!$C:$K,6,0),"")</f>
        <v/>
      </c>
      <c r="K1268" s="86"/>
      <c r="L1268" s="84" t="str">
        <f>IFERROR(VLOOKUP(CONCATENATE($B1268,"_",L$3),materiali!$C:$K,5,0),"")</f>
        <v/>
      </c>
      <c r="M1268" s="85" t="str">
        <f>IFERROR(VLOOKUP(CONCATENATE($B1268,"_",M$3),materiali!$C:$K,6,0),"")</f>
        <v/>
      </c>
      <c r="N1268" s="86"/>
      <c r="O1268" s="84" t="str">
        <f>IFERROR(VLOOKUP(CONCATENATE($B1268,"_",O$3),materiali!$C:$K,5,0),"")</f>
        <v/>
      </c>
      <c r="P1268" s="85" t="str">
        <f>IFERROR(VLOOKUP(CONCATENATE($B1268,"_",P$3),materiali!$C:$K,6,0),"")</f>
        <v/>
      </c>
      <c r="Q1268" s="86"/>
      <c r="R1268" s="84" t="str">
        <f>IFERROR(VLOOKUP(CONCATENATE($B1268,"_",R$3),materiali!$C:$K,5,0),"")</f>
        <v/>
      </c>
      <c r="S1268" s="85" t="str">
        <f>IFERROR(VLOOKUP(CONCATENATE($B1268,"_",S$3),materiali!$C:$K,6,0),"")</f>
        <v/>
      </c>
      <c r="T1268" s="86"/>
      <c r="U1268" s="31"/>
      <c r="AD1268" s="97"/>
    </row>
    <row r="1269" spans="1:30" ht="35.1" hidden="1" customHeight="1" x14ac:dyDescent="0.25">
      <c r="A1269" s="83"/>
      <c r="B1269" s="7"/>
      <c r="C1269" s="8"/>
      <c r="D1269" s="8"/>
      <c r="E1269" s="60"/>
      <c r="F1269" s="84" t="str">
        <f>IFERROR(VLOOKUP(CONCATENATE($B1269,"_",F$3),materiali!$C:$K,5,0),"")</f>
        <v/>
      </c>
      <c r="G1269" s="85" t="str">
        <f>IFERROR(VLOOKUP(CONCATENATE($B1269,"_",G$3),materiali!$C:$K,6,0),"")</f>
        <v/>
      </c>
      <c r="H1269" s="86"/>
      <c r="I1269" s="84" t="str">
        <f>IFERROR(VLOOKUP(CONCATENATE($B1269,"_",I$3),materiali!$C:$K,5,0),"")</f>
        <v/>
      </c>
      <c r="J1269" s="85" t="str">
        <f>IFERROR(VLOOKUP(CONCATENATE($B1269,"_",J$3),materiali!$C:$K,6,0),"")</f>
        <v/>
      </c>
      <c r="K1269" s="86"/>
      <c r="L1269" s="84" t="str">
        <f>IFERROR(VLOOKUP(CONCATENATE($B1269,"_",L$3),materiali!$C:$K,5,0),"")</f>
        <v/>
      </c>
      <c r="M1269" s="85" t="str">
        <f>IFERROR(VLOOKUP(CONCATENATE($B1269,"_",M$3),materiali!$C:$K,6,0),"")</f>
        <v/>
      </c>
      <c r="N1269" s="86"/>
      <c r="O1269" s="84" t="str">
        <f>IFERROR(VLOOKUP(CONCATENATE($B1269,"_",O$3),materiali!$C:$K,5,0),"")</f>
        <v/>
      </c>
      <c r="P1269" s="85" t="str">
        <f>IFERROR(VLOOKUP(CONCATENATE($B1269,"_",P$3),materiali!$C:$K,6,0),"")</f>
        <v/>
      </c>
      <c r="Q1269" s="86"/>
      <c r="R1269" s="84" t="str">
        <f>IFERROR(VLOOKUP(CONCATENATE($B1269,"_",R$3),materiali!$C:$K,5,0),"")</f>
        <v/>
      </c>
      <c r="S1269" s="85" t="str">
        <f>IFERROR(VLOOKUP(CONCATENATE($B1269,"_",S$3),materiali!$C:$K,6,0),"")</f>
        <v/>
      </c>
      <c r="T1269" s="86"/>
      <c r="U1269" s="31"/>
      <c r="AD1269" s="97"/>
    </row>
    <row r="1270" spans="1:30" ht="35.1" hidden="1" customHeight="1" x14ac:dyDescent="0.25">
      <c r="A1270" s="83"/>
      <c r="B1270" s="7"/>
      <c r="C1270" s="8"/>
      <c r="D1270" s="8"/>
      <c r="E1270" s="60"/>
      <c r="F1270" s="84" t="str">
        <f>IFERROR(VLOOKUP(CONCATENATE($B1270,"_",F$3),materiali!$C:$K,5,0),"")</f>
        <v/>
      </c>
      <c r="G1270" s="85" t="str">
        <f>IFERROR(VLOOKUP(CONCATENATE($B1270,"_",G$3),materiali!$C:$K,6,0),"")</f>
        <v/>
      </c>
      <c r="H1270" s="86"/>
      <c r="I1270" s="84" t="str">
        <f>IFERROR(VLOOKUP(CONCATENATE($B1270,"_",I$3),materiali!$C:$K,5,0),"")</f>
        <v/>
      </c>
      <c r="J1270" s="85" t="str">
        <f>IFERROR(VLOOKUP(CONCATENATE($B1270,"_",J$3),materiali!$C:$K,6,0),"")</f>
        <v/>
      </c>
      <c r="K1270" s="86"/>
      <c r="L1270" s="84" t="str">
        <f>IFERROR(VLOOKUP(CONCATENATE($B1270,"_",L$3),materiali!$C:$K,5,0),"")</f>
        <v/>
      </c>
      <c r="M1270" s="85" t="str">
        <f>IFERROR(VLOOKUP(CONCATENATE($B1270,"_",M$3),materiali!$C:$K,6,0),"")</f>
        <v/>
      </c>
      <c r="N1270" s="86"/>
      <c r="O1270" s="84" t="str">
        <f>IFERROR(VLOOKUP(CONCATENATE($B1270,"_",O$3),materiali!$C:$K,5,0),"")</f>
        <v/>
      </c>
      <c r="P1270" s="85" t="str">
        <f>IFERROR(VLOOKUP(CONCATENATE($B1270,"_",P$3),materiali!$C:$K,6,0),"")</f>
        <v/>
      </c>
      <c r="Q1270" s="86"/>
      <c r="R1270" s="84" t="str">
        <f>IFERROR(VLOOKUP(CONCATENATE($B1270,"_",R$3),materiali!$C:$K,5,0),"")</f>
        <v/>
      </c>
      <c r="S1270" s="85" t="str">
        <f>IFERROR(VLOOKUP(CONCATENATE($B1270,"_",S$3),materiali!$C:$K,6,0),"")</f>
        <v/>
      </c>
      <c r="T1270" s="86"/>
      <c r="U1270" s="31"/>
      <c r="AD1270" s="97"/>
    </row>
    <row r="1271" spans="1:30" ht="35.1" hidden="1" customHeight="1" x14ac:dyDescent="0.25">
      <c r="A1271" s="83"/>
      <c r="B1271" s="7"/>
      <c r="C1271" s="8"/>
      <c r="D1271" s="8"/>
      <c r="E1271" s="60"/>
      <c r="F1271" s="84" t="str">
        <f>IFERROR(VLOOKUP(CONCATENATE($B1271,"_",F$3),materiali!$C:$K,5,0),"")</f>
        <v/>
      </c>
      <c r="G1271" s="85" t="str">
        <f>IFERROR(VLOOKUP(CONCATENATE($B1271,"_",G$3),materiali!$C:$K,6,0),"")</f>
        <v/>
      </c>
      <c r="H1271" s="86"/>
      <c r="I1271" s="84" t="str">
        <f>IFERROR(VLOOKUP(CONCATENATE($B1271,"_",I$3),materiali!$C:$K,5,0),"")</f>
        <v/>
      </c>
      <c r="J1271" s="85" t="str">
        <f>IFERROR(VLOOKUP(CONCATENATE($B1271,"_",J$3),materiali!$C:$K,6,0),"")</f>
        <v/>
      </c>
      <c r="K1271" s="86"/>
      <c r="L1271" s="84" t="str">
        <f>IFERROR(VLOOKUP(CONCATENATE($B1271,"_",L$3),materiali!$C:$K,5,0),"")</f>
        <v/>
      </c>
      <c r="M1271" s="85" t="str">
        <f>IFERROR(VLOOKUP(CONCATENATE($B1271,"_",M$3),materiali!$C:$K,6,0),"")</f>
        <v/>
      </c>
      <c r="N1271" s="86"/>
      <c r="O1271" s="84" t="str">
        <f>IFERROR(VLOOKUP(CONCATENATE($B1271,"_",O$3),materiali!$C:$K,5,0),"")</f>
        <v/>
      </c>
      <c r="P1271" s="85" t="str">
        <f>IFERROR(VLOOKUP(CONCATENATE($B1271,"_",P$3),materiali!$C:$K,6,0),"")</f>
        <v/>
      </c>
      <c r="Q1271" s="86"/>
      <c r="R1271" s="84" t="str">
        <f>IFERROR(VLOOKUP(CONCATENATE($B1271,"_",R$3),materiali!$C:$K,5,0),"")</f>
        <v/>
      </c>
      <c r="S1271" s="85" t="str">
        <f>IFERROR(VLOOKUP(CONCATENATE($B1271,"_",S$3),materiali!$C:$K,6,0),"")</f>
        <v/>
      </c>
      <c r="T1271" s="86"/>
      <c r="U1271" s="31"/>
      <c r="AD1271" s="97"/>
    </row>
    <row r="1272" spans="1:30" ht="35.1" hidden="1" customHeight="1" x14ac:dyDescent="0.25">
      <c r="A1272" s="83"/>
      <c r="B1272" s="7"/>
      <c r="C1272" s="8"/>
      <c r="D1272" s="8"/>
      <c r="E1272" s="60"/>
      <c r="F1272" s="84" t="str">
        <f>IFERROR(VLOOKUP(CONCATENATE($B1272,"_",F$3),materiali!$C:$K,5,0),"")</f>
        <v/>
      </c>
      <c r="G1272" s="85" t="str">
        <f>IFERROR(VLOOKUP(CONCATENATE($B1272,"_",G$3),materiali!$C:$K,6,0),"")</f>
        <v/>
      </c>
      <c r="H1272" s="86"/>
      <c r="I1272" s="84" t="str">
        <f>IFERROR(VLOOKUP(CONCATENATE($B1272,"_",I$3),materiali!$C:$K,5,0),"")</f>
        <v/>
      </c>
      <c r="J1272" s="85" t="str">
        <f>IFERROR(VLOOKUP(CONCATENATE($B1272,"_",J$3),materiali!$C:$K,6,0),"")</f>
        <v/>
      </c>
      <c r="K1272" s="86"/>
      <c r="L1272" s="84" t="str">
        <f>IFERROR(VLOOKUP(CONCATENATE($B1272,"_",L$3),materiali!$C:$K,5,0),"")</f>
        <v/>
      </c>
      <c r="M1272" s="85" t="str">
        <f>IFERROR(VLOOKUP(CONCATENATE($B1272,"_",M$3),materiali!$C:$K,6,0),"")</f>
        <v/>
      </c>
      <c r="N1272" s="86"/>
      <c r="O1272" s="84" t="str">
        <f>IFERROR(VLOOKUP(CONCATENATE($B1272,"_",O$3),materiali!$C:$K,5,0),"")</f>
        <v/>
      </c>
      <c r="P1272" s="85" t="str">
        <f>IFERROR(VLOOKUP(CONCATENATE($B1272,"_",P$3),materiali!$C:$K,6,0),"")</f>
        <v/>
      </c>
      <c r="Q1272" s="86"/>
      <c r="R1272" s="84" t="str">
        <f>IFERROR(VLOOKUP(CONCATENATE($B1272,"_",R$3),materiali!$C:$K,5,0),"")</f>
        <v/>
      </c>
      <c r="S1272" s="85" t="str">
        <f>IFERROR(VLOOKUP(CONCATENATE($B1272,"_",S$3),materiali!$C:$K,6,0),"")</f>
        <v/>
      </c>
      <c r="T1272" s="86"/>
      <c r="U1272" s="31"/>
      <c r="AD1272" s="97"/>
    </row>
    <row r="1273" spans="1:30" ht="35.1" hidden="1" customHeight="1" x14ac:dyDescent="0.25">
      <c r="A1273" s="83"/>
      <c r="B1273" s="7"/>
      <c r="C1273" s="8"/>
      <c r="D1273" s="8"/>
      <c r="E1273" s="60"/>
      <c r="F1273" s="84" t="str">
        <f>IFERROR(VLOOKUP(CONCATENATE($B1273,"_",F$3),materiali!$C:$K,5,0),"")</f>
        <v/>
      </c>
      <c r="G1273" s="85" t="str">
        <f>IFERROR(VLOOKUP(CONCATENATE($B1273,"_",G$3),materiali!$C:$K,6,0),"")</f>
        <v/>
      </c>
      <c r="H1273" s="86"/>
      <c r="I1273" s="84" t="str">
        <f>IFERROR(VLOOKUP(CONCATENATE($B1273,"_",I$3),materiali!$C:$K,5,0),"")</f>
        <v/>
      </c>
      <c r="J1273" s="85" t="str">
        <f>IFERROR(VLOOKUP(CONCATENATE($B1273,"_",J$3),materiali!$C:$K,6,0),"")</f>
        <v/>
      </c>
      <c r="K1273" s="86"/>
      <c r="L1273" s="84" t="str">
        <f>IFERROR(VLOOKUP(CONCATENATE($B1273,"_",L$3),materiali!$C:$K,5,0),"")</f>
        <v/>
      </c>
      <c r="M1273" s="85" t="str">
        <f>IFERROR(VLOOKUP(CONCATENATE($B1273,"_",M$3),materiali!$C:$K,6,0),"")</f>
        <v/>
      </c>
      <c r="N1273" s="86"/>
      <c r="O1273" s="84" t="str">
        <f>IFERROR(VLOOKUP(CONCATENATE($B1273,"_",O$3),materiali!$C:$K,5,0),"")</f>
        <v/>
      </c>
      <c r="P1273" s="85" t="str">
        <f>IFERROR(VLOOKUP(CONCATENATE($B1273,"_",P$3),materiali!$C:$K,6,0),"")</f>
        <v/>
      </c>
      <c r="Q1273" s="86"/>
      <c r="R1273" s="84" t="str">
        <f>IFERROR(VLOOKUP(CONCATENATE($B1273,"_",R$3),materiali!$C:$K,5,0),"")</f>
        <v/>
      </c>
      <c r="S1273" s="85" t="str">
        <f>IFERROR(VLOOKUP(CONCATENATE($B1273,"_",S$3),materiali!$C:$K,6,0),"")</f>
        <v/>
      </c>
      <c r="T1273" s="86"/>
      <c r="U1273" s="31"/>
      <c r="AD1273" s="97"/>
    </row>
    <row r="1274" spans="1:30" ht="35.1" hidden="1" customHeight="1" x14ac:dyDescent="0.25">
      <c r="A1274" s="83"/>
      <c r="B1274" s="7"/>
      <c r="C1274" s="8"/>
      <c r="D1274" s="8"/>
      <c r="E1274" s="60"/>
      <c r="F1274" s="84" t="str">
        <f>IFERROR(VLOOKUP(CONCATENATE($B1274,"_",F$3),materiali!$C:$K,5,0),"")</f>
        <v/>
      </c>
      <c r="G1274" s="85" t="str">
        <f>IFERROR(VLOOKUP(CONCATENATE($B1274,"_",G$3),materiali!$C:$K,6,0),"")</f>
        <v/>
      </c>
      <c r="H1274" s="86"/>
      <c r="I1274" s="84" t="str">
        <f>IFERROR(VLOOKUP(CONCATENATE($B1274,"_",I$3),materiali!$C:$K,5,0),"")</f>
        <v/>
      </c>
      <c r="J1274" s="85" t="str">
        <f>IFERROR(VLOOKUP(CONCATENATE($B1274,"_",J$3),materiali!$C:$K,6,0),"")</f>
        <v/>
      </c>
      <c r="K1274" s="86"/>
      <c r="L1274" s="84" t="str">
        <f>IFERROR(VLOOKUP(CONCATENATE($B1274,"_",L$3),materiali!$C:$K,5,0),"")</f>
        <v/>
      </c>
      <c r="M1274" s="85" t="str">
        <f>IFERROR(VLOOKUP(CONCATENATE($B1274,"_",M$3),materiali!$C:$K,6,0),"")</f>
        <v/>
      </c>
      <c r="N1274" s="86"/>
      <c r="O1274" s="84" t="str">
        <f>IFERROR(VLOOKUP(CONCATENATE($B1274,"_",O$3),materiali!$C:$K,5,0),"")</f>
        <v/>
      </c>
      <c r="P1274" s="85" t="str">
        <f>IFERROR(VLOOKUP(CONCATENATE($B1274,"_",P$3),materiali!$C:$K,6,0),"")</f>
        <v/>
      </c>
      <c r="Q1274" s="86"/>
      <c r="R1274" s="84" t="str">
        <f>IFERROR(VLOOKUP(CONCATENATE($B1274,"_",R$3),materiali!$C:$K,5,0),"")</f>
        <v/>
      </c>
      <c r="S1274" s="85" t="str">
        <f>IFERROR(VLOOKUP(CONCATENATE($B1274,"_",S$3),materiali!$C:$K,6,0),"")</f>
        <v/>
      </c>
      <c r="T1274" s="86"/>
      <c r="U1274" s="31"/>
      <c r="AD1274" s="97"/>
    </row>
    <row r="1275" spans="1:30" ht="35.1" hidden="1" customHeight="1" x14ac:dyDescent="0.25">
      <c r="A1275" s="83"/>
      <c r="B1275" s="7"/>
      <c r="C1275" s="8"/>
      <c r="D1275" s="8"/>
      <c r="E1275" s="60"/>
      <c r="F1275" s="84" t="str">
        <f>IFERROR(VLOOKUP(CONCATENATE($B1275,"_",F$3),materiali!$C:$K,5,0),"")</f>
        <v/>
      </c>
      <c r="G1275" s="85" t="str">
        <f>IFERROR(VLOOKUP(CONCATENATE($B1275,"_",G$3),materiali!$C:$K,6,0),"")</f>
        <v/>
      </c>
      <c r="H1275" s="86"/>
      <c r="I1275" s="84" t="str">
        <f>IFERROR(VLOOKUP(CONCATENATE($B1275,"_",I$3),materiali!$C:$K,5,0),"")</f>
        <v/>
      </c>
      <c r="J1275" s="85" t="str">
        <f>IFERROR(VLOOKUP(CONCATENATE($B1275,"_",J$3),materiali!$C:$K,6,0),"")</f>
        <v/>
      </c>
      <c r="K1275" s="86"/>
      <c r="L1275" s="84" t="str">
        <f>IFERROR(VLOOKUP(CONCATENATE($B1275,"_",L$3),materiali!$C:$K,5,0),"")</f>
        <v/>
      </c>
      <c r="M1275" s="85" t="str">
        <f>IFERROR(VLOOKUP(CONCATENATE($B1275,"_",M$3),materiali!$C:$K,6,0),"")</f>
        <v/>
      </c>
      <c r="N1275" s="86"/>
      <c r="O1275" s="84" t="str">
        <f>IFERROR(VLOOKUP(CONCATENATE($B1275,"_",O$3),materiali!$C:$K,5,0),"")</f>
        <v/>
      </c>
      <c r="P1275" s="85" t="str">
        <f>IFERROR(VLOOKUP(CONCATENATE($B1275,"_",P$3),materiali!$C:$K,6,0),"")</f>
        <v/>
      </c>
      <c r="Q1275" s="86"/>
      <c r="R1275" s="84" t="str">
        <f>IFERROR(VLOOKUP(CONCATENATE($B1275,"_",R$3),materiali!$C:$K,5,0),"")</f>
        <v/>
      </c>
      <c r="S1275" s="85" t="str">
        <f>IFERROR(VLOOKUP(CONCATENATE($B1275,"_",S$3),materiali!$C:$K,6,0),"")</f>
        <v/>
      </c>
      <c r="T1275" s="86"/>
      <c r="U1275" s="31"/>
      <c r="AD1275" s="97"/>
    </row>
    <row r="1276" spans="1:30" ht="35.1" hidden="1" customHeight="1" x14ac:dyDescent="0.25">
      <c r="A1276" s="83"/>
      <c r="B1276" s="7"/>
      <c r="C1276" s="8"/>
      <c r="D1276" s="8"/>
      <c r="E1276" s="60"/>
      <c r="F1276" s="84" t="str">
        <f>IFERROR(VLOOKUP(CONCATENATE($B1276,"_",F$3),materiali!$C:$K,5,0),"")</f>
        <v/>
      </c>
      <c r="G1276" s="85" t="str">
        <f>IFERROR(VLOOKUP(CONCATENATE($B1276,"_",G$3),materiali!$C:$K,6,0),"")</f>
        <v/>
      </c>
      <c r="H1276" s="86"/>
      <c r="I1276" s="84" t="str">
        <f>IFERROR(VLOOKUP(CONCATENATE($B1276,"_",I$3),materiali!$C:$K,5,0),"")</f>
        <v/>
      </c>
      <c r="J1276" s="85" t="str">
        <f>IFERROR(VLOOKUP(CONCATENATE($B1276,"_",J$3),materiali!$C:$K,6,0),"")</f>
        <v/>
      </c>
      <c r="K1276" s="86"/>
      <c r="L1276" s="84" t="str">
        <f>IFERROR(VLOOKUP(CONCATENATE($B1276,"_",L$3),materiali!$C:$K,5,0),"")</f>
        <v/>
      </c>
      <c r="M1276" s="85" t="str">
        <f>IFERROR(VLOOKUP(CONCATENATE($B1276,"_",M$3),materiali!$C:$K,6,0),"")</f>
        <v/>
      </c>
      <c r="N1276" s="86"/>
      <c r="O1276" s="84" t="str">
        <f>IFERROR(VLOOKUP(CONCATENATE($B1276,"_",O$3),materiali!$C:$K,5,0),"")</f>
        <v/>
      </c>
      <c r="P1276" s="85" t="str">
        <f>IFERROR(VLOOKUP(CONCATENATE($B1276,"_",P$3),materiali!$C:$K,6,0),"")</f>
        <v/>
      </c>
      <c r="Q1276" s="86"/>
      <c r="R1276" s="84" t="str">
        <f>IFERROR(VLOOKUP(CONCATENATE($B1276,"_",R$3),materiali!$C:$K,5,0),"")</f>
        <v/>
      </c>
      <c r="S1276" s="85" t="str">
        <f>IFERROR(VLOOKUP(CONCATENATE($B1276,"_",S$3),materiali!$C:$K,6,0),"")</f>
        <v/>
      </c>
      <c r="T1276" s="86"/>
      <c r="U1276" s="31"/>
      <c r="AD1276" s="97"/>
    </row>
    <row r="1277" spans="1:30" ht="35.1" hidden="1" customHeight="1" x14ac:dyDescent="0.25">
      <c r="A1277" s="83"/>
      <c r="B1277" s="7"/>
      <c r="C1277" s="8"/>
      <c r="D1277" s="8"/>
      <c r="E1277" s="60"/>
      <c r="F1277" s="84" t="str">
        <f>IFERROR(VLOOKUP(CONCATENATE($B1277,"_",F$3),materiali!$C:$K,5,0),"")</f>
        <v/>
      </c>
      <c r="G1277" s="85" t="str">
        <f>IFERROR(VLOOKUP(CONCATENATE($B1277,"_",G$3),materiali!$C:$K,6,0),"")</f>
        <v/>
      </c>
      <c r="H1277" s="86"/>
      <c r="I1277" s="84" t="str">
        <f>IFERROR(VLOOKUP(CONCATENATE($B1277,"_",I$3),materiali!$C:$K,5,0),"")</f>
        <v/>
      </c>
      <c r="J1277" s="85" t="str">
        <f>IFERROR(VLOOKUP(CONCATENATE($B1277,"_",J$3),materiali!$C:$K,6,0),"")</f>
        <v/>
      </c>
      <c r="K1277" s="86"/>
      <c r="L1277" s="84" t="str">
        <f>IFERROR(VLOOKUP(CONCATENATE($B1277,"_",L$3),materiali!$C:$K,5,0),"")</f>
        <v/>
      </c>
      <c r="M1277" s="85" t="str">
        <f>IFERROR(VLOOKUP(CONCATENATE($B1277,"_",M$3),materiali!$C:$K,6,0),"")</f>
        <v/>
      </c>
      <c r="N1277" s="86"/>
      <c r="O1277" s="84" t="str">
        <f>IFERROR(VLOOKUP(CONCATENATE($B1277,"_",O$3),materiali!$C:$K,5,0),"")</f>
        <v/>
      </c>
      <c r="P1277" s="85" t="str">
        <f>IFERROR(VLOOKUP(CONCATENATE($B1277,"_",P$3),materiali!$C:$K,6,0),"")</f>
        <v/>
      </c>
      <c r="Q1277" s="86"/>
      <c r="R1277" s="84" t="str">
        <f>IFERROR(VLOOKUP(CONCATENATE($B1277,"_",R$3),materiali!$C:$K,5,0),"")</f>
        <v/>
      </c>
      <c r="S1277" s="85" t="str">
        <f>IFERROR(VLOOKUP(CONCATENATE($B1277,"_",S$3),materiali!$C:$K,6,0),"")</f>
        <v/>
      </c>
      <c r="T1277" s="86"/>
      <c r="U1277" s="31"/>
      <c r="AD1277" s="97"/>
    </row>
    <row r="1278" spans="1:30" ht="35.1" hidden="1" customHeight="1" x14ac:dyDescent="0.25">
      <c r="A1278" s="83"/>
      <c r="B1278" s="7"/>
      <c r="C1278" s="8"/>
      <c r="D1278" s="8"/>
      <c r="E1278" s="60"/>
      <c r="F1278" s="84" t="str">
        <f>IFERROR(VLOOKUP(CONCATENATE($B1278,"_",F$3),materiali!$C:$K,5,0),"")</f>
        <v/>
      </c>
      <c r="G1278" s="85" t="str">
        <f>IFERROR(VLOOKUP(CONCATENATE($B1278,"_",G$3),materiali!$C:$K,6,0),"")</f>
        <v/>
      </c>
      <c r="H1278" s="86"/>
      <c r="I1278" s="84" t="str">
        <f>IFERROR(VLOOKUP(CONCATENATE($B1278,"_",I$3),materiali!$C:$K,5,0),"")</f>
        <v/>
      </c>
      <c r="J1278" s="85" t="str">
        <f>IFERROR(VLOOKUP(CONCATENATE($B1278,"_",J$3),materiali!$C:$K,6,0),"")</f>
        <v/>
      </c>
      <c r="K1278" s="86"/>
      <c r="L1278" s="84" t="str">
        <f>IFERROR(VLOOKUP(CONCATENATE($B1278,"_",L$3),materiali!$C:$K,5,0),"")</f>
        <v/>
      </c>
      <c r="M1278" s="85" t="str">
        <f>IFERROR(VLOOKUP(CONCATENATE($B1278,"_",M$3),materiali!$C:$K,6,0),"")</f>
        <v/>
      </c>
      <c r="N1278" s="86"/>
      <c r="O1278" s="84" t="str">
        <f>IFERROR(VLOOKUP(CONCATENATE($B1278,"_",O$3),materiali!$C:$K,5,0),"")</f>
        <v/>
      </c>
      <c r="P1278" s="85" t="str">
        <f>IFERROR(VLOOKUP(CONCATENATE($B1278,"_",P$3),materiali!$C:$K,6,0),"")</f>
        <v/>
      </c>
      <c r="Q1278" s="86"/>
      <c r="R1278" s="84" t="str">
        <f>IFERROR(VLOOKUP(CONCATENATE($B1278,"_",R$3),materiali!$C:$K,5,0),"")</f>
        <v/>
      </c>
      <c r="S1278" s="85" t="str">
        <f>IFERROR(VLOOKUP(CONCATENATE($B1278,"_",S$3),materiali!$C:$K,6,0),"")</f>
        <v/>
      </c>
      <c r="T1278" s="86"/>
      <c r="U1278" s="31"/>
      <c r="AD1278" s="97"/>
    </row>
    <row r="1279" spans="1:30" ht="35.1" hidden="1" customHeight="1" x14ac:dyDescent="0.25">
      <c r="A1279" s="83"/>
      <c r="B1279" s="7"/>
      <c r="C1279" s="8"/>
      <c r="D1279" s="8"/>
      <c r="E1279" s="60"/>
      <c r="F1279" s="84" t="str">
        <f>IFERROR(VLOOKUP(CONCATENATE($B1279,"_",F$3),materiali!$C:$K,5,0),"")</f>
        <v/>
      </c>
      <c r="G1279" s="85" t="str">
        <f>IFERROR(VLOOKUP(CONCATENATE($B1279,"_",G$3),materiali!$C:$K,6,0),"")</f>
        <v/>
      </c>
      <c r="H1279" s="86"/>
      <c r="I1279" s="84" t="str">
        <f>IFERROR(VLOOKUP(CONCATENATE($B1279,"_",I$3),materiali!$C:$K,5,0),"")</f>
        <v/>
      </c>
      <c r="J1279" s="85" t="str">
        <f>IFERROR(VLOOKUP(CONCATENATE($B1279,"_",J$3),materiali!$C:$K,6,0),"")</f>
        <v/>
      </c>
      <c r="K1279" s="86"/>
      <c r="L1279" s="84" t="str">
        <f>IFERROR(VLOOKUP(CONCATENATE($B1279,"_",L$3),materiali!$C:$K,5,0),"")</f>
        <v/>
      </c>
      <c r="M1279" s="85" t="str">
        <f>IFERROR(VLOOKUP(CONCATENATE($B1279,"_",M$3),materiali!$C:$K,6,0),"")</f>
        <v/>
      </c>
      <c r="N1279" s="86"/>
      <c r="O1279" s="84" t="str">
        <f>IFERROR(VLOOKUP(CONCATENATE($B1279,"_",O$3),materiali!$C:$K,5,0),"")</f>
        <v/>
      </c>
      <c r="P1279" s="85" t="str">
        <f>IFERROR(VLOOKUP(CONCATENATE($B1279,"_",P$3),materiali!$C:$K,6,0),"")</f>
        <v/>
      </c>
      <c r="Q1279" s="86"/>
      <c r="R1279" s="84" t="str">
        <f>IFERROR(VLOOKUP(CONCATENATE($B1279,"_",R$3),materiali!$C:$K,5,0),"")</f>
        <v/>
      </c>
      <c r="S1279" s="85" t="str">
        <f>IFERROR(VLOOKUP(CONCATENATE($B1279,"_",S$3),materiali!$C:$K,6,0),"")</f>
        <v/>
      </c>
      <c r="T1279" s="86"/>
      <c r="U1279" s="31"/>
      <c r="AD1279" s="97"/>
    </row>
    <row r="1280" spans="1:30" ht="35.1" hidden="1" customHeight="1" x14ac:dyDescent="0.25">
      <c r="A1280" s="83"/>
      <c r="B1280" s="7"/>
      <c r="C1280" s="8"/>
      <c r="D1280" s="8"/>
      <c r="E1280" s="60"/>
      <c r="F1280" s="84" t="str">
        <f>IFERROR(VLOOKUP(CONCATENATE($B1280,"_",F$3),materiali!$C:$K,5,0),"")</f>
        <v/>
      </c>
      <c r="G1280" s="85" t="str">
        <f>IFERROR(VLOOKUP(CONCATENATE($B1280,"_",G$3),materiali!$C:$K,6,0),"")</f>
        <v/>
      </c>
      <c r="H1280" s="86"/>
      <c r="I1280" s="84" t="str">
        <f>IFERROR(VLOOKUP(CONCATENATE($B1280,"_",I$3),materiali!$C:$K,5,0),"")</f>
        <v/>
      </c>
      <c r="J1280" s="85" t="str">
        <f>IFERROR(VLOOKUP(CONCATENATE($B1280,"_",J$3),materiali!$C:$K,6,0),"")</f>
        <v/>
      </c>
      <c r="K1280" s="86"/>
      <c r="L1280" s="84" t="str">
        <f>IFERROR(VLOOKUP(CONCATENATE($B1280,"_",L$3),materiali!$C:$K,5,0),"")</f>
        <v/>
      </c>
      <c r="M1280" s="85" t="str">
        <f>IFERROR(VLOOKUP(CONCATENATE($B1280,"_",M$3),materiali!$C:$K,6,0),"")</f>
        <v/>
      </c>
      <c r="N1280" s="86"/>
      <c r="O1280" s="84" t="str">
        <f>IFERROR(VLOOKUP(CONCATENATE($B1280,"_",O$3),materiali!$C:$K,5,0),"")</f>
        <v/>
      </c>
      <c r="P1280" s="85" t="str">
        <f>IFERROR(VLOOKUP(CONCATENATE($B1280,"_",P$3),materiali!$C:$K,6,0),"")</f>
        <v/>
      </c>
      <c r="Q1280" s="86"/>
      <c r="R1280" s="84" t="str">
        <f>IFERROR(VLOOKUP(CONCATENATE($B1280,"_",R$3),materiali!$C:$K,5,0),"")</f>
        <v/>
      </c>
      <c r="S1280" s="85" t="str">
        <f>IFERROR(VLOOKUP(CONCATENATE($B1280,"_",S$3),materiali!$C:$K,6,0),"")</f>
        <v/>
      </c>
      <c r="T1280" s="86"/>
      <c r="U1280" s="31"/>
      <c r="AD1280" s="97"/>
    </row>
    <row r="1281" spans="1:30" ht="35.1" hidden="1" customHeight="1" x14ac:dyDescent="0.25">
      <c r="A1281" s="83"/>
      <c r="B1281" s="7"/>
      <c r="C1281" s="8"/>
      <c r="D1281" s="8"/>
      <c r="E1281" s="60"/>
      <c r="F1281" s="84" t="str">
        <f>IFERROR(VLOOKUP(CONCATENATE($B1281,"_",F$3),materiali!$C:$K,5,0),"")</f>
        <v/>
      </c>
      <c r="G1281" s="85" t="str">
        <f>IFERROR(VLOOKUP(CONCATENATE($B1281,"_",G$3),materiali!$C:$K,6,0),"")</f>
        <v/>
      </c>
      <c r="H1281" s="86"/>
      <c r="I1281" s="84" t="str">
        <f>IFERROR(VLOOKUP(CONCATENATE($B1281,"_",I$3),materiali!$C:$K,5,0),"")</f>
        <v/>
      </c>
      <c r="J1281" s="85" t="str">
        <f>IFERROR(VLOOKUP(CONCATENATE($B1281,"_",J$3),materiali!$C:$K,6,0),"")</f>
        <v/>
      </c>
      <c r="K1281" s="86"/>
      <c r="L1281" s="84" t="str">
        <f>IFERROR(VLOOKUP(CONCATENATE($B1281,"_",L$3),materiali!$C:$K,5,0),"")</f>
        <v/>
      </c>
      <c r="M1281" s="85" t="str">
        <f>IFERROR(VLOOKUP(CONCATENATE($B1281,"_",M$3),materiali!$C:$K,6,0),"")</f>
        <v/>
      </c>
      <c r="N1281" s="86"/>
      <c r="O1281" s="84" t="str">
        <f>IFERROR(VLOOKUP(CONCATENATE($B1281,"_",O$3),materiali!$C:$K,5,0),"")</f>
        <v/>
      </c>
      <c r="P1281" s="85" t="str">
        <f>IFERROR(VLOOKUP(CONCATENATE($B1281,"_",P$3),materiali!$C:$K,6,0),"")</f>
        <v/>
      </c>
      <c r="Q1281" s="86"/>
      <c r="R1281" s="84" t="str">
        <f>IFERROR(VLOOKUP(CONCATENATE($B1281,"_",R$3),materiali!$C:$K,5,0),"")</f>
        <v/>
      </c>
      <c r="S1281" s="85" t="str">
        <f>IFERROR(VLOOKUP(CONCATENATE($B1281,"_",S$3),materiali!$C:$K,6,0),"")</f>
        <v/>
      </c>
      <c r="T1281" s="86"/>
      <c r="U1281" s="31"/>
      <c r="AD1281" s="97"/>
    </row>
    <row r="1282" spans="1:30" ht="35.1" hidden="1" customHeight="1" x14ac:dyDescent="0.25">
      <c r="A1282" s="83"/>
      <c r="B1282" s="7"/>
      <c r="C1282" s="8"/>
      <c r="D1282" s="8"/>
      <c r="E1282" s="60"/>
      <c r="F1282" s="84" t="str">
        <f>IFERROR(VLOOKUP(CONCATENATE($B1282,"_",F$3),materiali!$C:$K,5,0),"")</f>
        <v/>
      </c>
      <c r="G1282" s="85" t="str">
        <f>IFERROR(VLOOKUP(CONCATENATE($B1282,"_",G$3),materiali!$C:$K,6,0),"")</f>
        <v/>
      </c>
      <c r="H1282" s="86"/>
      <c r="I1282" s="84" t="str">
        <f>IFERROR(VLOOKUP(CONCATENATE($B1282,"_",I$3),materiali!$C:$K,5,0),"")</f>
        <v/>
      </c>
      <c r="J1282" s="85" t="str">
        <f>IFERROR(VLOOKUP(CONCATENATE($B1282,"_",J$3),materiali!$C:$K,6,0),"")</f>
        <v/>
      </c>
      <c r="K1282" s="86"/>
      <c r="L1282" s="84" t="str">
        <f>IFERROR(VLOOKUP(CONCATENATE($B1282,"_",L$3),materiali!$C:$K,5,0),"")</f>
        <v/>
      </c>
      <c r="M1282" s="85" t="str">
        <f>IFERROR(VLOOKUP(CONCATENATE($B1282,"_",M$3),materiali!$C:$K,6,0),"")</f>
        <v/>
      </c>
      <c r="N1282" s="86"/>
      <c r="O1282" s="84" t="str">
        <f>IFERROR(VLOOKUP(CONCATENATE($B1282,"_",O$3),materiali!$C:$K,5,0),"")</f>
        <v/>
      </c>
      <c r="P1282" s="85" t="str">
        <f>IFERROR(VLOOKUP(CONCATENATE($B1282,"_",P$3),materiali!$C:$K,6,0),"")</f>
        <v/>
      </c>
      <c r="Q1282" s="86"/>
      <c r="R1282" s="84" t="str">
        <f>IFERROR(VLOOKUP(CONCATENATE($B1282,"_",R$3),materiali!$C:$K,5,0),"")</f>
        <v/>
      </c>
      <c r="S1282" s="85" t="str">
        <f>IFERROR(VLOOKUP(CONCATENATE($B1282,"_",S$3),materiali!$C:$K,6,0),"")</f>
        <v/>
      </c>
      <c r="T1282" s="86"/>
      <c r="U1282" s="31"/>
      <c r="AD1282" s="97"/>
    </row>
    <row r="1283" spans="1:30" ht="35.1" hidden="1" customHeight="1" x14ac:dyDescent="0.25">
      <c r="A1283" s="83"/>
      <c r="B1283" s="7"/>
      <c r="C1283" s="8"/>
      <c r="D1283" s="8"/>
      <c r="E1283" s="60"/>
      <c r="F1283" s="84" t="str">
        <f>IFERROR(VLOOKUP(CONCATENATE($B1283,"_",F$3),materiali!$C:$K,5,0),"")</f>
        <v/>
      </c>
      <c r="G1283" s="85" t="str">
        <f>IFERROR(VLOOKUP(CONCATENATE($B1283,"_",G$3),materiali!$C:$K,6,0),"")</f>
        <v/>
      </c>
      <c r="H1283" s="86"/>
      <c r="I1283" s="84" t="str">
        <f>IFERROR(VLOOKUP(CONCATENATE($B1283,"_",I$3),materiali!$C:$K,5,0),"")</f>
        <v/>
      </c>
      <c r="J1283" s="85" t="str">
        <f>IFERROR(VLOOKUP(CONCATENATE($B1283,"_",J$3),materiali!$C:$K,6,0),"")</f>
        <v/>
      </c>
      <c r="K1283" s="86"/>
      <c r="L1283" s="84" t="str">
        <f>IFERROR(VLOOKUP(CONCATENATE($B1283,"_",L$3),materiali!$C:$K,5,0),"")</f>
        <v/>
      </c>
      <c r="M1283" s="85" t="str">
        <f>IFERROR(VLOOKUP(CONCATENATE($B1283,"_",M$3),materiali!$C:$K,6,0),"")</f>
        <v/>
      </c>
      <c r="N1283" s="86"/>
      <c r="O1283" s="84" t="str">
        <f>IFERROR(VLOOKUP(CONCATENATE($B1283,"_",O$3),materiali!$C:$K,5,0),"")</f>
        <v/>
      </c>
      <c r="P1283" s="85" t="str">
        <f>IFERROR(VLOOKUP(CONCATENATE($B1283,"_",P$3),materiali!$C:$K,6,0),"")</f>
        <v/>
      </c>
      <c r="Q1283" s="86"/>
      <c r="R1283" s="84" t="str">
        <f>IFERROR(VLOOKUP(CONCATENATE($B1283,"_",R$3),materiali!$C:$K,5,0),"")</f>
        <v/>
      </c>
      <c r="S1283" s="85" t="str">
        <f>IFERROR(VLOOKUP(CONCATENATE($B1283,"_",S$3),materiali!$C:$K,6,0),"")</f>
        <v/>
      </c>
      <c r="T1283" s="86"/>
      <c r="U1283" s="31"/>
      <c r="AD1283" s="97"/>
    </row>
    <row r="1284" spans="1:30" ht="35.1" hidden="1" customHeight="1" x14ac:dyDescent="0.25">
      <c r="A1284" s="83"/>
      <c r="B1284" s="7"/>
      <c r="C1284" s="8"/>
      <c r="D1284" s="8"/>
      <c r="E1284" s="60"/>
      <c r="F1284" s="84" t="str">
        <f>IFERROR(VLOOKUP(CONCATENATE($B1284,"_",F$3),materiali!$C:$K,5,0),"")</f>
        <v/>
      </c>
      <c r="G1284" s="85" t="str">
        <f>IFERROR(VLOOKUP(CONCATENATE($B1284,"_",G$3),materiali!$C:$K,6,0),"")</f>
        <v/>
      </c>
      <c r="H1284" s="86"/>
      <c r="I1284" s="84" t="str">
        <f>IFERROR(VLOOKUP(CONCATENATE($B1284,"_",I$3),materiali!$C:$K,5,0),"")</f>
        <v/>
      </c>
      <c r="J1284" s="85" t="str">
        <f>IFERROR(VLOOKUP(CONCATENATE($B1284,"_",J$3),materiali!$C:$K,6,0),"")</f>
        <v/>
      </c>
      <c r="K1284" s="86"/>
      <c r="L1284" s="84" t="str">
        <f>IFERROR(VLOOKUP(CONCATENATE($B1284,"_",L$3),materiali!$C:$K,5,0),"")</f>
        <v/>
      </c>
      <c r="M1284" s="85" t="str">
        <f>IFERROR(VLOOKUP(CONCATENATE($B1284,"_",M$3),materiali!$C:$K,6,0),"")</f>
        <v/>
      </c>
      <c r="N1284" s="86"/>
      <c r="O1284" s="84" t="str">
        <f>IFERROR(VLOOKUP(CONCATENATE($B1284,"_",O$3),materiali!$C:$K,5,0),"")</f>
        <v/>
      </c>
      <c r="P1284" s="85" t="str">
        <f>IFERROR(VLOOKUP(CONCATENATE($B1284,"_",P$3),materiali!$C:$K,6,0),"")</f>
        <v/>
      </c>
      <c r="Q1284" s="86"/>
      <c r="R1284" s="84" t="str">
        <f>IFERROR(VLOOKUP(CONCATENATE($B1284,"_",R$3),materiali!$C:$K,5,0),"")</f>
        <v/>
      </c>
      <c r="S1284" s="85" t="str">
        <f>IFERROR(VLOOKUP(CONCATENATE($B1284,"_",S$3),materiali!$C:$K,6,0),"")</f>
        <v/>
      </c>
      <c r="T1284" s="86"/>
      <c r="U1284" s="31"/>
      <c r="AD1284" s="97"/>
    </row>
    <row r="1285" spans="1:30" ht="35.1" hidden="1" customHeight="1" x14ac:dyDescent="0.25">
      <c r="A1285" s="83"/>
      <c r="B1285" s="7"/>
      <c r="C1285" s="8"/>
      <c r="D1285" s="8"/>
      <c r="E1285" s="60"/>
      <c r="F1285" s="84" t="str">
        <f>IFERROR(VLOOKUP(CONCATENATE($B1285,"_",F$3),materiali!$C:$K,5,0),"")</f>
        <v/>
      </c>
      <c r="G1285" s="85" t="str">
        <f>IFERROR(VLOOKUP(CONCATENATE($B1285,"_",G$3),materiali!$C:$K,6,0),"")</f>
        <v/>
      </c>
      <c r="H1285" s="86"/>
      <c r="I1285" s="84" t="str">
        <f>IFERROR(VLOOKUP(CONCATENATE($B1285,"_",I$3),materiali!$C:$K,5,0),"")</f>
        <v/>
      </c>
      <c r="J1285" s="85" t="str">
        <f>IFERROR(VLOOKUP(CONCATENATE($B1285,"_",J$3),materiali!$C:$K,6,0),"")</f>
        <v/>
      </c>
      <c r="K1285" s="86"/>
      <c r="L1285" s="84" t="str">
        <f>IFERROR(VLOOKUP(CONCATENATE($B1285,"_",L$3),materiali!$C:$K,5,0),"")</f>
        <v/>
      </c>
      <c r="M1285" s="85" t="str">
        <f>IFERROR(VLOOKUP(CONCATENATE($B1285,"_",M$3),materiali!$C:$K,6,0),"")</f>
        <v/>
      </c>
      <c r="N1285" s="86"/>
      <c r="O1285" s="84" t="str">
        <f>IFERROR(VLOOKUP(CONCATENATE($B1285,"_",O$3),materiali!$C:$K,5,0),"")</f>
        <v/>
      </c>
      <c r="P1285" s="85" t="str">
        <f>IFERROR(VLOOKUP(CONCATENATE($B1285,"_",P$3),materiali!$C:$K,6,0),"")</f>
        <v/>
      </c>
      <c r="Q1285" s="86"/>
      <c r="R1285" s="84" t="str">
        <f>IFERROR(VLOOKUP(CONCATENATE($B1285,"_",R$3),materiali!$C:$K,5,0),"")</f>
        <v/>
      </c>
      <c r="S1285" s="85" t="str">
        <f>IFERROR(VLOOKUP(CONCATENATE($B1285,"_",S$3),materiali!$C:$K,6,0),"")</f>
        <v/>
      </c>
      <c r="T1285" s="86"/>
      <c r="U1285" s="31"/>
      <c r="AD1285" s="97"/>
    </row>
    <row r="1286" spans="1:30" ht="35.1" hidden="1" customHeight="1" x14ac:dyDescent="0.25">
      <c r="A1286" s="83"/>
      <c r="B1286" s="7"/>
      <c r="C1286" s="8"/>
      <c r="D1286" s="8"/>
      <c r="E1286" s="60"/>
      <c r="F1286" s="84" t="str">
        <f>IFERROR(VLOOKUP(CONCATENATE($B1286,"_",F$3),materiali!$C:$K,5,0),"")</f>
        <v/>
      </c>
      <c r="G1286" s="85" t="str">
        <f>IFERROR(VLOOKUP(CONCATENATE($B1286,"_",G$3),materiali!$C:$K,6,0),"")</f>
        <v/>
      </c>
      <c r="H1286" s="86"/>
      <c r="I1286" s="84" t="str">
        <f>IFERROR(VLOOKUP(CONCATENATE($B1286,"_",I$3),materiali!$C:$K,5,0),"")</f>
        <v/>
      </c>
      <c r="J1286" s="85" t="str">
        <f>IFERROR(VLOOKUP(CONCATENATE($B1286,"_",J$3),materiali!$C:$K,6,0),"")</f>
        <v/>
      </c>
      <c r="K1286" s="86"/>
      <c r="L1286" s="84" t="str">
        <f>IFERROR(VLOOKUP(CONCATENATE($B1286,"_",L$3),materiali!$C:$K,5,0),"")</f>
        <v/>
      </c>
      <c r="M1286" s="85" t="str">
        <f>IFERROR(VLOOKUP(CONCATENATE($B1286,"_",M$3),materiali!$C:$K,6,0),"")</f>
        <v/>
      </c>
      <c r="N1286" s="86"/>
      <c r="O1286" s="84" t="str">
        <f>IFERROR(VLOOKUP(CONCATENATE($B1286,"_",O$3),materiali!$C:$K,5,0),"")</f>
        <v/>
      </c>
      <c r="P1286" s="85" t="str">
        <f>IFERROR(VLOOKUP(CONCATENATE($B1286,"_",P$3),materiali!$C:$K,6,0),"")</f>
        <v/>
      </c>
      <c r="Q1286" s="86"/>
      <c r="R1286" s="84" t="str">
        <f>IFERROR(VLOOKUP(CONCATENATE($B1286,"_",R$3),materiali!$C:$K,5,0),"")</f>
        <v/>
      </c>
      <c r="S1286" s="85" t="str">
        <f>IFERROR(VLOOKUP(CONCATENATE($B1286,"_",S$3),materiali!$C:$K,6,0),"")</f>
        <v/>
      </c>
      <c r="T1286" s="86"/>
      <c r="U1286" s="31"/>
      <c r="AD1286" s="97"/>
    </row>
    <row r="1287" spans="1:30" ht="35.1" hidden="1" customHeight="1" x14ac:dyDescent="0.25">
      <c r="A1287" s="83"/>
      <c r="B1287" s="7"/>
      <c r="C1287" s="8"/>
      <c r="D1287" s="8"/>
      <c r="E1287" s="60"/>
      <c r="F1287" s="84" t="str">
        <f>IFERROR(VLOOKUP(CONCATENATE($B1287,"_",F$3),materiali!$C:$K,5,0),"")</f>
        <v/>
      </c>
      <c r="G1287" s="85" t="str">
        <f>IFERROR(VLOOKUP(CONCATENATE($B1287,"_",G$3),materiali!$C:$K,6,0),"")</f>
        <v/>
      </c>
      <c r="H1287" s="86"/>
      <c r="I1287" s="84" t="str">
        <f>IFERROR(VLOOKUP(CONCATENATE($B1287,"_",I$3),materiali!$C:$K,5,0),"")</f>
        <v/>
      </c>
      <c r="J1287" s="85" t="str">
        <f>IFERROR(VLOOKUP(CONCATENATE($B1287,"_",J$3),materiali!$C:$K,6,0),"")</f>
        <v/>
      </c>
      <c r="K1287" s="86"/>
      <c r="L1287" s="84" t="str">
        <f>IFERROR(VLOOKUP(CONCATENATE($B1287,"_",L$3),materiali!$C:$K,5,0),"")</f>
        <v/>
      </c>
      <c r="M1287" s="85" t="str">
        <f>IFERROR(VLOOKUP(CONCATENATE($B1287,"_",M$3),materiali!$C:$K,6,0),"")</f>
        <v/>
      </c>
      <c r="N1287" s="86"/>
      <c r="O1287" s="84" t="str">
        <f>IFERROR(VLOOKUP(CONCATENATE($B1287,"_",O$3),materiali!$C:$K,5,0),"")</f>
        <v/>
      </c>
      <c r="P1287" s="85" t="str">
        <f>IFERROR(VLOOKUP(CONCATENATE($B1287,"_",P$3),materiali!$C:$K,6,0),"")</f>
        <v/>
      </c>
      <c r="Q1287" s="86"/>
      <c r="R1287" s="84" t="str">
        <f>IFERROR(VLOOKUP(CONCATENATE($B1287,"_",R$3),materiali!$C:$K,5,0),"")</f>
        <v/>
      </c>
      <c r="S1287" s="85" t="str">
        <f>IFERROR(VLOOKUP(CONCATENATE($B1287,"_",S$3),materiali!$C:$K,6,0),"")</f>
        <v/>
      </c>
      <c r="T1287" s="86"/>
      <c r="U1287" s="31"/>
      <c r="AD1287" s="97"/>
    </row>
    <row r="1288" spans="1:30" ht="35.1" hidden="1" customHeight="1" x14ac:dyDescent="0.25">
      <c r="A1288" s="83"/>
      <c r="B1288" s="7"/>
      <c r="C1288" s="8"/>
      <c r="D1288" s="8"/>
      <c r="E1288" s="60"/>
      <c r="F1288" s="84" t="str">
        <f>IFERROR(VLOOKUP(CONCATENATE($B1288,"_",F$3),materiali!$C:$K,5,0),"")</f>
        <v/>
      </c>
      <c r="G1288" s="85" t="str">
        <f>IFERROR(VLOOKUP(CONCATENATE($B1288,"_",G$3),materiali!$C:$K,6,0),"")</f>
        <v/>
      </c>
      <c r="H1288" s="86"/>
      <c r="I1288" s="84" t="str">
        <f>IFERROR(VLOOKUP(CONCATENATE($B1288,"_",I$3),materiali!$C:$K,5,0),"")</f>
        <v/>
      </c>
      <c r="J1288" s="85" t="str">
        <f>IFERROR(VLOOKUP(CONCATENATE($B1288,"_",J$3),materiali!$C:$K,6,0),"")</f>
        <v/>
      </c>
      <c r="K1288" s="86"/>
      <c r="L1288" s="84" t="str">
        <f>IFERROR(VLOOKUP(CONCATENATE($B1288,"_",L$3),materiali!$C:$K,5,0),"")</f>
        <v/>
      </c>
      <c r="M1288" s="85" t="str">
        <f>IFERROR(VLOOKUP(CONCATENATE($B1288,"_",M$3),materiali!$C:$K,6,0),"")</f>
        <v/>
      </c>
      <c r="N1288" s="86"/>
      <c r="O1288" s="84" t="str">
        <f>IFERROR(VLOOKUP(CONCATENATE($B1288,"_",O$3),materiali!$C:$K,5,0),"")</f>
        <v/>
      </c>
      <c r="P1288" s="85" t="str">
        <f>IFERROR(VLOOKUP(CONCATENATE($B1288,"_",P$3),materiali!$C:$K,6,0),"")</f>
        <v/>
      </c>
      <c r="Q1288" s="86"/>
      <c r="R1288" s="84" t="str">
        <f>IFERROR(VLOOKUP(CONCATENATE($B1288,"_",R$3),materiali!$C:$K,5,0),"")</f>
        <v/>
      </c>
      <c r="S1288" s="85" t="str">
        <f>IFERROR(VLOOKUP(CONCATENATE($B1288,"_",S$3),materiali!$C:$K,6,0),"")</f>
        <v/>
      </c>
      <c r="T1288" s="86"/>
      <c r="U1288" s="31"/>
      <c r="AD1288" s="97"/>
    </row>
    <row r="1289" spans="1:30" ht="35.1" hidden="1" customHeight="1" x14ac:dyDescent="0.25">
      <c r="A1289" s="83"/>
      <c r="B1289" s="7"/>
      <c r="C1289" s="8"/>
      <c r="D1289" s="8"/>
      <c r="E1289" s="60"/>
      <c r="F1289" s="84" t="str">
        <f>IFERROR(VLOOKUP(CONCATENATE($B1289,"_",F$3),materiali!$C:$K,5,0),"")</f>
        <v/>
      </c>
      <c r="G1289" s="85" t="str">
        <f>IFERROR(VLOOKUP(CONCATENATE($B1289,"_",G$3),materiali!$C:$K,6,0),"")</f>
        <v/>
      </c>
      <c r="H1289" s="86"/>
      <c r="I1289" s="84" t="str">
        <f>IFERROR(VLOOKUP(CONCATENATE($B1289,"_",I$3),materiali!$C:$K,5,0),"")</f>
        <v/>
      </c>
      <c r="J1289" s="85" t="str">
        <f>IFERROR(VLOOKUP(CONCATENATE($B1289,"_",J$3),materiali!$C:$K,6,0),"")</f>
        <v/>
      </c>
      <c r="K1289" s="86"/>
      <c r="L1289" s="84" t="str">
        <f>IFERROR(VLOOKUP(CONCATENATE($B1289,"_",L$3),materiali!$C:$K,5,0),"")</f>
        <v/>
      </c>
      <c r="M1289" s="85" t="str">
        <f>IFERROR(VLOOKUP(CONCATENATE($B1289,"_",M$3),materiali!$C:$K,6,0),"")</f>
        <v/>
      </c>
      <c r="N1289" s="86"/>
      <c r="O1289" s="84" t="str">
        <f>IFERROR(VLOOKUP(CONCATENATE($B1289,"_",O$3),materiali!$C:$K,5,0),"")</f>
        <v/>
      </c>
      <c r="P1289" s="85" t="str">
        <f>IFERROR(VLOOKUP(CONCATENATE($B1289,"_",P$3),materiali!$C:$K,6,0),"")</f>
        <v/>
      </c>
      <c r="Q1289" s="86"/>
      <c r="R1289" s="84" t="str">
        <f>IFERROR(VLOOKUP(CONCATENATE($B1289,"_",R$3),materiali!$C:$K,5,0),"")</f>
        <v/>
      </c>
      <c r="S1289" s="85" t="str">
        <f>IFERROR(VLOOKUP(CONCATENATE($B1289,"_",S$3),materiali!$C:$K,6,0),"")</f>
        <v/>
      </c>
      <c r="T1289" s="86"/>
      <c r="U1289" s="31"/>
      <c r="AD1289" s="97"/>
    </row>
    <row r="1290" spans="1:30" ht="35.1" hidden="1" customHeight="1" x14ac:dyDescent="0.25">
      <c r="A1290" s="83"/>
      <c r="B1290" s="7"/>
      <c r="C1290" s="8"/>
      <c r="D1290" s="8"/>
      <c r="E1290" s="60"/>
      <c r="F1290" s="84" t="str">
        <f>IFERROR(VLOOKUP(CONCATENATE($B1290,"_",F$3),materiali!$C:$K,5,0),"")</f>
        <v/>
      </c>
      <c r="G1290" s="85" t="str">
        <f>IFERROR(VLOOKUP(CONCATENATE($B1290,"_",G$3),materiali!$C:$K,6,0),"")</f>
        <v/>
      </c>
      <c r="H1290" s="86"/>
      <c r="I1290" s="84" t="str">
        <f>IFERROR(VLOOKUP(CONCATENATE($B1290,"_",I$3),materiali!$C:$K,5,0),"")</f>
        <v/>
      </c>
      <c r="J1290" s="85" t="str">
        <f>IFERROR(VLOOKUP(CONCATENATE($B1290,"_",J$3),materiali!$C:$K,6,0),"")</f>
        <v/>
      </c>
      <c r="K1290" s="86"/>
      <c r="L1290" s="84" t="str">
        <f>IFERROR(VLOOKUP(CONCATENATE($B1290,"_",L$3),materiali!$C:$K,5,0),"")</f>
        <v/>
      </c>
      <c r="M1290" s="85" t="str">
        <f>IFERROR(VLOOKUP(CONCATENATE($B1290,"_",M$3),materiali!$C:$K,6,0),"")</f>
        <v/>
      </c>
      <c r="N1290" s="86"/>
      <c r="O1290" s="84" t="str">
        <f>IFERROR(VLOOKUP(CONCATENATE($B1290,"_",O$3),materiali!$C:$K,5,0),"")</f>
        <v/>
      </c>
      <c r="P1290" s="85" t="str">
        <f>IFERROR(VLOOKUP(CONCATENATE($B1290,"_",P$3),materiali!$C:$K,6,0),"")</f>
        <v/>
      </c>
      <c r="Q1290" s="86"/>
      <c r="R1290" s="84" t="str">
        <f>IFERROR(VLOOKUP(CONCATENATE($B1290,"_",R$3),materiali!$C:$K,5,0),"")</f>
        <v/>
      </c>
      <c r="S1290" s="85" t="str">
        <f>IFERROR(VLOOKUP(CONCATENATE($B1290,"_",S$3),materiali!$C:$K,6,0),"")</f>
        <v/>
      </c>
      <c r="T1290" s="86"/>
      <c r="U1290" s="31"/>
      <c r="AD1290" s="97"/>
    </row>
    <row r="1291" spans="1:30" ht="35.1" hidden="1" customHeight="1" x14ac:dyDescent="0.25">
      <c r="A1291" s="83"/>
      <c r="B1291" s="7"/>
      <c r="C1291" s="8"/>
      <c r="D1291" s="8"/>
      <c r="E1291" s="60"/>
      <c r="F1291" s="84" t="str">
        <f>IFERROR(VLOOKUP(CONCATENATE($B1291,"_",F$3),materiali!$C:$K,5,0),"")</f>
        <v/>
      </c>
      <c r="G1291" s="85" t="str">
        <f>IFERROR(VLOOKUP(CONCATENATE($B1291,"_",G$3),materiali!$C:$K,6,0),"")</f>
        <v/>
      </c>
      <c r="H1291" s="86"/>
      <c r="I1291" s="84" t="str">
        <f>IFERROR(VLOOKUP(CONCATENATE($B1291,"_",I$3),materiali!$C:$K,5,0),"")</f>
        <v/>
      </c>
      <c r="J1291" s="85" t="str">
        <f>IFERROR(VLOOKUP(CONCATENATE($B1291,"_",J$3),materiali!$C:$K,6,0),"")</f>
        <v/>
      </c>
      <c r="K1291" s="86"/>
      <c r="L1291" s="84" t="str">
        <f>IFERROR(VLOOKUP(CONCATENATE($B1291,"_",L$3),materiali!$C:$K,5,0),"")</f>
        <v/>
      </c>
      <c r="M1291" s="85" t="str">
        <f>IFERROR(VLOOKUP(CONCATENATE($B1291,"_",M$3),materiali!$C:$K,6,0),"")</f>
        <v/>
      </c>
      <c r="N1291" s="86"/>
      <c r="O1291" s="84" t="str">
        <f>IFERROR(VLOOKUP(CONCATENATE($B1291,"_",O$3),materiali!$C:$K,5,0),"")</f>
        <v/>
      </c>
      <c r="P1291" s="85" t="str">
        <f>IFERROR(VLOOKUP(CONCATENATE($B1291,"_",P$3),materiali!$C:$K,6,0),"")</f>
        <v/>
      </c>
      <c r="Q1291" s="86"/>
      <c r="R1291" s="84" t="str">
        <f>IFERROR(VLOOKUP(CONCATENATE($B1291,"_",R$3),materiali!$C:$K,5,0),"")</f>
        <v/>
      </c>
      <c r="S1291" s="85" t="str">
        <f>IFERROR(VLOOKUP(CONCATENATE($B1291,"_",S$3),materiali!$C:$K,6,0),"")</f>
        <v/>
      </c>
      <c r="T1291" s="86"/>
      <c r="U1291" s="31"/>
      <c r="AD1291" s="97"/>
    </row>
    <row r="1292" spans="1:30" ht="35.1" hidden="1" customHeight="1" x14ac:dyDescent="0.25">
      <c r="A1292" s="83"/>
      <c r="B1292" s="7"/>
      <c r="C1292" s="8"/>
      <c r="D1292" s="8"/>
      <c r="E1292" s="60"/>
      <c r="F1292" s="84" t="str">
        <f>IFERROR(VLOOKUP(CONCATENATE($B1292,"_",F$3),materiali!$C:$K,5,0),"")</f>
        <v/>
      </c>
      <c r="G1292" s="85" t="str">
        <f>IFERROR(VLOOKUP(CONCATENATE($B1292,"_",G$3),materiali!$C:$K,6,0),"")</f>
        <v/>
      </c>
      <c r="H1292" s="86"/>
      <c r="I1292" s="84" t="str">
        <f>IFERROR(VLOOKUP(CONCATENATE($B1292,"_",I$3),materiali!$C:$K,5,0),"")</f>
        <v/>
      </c>
      <c r="J1292" s="85" t="str">
        <f>IFERROR(VLOOKUP(CONCATENATE($B1292,"_",J$3),materiali!$C:$K,6,0),"")</f>
        <v/>
      </c>
      <c r="K1292" s="86"/>
      <c r="L1292" s="84" t="str">
        <f>IFERROR(VLOOKUP(CONCATENATE($B1292,"_",L$3),materiali!$C:$K,5,0),"")</f>
        <v/>
      </c>
      <c r="M1292" s="85" t="str">
        <f>IFERROR(VLOOKUP(CONCATENATE($B1292,"_",M$3),materiali!$C:$K,6,0),"")</f>
        <v/>
      </c>
      <c r="N1292" s="86"/>
      <c r="O1292" s="84" t="str">
        <f>IFERROR(VLOOKUP(CONCATENATE($B1292,"_",O$3),materiali!$C:$K,5,0),"")</f>
        <v/>
      </c>
      <c r="P1292" s="85" t="str">
        <f>IFERROR(VLOOKUP(CONCATENATE($B1292,"_",P$3),materiali!$C:$K,6,0),"")</f>
        <v/>
      </c>
      <c r="Q1292" s="86"/>
      <c r="R1292" s="84" t="str">
        <f>IFERROR(VLOOKUP(CONCATENATE($B1292,"_",R$3),materiali!$C:$K,5,0),"")</f>
        <v/>
      </c>
      <c r="S1292" s="85" t="str">
        <f>IFERROR(VLOOKUP(CONCATENATE($B1292,"_",S$3),materiali!$C:$K,6,0),"")</f>
        <v/>
      </c>
      <c r="T1292" s="86"/>
      <c r="U1292" s="31"/>
      <c r="AD1292" s="97"/>
    </row>
    <row r="1293" spans="1:30" ht="35.1" hidden="1" customHeight="1" x14ac:dyDescent="0.25">
      <c r="A1293" s="83"/>
      <c r="B1293" s="7"/>
      <c r="C1293" s="8"/>
      <c r="D1293" s="8"/>
      <c r="E1293" s="60"/>
      <c r="F1293" s="84" t="str">
        <f>IFERROR(VLOOKUP(CONCATENATE($B1293,"_",F$3),materiali!$C:$K,5,0),"")</f>
        <v/>
      </c>
      <c r="G1293" s="85" t="str">
        <f>IFERROR(VLOOKUP(CONCATENATE($B1293,"_",G$3),materiali!$C:$K,6,0),"")</f>
        <v/>
      </c>
      <c r="H1293" s="86"/>
      <c r="I1293" s="84" t="str">
        <f>IFERROR(VLOOKUP(CONCATENATE($B1293,"_",I$3),materiali!$C:$K,5,0),"")</f>
        <v/>
      </c>
      <c r="J1293" s="85" t="str">
        <f>IFERROR(VLOOKUP(CONCATENATE($B1293,"_",J$3),materiali!$C:$K,6,0),"")</f>
        <v/>
      </c>
      <c r="K1293" s="86"/>
      <c r="L1293" s="84" t="str">
        <f>IFERROR(VLOOKUP(CONCATENATE($B1293,"_",L$3),materiali!$C:$K,5,0),"")</f>
        <v/>
      </c>
      <c r="M1293" s="85" t="str">
        <f>IFERROR(VLOOKUP(CONCATENATE($B1293,"_",M$3),materiali!$C:$K,6,0),"")</f>
        <v/>
      </c>
      <c r="N1293" s="86"/>
      <c r="O1293" s="84" t="str">
        <f>IFERROR(VLOOKUP(CONCATENATE($B1293,"_",O$3),materiali!$C:$K,5,0),"")</f>
        <v/>
      </c>
      <c r="P1293" s="85" t="str">
        <f>IFERROR(VLOOKUP(CONCATENATE($B1293,"_",P$3),materiali!$C:$K,6,0),"")</f>
        <v/>
      </c>
      <c r="Q1293" s="86"/>
      <c r="R1293" s="84" t="str">
        <f>IFERROR(VLOOKUP(CONCATENATE($B1293,"_",R$3),materiali!$C:$K,5,0),"")</f>
        <v/>
      </c>
      <c r="S1293" s="85" t="str">
        <f>IFERROR(VLOOKUP(CONCATENATE($B1293,"_",S$3),materiali!$C:$K,6,0),"")</f>
        <v/>
      </c>
      <c r="T1293" s="86"/>
      <c r="U1293" s="31"/>
      <c r="AD1293" s="97"/>
    </row>
    <row r="1294" spans="1:30" ht="35.1" hidden="1" customHeight="1" x14ac:dyDescent="0.25">
      <c r="A1294" s="83"/>
      <c r="B1294" s="7"/>
      <c r="C1294" s="8"/>
      <c r="D1294" s="8"/>
      <c r="E1294" s="60"/>
      <c r="F1294" s="84" t="str">
        <f>IFERROR(VLOOKUP(CONCATENATE($B1294,"_",F$3),materiali!$C:$K,5,0),"")</f>
        <v/>
      </c>
      <c r="G1294" s="85" t="str">
        <f>IFERROR(VLOOKUP(CONCATENATE($B1294,"_",G$3),materiali!$C:$K,6,0),"")</f>
        <v/>
      </c>
      <c r="H1294" s="86"/>
      <c r="I1294" s="84" t="str">
        <f>IFERROR(VLOOKUP(CONCATENATE($B1294,"_",I$3),materiali!$C:$K,5,0),"")</f>
        <v/>
      </c>
      <c r="J1294" s="85" t="str">
        <f>IFERROR(VLOOKUP(CONCATENATE($B1294,"_",J$3),materiali!$C:$K,6,0),"")</f>
        <v/>
      </c>
      <c r="K1294" s="86"/>
      <c r="L1294" s="84" t="str">
        <f>IFERROR(VLOOKUP(CONCATENATE($B1294,"_",L$3),materiali!$C:$K,5,0),"")</f>
        <v/>
      </c>
      <c r="M1294" s="85" t="str">
        <f>IFERROR(VLOOKUP(CONCATENATE($B1294,"_",M$3),materiali!$C:$K,6,0),"")</f>
        <v/>
      </c>
      <c r="N1294" s="86"/>
      <c r="O1294" s="84" t="str">
        <f>IFERROR(VLOOKUP(CONCATENATE($B1294,"_",O$3),materiali!$C:$K,5,0),"")</f>
        <v/>
      </c>
      <c r="P1294" s="85" t="str">
        <f>IFERROR(VLOOKUP(CONCATENATE($B1294,"_",P$3),materiali!$C:$K,6,0),"")</f>
        <v/>
      </c>
      <c r="Q1294" s="86"/>
      <c r="R1294" s="84" t="str">
        <f>IFERROR(VLOOKUP(CONCATENATE($B1294,"_",R$3),materiali!$C:$K,5,0),"")</f>
        <v/>
      </c>
      <c r="S1294" s="85" t="str">
        <f>IFERROR(VLOOKUP(CONCATENATE($B1294,"_",S$3),materiali!$C:$K,6,0),"")</f>
        <v/>
      </c>
      <c r="T1294" s="86"/>
      <c r="U1294" s="31"/>
      <c r="AD1294" s="97"/>
    </row>
    <row r="1295" spans="1:30" ht="35.1" hidden="1" customHeight="1" x14ac:dyDescent="0.25">
      <c r="A1295" s="83"/>
      <c r="B1295" s="7"/>
      <c r="C1295" s="8"/>
      <c r="D1295" s="8"/>
      <c r="E1295" s="60"/>
      <c r="F1295" s="84" t="str">
        <f>IFERROR(VLOOKUP(CONCATENATE($B1295,"_",F$3),materiali!$C:$K,5,0),"")</f>
        <v/>
      </c>
      <c r="G1295" s="85" t="str">
        <f>IFERROR(VLOOKUP(CONCATENATE($B1295,"_",G$3),materiali!$C:$K,6,0),"")</f>
        <v/>
      </c>
      <c r="H1295" s="86"/>
      <c r="I1295" s="84" t="str">
        <f>IFERROR(VLOOKUP(CONCATENATE($B1295,"_",I$3),materiali!$C:$K,5,0),"")</f>
        <v/>
      </c>
      <c r="J1295" s="85" t="str">
        <f>IFERROR(VLOOKUP(CONCATENATE($B1295,"_",J$3),materiali!$C:$K,6,0),"")</f>
        <v/>
      </c>
      <c r="K1295" s="86"/>
      <c r="L1295" s="84" t="str">
        <f>IFERROR(VLOOKUP(CONCATENATE($B1295,"_",L$3),materiali!$C:$K,5,0),"")</f>
        <v/>
      </c>
      <c r="M1295" s="85" t="str">
        <f>IFERROR(VLOOKUP(CONCATENATE($B1295,"_",M$3),materiali!$C:$K,6,0),"")</f>
        <v/>
      </c>
      <c r="N1295" s="86"/>
      <c r="O1295" s="84" t="str">
        <f>IFERROR(VLOOKUP(CONCATENATE($B1295,"_",O$3),materiali!$C:$K,5,0),"")</f>
        <v/>
      </c>
      <c r="P1295" s="85" t="str">
        <f>IFERROR(VLOOKUP(CONCATENATE($B1295,"_",P$3),materiali!$C:$K,6,0),"")</f>
        <v/>
      </c>
      <c r="Q1295" s="86"/>
      <c r="R1295" s="84" t="str">
        <f>IFERROR(VLOOKUP(CONCATENATE($B1295,"_",R$3),materiali!$C:$K,5,0),"")</f>
        <v/>
      </c>
      <c r="S1295" s="85" t="str">
        <f>IFERROR(VLOOKUP(CONCATENATE($B1295,"_",S$3),materiali!$C:$K,6,0),"")</f>
        <v/>
      </c>
      <c r="T1295" s="86"/>
      <c r="U1295" s="31"/>
      <c r="AD1295" s="97"/>
    </row>
    <row r="1296" spans="1:30" ht="35.1" hidden="1" customHeight="1" x14ac:dyDescent="0.25">
      <c r="A1296" s="83"/>
      <c r="B1296" s="7"/>
      <c r="C1296" s="8"/>
      <c r="D1296" s="8"/>
      <c r="E1296" s="60"/>
      <c r="F1296" s="84" t="str">
        <f>IFERROR(VLOOKUP(CONCATENATE($B1296,"_",F$3),materiali!$C:$K,5,0),"")</f>
        <v/>
      </c>
      <c r="G1296" s="85" t="str">
        <f>IFERROR(VLOOKUP(CONCATENATE($B1296,"_",G$3),materiali!$C:$K,6,0),"")</f>
        <v/>
      </c>
      <c r="H1296" s="86"/>
      <c r="I1296" s="84" t="str">
        <f>IFERROR(VLOOKUP(CONCATENATE($B1296,"_",I$3),materiali!$C:$K,5,0),"")</f>
        <v/>
      </c>
      <c r="J1296" s="85" t="str">
        <f>IFERROR(VLOOKUP(CONCATENATE($B1296,"_",J$3),materiali!$C:$K,6,0),"")</f>
        <v/>
      </c>
      <c r="K1296" s="86"/>
      <c r="L1296" s="84" t="str">
        <f>IFERROR(VLOOKUP(CONCATENATE($B1296,"_",L$3),materiali!$C:$K,5,0),"")</f>
        <v/>
      </c>
      <c r="M1296" s="85" t="str">
        <f>IFERROR(VLOOKUP(CONCATENATE($B1296,"_",M$3),materiali!$C:$K,6,0),"")</f>
        <v/>
      </c>
      <c r="N1296" s="86"/>
      <c r="O1296" s="84" t="str">
        <f>IFERROR(VLOOKUP(CONCATENATE($B1296,"_",O$3),materiali!$C:$K,5,0),"")</f>
        <v/>
      </c>
      <c r="P1296" s="85" t="str">
        <f>IFERROR(VLOOKUP(CONCATENATE($B1296,"_",P$3),materiali!$C:$K,6,0),"")</f>
        <v/>
      </c>
      <c r="Q1296" s="86"/>
      <c r="R1296" s="84" t="str">
        <f>IFERROR(VLOOKUP(CONCATENATE($B1296,"_",R$3),materiali!$C:$K,5,0),"")</f>
        <v/>
      </c>
      <c r="S1296" s="85" t="str">
        <f>IFERROR(VLOOKUP(CONCATENATE($B1296,"_",S$3),materiali!$C:$K,6,0),"")</f>
        <v/>
      </c>
      <c r="T1296" s="86"/>
      <c r="U1296" s="31"/>
      <c r="AD1296" s="97"/>
    </row>
    <row r="1297" spans="1:30" ht="35.1" hidden="1" customHeight="1" x14ac:dyDescent="0.25">
      <c r="A1297" s="83"/>
      <c r="B1297" s="7"/>
      <c r="C1297" s="8"/>
      <c r="D1297" s="8"/>
      <c r="E1297" s="60"/>
      <c r="F1297" s="84" t="str">
        <f>IFERROR(VLOOKUP(CONCATENATE($B1297,"_",F$3),materiali!$C:$K,5,0),"")</f>
        <v/>
      </c>
      <c r="G1297" s="85" t="str">
        <f>IFERROR(VLOOKUP(CONCATENATE($B1297,"_",G$3),materiali!$C:$K,6,0),"")</f>
        <v/>
      </c>
      <c r="H1297" s="86"/>
      <c r="I1297" s="84" t="str">
        <f>IFERROR(VLOOKUP(CONCATENATE($B1297,"_",I$3),materiali!$C:$K,5,0),"")</f>
        <v/>
      </c>
      <c r="J1297" s="85" t="str">
        <f>IFERROR(VLOOKUP(CONCATENATE($B1297,"_",J$3),materiali!$C:$K,6,0),"")</f>
        <v/>
      </c>
      <c r="K1297" s="86"/>
      <c r="L1297" s="84" t="str">
        <f>IFERROR(VLOOKUP(CONCATENATE($B1297,"_",L$3),materiali!$C:$K,5,0),"")</f>
        <v/>
      </c>
      <c r="M1297" s="85" t="str">
        <f>IFERROR(VLOOKUP(CONCATENATE($B1297,"_",M$3),materiali!$C:$K,6,0),"")</f>
        <v/>
      </c>
      <c r="N1297" s="86"/>
      <c r="O1297" s="84" t="str">
        <f>IFERROR(VLOOKUP(CONCATENATE($B1297,"_",O$3),materiali!$C:$K,5,0),"")</f>
        <v/>
      </c>
      <c r="P1297" s="85" t="str">
        <f>IFERROR(VLOOKUP(CONCATENATE($B1297,"_",P$3),materiali!$C:$K,6,0),"")</f>
        <v/>
      </c>
      <c r="Q1297" s="86"/>
      <c r="R1297" s="84" t="str">
        <f>IFERROR(VLOOKUP(CONCATENATE($B1297,"_",R$3),materiali!$C:$K,5,0),"")</f>
        <v/>
      </c>
      <c r="S1297" s="85" t="str">
        <f>IFERROR(VLOOKUP(CONCATENATE($B1297,"_",S$3),materiali!$C:$K,6,0),"")</f>
        <v/>
      </c>
      <c r="T1297" s="86"/>
      <c r="U1297" s="31"/>
      <c r="AD1297" s="97"/>
    </row>
    <row r="1298" spans="1:30" ht="35.1" hidden="1" customHeight="1" x14ac:dyDescent="0.25">
      <c r="A1298" s="83"/>
      <c r="B1298" s="7"/>
      <c r="C1298" s="8"/>
      <c r="D1298" s="8"/>
      <c r="E1298" s="60"/>
      <c r="F1298" s="84" t="str">
        <f>IFERROR(VLOOKUP(CONCATENATE($B1298,"_",F$3),materiali!$C:$K,5,0),"")</f>
        <v/>
      </c>
      <c r="G1298" s="85" t="str">
        <f>IFERROR(VLOOKUP(CONCATENATE($B1298,"_",G$3),materiali!$C:$K,6,0),"")</f>
        <v/>
      </c>
      <c r="H1298" s="86"/>
      <c r="I1298" s="84" t="str">
        <f>IFERROR(VLOOKUP(CONCATENATE($B1298,"_",I$3),materiali!$C:$K,5,0),"")</f>
        <v/>
      </c>
      <c r="J1298" s="85" t="str">
        <f>IFERROR(VLOOKUP(CONCATENATE($B1298,"_",J$3),materiali!$C:$K,6,0),"")</f>
        <v/>
      </c>
      <c r="K1298" s="86"/>
      <c r="L1298" s="84" t="str">
        <f>IFERROR(VLOOKUP(CONCATENATE($B1298,"_",L$3),materiali!$C:$K,5,0),"")</f>
        <v/>
      </c>
      <c r="M1298" s="85" t="str">
        <f>IFERROR(VLOOKUP(CONCATENATE($B1298,"_",M$3),materiali!$C:$K,6,0),"")</f>
        <v/>
      </c>
      <c r="N1298" s="86"/>
      <c r="O1298" s="84" t="str">
        <f>IFERROR(VLOOKUP(CONCATENATE($B1298,"_",O$3),materiali!$C:$K,5,0),"")</f>
        <v/>
      </c>
      <c r="P1298" s="85" t="str">
        <f>IFERROR(VLOOKUP(CONCATENATE($B1298,"_",P$3),materiali!$C:$K,6,0),"")</f>
        <v/>
      </c>
      <c r="Q1298" s="86"/>
      <c r="R1298" s="84" t="str">
        <f>IFERROR(VLOOKUP(CONCATENATE($B1298,"_",R$3),materiali!$C:$K,5,0),"")</f>
        <v/>
      </c>
      <c r="S1298" s="85" t="str">
        <f>IFERROR(VLOOKUP(CONCATENATE($B1298,"_",S$3),materiali!$C:$K,6,0),"")</f>
        <v/>
      </c>
      <c r="T1298" s="86"/>
      <c r="U1298" s="31"/>
      <c r="AD1298" s="97"/>
    </row>
    <row r="1299" spans="1:30" ht="35.1" hidden="1" customHeight="1" x14ac:dyDescent="0.25">
      <c r="A1299" s="83"/>
      <c r="B1299" s="7"/>
      <c r="C1299" s="8"/>
      <c r="D1299" s="8"/>
      <c r="E1299" s="60"/>
      <c r="F1299" s="84" t="str">
        <f>IFERROR(VLOOKUP(CONCATENATE($B1299,"_",F$3),materiali!$C:$K,5,0),"")</f>
        <v/>
      </c>
      <c r="G1299" s="85" t="str">
        <f>IFERROR(VLOOKUP(CONCATENATE($B1299,"_",G$3),materiali!$C:$K,6,0),"")</f>
        <v/>
      </c>
      <c r="H1299" s="86"/>
      <c r="I1299" s="84" t="str">
        <f>IFERROR(VLOOKUP(CONCATENATE($B1299,"_",I$3),materiali!$C:$K,5,0),"")</f>
        <v/>
      </c>
      <c r="J1299" s="85" t="str">
        <f>IFERROR(VLOOKUP(CONCATENATE($B1299,"_",J$3),materiali!$C:$K,6,0),"")</f>
        <v/>
      </c>
      <c r="K1299" s="86"/>
      <c r="L1299" s="84" t="str">
        <f>IFERROR(VLOOKUP(CONCATENATE($B1299,"_",L$3),materiali!$C:$K,5,0),"")</f>
        <v/>
      </c>
      <c r="M1299" s="85" t="str">
        <f>IFERROR(VLOOKUP(CONCATENATE($B1299,"_",M$3),materiali!$C:$K,6,0),"")</f>
        <v/>
      </c>
      <c r="N1299" s="86"/>
      <c r="O1299" s="84" t="str">
        <f>IFERROR(VLOOKUP(CONCATENATE($B1299,"_",O$3),materiali!$C:$K,5,0),"")</f>
        <v/>
      </c>
      <c r="P1299" s="85" t="str">
        <f>IFERROR(VLOOKUP(CONCATENATE($B1299,"_",P$3),materiali!$C:$K,6,0),"")</f>
        <v/>
      </c>
      <c r="Q1299" s="86"/>
      <c r="R1299" s="84" t="str">
        <f>IFERROR(VLOOKUP(CONCATENATE($B1299,"_",R$3),materiali!$C:$K,5,0),"")</f>
        <v/>
      </c>
      <c r="S1299" s="85" t="str">
        <f>IFERROR(VLOOKUP(CONCATENATE($B1299,"_",S$3),materiali!$C:$K,6,0),"")</f>
        <v/>
      </c>
      <c r="T1299" s="86"/>
      <c r="U1299" s="31"/>
      <c r="AD1299" s="97"/>
    </row>
    <row r="1300" spans="1:30" ht="35.1" hidden="1" customHeight="1" x14ac:dyDescent="0.25">
      <c r="A1300" s="83"/>
      <c r="B1300" s="7"/>
      <c r="C1300" s="8"/>
      <c r="D1300" s="8"/>
      <c r="E1300" s="60"/>
      <c r="F1300" s="84" t="str">
        <f>IFERROR(VLOOKUP(CONCATENATE($B1300,"_",F$3),materiali!$C:$K,5,0),"")</f>
        <v/>
      </c>
      <c r="G1300" s="85" t="str">
        <f>IFERROR(VLOOKUP(CONCATENATE($B1300,"_",G$3),materiali!$C:$K,6,0),"")</f>
        <v/>
      </c>
      <c r="H1300" s="86"/>
      <c r="I1300" s="84" t="str">
        <f>IFERROR(VLOOKUP(CONCATENATE($B1300,"_",I$3),materiali!$C:$K,5,0),"")</f>
        <v/>
      </c>
      <c r="J1300" s="85" t="str">
        <f>IFERROR(VLOOKUP(CONCATENATE($B1300,"_",J$3),materiali!$C:$K,6,0),"")</f>
        <v/>
      </c>
      <c r="K1300" s="86"/>
      <c r="L1300" s="84" t="str">
        <f>IFERROR(VLOOKUP(CONCATENATE($B1300,"_",L$3),materiali!$C:$K,5,0),"")</f>
        <v/>
      </c>
      <c r="M1300" s="85" t="str">
        <f>IFERROR(VLOOKUP(CONCATENATE($B1300,"_",M$3),materiali!$C:$K,6,0),"")</f>
        <v/>
      </c>
      <c r="N1300" s="86"/>
      <c r="O1300" s="84" t="str">
        <f>IFERROR(VLOOKUP(CONCATENATE($B1300,"_",O$3),materiali!$C:$K,5,0),"")</f>
        <v/>
      </c>
      <c r="P1300" s="85" t="str">
        <f>IFERROR(VLOOKUP(CONCATENATE($B1300,"_",P$3),materiali!$C:$K,6,0),"")</f>
        <v/>
      </c>
      <c r="Q1300" s="86"/>
      <c r="R1300" s="84" t="str">
        <f>IFERROR(VLOOKUP(CONCATENATE($B1300,"_",R$3),materiali!$C:$K,5,0),"")</f>
        <v/>
      </c>
      <c r="S1300" s="85" t="str">
        <f>IFERROR(VLOOKUP(CONCATENATE($B1300,"_",S$3),materiali!$C:$K,6,0),"")</f>
        <v/>
      </c>
      <c r="T1300" s="86"/>
      <c r="U1300" s="31"/>
      <c r="AD1300" s="97"/>
    </row>
    <row r="1301" spans="1:30" ht="35.1" hidden="1" customHeight="1" x14ac:dyDescent="0.25">
      <c r="A1301" s="83"/>
      <c r="B1301" s="7"/>
      <c r="C1301" s="8"/>
      <c r="D1301" s="8"/>
      <c r="E1301" s="60"/>
      <c r="F1301" s="84" t="str">
        <f>IFERROR(VLOOKUP(CONCATENATE($B1301,"_",F$3),materiali!$C:$K,5,0),"")</f>
        <v/>
      </c>
      <c r="G1301" s="85" t="str">
        <f>IFERROR(VLOOKUP(CONCATENATE($B1301,"_",G$3),materiali!$C:$K,6,0),"")</f>
        <v/>
      </c>
      <c r="H1301" s="86"/>
      <c r="I1301" s="84" t="str">
        <f>IFERROR(VLOOKUP(CONCATENATE($B1301,"_",I$3),materiali!$C:$K,5,0),"")</f>
        <v/>
      </c>
      <c r="J1301" s="85" t="str">
        <f>IFERROR(VLOOKUP(CONCATENATE($B1301,"_",J$3),materiali!$C:$K,6,0),"")</f>
        <v/>
      </c>
      <c r="K1301" s="86"/>
      <c r="L1301" s="84" t="str">
        <f>IFERROR(VLOOKUP(CONCATENATE($B1301,"_",L$3),materiali!$C:$K,5,0),"")</f>
        <v/>
      </c>
      <c r="M1301" s="85" t="str">
        <f>IFERROR(VLOOKUP(CONCATENATE($B1301,"_",M$3),materiali!$C:$K,6,0),"")</f>
        <v/>
      </c>
      <c r="N1301" s="86"/>
      <c r="O1301" s="84" t="str">
        <f>IFERROR(VLOOKUP(CONCATENATE($B1301,"_",O$3),materiali!$C:$K,5,0),"")</f>
        <v/>
      </c>
      <c r="P1301" s="85" t="str">
        <f>IFERROR(VLOOKUP(CONCATENATE($B1301,"_",P$3),materiali!$C:$K,6,0),"")</f>
        <v/>
      </c>
      <c r="Q1301" s="86"/>
      <c r="R1301" s="84" t="str">
        <f>IFERROR(VLOOKUP(CONCATENATE($B1301,"_",R$3),materiali!$C:$K,5,0),"")</f>
        <v/>
      </c>
      <c r="S1301" s="85" t="str">
        <f>IFERROR(VLOOKUP(CONCATENATE($B1301,"_",S$3),materiali!$C:$K,6,0),"")</f>
        <v/>
      </c>
      <c r="T1301" s="86"/>
      <c r="U1301" s="31"/>
      <c r="AD1301" s="97"/>
    </row>
    <row r="1302" spans="1:30" ht="35.1" hidden="1" customHeight="1" x14ac:dyDescent="0.25">
      <c r="A1302" s="83"/>
      <c r="B1302" s="7"/>
      <c r="C1302" s="8"/>
      <c r="D1302" s="8"/>
      <c r="E1302" s="60"/>
      <c r="F1302" s="84" t="str">
        <f>IFERROR(VLOOKUP(CONCATENATE($B1302,"_",F$3),materiali!$C:$K,5,0),"")</f>
        <v/>
      </c>
      <c r="G1302" s="85" t="str">
        <f>IFERROR(VLOOKUP(CONCATENATE($B1302,"_",G$3),materiali!$C:$K,6,0),"")</f>
        <v/>
      </c>
      <c r="H1302" s="86"/>
      <c r="I1302" s="84" t="str">
        <f>IFERROR(VLOOKUP(CONCATENATE($B1302,"_",I$3),materiali!$C:$K,5,0),"")</f>
        <v/>
      </c>
      <c r="J1302" s="85" t="str">
        <f>IFERROR(VLOOKUP(CONCATENATE($B1302,"_",J$3),materiali!$C:$K,6,0),"")</f>
        <v/>
      </c>
      <c r="K1302" s="86"/>
      <c r="L1302" s="84" t="str">
        <f>IFERROR(VLOOKUP(CONCATENATE($B1302,"_",L$3),materiali!$C:$K,5,0),"")</f>
        <v/>
      </c>
      <c r="M1302" s="85" t="str">
        <f>IFERROR(VLOOKUP(CONCATENATE($B1302,"_",M$3),materiali!$C:$K,6,0),"")</f>
        <v/>
      </c>
      <c r="N1302" s="86"/>
      <c r="O1302" s="84" t="str">
        <f>IFERROR(VLOOKUP(CONCATENATE($B1302,"_",O$3),materiali!$C:$K,5,0),"")</f>
        <v/>
      </c>
      <c r="P1302" s="85" t="str">
        <f>IFERROR(VLOOKUP(CONCATENATE($B1302,"_",P$3),materiali!$C:$K,6,0),"")</f>
        <v/>
      </c>
      <c r="Q1302" s="86"/>
      <c r="R1302" s="84" t="str">
        <f>IFERROR(VLOOKUP(CONCATENATE($B1302,"_",R$3),materiali!$C:$K,5,0),"")</f>
        <v/>
      </c>
      <c r="S1302" s="85" t="str">
        <f>IFERROR(VLOOKUP(CONCATENATE($B1302,"_",S$3),materiali!$C:$K,6,0),"")</f>
        <v/>
      </c>
      <c r="T1302" s="86"/>
      <c r="U1302" s="31"/>
      <c r="AD1302" s="97"/>
    </row>
    <row r="1303" spans="1:30" ht="35.1" hidden="1" customHeight="1" x14ac:dyDescent="0.25">
      <c r="A1303" s="83"/>
      <c r="B1303" s="7"/>
      <c r="C1303" s="8"/>
      <c r="D1303" s="8"/>
      <c r="E1303" s="60"/>
      <c r="F1303" s="84" t="str">
        <f>IFERROR(VLOOKUP(CONCATENATE($B1303,"_",F$3),materiali!$C:$K,5,0),"")</f>
        <v/>
      </c>
      <c r="G1303" s="85" t="str">
        <f>IFERROR(VLOOKUP(CONCATENATE($B1303,"_",G$3),materiali!$C:$K,6,0),"")</f>
        <v/>
      </c>
      <c r="H1303" s="86"/>
      <c r="I1303" s="84" t="str">
        <f>IFERROR(VLOOKUP(CONCATENATE($B1303,"_",I$3),materiali!$C:$K,5,0),"")</f>
        <v/>
      </c>
      <c r="J1303" s="85" t="str">
        <f>IFERROR(VLOOKUP(CONCATENATE($B1303,"_",J$3),materiali!$C:$K,6,0),"")</f>
        <v/>
      </c>
      <c r="K1303" s="86"/>
      <c r="L1303" s="84" t="str">
        <f>IFERROR(VLOOKUP(CONCATENATE($B1303,"_",L$3),materiali!$C:$K,5,0),"")</f>
        <v/>
      </c>
      <c r="M1303" s="85" t="str">
        <f>IFERROR(VLOOKUP(CONCATENATE($B1303,"_",M$3),materiali!$C:$K,6,0),"")</f>
        <v/>
      </c>
      <c r="N1303" s="86"/>
      <c r="O1303" s="84" t="str">
        <f>IFERROR(VLOOKUP(CONCATENATE($B1303,"_",O$3),materiali!$C:$K,5,0),"")</f>
        <v/>
      </c>
      <c r="P1303" s="85" t="str">
        <f>IFERROR(VLOOKUP(CONCATENATE($B1303,"_",P$3),materiali!$C:$K,6,0),"")</f>
        <v/>
      </c>
      <c r="Q1303" s="86"/>
      <c r="R1303" s="84" t="str">
        <f>IFERROR(VLOOKUP(CONCATENATE($B1303,"_",R$3),materiali!$C:$K,5,0),"")</f>
        <v/>
      </c>
      <c r="S1303" s="85" t="str">
        <f>IFERROR(VLOOKUP(CONCATENATE($B1303,"_",S$3),materiali!$C:$K,6,0),"")</f>
        <v/>
      </c>
      <c r="T1303" s="86"/>
      <c r="U1303" s="31"/>
      <c r="AD1303" s="97"/>
    </row>
    <row r="1304" spans="1:30" ht="35.1" hidden="1" customHeight="1" x14ac:dyDescent="0.25">
      <c r="A1304" s="83"/>
      <c r="B1304" s="7"/>
      <c r="C1304" s="8"/>
      <c r="D1304" s="8"/>
      <c r="E1304" s="60"/>
      <c r="F1304" s="84" t="str">
        <f>IFERROR(VLOOKUP(CONCATENATE($B1304,"_",F$3),materiali!$C:$K,5,0),"")</f>
        <v/>
      </c>
      <c r="G1304" s="85" t="str">
        <f>IFERROR(VLOOKUP(CONCATENATE($B1304,"_",G$3),materiali!$C:$K,6,0),"")</f>
        <v/>
      </c>
      <c r="H1304" s="86"/>
      <c r="I1304" s="84" t="str">
        <f>IFERROR(VLOOKUP(CONCATENATE($B1304,"_",I$3),materiali!$C:$K,5,0),"")</f>
        <v/>
      </c>
      <c r="J1304" s="85" t="str">
        <f>IFERROR(VLOOKUP(CONCATENATE($B1304,"_",J$3),materiali!$C:$K,6,0),"")</f>
        <v/>
      </c>
      <c r="K1304" s="86"/>
      <c r="L1304" s="84" t="str">
        <f>IFERROR(VLOOKUP(CONCATENATE($B1304,"_",L$3),materiali!$C:$K,5,0),"")</f>
        <v/>
      </c>
      <c r="M1304" s="85" t="str">
        <f>IFERROR(VLOOKUP(CONCATENATE($B1304,"_",M$3),materiali!$C:$K,6,0),"")</f>
        <v/>
      </c>
      <c r="N1304" s="86"/>
      <c r="O1304" s="84" t="str">
        <f>IFERROR(VLOOKUP(CONCATENATE($B1304,"_",O$3),materiali!$C:$K,5,0),"")</f>
        <v/>
      </c>
      <c r="P1304" s="85" t="str">
        <f>IFERROR(VLOOKUP(CONCATENATE($B1304,"_",P$3),materiali!$C:$K,6,0),"")</f>
        <v/>
      </c>
      <c r="Q1304" s="86"/>
      <c r="R1304" s="84" t="str">
        <f>IFERROR(VLOOKUP(CONCATENATE($B1304,"_",R$3),materiali!$C:$K,5,0),"")</f>
        <v/>
      </c>
      <c r="S1304" s="85" t="str">
        <f>IFERROR(VLOOKUP(CONCATENATE($B1304,"_",S$3),materiali!$C:$K,6,0),"")</f>
        <v/>
      </c>
      <c r="T1304" s="86"/>
      <c r="U1304" s="31"/>
      <c r="AD1304" s="97"/>
    </row>
    <row r="1305" spans="1:30" ht="35.1" hidden="1" customHeight="1" x14ac:dyDescent="0.25">
      <c r="A1305" s="83"/>
      <c r="B1305" s="7"/>
      <c r="C1305" s="8"/>
      <c r="D1305" s="8"/>
      <c r="E1305" s="60"/>
      <c r="F1305" s="84" t="str">
        <f>IFERROR(VLOOKUP(CONCATENATE($B1305,"_",F$3),materiali!$C:$K,5,0),"")</f>
        <v/>
      </c>
      <c r="G1305" s="85" t="str">
        <f>IFERROR(VLOOKUP(CONCATENATE($B1305,"_",G$3),materiali!$C:$K,6,0),"")</f>
        <v/>
      </c>
      <c r="H1305" s="86"/>
      <c r="I1305" s="84" t="str">
        <f>IFERROR(VLOOKUP(CONCATENATE($B1305,"_",I$3),materiali!$C:$K,5,0),"")</f>
        <v/>
      </c>
      <c r="J1305" s="85" t="str">
        <f>IFERROR(VLOOKUP(CONCATENATE($B1305,"_",J$3),materiali!$C:$K,6,0),"")</f>
        <v/>
      </c>
      <c r="K1305" s="86"/>
      <c r="L1305" s="84" t="str">
        <f>IFERROR(VLOOKUP(CONCATENATE($B1305,"_",L$3),materiali!$C:$K,5,0),"")</f>
        <v/>
      </c>
      <c r="M1305" s="85" t="str">
        <f>IFERROR(VLOOKUP(CONCATENATE($B1305,"_",M$3),materiali!$C:$K,6,0),"")</f>
        <v/>
      </c>
      <c r="N1305" s="86"/>
      <c r="O1305" s="84" t="str">
        <f>IFERROR(VLOOKUP(CONCATENATE($B1305,"_",O$3),materiali!$C:$K,5,0),"")</f>
        <v/>
      </c>
      <c r="P1305" s="85" t="str">
        <f>IFERROR(VLOOKUP(CONCATENATE($B1305,"_",P$3),materiali!$C:$K,6,0),"")</f>
        <v/>
      </c>
      <c r="Q1305" s="86"/>
      <c r="R1305" s="84" t="str">
        <f>IFERROR(VLOOKUP(CONCATENATE($B1305,"_",R$3),materiali!$C:$K,5,0),"")</f>
        <v/>
      </c>
      <c r="S1305" s="85" t="str">
        <f>IFERROR(VLOOKUP(CONCATENATE($B1305,"_",S$3),materiali!$C:$K,6,0),"")</f>
        <v/>
      </c>
      <c r="T1305" s="86"/>
      <c r="U1305" s="31"/>
      <c r="AD1305" s="97"/>
    </row>
    <row r="1306" spans="1:30" ht="35.1" hidden="1" customHeight="1" x14ac:dyDescent="0.25">
      <c r="A1306" s="83"/>
      <c r="B1306" s="7"/>
      <c r="C1306" s="8"/>
      <c r="D1306" s="8"/>
      <c r="E1306" s="60"/>
      <c r="F1306" s="84" t="str">
        <f>IFERROR(VLOOKUP(CONCATENATE($B1306,"_",F$3),materiali!$C:$K,5,0),"")</f>
        <v/>
      </c>
      <c r="G1306" s="85" t="str">
        <f>IFERROR(VLOOKUP(CONCATENATE($B1306,"_",G$3),materiali!$C:$K,6,0),"")</f>
        <v/>
      </c>
      <c r="H1306" s="86"/>
      <c r="I1306" s="84" t="str">
        <f>IFERROR(VLOOKUP(CONCATENATE($B1306,"_",I$3),materiali!$C:$K,5,0),"")</f>
        <v/>
      </c>
      <c r="J1306" s="85" t="str">
        <f>IFERROR(VLOOKUP(CONCATENATE($B1306,"_",J$3),materiali!$C:$K,6,0),"")</f>
        <v/>
      </c>
      <c r="K1306" s="86"/>
      <c r="L1306" s="84" t="str">
        <f>IFERROR(VLOOKUP(CONCATENATE($B1306,"_",L$3),materiali!$C:$K,5,0),"")</f>
        <v/>
      </c>
      <c r="M1306" s="85" t="str">
        <f>IFERROR(VLOOKUP(CONCATENATE($B1306,"_",M$3),materiali!$C:$K,6,0),"")</f>
        <v/>
      </c>
      <c r="N1306" s="86"/>
      <c r="O1306" s="84" t="str">
        <f>IFERROR(VLOOKUP(CONCATENATE($B1306,"_",O$3),materiali!$C:$K,5,0),"")</f>
        <v/>
      </c>
      <c r="P1306" s="85" t="str">
        <f>IFERROR(VLOOKUP(CONCATENATE($B1306,"_",P$3),materiali!$C:$K,6,0),"")</f>
        <v/>
      </c>
      <c r="Q1306" s="86"/>
      <c r="R1306" s="84" t="str">
        <f>IFERROR(VLOOKUP(CONCATENATE($B1306,"_",R$3),materiali!$C:$K,5,0),"")</f>
        <v/>
      </c>
      <c r="S1306" s="85" t="str">
        <f>IFERROR(VLOOKUP(CONCATENATE($B1306,"_",S$3),materiali!$C:$K,6,0),"")</f>
        <v/>
      </c>
      <c r="T1306" s="86"/>
      <c r="U1306" s="31"/>
      <c r="AD1306" s="97"/>
    </row>
    <row r="1307" spans="1:30" ht="35.1" hidden="1" customHeight="1" x14ac:dyDescent="0.25">
      <c r="A1307" s="83"/>
      <c r="B1307" s="7"/>
      <c r="C1307" s="8"/>
      <c r="D1307" s="8"/>
      <c r="E1307" s="60"/>
      <c r="F1307" s="84" t="str">
        <f>IFERROR(VLOOKUP(CONCATENATE($B1307,"_",F$3),materiali!$C:$K,5,0),"")</f>
        <v/>
      </c>
      <c r="G1307" s="85" t="str">
        <f>IFERROR(VLOOKUP(CONCATENATE($B1307,"_",G$3),materiali!$C:$K,6,0),"")</f>
        <v/>
      </c>
      <c r="H1307" s="86"/>
      <c r="I1307" s="84" t="str">
        <f>IFERROR(VLOOKUP(CONCATENATE($B1307,"_",I$3),materiali!$C:$K,5,0),"")</f>
        <v/>
      </c>
      <c r="J1307" s="85" t="str">
        <f>IFERROR(VLOOKUP(CONCATENATE($B1307,"_",J$3),materiali!$C:$K,6,0),"")</f>
        <v/>
      </c>
      <c r="K1307" s="86"/>
      <c r="L1307" s="84" t="str">
        <f>IFERROR(VLOOKUP(CONCATENATE($B1307,"_",L$3),materiali!$C:$K,5,0),"")</f>
        <v/>
      </c>
      <c r="M1307" s="85" t="str">
        <f>IFERROR(VLOOKUP(CONCATENATE($B1307,"_",M$3),materiali!$C:$K,6,0),"")</f>
        <v/>
      </c>
      <c r="N1307" s="86"/>
      <c r="O1307" s="84" t="str">
        <f>IFERROR(VLOOKUP(CONCATENATE($B1307,"_",O$3),materiali!$C:$K,5,0),"")</f>
        <v/>
      </c>
      <c r="P1307" s="85" t="str">
        <f>IFERROR(VLOOKUP(CONCATENATE($B1307,"_",P$3),materiali!$C:$K,6,0),"")</f>
        <v/>
      </c>
      <c r="Q1307" s="86"/>
      <c r="R1307" s="84" t="str">
        <f>IFERROR(VLOOKUP(CONCATENATE($B1307,"_",R$3),materiali!$C:$K,5,0),"")</f>
        <v/>
      </c>
      <c r="S1307" s="85" t="str">
        <f>IFERROR(VLOOKUP(CONCATENATE($B1307,"_",S$3),materiali!$C:$K,6,0),"")</f>
        <v/>
      </c>
      <c r="T1307" s="86"/>
      <c r="U1307" s="31"/>
      <c r="AD1307" s="97"/>
    </row>
    <row r="1308" spans="1:30" ht="35.1" hidden="1" customHeight="1" x14ac:dyDescent="0.25">
      <c r="A1308" s="83"/>
      <c r="B1308" s="7"/>
      <c r="C1308" s="8"/>
      <c r="D1308" s="8"/>
      <c r="E1308" s="60"/>
      <c r="F1308" s="84" t="str">
        <f>IFERROR(VLOOKUP(CONCATENATE($B1308,"_",F$3),materiali!$C:$K,5,0),"")</f>
        <v/>
      </c>
      <c r="G1308" s="85" t="str">
        <f>IFERROR(VLOOKUP(CONCATENATE($B1308,"_",G$3),materiali!$C:$K,6,0),"")</f>
        <v/>
      </c>
      <c r="H1308" s="86"/>
      <c r="I1308" s="84" t="str">
        <f>IFERROR(VLOOKUP(CONCATENATE($B1308,"_",I$3),materiali!$C:$K,5,0),"")</f>
        <v/>
      </c>
      <c r="J1308" s="85" t="str">
        <f>IFERROR(VLOOKUP(CONCATENATE($B1308,"_",J$3),materiali!$C:$K,6,0),"")</f>
        <v/>
      </c>
      <c r="K1308" s="86"/>
      <c r="L1308" s="84" t="str">
        <f>IFERROR(VLOOKUP(CONCATENATE($B1308,"_",L$3),materiali!$C:$K,5,0),"")</f>
        <v/>
      </c>
      <c r="M1308" s="85" t="str">
        <f>IFERROR(VLOOKUP(CONCATENATE($B1308,"_",M$3),materiali!$C:$K,6,0),"")</f>
        <v/>
      </c>
      <c r="N1308" s="86"/>
      <c r="O1308" s="84" t="str">
        <f>IFERROR(VLOOKUP(CONCATENATE($B1308,"_",O$3),materiali!$C:$K,5,0),"")</f>
        <v/>
      </c>
      <c r="P1308" s="85" t="str">
        <f>IFERROR(VLOOKUP(CONCATENATE($B1308,"_",P$3),materiali!$C:$K,6,0),"")</f>
        <v/>
      </c>
      <c r="Q1308" s="86"/>
      <c r="R1308" s="84" t="str">
        <f>IFERROR(VLOOKUP(CONCATENATE($B1308,"_",R$3),materiali!$C:$K,5,0),"")</f>
        <v/>
      </c>
      <c r="S1308" s="85" t="str">
        <f>IFERROR(VLOOKUP(CONCATENATE($B1308,"_",S$3),materiali!$C:$K,6,0),"")</f>
        <v/>
      </c>
      <c r="T1308" s="86"/>
      <c r="U1308" s="31"/>
      <c r="AD1308" s="97"/>
    </row>
    <row r="1309" spans="1:30" ht="35.1" hidden="1" customHeight="1" x14ac:dyDescent="0.25">
      <c r="A1309" s="83"/>
      <c r="B1309" s="7"/>
      <c r="C1309" s="8"/>
      <c r="D1309" s="8"/>
      <c r="E1309" s="60"/>
      <c r="F1309" s="84" t="str">
        <f>IFERROR(VLOOKUP(CONCATENATE($B1309,"_",F$3),materiali!$C:$K,5,0),"")</f>
        <v/>
      </c>
      <c r="G1309" s="85" t="str">
        <f>IFERROR(VLOOKUP(CONCATENATE($B1309,"_",G$3),materiali!$C:$K,6,0),"")</f>
        <v/>
      </c>
      <c r="H1309" s="86"/>
      <c r="I1309" s="84" t="str">
        <f>IFERROR(VLOOKUP(CONCATENATE($B1309,"_",I$3),materiali!$C:$K,5,0),"")</f>
        <v/>
      </c>
      <c r="J1309" s="85" t="str">
        <f>IFERROR(VLOOKUP(CONCATENATE($B1309,"_",J$3),materiali!$C:$K,6,0),"")</f>
        <v/>
      </c>
      <c r="K1309" s="86"/>
      <c r="L1309" s="84" t="str">
        <f>IFERROR(VLOOKUP(CONCATENATE($B1309,"_",L$3),materiali!$C:$K,5,0),"")</f>
        <v/>
      </c>
      <c r="M1309" s="85" t="str">
        <f>IFERROR(VLOOKUP(CONCATENATE($B1309,"_",M$3),materiali!$C:$K,6,0),"")</f>
        <v/>
      </c>
      <c r="N1309" s="86"/>
      <c r="O1309" s="84" t="str">
        <f>IFERROR(VLOOKUP(CONCATENATE($B1309,"_",O$3),materiali!$C:$K,5,0),"")</f>
        <v/>
      </c>
      <c r="P1309" s="85" t="str">
        <f>IFERROR(VLOOKUP(CONCATENATE($B1309,"_",P$3),materiali!$C:$K,6,0),"")</f>
        <v/>
      </c>
      <c r="Q1309" s="86"/>
      <c r="R1309" s="84" t="str">
        <f>IFERROR(VLOOKUP(CONCATENATE($B1309,"_",R$3),materiali!$C:$K,5,0),"")</f>
        <v/>
      </c>
      <c r="S1309" s="85" t="str">
        <f>IFERROR(VLOOKUP(CONCATENATE($B1309,"_",S$3),materiali!$C:$K,6,0),"")</f>
        <v/>
      </c>
      <c r="T1309" s="86"/>
      <c r="U1309" s="31"/>
      <c r="AD1309" s="97"/>
    </row>
    <row r="1310" spans="1:30" ht="35.1" hidden="1" customHeight="1" x14ac:dyDescent="0.25">
      <c r="A1310" s="83"/>
      <c r="B1310" s="7"/>
      <c r="C1310" s="8"/>
      <c r="D1310" s="8"/>
      <c r="E1310" s="60"/>
      <c r="F1310" s="84" t="str">
        <f>IFERROR(VLOOKUP(CONCATENATE($B1310,"_",F$3),materiali!$C:$K,5,0),"")</f>
        <v/>
      </c>
      <c r="G1310" s="85" t="str">
        <f>IFERROR(VLOOKUP(CONCATENATE($B1310,"_",G$3),materiali!$C:$K,6,0),"")</f>
        <v/>
      </c>
      <c r="H1310" s="86"/>
      <c r="I1310" s="84" t="str">
        <f>IFERROR(VLOOKUP(CONCATENATE($B1310,"_",I$3),materiali!$C:$K,5,0),"")</f>
        <v/>
      </c>
      <c r="J1310" s="85" t="str">
        <f>IFERROR(VLOOKUP(CONCATENATE($B1310,"_",J$3),materiali!$C:$K,6,0),"")</f>
        <v/>
      </c>
      <c r="K1310" s="86"/>
      <c r="L1310" s="84" t="str">
        <f>IFERROR(VLOOKUP(CONCATENATE($B1310,"_",L$3),materiali!$C:$K,5,0),"")</f>
        <v/>
      </c>
      <c r="M1310" s="85" t="str">
        <f>IFERROR(VLOOKUP(CONCATENATE($B1310,"_",M$3),materiali!$C:$K,6,0),"")</f>
        <v/>
      </c>
      <c r="N1310" s="86"/>
      <c r="O1310" s="84" t="str">
        <f>IFERROR(VLOOKUP(CONCATENATE($B1310,"_",O$3),materiali!$C:$K,5,0),"")</f>
        <v/>
      </c>
      <c r="P1310" s="85" t="str">
        <f>IFERROR(VLOOKUP(CONCATENATE($B1310,"_",P$3),materiali!$C:$K,6,0),"")</f>
        <v/>
      </c>
      <c r="Q1310" s="86"/>
      <c r="R1310" s="84" t="str">
        <f>IFERROR(VLOOKUP(CONCATENATE($B1310,"_",R$3),materiali!$C:$K,5,0),"")</f>
        <v/>
      </c>
      <c r="S1310" s="85" t="str">
        <f>IFERROR(VLOOKUP(CONCATENATE($B1310,"_",S$3),materiali!$C:$K,6,0),"")</f>
        <v/>
      </c>
      <c r="T1310" s="86"/>
      <c r="U1310" s="31"/>
      <c r="AD1310" s="97"/>
    </row>
    <row r="1311" spans="1:30" ht="35.1" hidden="1" customHeight="1" x14ac:dyDescent="0.25">
      <c r="A1311" s="83"/>
      <c r="B1311" s="7"/>
      <c r="C1311" s="8"/>
      <c r="D1311" s="8"/>
      <c r="E1311" s="60"/>
      <c r="F1311" s="84" t="str">
        <f>IFERROR(VLOOKUP(CONCATENATE($B1311,"_",F$3),materiali!$C:$K,5,0),"")</f>
        <v/>
      </c>
      <c r="G1311" s="85" t="str">
        <f>IFERROR(VLOOKUP(CONCATENATE($B1311,"_",G$3),materiali!$C:$K,6,0),"")</f>
        <v/>
      </c>
      <c r="H1311" s="86"/>
      <c r="I1311" s="84" t="str">
        <f>IFERROR(VLOOKUP(CONCATENATE($B1311,"_",I$3),materiali!$C:$K,5,0),"")</f>
        <v/>
      </c>
      <c r="J1311" s="85" t="str">
        <f>IFERROR(VLOOKUP(CONCATENATE($B1311,"_",J$3),materiali!$C:$K,6,0),"")</f>
        <v/>
      </c>
      <c r="K1311" s="86"/>
      <c r="L1311" s="84" t="str">
        <f>IFERROR(VLOOKUP(CONCATENATE($B1311,"_",L$3),materiali!$C:$K,5,0),"")</f>
        <v/>
      </c>
      <c r="M1311" s="85" t="str">
        <f>IFERROR(VLOOKUP(CONCATENATE($B1311,"_",M$3),materiali!$C:$K,6,0),"")</f>
        <v/>
      </c>
      <c r="N1311" s="86"/>
      <c r="O1311" s="84" t="str">
        <f>IFERROR(VLOOKUP(CONCATENATE($B1311,"_",O$3),materiali!$C:$K,5,0),"")</f>
        <v/>
      </c>
      <c r="P1311" s="85" t="str">
        <f>IFERROR(VLOOKUP(CONCATENATE($B1311,"_",P$3),materiali!$C:$K,6,0),"")</f>
        <v/>
      </c>
      <c r="Q1311" s="86"/>
      <c r="R1311" s="84" t="str">
        <f>IFERROR(VLOOKUP(CONCATENATE($B1311,"_",R$3),materiali!$C:$K,5,0),"")</f>
        <v/>
      </c>
      <c r="S1311" s="85" t="str">
        <f>IFERROR(VLOOKUP(CONCATENATE($B1311,"_",S$3),materiali!$C:$K,6,0),"")</f>
        <v/>
      </c>
      <c r="T1311" s="86"/>
      <c r="U1311" s="31"/>
      <c r="AD1311" s="97"/>
    </row>
    <row r="1312" spans="1:30" ht="35.1" hidden="1" customHeight="1" x14ac:dyDescent="0.25">
      <c r="A1312" s="83"/>
      <c r="B1312" s="7"/>
      <c r="C1312" s="8"/>
      <c r="D1312" s="8"/>
      <c r="E1312" s="60"/>
      <c r="F1312" s="84" t="str">
        <f>IFERROR(VLOOKUP(CONCATENATE($B1312,"_",F$3),materiali!$C:$K,5,0),"")</f>
        <v/>
      </c>
      <c r="G1312" s="85" t="str">
        <f>IFERROR(VLOOKUP(CONCATENATE($B1312,"_",G$3),materiali!$C:$K,6,0),"")</f>
        <v/>
      </c>
      <c r="H1312" s="86"/>
      <c r="I1312" s="84" t="str">
        <f>IFERROR(VLOOKUP(CONCATENATE($B1312,"_",I$3),materiali!$C:$K,5,0),"")</f>
        <v/>
      </c>
      <c r="J1312" s="85" t="str">
        <f>IFERROR(VLOOKUP(CONCATENATE($B1312,"_",J$3),materiali!$C:$K,6,0),"")</f>
        <v/>
      </c>
      <c r="K1312" s="86"/>
      <c r="L1312" s="84" t="str">
        <f>IFERROR(VLOOKUP(CONCATENATE($B1312,"_",L$3),materiali!$C:$K,5,0),"")</f>
        <v/>
      </c>
      <c r="M1312" s="85" t="str">
        <f>IFERROR(VLOOKUP(CONCATENATE($B1312,"_",M$3),materiali!$C:$K,6,0),"")</f>
        <v/>
      </c>
      <c r="N1312" s="86"/>
      <c r="O1312" s="84" t="str">
        <f>IFERROR(VLOOKUP(CONCATENATE($B1312,"_",O$3),materiali!$C:$K,5,0),"")</f>
        <v/>
      </c>
      <c r="P1312" s="85" t="str">
        <f>IFERROR(VLOOKUP(CONCATENATE($B1312,"_",P$3),materiali!$C:$K,6,0),"")</f>
        <v/>
      </c>
      <c r="Q1312" s="86"/>
      <c r="R1312" s="84" t="str">
        <f>IFERROR(VLOOKUP(CONCATENATE($B1312,"_",R$3),materiali!$C:$K,5,0),"")</f>
        <v/>
      </c>
      <c r="S1312" s="85" t="str">
        <f>IFERROR(VLOOKUP(CONCATENATE($B1312,"_",S$3),materiali!$C:$K,6,0),"")</f>
        <v/>
      </c>
      <c r="T1312" s="86"/>
      <c r="U1312" s="31"/>
      <c r="AD1312" s="97"/>
    </row>
    <row r="1313" spans="1:30" ht="35.1" hidden="1" customHeight="1" x14ac:dyDescent="0.25">
      <c r="A1313" s="83"/>
      <c r="B1313" s="7"/>
      <c r="C1313" s="8"/>
      <c r="D1313" s="8"/>
      <c r="E1313" s="60"/>
      <c r="F1313" s="84" t="str">
        <f>IFERROR(VLOOKUP(CONCATENATE($B1313,"_",F$3),materiali!$C:$K,5,0),"")</f>
        <v/>
      </c>
      <c r="G1313" s="85" t="str">
        <f>IFERROR(VLOOKUP(CONCATENATE($B1313,"_",G$3),materiali!$C:$K,6,0),"")</f>
        <v/>
      </c>
      <c r="H1313" s="86"/>
      <c r="I1313" s="84" t="str">
        <f>IFERROR(VLOOKUP(CONCATENATE($B1313,"_",I$3),materiali!$C:$K,5,0),"")</f>
        <v/>
      </c>
      <c r="J1313" s="85" t="str">
        <f>IFERROR(VLOOKUP(CONCATENATE($B1313,"_",J$3),materiali!$C:$K,6,0),"")</f>
        <v/>
      </c>
      <c r="K1313" s="86"/>
      <c r="L1313" s="84" t="str">
        <f>IFERROR(VLOOKUP(CONCATENATE($B1313,"_",L$3),materiali!$C:$K,5,0),"")</f>
        <v/>
      </c>
      <c r="M1313" s="85" t="str">
        <f>IFERROR(VLOOKUP(CONCATENATE($B1313,"_",M$3),materiali!$C:$K,6,0),"")</f>
        <v/>
      </c>
      <c r="N1313" s="86"/>
      <c r="O1313" s="84" t="str">
        <f>IFERROR(VLOOKUP(CONCATENATE($B1313,"_",O$3),materiali!$C:$K,5,0),"")</f>
        <v/>
      </c>
      <c r="P1313" s="85" t="str">
        <f>IFERROR(VLOOKUP(CONCATENATE($B1313,"_",P$3),materiali!$C:$K,6,0),"")</f>
        <v/>
      </c>
      <c r="Q1313" s="86"/>
      <c r="R1313" s="84" t="str">
        <f>IFERROR(VLOOKUP(CONCATENATE($B1313,"_",R$3),materiali!$C:$K,5,0),"")</f>
        <v/>
      </c>
      <c r="S1313" s="85" t="str">
        <f>IFERROR(VLOOKUP(CONCATENATE($B1313,"_",S$3),materiali!$C:$K,6,0),"")</f>
        <v/>
      </c>
      <c r="T1313" s="86"/>
      <c r="U1313" s="31"/>
      <c r="AD1313" s="97"/>
    </row>
    <row r="1314" spans="1:30" ht="35.1" hidden="1" customHeight="1" x14ac:dyDescent="0.25">
      <c r="A1314" s="83"/>
      <c r="B1314" s="7"/>
      <c r="C1314" s="8"/>
      <c r="D1314" s="8"/>
      <c r="E1314" s="60"/>
      <c r="F1314" s="84" t="str">
        <f>IFERROR(VLOOKUP(CONCATENATE($B1314,"_",F$3),materiali!$C:$K,5,0),"")</f>
        <v/>
      </c>
      <c r="G1314" s="85" t="str">
        <f>IFERROR(VLOOKUP(CONCATENATE($B1314,"_",G$3),materiali!$C:$K,6,0),"")</f>
        <v/>
      </c>
      <c r="H1314" s="86"/>
      <c r="I1314" s="84" t="str">
        <f>IFERROR(VLOOKUP(CONCATENATE($B1314,"_",I$3),materiali!$C:$K,5,0),"")</f>
        <v/>
      </c>
      <c r="J1314" s="85" t="str">
        <f>IFERROR(VLOOKUP(CONCATENATE($B1314,"_",J$3),materiali!$C:$K,6,0),"")</f>
        <v/>
      </c>
      <c r="K1314" s="86"/>
      <c r="L1314" s="84" t="str">
        <f>IFERROR(VLOOKUP(CONCATENATE($B1314,"_",L$3),materiali!$C:$K,5,0),"")</f>
        <v/>
      </c>
      <c r="M1314" s="85" t="str">
        <f>IFERROR(VLOOKUP(CONCATENATE($B1314,"_",M$3),materiali!$C:$K,6,0),"")</f>
        <v/>
      </c>
      <c r="N1314" s="86"/>
      <c r="O1314" s="84" t="str">
        <f>IFERROR(VLOOKUP(CONCATENATE($B1314,"_",O$3),materiali!$C:$K,5,0),"")</f>
        <v/>
      </c>
      <c r="P1314" s="85" t="str">
        <f>IFERROR(VLOOKUP(CONCATENATE($B1314,"_",P$3),materiali!$C:$K,6,0),"")</f>
        <v/>
      </c>
      <c r="Q1314" s="86"/>
      <c r="R1314" s="84" t="str">
        <f>IFERROR(VLOOKUP(CONCATENATE($B1314,"_",R$3),materiali!$C:$K,5,0),"")</f>
        <v/>
      </c>
      <c r="S1314" s="85" t="str">
        <f>IFERROR(VLOOKUP(CONCATENATE($B1314,"_",S$3),materiali!$C:$K,6,0),"")</f>
        <v/>
      </c>
      <c r="T1314" s="86"/>
      <c r="U1314" s="31"/>
      <c r="AD1314" s="97"/>
    </row>
    <row r="1315" spans="1:30" ht="35.1" hidden="1" customHeight="1" x14ac:dyDescent="0.25">
      <c r="A1315" s="83"/>
      <c r="B1315" s="7"/>
      <c r="C1315" s="8"/>
      <c r="D1315" s="8"/>
      <c r="E1315" s="60"/>
      <c r="F1315" s="84" t="str">
        <f>IFERROR(VLOOKUP(CONCATENATE($B1315,"_",F$3),materiali!$C:$K,5,0),"")</f>
        <v/>
      </c>
      <c r="G1315" s="85" t="str">
        <f>IFERROR(VLOOKUP(CONCATENATE($B1315,"_",G$3),materiali!$C:$K,6,0),"")</f>
        <v/>
      </c>
      <c r="H1315" s="86"/>
      <c r="I1315" s="84" t="str">
        <f>IFERROR(VLOOKUP(CONCATENATE($B1315,"_",I$3),materiali!$C:$K,5,0),"")</f>
        <v/>
      </c>
      <c r="J1315" s="85" t="str">
        <f>IFERROR(VLOOKUP(CONCATENATE($B1315,"_",J$3),materiali!$C:$K,6,0),"")</f>
        <v/>
      </c>
      <c r="K1315" s="86"/>
      <c r="L1315" s="84" t="str">
        <f>IFERROR(VLOOKUP(CONCATENATE($B1315,"_",L$3),materiali!$C:$K,5,0),"")</f>
        <v/>
      </c>
      <c r="M1315" s="85" t="str">
        <f>IFERROR(VLOOKUP(CONCATENATE($B1315,"_",M$3),materiali!$C:$K,6,0),"")</f>
        <v/>
      </c>
      <c r="N1315" s="86"/>
      <c r="O1315" s="84" t="str">
        <f>IFERROR(VLOOKUP(CONCATENATE($B1315,"_",O$3),materiali!$C:$K,5,0),"")</f>
        <v/>
      </c>
      <c r="P1315" s="85" t="str">
        <f>IFERROR(VLOOKUP(CONCATENATE($B1315,"_",P$3),materiali!$C:$K,6,0),"")</f>
        <v/>
      </c>
      <c r="Q1315" s="86"/>
      <c r="R1315" s="84" t="str">
        <f>IFERROR(VLOOKUP(CONCATENATE($B1315,"_",R$3),materiali!$C:$K,5,0),"")</f>
        <v/>
      </c>
      <c r="S1315" s="85" t="str">
        <f>IFERROR(VLOOKUP(CONCATENATE($B1315,"_",S$3),materiali!$C:$K,6,0),"")</f>
        <v/>
      </c>
      <c r="T1315" s="86"/>
      <c r="U1315" s="31"/>
      <c r="AD1315" s="97"/>
    </row>
    <row r="1316" spans="1:30" ht="35.1" hidden="1" customHeight="1" x14ac:dyDescent="0.25">
      <c r="A1316" s="83"/>
      <c r="B1316" s="7"/>
      <c r="C1316" s="8"/>
      <c r="D1316" s="8"/>
      <c r="E1316" s="60"/>
      <c r="F1316" s="84" t="str">
        <f>IFERROR(VLOOKUP(CONCATENATE($B1316,"_",F$3),materiali!$C:$K,5,0),"")</f>
        <v/>
      </c>
      <c r="G1316" s="85" t="str">
        <f>IFERROR(VLOOKUP(CONCATENATE($B1316,"_",G$3),materiali!$C:$K,6,0),"")</f>
        <v/>
      </c>
      <c r="H1316" s="86"/>
      <c r="I1316" s="84" t="str">
        <f>IFERROR(VLOOKUP(CONCATENATE($B1316,"_",I$3),materiali!$C:$K,5,0),"")</f>
        <v/>
      </c>
      <c r="J1316" s="85" t="str">
        <f>IFERROR(VLOOKUP(CONCATENATE($B1316,"_",J$3),materiali!$C:$K,6,0),"")</f>
        <v/>
      </c>
      <c r="K1316" s="86"/>
      <c r="L1316" s="84" t="str">
        <f>IFERROR(VLOOKUP(CONCATENATE($B1316,"_",L$3),materiali!$C:$K,5,0),"")</f>
        <v/>
      </c>
      <c r="M1316" s="85" t="str">
        <f>IFERROR(VLOOKUP(CONCATENATE($B1316,"_",M$3),materiali!$C:$K,6,0),"")</f>
        <v/>
      </c>
      <c r="N1316" s="86"/>
      <c r="O1316" s="84" t="str">
        <f>IFERROR(VLOOKUP(CONCATENATE($B1316,"_",O$3),materiali!$C:$K,5,0),"")</f>
        <v/>
      </c>
      <c r="P1316" s="85" t="str">
        <f>IFERROR(VLOOKUP(CONCATENATE($B1316,"_",P$3),materiali!$C:$K,6,0),"")</f>
        <v/>
      </c>
      <c r="Q1316" s="86"/>
      <c r="R1316" s="84" t="str">
        <f>IFERROR(VLOOKUP(CONCATENATE($B1316,"_",R$3),materiali!$C:$K,5,0),"")</f>
        <v/>
      </c>
      <c r="S1316" s="85" t="str">
        <f>IFERROR(VLOOKUP(CONCATENATE($B1316,"_",S$3),materiali!$C:$K,6,0),"")</f>
        <v/>
      </c>
      <c r="T1316" s="86"/>
      <c r="U1316" s="31"/>
      <c r="AD1316" s="97"/>
    </row>
    <row r="1317" spans="1:30" ht="35.1" hidden="1" customHeight="1" x14ac:dyDescent="0.25">
      <c r="A1317" s="83"/>
      <c r="B1317" s="7"/>
      <c r="C1317" s="8"/>
      <c r="D1317" s="8"/>
      <c r="E1317" s="60"/>
      <c r="F1317" s="84" t="str">
        <f>IFERROR(VLOOKUP(CONCATENATE($B1317,"_",F$3),materiali!$C:$K,5,0),"")</f>
        <v/>
      </c>
      <c r="G1317" s="85" t="str">
        <f>IFERROR(VLOOKUP(CONCATENATE($B1317,"_",G$3),materiali!$C:$K,6,0),"")</f>
        <v/>
      </c>
      <c r="H1317" s="86"/>
      <c r="I1317" s="84" t="str">
        <f>IFERROR(VLOOKUP(CONCATENATE($B1317,"_",I$3),materiali!$C:$K,5,0),"")</f>
        <v/>
      </c>
      <c r="J1317" s="85" t="str">
        <f>IFERROR(VLOOKUP(CONCATENATE($B1317,"_",J$3),materiali!$C:$K,6,0),"")</f>
        <v/>
      </c>
      <c r="K1317" s="86"/>
      <c r="L1317" s="84" t="str">
        <f>IFERROR(VLOOKUP(CONCATENATE($B1317,"_",L$3),materiali!$C:$K,5,0),"")</f>
        <v/>
      </c>
      <c r="M1317" s="85" t="str">
        <f>IFERROR(VLOOKUP(CONCATENATE($B1317,"_",M$3),materiali!$C:$K,6,0),"")</f>
        <v/>
      </c>
      <c r="N1317" s="86"/>
      <c r="O1317" s="84" t="str">
        <f>IFERROR(VLOOKUP(CONCATENATE($B1317,"_",O$3),materiali!$C:$K,5,0),"")</f>
        <v/>
      </c>
      <c r="P1317" s="85" t="str">
        <f>IFERROR(VLOOKUP(CONCATENATE($B1317,"_",P$3),materiali!$C:$K,6,0),"")</f>
        <v/>
      </c>
      <c r="Q1317" s="86"/>
      <c r="R1317" s="84" t="str">
        <f>IFERROR(VLOOKUP(CONCATENATE($B1317,"_",R$3),materiali!$C:$K,5,0),"")</f>
        <v/>
      </c>
      <c r="S1317" s="85" t="str">
        <f>IFERROR(VLOOKUP(CONCATENATE($B1317,"_",S$3),materiali!$C:$K,6,0),"")</f>
        <v/>
      </c>
      <c r="T1317" s="86"/>
      <c r="U1317" s="31"/>
      <c r="AD1317" s="97"/>
    </row>
    <row r="1318" spans="1:30" ht="35.1" hidden="1" customHeight="1" x14ac:dyDescent="0.25">
      <c r="A1318" s="83"/>
      <c r="B1318" s="7"/>
      <c r="C1318" s="8"/>
      <c r="D1318" s="8"/>
      <c r="E1318" s="60"/>
      <c r="F1318" s="84" t="str">
        <f>IFERROR(VLOOKUP(CONCATENATE($B1318,"_",F$3),materiali!$C:$K,5,0),"")</f>
        <v/>
      </c>
      <c r="G1318" s="85" t="str">
        <f>IFERROR(VLOOKUP(CONCATENATE($B1318,"_",G$3),materiali!$C:$K,6,0),"")</f>
        <v/>
      </c>
      <c r="H1318" s="86"/>
      <c r="I1318" s="84" t="str">
        <f>IFERROR(VLOOKUP(CONCATENATE($B1318,"_",I$3),materiali!$C:$K,5,0),"")</f>
        <v/>
      </c>
      <c r="J1318" s="85" t="str">
        <f>IFERROR(VLOOKUP(CONCATENATE($B1318,"_",J$3),materiali!$C:$K,6,0),"")</f>
        <v/>
      </c>
      <c r="K1318" s="86"/>
      <c r="L1318" s="84" t="str">
        <f>IFERROR(VLOOKUP(CONCATENATE($B1318,"_",L$3),materiali!$C:$K,5,0),"")</f>
        <v/>
      </c>
      <c r="M1318" s="85" t="str">
        <f>IFERROR(VLOOKUP(CONCATENATE($B1318,"_",M$3),materiali!$C:$K,6,0),"")</f>
        <v/>
      </c>
      <c r="N1318" s="86"/>
      <c r="O1318" s="84" t="str">
        <f>IFERROR(VLOOKUP(CONCATENATE($B1318,"_",O$3),materiali!$C:$K,5,0),"")</f>
        <v/>
      </c>
      <c r="P1318" s="85" t="str">
        <f>IFERROR(VLOOKUP(CONCATENATE($B1318,"_",P$3),materiali!$C:$K,6,0),"")</f>
        <v/>
      </c>
      <c r="Q1318" s="86"/>
      <c r="R1318" s="84" t="str">
        <f>IFERROR(VLOOKUP(CONCATENATE($B1318,"_",R$3),materiali!$C:$K,5,0),"")</f>
        <v/>
      </c>
      <c r="S1318" s="85" t="str">
        <f>IFERROR(VLOOKUP(CONCATENATE($B1318,"_",S$3),materiali!$C:$K,6,0),"")</f>
        <v/>
      </c>
      <c r="T1318" s="86"/>
      <c r="U1318" s="31"/>
      <c r="AD1318" s="97"/>
    </row>
    <row r="1319" spans="1:30" ht="35.1" hidden="1" customHeight="1" x14ac:dyDescent="0.25">
      <c r="A1319" s="83"/>
      <c r="B1319" s="7"/>
      <c r="C1319" s="8"/>
      <c r="D1319" s="8"/>
      <c r="E1319" s="60"/>
      <c r="F1319" s="84" t="str">
        <f>IFERROR(VLOOKUP(CONCATENATE($B1319,"_",F$3),materiali!$C:$K,5,0),"")</f>
        <v/>
      </c>
      <c r="G1319" s="85" t="str">
        <f>IFERROR(VLOOKUP(CONCATENATE($B1319,"_",G$3),materiali!$C:$K,6,0),"")</f>
        <v/>
      </c>
      <c r="H1319" s="86"/>
      <c r="I1319" s="84" t="str">
        <f>IFERROR(VLOOKUP(CONCATENATE($B1319,"_",I$3),materiali!$C:$K,5,0),"")</f>
        <v/>
      </c>
      <c r="J1319" s="85" t="str">
        <f>IFERROR(VLOOKUP(CONCATENATE($B1319,"_",J$3),materiali!$C:$K,6,0),"")</f>
        <v/>
      </c>
      <c r="K1319" s="86"/>
      <c r="L1319" s="84" t="str">
        <f>IFERROR(VLOOKUP(CONCATENATE($B1319,"_",L$3),materiali!$C:$K,5,0),"")</f>
        <v/>
      </c>
      <c r="M1319" s="85" t="str">
        <f>IFERROR(VLOOKUP(CONCATENATE($B1319,"_",M$3),materiali!$C:$K,6,0),"")</f>
        <v/>
      </c>
      <c r="N1319" s="86"/>
      <c r="O1319" s="84" t="str">
        <f>IFERROR(VLOOKUP(CONCATENATE($B1319,"_",O$3),materiali!$C:$K,5,0),"")</f>
        <v/>
      </c>
      <c r="P1319" s="85" t="str">
        <f>IFERROR(VLOOKUP(CONCATENATE($B1319,"_",P$3),materiali!$C:$K,6,0),"")</f>
        <v/>
      </c>
      <c r="Q1319" s="86"/>
      <c r="R1319" s="84" t="str">
        <f>IFERROR(VLOOKUP(CONCATENATE($B1319,"_",R$3),materiali!$C:$K,5,0),"")</f>
        <v/>
      </c>
      <c r="S1319" s="85" t="str">
        <f>IFERROR(VLOOKUP(CONCATENATE($B1319,"_",S$3),materiali!$C:$K,6,0),"")</f>
        <v/>
      </c>
      <c r="T1319" s="86"/>
      <c r="U1319" s="31"/>
      <c r="AD1319" s="97"/>
    </row>
    <row r="1320" spans="1:30" ht="35.1" hidden="1" customHeight="1" x14ac:dyDescent="0.25">
      <c r="A1320" s="83"/>
      <c r="B1320" s="7"/>
      <c r="C1320" s="8"/>
      <c r="D1320" s="8"/>
      <c r="E1320" s="60"/>
      <c r="F1320" s="84" t="str">
        <f>IFERROR(VLOOKUP(CONCATENATE($B1320,"_",F$3),materiali!$C:$K,5,0),"")</f>
        <v/>
      </c>
      <c r="G1320" s="85" t="str">
        <f>IFERROR(VLOOKUP(CONCATENATE($B1320,"_",G$3),materiali!$C:$K,6,0),"")</f>
        <v/>
      </c>
      <c r="H1320" s="86"/>
      <c r="I1320" s="84" t="str">
        <f>IFERROR(VLOOKUP(CONCATENATE($B1320,"_",I$3),materiali!$C:$K,5,0),"")</f>
        <v/>
      </c>
      <c r="J1320" s="85" t="str">
        <f>IFERROR(VLOOKUP(CONCATENATE($B1320,"_",J$3),materiali!$C:$K,6,0),"")</f>
        <v/>
      </c>
      <c r="K1320" s="86"/>
      <c r="L1320" s="84" t="str">
        <f>IFERROR(VLOOKUP(CONCATENATE($B1320,"_",L$3),materiali!$C:$K,5,0),"")</f>
        <v/>
      </c>
      <c r="M1320" s="85" t="str">
        <f>IFERROR(VLOOKUP(CONCATENATE($B1320,"_",M$3),materiali!$C:$K,6,0),"")</f>
        <v/>
      </c>
      <c r="N1320" s="86"/>
      <c r="O1320" s="84" t="str">
        <f>IFERROR(VLOOKUP(CONCATENATE($B1320,"_",O$3),materiali!$C:$K,5,0),"")</f>
        <v/>
      </c>
      <c r="P1320" s="85" t="str">
        <f>IFERROR(VLOOKUP(CONCATENATE($B1320,"_",P$3),materiali!$C:$K,6,0),"")</f>
        <v/>
      </c>
      <c r="Q1320" s="86"/>
      <c r="R1320" s="84" t="str">
        <f>IFERROR(VLOOKUP(CONCATENATE($B1320,"_",R$3),materiali!$C:$K,5,0),"")</f>
        <v/>
      </c>
      <c r="S1320" s="85" t="str">
        <f>IFERROR(VLOOKUP(CONCATENATE($B1320,"_",S$3),materiali!$C:$K,6,0),"")</f>
        <v/>
      </c>
      <c r="T1320" s="86"/>
      <c r="U1320" s="31"/>
      <c r="AD1320" s="97"/>
    </row>
    <row r="1321" spans="1:30" ht="35.1" hidden="1" customHeight="1" x14ac:dyDescent="0.25">
      <c r="A1321" s="83"/>
      <c r="B1321" s="7"/>
      <c r="C1321" s="8"/>
      <c r="D1321" s="8"/>
      <c r="E1321" s="60"/>
      <c r="F1321" s="84" t="str">
        <f>IFERROR(VLOOKUP(CONCATENATE($B1321,"_",F$3),materiali!$C:$K,5,0),"")</f>
        <v/>
      </c>
      <c r="G1321" s="85" t="str">
        <f>IFERROR(VLOOKUP(CONCATENATE($B1321,"_",G$3),materiali!$C:$K,6,0),"")</f>
        <v/>
      </c>
      <c r="H1321" s="86"/>
      <c r="I1321" s="84" t="str">
        <f>IFERROR(VLOOKUP(CONCATENATE($B1321,"_",I$3),materiali!$C:$K,5,0),"")</f>
        <v/>
      </c>
      <c r="J1321" s="85" t="str">
        <f>IFERROR(VLOOKUP(CONCATENATE($B1321,"_",J$3),materiali!$C:$K,6,0),"")</f>
        <v/>
      </c>
      <c r="K1321" s="86"/>
      <c r="L1321" s="84" t="str">
        <f>IFERROR(VLOOKUP(CONCATENATE($B1321,"_",L$3),materiali!$C:$K,5,0),"")</f>
        <v/>
      </c>
      <c r="M1321" s="85" t="str">
        <f>IFERROR(VLOOKUP(CONCATENATE($B1321,"_",M$3),materiali!$C:$K,6,0),"")</f>
        <v/>
      </c>
      <c r="N1321" s="86"/>
      <c r="O1321" s="84" t="str">
        <f>IFERROR(VLOOKUP(CONCATENATE($B1321,"_",O$3),materiali!$C:$K,5,0),"")</f>
        <v/>
      </c>
      <c r="P1321" s="85" t="str">
        <f>IFERROR(VLOOKUP(CONCATENATE($B1321,"_",P$3),materiali!$C:$K,6,0),"")</f>
        <v/>
      </c>
      <c r="Q1321" s="86"/>
      <c r="R1321" s="84" t="str">
        <f>IFERROR(VLOOKUP(CONCATENATE($B1321,"_",R$3),materiali!$C:$K,5,0),"")</f>
        <v/>
      </c>
      <c r="S1321" s="85" t="str">
        <f>IFERROR(VLOOKUP(CONCATENATE($B1321,"_",S$3),materiali!$C:$K,6,0),"")</f>
        <v/>
      </c>
      <c r="T1321" s="86"/>
      <c r="U1321" s="31"/>
      <c r="AD1321" s="97"/>
    </row>
    <row r="1322" spans="1:30" ht="35.1" hidden="1" customHeight="1" x14ac:dyDescent="0.25">
      <c r="A1322" s="83"/>
      <c r="B1322" s="7"/>
      <c r="C1322" s="8"/>
      <c r="D1322" s="8"/>
      <c r="E1322" s="60"/>
      <c r="F1322" s="84" t="str">
        <f>IFERROR(VLOOKUP(CONCATENATE($B1322,"_",F$3),materiali!$C:$K,5,0),"")</f>
        <v/>
      </c>
      <c r="G1322" s="85" t="str">
        <f>IFERROR(VLOOKUP(CONCATENATE($B1322,"_",G$3),materiali!$C:$K,6,0),"")</f>
        <v/>
      </c>
      <c r="H1322" s="86"/>
      <c r="I1322" s="84" t="str">
        <f>IFERROR(VLOOKUP(CONCATENATE($B1322,"_",I$3),materiali!$C:$K,5,0),"")</f>
        <v/>
      </c>
      <c r="J1322" s="85" t="str">
        <f>IFERROR(VLOOKUP(CONCATENATE($B1322,"_",J$3),materiali!$C:$K,6,0),"")</f>
        <v/>
      </c>
      <c r="K1322" s="86"/>
      <c r="L1322" s="84" t="str">
        <f>IFERROR(VLOOKUP(CONCATENATE($B1322,"_",L$3),materiali!$C:$K,5,0),"")</f>
        <v/>
      </c>
      <c r="M1322" s="85" t="str">
        <f>IFERROR(VLOOKUP(CONCATENATE($B1322,"_",M$3),materiali!$C:$K,6,0),"")</f>
        <v/>
      </c>
      <c r="N1322" s="86"/>
      <c r="O1322" s="84" t="str">
        <f>IFERROR(VLOOKUP(CONCATENATE($B1322,"_",O$3),materiali!$C:$K,5,0),"")</f>
        <v/>
      </c>
      <c r="P1322" s="85" t="str">
        <f>IFERROR(VLOOKUP(CONCATENATE($B1322,"_",P$3),materiali!$C:$K,6,0),"")</f>
        <v/>
      </c>
      <c r="Q1322" s="86"/>
      <c r="R1322" s="84" t="str">
        <f>IFERROR(VLOOKUP(CONCATENATE($B1322,"_",R$3),materiali!$C:$K,5,0),"")</f>
        <v/>
      </c>
      <c r="S1322" s="85" t="str">
        <f>IFERROR(VLOOKUP(CONCATENATE($B1322,"_",S$3),materiali!$C:$K,6,0),"")</f>
        <v/>
      </c>
      <c r="T1322" s="86"/>
      <c r="U1322" s="31"/>
      <c r="AD1322" s="97"/>
    </row>
    <row r="1323" spans="1:30" ht="35.1" hidden="1" customHeight="1" x14ac:dyDescent="0.25">
      <c r="A1323" s="83"/>
      <c r="B1323" s="7"/>
      <c r="C1323" s="8"/>
      <c r="D1323" s="8"/>
      <c r="E1323" s="60"/>
      <c r="F1323" s="84" t="str">
        <f>IFERROR(VLOOKUP(CONCATENATE($B1323,"_",F$3),materiali!$C:$K,5,0),"")</f>
        <v/>
      </c>
      <c r="G1323" s="85" t="str">
        <f>IFERROR(VLOOKUP(CONCATENATE($B1323,"_",G$3),materiali!$C:$K,6,0),"")</f>
        <v/>
      </c>
      <c r="H1323" s="86"/>
      <c r="I1323" s="84" t="str">
        <f>IFERROR(VLOOKUP(CONCATENATE($B1323,"_",I$3),materiali!$C:$K,5,0),"")</f>
        <v/>
      </c>
      <c r="J1323" s="85" t="str">
        <f>IFERROR(VLOOKUP(CONCATENATE($B1323,"_",J$3),materiali!$C:$K,6,0),"")</f>
        <v/>
      </c>
      <c r="K1323" s="86"/>
      <c r="L1323" s="84" t="str">
        <f>IFERROR(VLOOKUP(CONCATENATE($B1323,"_",L$3),materiali!$C:$K,5,0),"")</f>
        <v/>
      </c>
      <c r="M1323" s="85" t="str">
        <f>IFERROR(VLOOKUP(CONCATENATE($B1323,"_",M$3),materiali!$C:$K,6,0),"")</f>
        <v/>
      </c>
      <c r="N1323" s="86"/>
      <c r="O1323" s="84" t="str">
        <f>IFERROR(VLOOKUP(CONCATENATE($B1323,"_",O$3),materiali!$C:$K,5,0),"")</f>
        <v/>
      </c>
      <c r="P1323" s="85" t="str">
        <f>IFERROR(VLOOKUP(CONCATENATE($B1323,"_",P$3),materiali!$C:$K,6,0),"")</f>
        <v/>
      </c>
      <c r="Q1323" s="86"/>
      <c r="R1323" s="84" t="str">
        <f>IFERROR(VLOOKUP(CONCATENATE($B1323,"_",R$3),materiali!$C:$K,5,0),"")</f>
        <v/>
      </c>
      <c r="S1323" s="85" t="str">
        <f>IFERROR(VLOOKUP(CONCATENATE($B1323,"_",S$3),materiali!$C:$K,6,0),"")</f>
        <v/>
      </c>
      <c r="T1323" s="86"/>
      <c r="U1323" s="31"/>
      <c r="AD1323" s="97"/>
    </row>
    <row r="1324" spans="1:30" ht="35.1" hidden="1" customHeight="1" x14ac:dyDescent="0.25">
      <c r="A1324" s="83"/>
      <c r="B1324" s="7"/>
      <c r="C1324" s="8"/>
      <c r="D1324" s="8"/>
      <c r="E1324" s="60"/>
      <c r="F1324" s="84" t="str">
        <f>IFERROR(VLOOKUP(CONCATENATE($B1324,"_",F$3),materiali!$C:$K,5,0),"")</f>
        <v/>
      </c>
      <c r="G1324" s="85" t="str">
        <f>IFERROR(VLOOKUP(CONCATENATE($B1324,"_",G$3),materiali!$C:$K,6,0),"")</f>
        <v/>
      </c>
      <c r="H1324" s="86"/>
      <c r="I1324" s="84" t="str">
        <f>IFERROR(VLOOKUP(CONCATENATE($B1324,"_",I$3),materiali!$C:$K,5,0),"")</f>
        <v/>
      </c>
      <c r="J1324" s="85" t="str">
        <f>IFERROR(VLOOKUP(CONCATENATE($B1324,"_",J$3),materiali!$C:$K,6,0),"")</f>
        <v/>
      </c>
      <c r="K1324" s="86"/>
      <c r="L1324" s="84" t="str">
        <f>IFERROR(VLOOKUP(CONCATENATE($B1324,"_",L$3),materiali!$C:$K,5,0),"")</f>
        <v/>
      </c>
      <c r="M1324" s="85" t="str">
        <f>IFERROR(VLOOKUP(CONCATENATE($B1324,"_",M$3),materiali!$C:$K,6,0),"")</f>
        <v/>
      </c>
      <c r="N1324" s="86"/>
      <c r="O1324" s="84" t="str">
        <f>IFERROR(VLOOKUP(CONCATENATE($B1324,"_",O$3),materiali!$C:$K,5,0),"")</f>
        <v/>
      </c>
      <c r="P1324" s="85" t="str">
        <f>IFERROR(VLOOKUP(CONCATENATE($B1324,"_",P$3),materiali!$C:$K,6,0),"")</f>
        <v/>
      </c>
      <c r="Q1324" s="86"/>
      <c r="R1324" s="84" t="str">
        <f>IFERROR(VLOOKUP(CONCATENATE($B1324,"_",R$3),materiali!$C:$K,5,0),"")</f>
        <v/>
      </c>
      <c r="S1324" s="85" t="str">
        <f>IFERROR(VLOOKUP(CONCATENATE($B1324,"_",S$3),materiali!$C:$K,6,0),"")</f>
        <v/>
      </c>
      <c r="T1324" s="86"/>
      <c r="U1324" s="31"/>
      <c r="AD1324" s="97"/>
    </row>
    <row r="1325" spans="1:30" ht="35.1" hidden="1" customHeight="1" x14ac:dyDescent="0.25">
      <c r="A1325" s="83"/>
      <c r="B1325" s="7"/>
      <c r="C1325" s="8"/>
      <c r="D1325" s="8"/>
      <c r="E1325" s="60"/>
      <c r="F1325" s="84" t="str">
        <f>IFERROR(VLOOKUP(CONCATENATE($B1325,"_",F$3),materiali!$C:$K,5,0),"")</f>
        <v/>
      </c>
      <c r="G1325" s="85" t="str">
        <f>IFERROR(VLOOKUP(CONCATENATE($B1325,"_",G$3),materiali!$C:$K,6,0),"")</f>
        <v/>
      </c>
      <c r="H1325" s="86"/>
      <c r="I1325" s="84" t="str">
        <f>IFERROR(VLOOKUP(CONCATENATE($B1325,"_",I$3),materiali!$C:$K,5,0),"")</f>
        <v/>
      </c>
      <c r="J1325" s="85" t="str">
        <f>IFERROR(VLOOKUP(CONCATENATE($B1325,"_",J$3),materiali!$C:$K,6,0),"")</f>
        <v/>
      </c>
      <c r="K1325" s="86"/>
      <c r="L1325" s="84" t="str">
        <f>IFERROR(VLOOKUP(CONCATENATE($B1325,"_",L$3),materiali!$C:$K,5,0),"")</f>
        <v/>
      </c>
      <c r="M1325" s="85" t="str">
        <f>IFERROR(VLOOKUP(CONCATENATE($B1325,"_",M$3),materiali!$C:$K,6,0),"")</f>
        <v/>
      </c>
      <c r="N1325" s="86"/>
      <c r="O1325" s="84" t="str">
        <f>IFERROR(VLOOKUP(CONCATENATE($B1325,"_",O$3),materiali!$C:$K,5,0),"")</f>
        <v/>
      </c>
      <c r="P1325" s="85" t="str">
        <f>IFERROR(VLOOKUP(CONCATENATE($B1325,"_",P$3),materiali!$C:$K,6,0),"")</f>
        <v/>
      </c>
      <c r="Q1325" s="86"/>
      <c r="R1325" s="84" t="str">
        <f>IFERROR(VLOOKUP(CONCATENATE($B1325,"_",R$3),materiali!$C:$K,5,0),"")</f>
        <v/>
      </c>
      <c r="S1325" s="85" t="str">
        <f>IFERROR(VLOOKUP(CONCATENATE($B1325,"_",S$3),materiali!$C:$K,6,0),"")</f>
        <v/>
      </c>
      <c r="T1325" s="86"/>
      <c r="U1325" s="31"/>
      <c r="AD1325" s="97"/>
    </row>
    <row r="1326" spans="1:30" ht="35.1" hidden="1" customHeight="1" x14ac:dyDescent="0.25">
      <c r="A1326" s="83"/>
      <c r="B1326" s="7"/>
      <c r="C1326" s="8"/>
      <c r="D1326" s="8"/>
      <c r="E1326" s="60"/>
      <c r="F1326" s="84" t="str">
        <f>IFERROR(VLOOKUP(CONCATENATE($B1326,"_",F$3),materiali!$C:$K,5,0),"")</f>
        <v/>
      </c>
      <c r="G1326" s="85" t="str">
        <f>IFERROR(VLOOKUP(CONCATENATE($B1326,"_",G$3),materiali!$C:$K,6,0),"")</f>
        <v/>
      </c>
      <c r="H1326" s="86"/>
      <c r="I1326" s="84" t="str">
        <f>IFERROR(VLOOKUP(CONCATENATE($B1326,"_",I$3),materiali!$C:$K,5,0),"")</f>
        <v/>
      </c>
      <c r="J1326" s="85" t="str">
        <f>IFERROR(VLOOKUP(CONCATENATE($B1326,"_",J$3),materiali!$C:$K,6,0),"")</f>
        <v/>
      </c>
      <c r="K1326" s="86"/>
      <c r="L1326" s="84" t="str">
        <f>IFERROR(VLOOKUP(CONCATENATE($B1326,"_",L$3),materiali!$C:$K,5,0),"")</f>
        <v/>
      </c>
      <c r="M1326" s="85" t="str">
        <f>IFERROR(VLOOKUP(CONCATENATE($B1326,"_",M$3),materiali!$C:$K,6,0),"")</f>
        <v/>
      </c>
      <c r="N1326" s="86"/>
      <c r="O1326" s="84" t="str">
        <f>IFERROR(VLOOKUP(CONCATENATE($B1326,"_",O$3),materiali!$C:$K,5,0),"")</f>
        <v/>
      </c>
      <c r="P1326" s="85" t="str">
        <f>IFERROR(VLOOKUP(CONCATENATE($B1326,"_",P$3),materiali!$C:$K,6,0),"")</f>
        <v/>
      </c>
      <c r="Q1326" s="86"/>
      <c r="R1326" s="84" t="str">
        <f>IFERROR(VLOOKUP(CONCATENATE($B1326,"_",R$3),materiali!$C:$K,5,0),"")</f>
        <v/>
      </c>
      <c r="S1326" s="85" t="str">
        <f>IFERROR(VLOOKUP(CONCATENATE($B1326,"_",S$3),materiali!$C:$K,6,0),"")</f>
        <v/>
      </c>
      <c r="T1326" s="86"/>
      <c r="U1326" s="31"/>
      <c r="AD1326" s="97"/>
    </row>
    <row r="1327" spans="1:30" ht="35.1" hidden="1" customHeight="1" x14ac:dyDescent="0.25">
      <c r="A1327" s="83"/>
      <c r="B1327" s="7"/>
      <c r="C1327" s="8"/>
      <c r="D1327" s="8"/>
      <c r="E1327" s="60"/>
      <c r="F1327" s="84" t="str">
        <f>IFERROR(VLOOKUP(CONCATENATE($B1327,"_",F$3),materiali!$C:$K,5,0),"")</f>
        <v/>
      </c>
      <c r="G1327" s="85" t="str">
        <f>IFERROR(VLOOKUP(CONCATENATE($B1327,"_",G$3),materiali!$C:$K,6,0),"")</f>
        <v/>
      </c>
      <c r="H1327" s="86"/>
      <c r="I1327" s="84" t="str">
        <f>IFERROR(VLOOKUP(CONCATENATE($B1327,"_",I$3),materiali!$C:$K,5,0),"")</f>
        <v/>
      </c>
      <c r="J1327" s="85" t="str">
        <f>IFERROR(VLOOKUP(CONCATENATE($B1327,"_",J$3),materiali!$C:$K,6,0),"")</f>
        <v/>
      </c>
      <c r="K1327" s="86"/>
      <c r="L1327" s="84" t="str">
        <f>IFERROR(VLOOKUP(CONCATENATE($B1327,"_",L$3),materiali!$C:$K,5,0),"")</f>
        <v/>
      </c>
      <c r="M1327" s="85" t="str">
        <f>IFERROR(VLOOKUP(CONCATENATE($B1327,"_",M$3),materiali!$C:$K,6,0),"")</f>
        <v/>
      </c>
      <c r="N1327" s="86"/>
      <c r="O1327" s="84" t="str">
        <f>IFERROR(VLOOKUP(CONCATENATE($B1327,"_",O$3),materiali!$C:$K,5,0),"")</f>
        <v/>
      </c>
      <c r="P1327" s="85" t="str">
        <f>IFERROR(VLOOKUP(CONCATENATE($B1327,"_",P$3),materiali!$C:$K,6,0),"")</f>
        <v/>
      </c>
      <c r="Q1327" s="86"/>
      <c r="R1327" s="84" t="str">
        <f>IFERROR(VLOOKUP(CONCATENATE($B1327,"_",R$3),materiali!$C:$K,5,0),"")</f>
        <v/>
      </c>
      <c r="S1327" s="85" t="str">
        <f>IFERROR(VLOOKUP(CONCATENATE($B1327,"_",S$3),materiali!$C:$K,6,0),"")</f>
        <v/>
      </c>
      <c r="T1327" s="86"/>
      <c r="U1327" s="31"/>
      <c r="AD1327" s="97"/>
    </row>
    <row r="1328" spans="1:30" ht="35.1" hidden="1" customHeight="1" x14ac:dyDescent="0.25">
      <c r="A1328" s="83"/>
      <c r="B1328" s="7"/>
      <c r="C1328" s="8"/>
      <c r="D1328" s="8"/>
      <c r="E1328" s="60"/>
      <c r="F1328" s="84" t="str">
        <f>IFERROR(VLOOKUP(CONCATENATE($B1328,"_",F$3),materiali!$C:$K,5,0),"")</f>
        <v/>
      </c>
      <c r="G1328" s="85" t="str">
        <f>IFERROR(VLOOKUP(CONCATENATE($B1328,"_",G$3),materiali!$C:$K,6,0),"")</f>
        <v/>
      </c>
      <c r="H1328" s="86"/>
      <c r="I1328" s="84" t="str">
        <f>IFERROR(VLOOKUP(CONCATENATE($B1328,"_",I$3),materiali!$C:$K,5,0),"")</f>
        <v/>
      </c>
      <c r="J1328" s="85" t="str">
        <f>IFERROR(VLOOKUP(CONCATENATE($B1328,"_",J$3),materiali!$C:$K,6,0),"")</f>
        <v/>
      </c>
      <c r="K1328" s="86"/>
      <c r="L1328" s="84" t="str">
        <f>IFERROR(VLOOKUP(CONCATENATE($B1328,"_",L$3),materiali!$C:$K,5,0),"")</f>
        <v/>
      </c>
      <c r="M1328" s="85" t="str">
        <f>IFERROR(VLOOKUP(CONCATENATE($B1328,"_",M$3),materiali!$C:$K,6,0),"")</f>
        <v/>
      </c>
      <c r="N1328" s="86"/>
      <c r="O1328" s="84" t="str">
        <f>IFERROR(VLOOKUP(CONCATENATE($B1328,"_",O$3),materiali!$C:$K,5,0),"")</f>
        <v/>
      </c>
      <c r="P1328" s="85" t="str">
        <f>IFERROR(VLOOKUP(CONCATENATE($B1328,"_",P$3),materiali!$C:$K,6,0),"")</f>
        <v/>
      </c>
      <c r="Q1328" s="86"/>
      <c r="R1328" s="84" t="str">
        <f>IFERROR(VLOOKUP(CONCATENATE($B1328,"_",R$3),materiali!$C:$K,5,0),"")</f>
        <v/>
      </c>
      <c r="S1328" s="85" t="str">
        <f>IFERROR(VLOOKUP(CONCATENATE($B1328,"_",S$3),materiali!$C:$K,6,0),"")</f>
        <v/>
      </c>
      <c r="T1328" s="86"/>
      <c r="U1328" s="31"/>
      <c r="AD1328" s="97"/>
    </row>
    <row r="1329" spans="1:30" ht="35.1" hidden="1" customHeight="1" x14ac:dyDescent="0.25">
      <c r="A1329" s="83"/>
      <c r="B1329" s="7"/>
      <c r="C1329" s="8"/>
      <c r="D1329" s="8"/>
      <c r="E1329" s="60"/>
      <c r="F1329" s="84" t="str">
        <f>IFERROR(VLOOKUP(CONCATENATE($B1329,"_",F$3),materiali!$C:$K,5,0),"")</f>
        <v/>
      </c>
      <c r="G1329" s="85" t="str">
        <f>IFERROR(VLOOKUP(CONCATENATE($B1329,"_",G$3),materiali!$C:$K,6,0),"")</f>
        <v/>
      </c>
      <c r="H1329" s="86"/>
      <c r="I1329" s="84" t="str">
        <f>IFERROR(VLOOKUP(CONCATENATE($B1329,"_",I$3),materiali!$C:$K,5,0),"")</f>
        <v/>
      </c>
      <c r="J1329" s="85" t="str">
        <f>IFERROR(VLOOKUP(CONCATENATE($B1329,"_",J$3),materiali!$C:$K,6,0),"")</f>
        <v/>
      </c>
      <c r="K1329" s="86"/>
      <c r="L1329" s="84" t="str">
        <f>IFERROR(VLOOKUP(CONCATENATE($B1329,"_",L$3),materiali!$C:$K,5,0),"")</f>
        <v/>
      </c>
      <c r="M1329" s="85" t="str">
        <f>IFERROR(VLOOKUP(CONCATENATE($B1329,"_",M$3),materiali!$C:$K,6,0),"")</f>
        <v/>
      </c>
      <c r="N1329" s="86"/>
      <c r="O1329" s="84" t="str">
        <f>IFERROR(VLOOKUP(CONCATENATE($B1329,"_",O$3),materiali!$C:$K,5,0),"")</f>
        <v/>
      </c>
      <c r="P1329" s="85" t="str">
        <f>IFERROR(VLOOKUP(CONCATENATE($B1329,"_",P$3),materiali!$C:$K,6,0),"")</f>
        <v/>
      </c>
      <c r="Q1329" s="86"/>
      <c r="R1329" s="84" t="str">
        <f>IFERROR(VLOOKUP(CONCATENATE($B1329,"_",R$3),materiali!$C:$K,5,0),"")</f>
        <v/>
      </c>
      <c r="S1329" s="85" t="str">
        <f>IFERROR(VLOOKUP(CONCATENATE($B1329,"_",S$3),materiali!$C:$K,6,0),"")</f>
        <v/>
      </c>
      <c r="T1329" s="86"/>
      <c r="U1329" s="31"/>
      <c r="AD1329" s="97"/>
    </row>
    <row r="1330" spans="1:30" ht="35.1" hidden="1" customHeight="1" x14ac:dyDescent="0.25">
      <c r="A1330" s="83"/>
      <c r="B1330" s="7"/>
      <c r="C1330" s="8"/>
      <c r="D1330" s="8"/>
      <c r="E1330" s="60"/>
      <c r="F1330" s="84" t="str">
        <f>IFERROR(VLOOKUP(CONCATENATE($B1330,"_",F$3),materiali!$C:$K,5,0),"")</f>
        <v/>
      </c>
      <c r="G1330" s="85" t="str">
        <f>IFERROR(VLOOKUP(CONCATENATE($B1330,"_",G$3),materiali!$C:$K,6,0),"")</f>
        <v/>
      </c>
      <c r="H1330" s="86"/>
      <c r="I1330" s="84" t="str">
        <f>IFERROR(VLOOKUP(CONCATENATE($B1330,"_",I$3),materiali!$C:$K,5,0),"")</f>
        <v/>
      </c>
      <c r="J1330" s="85" t="str">
        <f>IFERROR(VLOOKUP(CONCATENATE($B1330,"_",J$3),materiali!$C:$K,6,0),"")</f>
        <v/>
      </c>
      <c r="K1330" s="86"/>
      <c r="L1330" s="84" t="str">
        <f>IFERROR(VLOOKUP(CONCATENATE($B1330,"_",L$3),materiali!$C:$K,5,0),"")</f>
        <v/>
      </c>
      <c r="M1330" s="85" t="str">
        <f>IFERROR(VLOOKUP(CONCATENATE($B1330,"_",M$3),materiali!$C:$K,6,0),"")</f>
        <v/>
      </c>
      <c r="N1330" s="86"/>
      <c r="O1330" s="84" t="str">
        <f>IFERROR(VLOOKUP(CONCATENATE($B1330,"_",O$3),materiali!$C:$K,5,0),"")</f>
        <v/>
      </c>
      <c r="P1330" s="85" t="str">
        <f>IFERROR(VLOOKUP(CONCATENATE($B1330,"_",P$3),materiali!$C:$K,6,0),"")</f>
        <v/>
      </c>
      <c r="Q1330" s="86"/>
      <c r="R1330" s="84" t="str">
        <f>IFERROR(VLOOKUP(CONCATENATE($B1330,"_",R$3),materiali!$C:$K,5,0),"")</f>
        <v/>
      </c>
      <c r="S1330" s="85" t="str">
        <f>IFERROR(VLOOKUP(CONCATENATE($B1330,"_",S$3),materiali!$C:$K,6,0),"")</f>
        <v/>
      </c>
      <c r="T1330" s="86"/>
      <c r="U1330" s="31"/>
      <c r="AD1330" s="97"/>
    </row>
    <row r="1331" spans="1:30" ht="35.1" hidden="1" customHeight="1" x14ac:dyDescent="0.25">
      <c r="A1331" s="83"/>
      <c r="B1331" s="7"/>
      <c r="C1331" s="8"/>
      <c r="D1331" s="8"/>
      <c r="E1331" s="60"/>
      <c r="F1331" s="84" t="str">
        <f>IFERROR(VLOOKUP(CONCATENATE($B1331,"_",F$3),materiali!$C:$K,5,0),"")</f>
        <v/>
      </c>
      <c r="G1331" s="85" t="str">
        <f>IFERROR(VLOOKUP(CONCATENATE($B1331,"_",G$3),materiali!$C:$K,6,0),"")</f>
        <v/>
      </c>
      <c r="H1331" s="86"/>
      <c r="I1331" s="84" t="str">
        <f>IFERROR(VLOOKUP(CONCATENATE($B1331,"_",I$3),materiali!$C:$K,5,0),"")</f>
        <v/>
      </c>
      <c r="J1331" s="85" t="str">
        <f>IFERROR(VLOOKUP(CONCATENATE($B1331,"_",J$3),materiali!$C:$K,6,0),"")</f>
        <v/>
      </c>
      <c r="K1331" s="86"/>
      <c r="L1331" s="84" t="str">
        <f>IFERROR(VLOOKUP(CONCATENATE($B1331,"_",L$3),materiali!$C:$K,5,0),"")</f>
        <v/>
      </c>
      <c r="M1331" s="85" t="str">
        <f>IFERROR(VLOOKUP(CONCATENATE($B1331,"_",M$3),materiali!$C:$K,6,0),"")</f>
        <v/>
      </c>
      <c r="N1331" s="86"/>
      <c r="O1331" s="84" t="str">
        <f>IFERROR(VLOOKUP(CONCATENATE($B1331,"_",O$3),materiali!$C:$K,5,0),"")</f>
        <v/>
      </c>
      <c r="P1331" s="85" t="str">
        <f>IFERROR(VLOOKUP(CONCATENATE($B1331,"_",P$3),materiali!$C:$K,6,0),"")</f>
        <v/>
      </c>
      <c r="Q1331" s="86"/>
      <c r="R1331" s="84" t="str">
        <f>IFERROR(VLOOKUP(CONCATENATE($B1331,"_",R$3),materiali!$C:$K,5,0),"")</f>
        <v/>
      </c>
      <c r="S1331" s="85" t="str">
        <f>IFERROR(VLOOKUP(CONCATENATE($B1331,"_",S$3),materiali!$C:$K,6,0),"")</f>
        <v/>
      </c>
      <c r="T1331" s="86"/>
      <c r="U1331" s="31"/>
      <c r="AD1331" s="97"/>
    </row>
    <row r="1332" spans="1:30" ht="35.1" hidden="1" customHeight="1" x14ac:dyDescent="0.25">
      <c r="A1332" s="83"/>
      <c r="B1332" s="7"/>
      <c r="C1332" s="8"/>
      <c r="D1332" s="8"/>
      <c r="E1332" s="60"/>
      <c r="F1332" s="84" t="str">
        <f>IFERROR(VLOOKUP(CONCATENATE($B1332,"_",F$3),materiali!$C:$K,5,0),"")</f>
        <v/>
      </c>
      <c r="G1332" s="85" t="str">
        <f>IFERROR(VLOOKUP(CONCATENATE($B1332,"_",G$3),materiali!$C:$K,6,0),"")</f>
        <v/>
      </c>
      <c r="H1332" s="86"/>
      <c r="I1332" s="84" t="str">
        <f>IFERROR(VLOOKUP(CONCATENATE($B1332,"_",I$3),materiali!$C:$K,5,0),"")</f>
        <v/>
      </c>
      <c r="J1332" s="85" t="str">
        <f>IFERROR(VLOOKUP(CONCATENATE($B1332,"_",J$3),materiali!$C:$K,6,0),"")</f>
        <v/>
      </c>
      <c r="K1332" s="86"/>
      <c r="L1332" s="84" t="str">
        <f>IFERROR(VLOOKUP(CONCATENATE($B1332,"_",L$3),materiali!$C:$K,5,0),"")</f>
        <v/>
      </c>
      <c r="M1332" s="85" t="str">
        <f>IFERROR(VLOOKUP(CONCATENATE($B1332,"_",M$3),materiali!$C:$K,6,0),"")</f>
        <v/>
      </c>
      <c r="N1332" s="86"/>
      <c r="O1332" s="84" t="str">
        <f>IFERROR(VLOOKUP(CONCATENATE($B1332,"_",O$3),materiali!$C:$K,5,0),"")</f>
        <v/>
      </c>
      <c r="P1332" s="85" t="str">
        <f>IFERROR(VLOOKUP(CONCATENATE($B1332,"_",P$3),materiali!$C:$K,6,0),"")</f>
        <v/>
      </c>
      <c r="Q1332" s="86"/>
      <c r="R1332" s="84" t="str">
        <f>IFERROR(VLOOKUP(CONCATENATE($B1332,"_",R$3),materiali!$C:$K,5,0),"")</f>
        <v/>
      </c>
      <c r="S1332" s="85" t="str">
        <f>IFERROR(VLOOKUP(CONCATENATE($B1332,"_",S$3),materiali!$C:$K,6,0),"")</f>
        <v/>
      </c>
      <c r="T1332" s="86"/>
      <c r="U1332" s="31"/>
      <c r="AD1332" s="97"/>
    </row>
    <row r="1333" spans="1:30" ht="35.1" hidden="1" customHeight="1" x14ac:dyDescent="0.25">
      <c r="A1333" s="83"/>
      <c r="B1333" s="7"/>
      <c r="C1333" s="8"/>
      <c r="D1333" s="8"/>
      <c r="E1333" s="60"/>
      <c r="F1333" s="84" t="str">
        <f>IFERROR(VLOOKUP(CONCATENATE($B1333,"_",F$3),materiali!$C:$K,5,0),"")</f>
        <v/>
      </c>
      <c r="G1333" s="85" t="str">
        <f>IFERROR(VLOOKUP(CONCATENATE($B1333,"_",G$3),materiali!$C:$K,6,0),"")</f>
        <v/>
      </c>
      <c r="H1333" s="86"/>
      <c r="I1333" s="84" t="str">
        <f>IFERROR(VLOOKUP(CONCATENATE($B1333,"_",I$3),materiali!$C:$K,5,0),"")</f>
        <v/>
      </c>
      <c r="J1333" s="85" t="str">
        <f>IFERROR(VLOOKUP(CONCATENATE($B1333,"_",J$3),materiali!$C:$K,6,0),"")</f>
        <v/>
      </c>
      <c r="K1333" s="86"/>
      <c r="L1333" s="84" t="str">
        <f>IFERROR(VLOOKUP(CONCATENATE($B1333,"_",L$3),materiali!$C:$K,5,0),"")</f>
        <v/>
      </c>
      <c r="M1333" s="85" t="str">
        <f>IFERROR(VLOOKUP(CONCATENATE($B1333,"_",M$3),materiali!$C:$K,6,0),"")</f>
        <v/>
      </c>
      <c r="N1333" s="86"/>
      <c r="O1333" s="84" t="str">
        <f>IFERROR(VLOOKUP(CONCATENATE($B1333,"_",O$3),materiali!$C:$K,5,0),"")</f>
        <v/>
      </c>
      <c r="P1333" s="85" t="str">
        <f>IFERROR(VLOOKUP(CONCATENATE($B1333,"_",P$3),materiali!$C:$K,6,0),"")</f>
        <v/>
      </c>
      <c r="Q1333" s="86"/>
      <c r="R1333" s="84" t="str">
        <f>IFERROR(VLOOKUP(CONCATENATE($B1333,"_",R$3),materiali!$C:$K,5,0),"")</f>
        <v/>
      </c>
      <c r="S1333" s="85" t="str">
        <f>IFERROR(VLOOKUP(CONCATENATE($B1333,"_",S$3),materiali!$C:$K,6,0),"")</f>
        <v/>
      </c>
      <c r="T1333" s="86"/>
      <c r="U1333" s="31"/>
      <c r="AD1333" s="97"/>
    </row>
    <row r="1334" spans="1:30" ht="35.1" hidden="1" customHeight="1" x14ac:dyDescent="0.25">
      <c r="A1334" s="83"/>
      <c r="B1334" s="7"/>
      <c r="C1334" s="8"/>
      <c r="D1334" s="8"/>
      <c r="E1334" s="60"/>
      <c r="F1334" s="84" t="str">
        <f>IFERROR(VLOOKUP(CONCATENATE($B1334,"_",F$3),materiali!$C:$K,5,0),"")</f>
        <v/>
      </c>
      <c r="G1334" s="85" t="str">
        <f>IFERROR(VLOOKUP(CONCATENATE($B1334,"_",G$3),materiali!$C:$K,6,0),"")</f>
        <v/>
      </c>
      <c r="H1334" s="86"/>
      <c r="I1334" s="84" t="str">
        <f>IFERROR(VLOOKUP(CONCATENATE($B1334,"_",I$3),materiali!$C:$K,5,0),"")</f>
        <v/>
      </c>
      <c r="J1334" s="85" t="str">
        <f>IFERROR(VLOOKUP(CONCATENATE($B1334,"_",J$3),materiali!$C:$K,6,0),"")</f>
        <v/>
      </c>
      <c r="K1334" s="86"/>
      <c r="L1334" s="84" t="str">
        <f>IFERROR(VLOOKUP(CONCATENATE($B1334,"_",L$3),materiali!$C:$K,5,0),"")</f>
        <v/>
      </c>
      <c r="M1334" s="85" t="str">
        <f>IFERROR(VLOOKUP(CONCATENATE($B1334,"_",M$3),materiali!$C:$K,6,0),"")</f>
        <v/>
      </c>
      <c r="N1334" s="86"/>
      <c r="O1334" s="84" t="str">
        <f>IFERROR(VLOOKUP(CONCATENATE($B1334,"_",O$3),materiali!$C:$K,5,0),"")</f>
        <v/>
      </c>
      <c r="P1334" s="85" t="str">
        <f>IFERROR(VLOOKUP(CONCATENATE($B1334,"_",P$3),materiali!$C:$K,6,0),"")</f>
        <v/>
      </c>
      <c r="Q1334" s="86"/>
      <c r="R1334" s="84" t="str">
        <f>IFERROR(VLOOKUP(CONCATENATE($B1334,"_",R$3),materiali!$C:$K,5,0),"")</f>
        <v/>
      </c>
      <c r="S1334" s="85" t="str">
        <f>IFERROR(VLOOKUP(CONCATENATE($B1334,"_",S$3),materiali!$C:$K,6,0),"")</f>
        <v/>
      </c>
      <c r="T1334" s="86"/>
      <c r="U1334" s="31"/>
      <c r="AD1334" s="97"/>
    </row>
    <row r="1335" spans="1:30" ht="35.1" hidden="1" customHeight="1" x14ac:dyDescent="0.25">
      <c r="A1335" s="83"/>
      <c r="B1335" s="7"/>
      <c r="C1335" s="8"/>
      <c r="D1335" s="8"/>
      <c r="E1335" s="60"/>
      <c r="F1335" s="84" t="str">
        <f>IFERROR(VLOOKUP(CONCATENATE($B1335,"_",F$3),materiali!$C:$K,5,0),"")</f>
        <v/>
      </c>
      <c r="G1335" s="85" t="str">
        <f>IFERROR(VLOOKUP(CONCATENATE($B1335,"_",G$3),materiali!$C:$K,6,0),"")</f>
        <v/>
      </c>
      <c r="H1335" s="86"/>
      <c r="I1335" s="84" t="str">
        <f>IFERROR(VLOOKUP(CONCATENATE($B1335,"_",I$3),materiali!$C:$K,5,0),"")</f>
        <v/>
      </c>
      <c r="J1335" s="85" t="str">
        <f>IFERROR(VLOOKUP(CONCATENATE($B1335,"_",J$3),materiali!$C:$K,6,0),"")</f>
        <v/>
      </c>
      <c r="K1335" s="86"/>
      <c r="L1335" s="84" t="str">
        <f>IFERROR(VLOOKUP(CONCATENATE($B1335,"_",L$3),materiali!$C:$K,5,0),"")</f>
        <v/>
      </c>
      <c r="M1335" s="85" t="str">
        <f>IFERROR(VLOOKUP(CONCATENATE($B1335,"_",M$3),materiali!$C:$K,6,0),"")</f>
        <v/>
      </c>
      <c r="N1335" s="86"/>
      <c r="O1335" s="84" t="str">
        <f>IFERROR(VLOOKUP(CONCATENATE($B1335,"_",O$3),materiali!$C:$K,5,0),"")</f>
        <v/>
      </c>
      <c r="P1335" s="85" t="str">
        <f>IFERROR(VLOOKUP(CONCATENATE($B1335,"_",P$3),materiali!$C:$K,6,0),"")</f>
        <v/>
      </c>
      <c r="Q1335" s="86"/>
      <c r="R1335" s="84" t="str">
        <f>IFERROR(VLOOKUP(CONCATENATE($B1335,"_",R$3),materiali!$C:$K,5,0),"")</f>
        <v/>
      </c>
      <c r="S1335" s="85" t="str">
        <f>IFERROR(VLOOKUP(CONCATENATE($B1335,"_",S$3),materiali!$C:$K,6,0),"")</f>
        <v/>
      </c>
      <c r="T1335" s="86"/>
      <c r="U1335" s="31"/>
      <c r="AD1335" s="97"/>
    </row>
    <row r="1336" spans="1:30" ht="35.1" hidden="1" customHeight="1" x14ac:dyDescent="0.25">
      <c r="A1336" s="83"/>
      <c r="B1336" s="7"/>
      <c r="C1336" s="8"/>
      <c r="D1336" s="8"/>
      <c r="E1336" s="60"/>
      <c r="F1336" s="84" t="str">
        <f>IFERROR(VLOOKUP(CONCATENATE($B1336,"_",F$3),materiali!$C:$K,5,0),"")</f>
        <v/>
      </c>
      <c r="G1336" s="85" t="str">
        <f>IFERROR(VLOOKUP(CONCATENATE($B1336,"_",G$3),materiali!$C:$K,6,0),"")</f>
        <v/>
      </c>
      <c r="H1336" s="86"/>
      <c r="I1336" s="84" t="str">
        <f>IFERROR(VLOOKUP(CONCATENATE($B1336,"_",I$3),materiali!$C:$K,5,0),"")</f>
        <v/>
      </c>
      <c r="J1336" s="85" t="str">
        <f>IFERROR(VLOOKUP(CONCATENATE($B1336,"_",J$3),materiali!$C:$K,6,0),"")</f>
        <v/>
      </c>
      <c r="K1336" s="86"/>
      <c r="L1336" s="84" t="str">
        <f>IFERROR(VLOOKUP(CONCATENATE($B1336,"_",L$3),materiali!$C:$K,5,0),"")</f>
        <v/>
      </c>
      <c r="M1336" s="85" t="str">
        <f>IFERROR(VLOOKUP(CONCATENATE($B1336,"_",M$3),materiali!$C:$K,6,0),"")</f>
        <v/>
      </c>
      <c r="N1336" s="86"/>
      <c r="O1336" s="84" t="str">
        <f>IFERROR(VLOOKUP(CONCATENATE($B1336,"_",O$3),materiali!$C:$K,5,0),"")</f>
        <v/>
      </c>
      <c r="P1336" s="85" t="str">
        <f>IFERROR(VLOOKUP(CONCATENATE($B1336,"_",P$3),materiali!$C:$K,6,0),"")</f>
        <v/>
      </c>
      <c r="Q1336" s="86"/>
      <c r="R1336" s="84" t="str">
        <f>IFERROR(VLOOKUP(CONCATENATE($B1336,"_",R$3),materiali!$C:$K,5,0),"")</f>
        <v/>
      </c>
      <c r="S1336" s="85" t="str">
        <f>IFERROR(VLOOKUP(CONCATENATE($B1336,"_",S$3),materiali!$C:$K,6,0),"")</f>
        <v/>
      </c>
      <c r="T1336" s="86"/>
      <c r="U1336" s="31"/>
      <c r="AD1336" s="97"/>
    </row>
    <row r="1337" spans="1:30" ht="35.1" hidden="1" customHeight="1" x14ac:dyDescent="0.25">
      <c r="A1337" s="83"/>
      <c r="B1337" s="7"/>
      <c r="C1337" s="8"/>
      <c r="D1337" s="8"/>
      <c r="E1337" s="60"/>
      <c r="F1337" s="84" t="str">
        <f>IFERROR(VLOOKUP(CONCATENATE($B1337,"_",F$3),materiali!$C:$K,5,0),"")</f>
        <v/>
      </c>
      <c r="G1337" s="85" t="str">
        <f>IFERROR(VLOOKUP(CONCATENATE($B1337,"_",G$3),materiali!$C:$K,6,0),"")</f>
        <v/>
      </c>
      <c r="H1337" s="86"/>
      <c r="I1337" s="84" t="str">
        <f>IFERROR(VLOOKUP(CONCATENATE($B1337,"_",I$3),materiali!$C:$K,5,0),"")</f>
        <v/>
      </c>
      <c r="J1337" s="85" t="str">
        <f>IFERROR(VLOOKUP(CONCATENATE($B1337,"_",J$3),materiali!$C:$K,6,0),"")</f>
        <v/>
      </c>
      <c r="K1337" s="86"/>
      <c r="L1337" s="84" t="str">
        <f>IFERROR(VLOOKUP(CONCATENATE($B1337,"_",L$3),materiali!$C:$K,5,0),"")</f>
        <v/>
      </c>
      <c r="M1337" s="85" t="str">
        <f>IFERROR(VLOOKUP(CONCATENATE($B1337,"_",M$3),materiali!$C:$K,6,0),"")</f>
        <v/>
      </c>
      <c r="N1337" s="86"/>
      <c r="O1337" s="84" t="str">
        <f>IFERROR(VLOOKUP(CONCATENATE($B1337,"_",O$3),materiali!$C:$K,5,0),"")</f>
        <v/>
      </c>
      <c r="P1337" s="85" t="str">
        <f>IFERROR(VLOOKUP(CONCATENATE($B1337,"_",P$3),materiali!$C:$K,6,0),"")</f>
        <v/>
      </c>
      <c r="Q1337" s="86"/>
      <c r="R1337" s="84" t="str">
        <f>IFERROR(VLOOKUP(CONCATENATE($B1337,"_",R$3),materiali!$C:$K,5,0),"")</f>
        <v/>
      </c>
      <c r="S1337" s="85" t="str">
        <f>IFERROR(VLOOKUP(CONCATENATE($B1337,"_",S$3),materiali!$C:$K,6,0),"")</f>
        <v/>
      </c>
      <c r="T1337" s="86"/>
      <c r="U1337" s="31"/>
      <c r="AD1337" s="97"/>
    </row>
    <row r="1338" spans="1:30" ht="35.1" hidden="1" customHeight="1" x14ac:dyDescent="0.25">
      <c r="A1338" s="83"/>
      <c r="B1338" s="7"/>
      <c r="C1338" s="8"/>
      <c r="D1338" s="8"/>
      <c r="E1338" s="60"/>
      <c r="F1338" s="84" t="str">
        <f>IFERROR(VLOOKUP(CONCATENATE($B1338,"_",F$3),materiali!$C:$K,5,0),"")</f>
        <v/>
      </c>
      <c r="G1338" s="85" t="str">
        <f>IFERROR(VLOOKUP(CONCATENATE($B1338,"_",G$3),materiali!$C:$K,6,0),"")</f>
        <v/>
      </c>
      <c r="H1338" s="86"/>
      <c r="I1338" s="84" t="str">
        <f>IFERROR(VLOOKUP(CONCATENATE($B1338,"_",I$3),materiali!$C:$K,5,0),"")</f>
        <v/>
      </c>
      <c r="J1338" s="85" t="str">
        <f>IFERROR(VLOOKUP(CONCATENATE($B1338,"_",J$3),materiali!$C:$K,6,0),"")</f>
        <v/>
      </c>
      <c r="K1338" s="86"/>
      <c r="L1338" s="84" t="str">
        <f>IFERROR(VLOOKUP(CONCATENATE($B1338,"_",L$3),materiali!$C:$K,5,0),"")</f>
        <v/>
      </c>
      <c r="M1338" s="85" t="str">
        <f>IFERROR(VLOOKUP(CONCATENATE($B1338,"_",M$3),materiali!$C:$K,6,0),"")</f>
        <v/>
      </c>
      <c r="N1338" s="86"/>
      <c r="O1338" s="84" t="str">
        <f>IFERROR(VLOOKUP(CONCATENATE($B1338,"_",O$3),materiali!$C:$K,5,0),"")</f>
        <v/>
      </c>
      <c r="P1338" s="85" t="str">
        <f>IFERROR(VLOOKUP(CONCATENATE($B1338,"_",P$3),materiali!$C:$K,6,0),"")</f>
        <v/>
      </c>
      <c r="Q1338" s="86"/>
      <c r="R1338" s="84" t="str">
        <f>IFERROR(VLOOKUP(CONCATENATE($B1338,"_",R$3),materiali!$C:$K,5,0),"")</f>
        <v/>
      </c>
      <c r="S1338" s="85" t="str">
        <f>IFERROR(VLOOKUP(CONCATENATE($B1338,"_",S$3),materiali!$C:$K,6,0),"")</f>
        <v/>
      </c>
      <c r="T1338" s="86"/>
      <c r="U1338" s="31"/>
      <c r="AD1338" s="97"/>
    </row>
    <row r="1339" spans="1:30" ht="35.1" hidden="1" customHeight="1" x14ac:dyDescent="0.25">
      <c r="A1339" s="83"/>
      <c r="B1339" s="7"/>
      <c r="C1339" s="8"/>
      <c r="D1339" s="8"/>
      <c r="E1339" s="60"/>
      <c r="F1339" s="84" t="str">
        <f>IFERROR(VLOOKUP(CONCATENATE($B1339,"_",F$3),materiali!$C:$K,5,0),"")</f>
        <v/>
      </c>
      <c r="G1339" s="85" t="str">
        <f>IFERROR(VLOOKUP(CONCATENATE($B1339,"_",G$3),materiali!$C:$K,6,0),"")</f>
        <v/>
      </c>
      <c r="H1339" s="86"/>
      <c r="I1339" s="84" t="str">
        <f>IFERROR(VLOOKUP(CONCATENATE($B1339,"_",I$3),materiali!$C:$K,5,0),"")</f>
        <v/>
      </c>
      <c r="J1339" s="85" t="str">
        <f>IFERROR(VLOOKUP(CONCATENATE($B1339,"_",J$3),materiali!$C:$K,6,0),"")</f>
        <v/>
      </c>
      <c r="K1339" s="86"/>
      <c r="L1339" s="84" t="str">
        <f>IFERROR(VLOOKUP(CONCATENATE($B1339,"_",L$3),materiali!$C:$K,5,0),"")</f>
        <v/>
      </c>
      <c r="M1339" s="85" t="str">
        <f>IFERROR(VLOOKUP(CONCATENATE($B1339,"_",M$3),materiali!$C:$K,6,0),"")</f>
        <v/>
      </c>
      <c r="N1339" s="86"/>
      <c r="O1339" s="84" t="str">
        <f>IFERROR(VLOOKUP(CONCATENATE($B1339,"_",O$3),materiali!$C:$K,5,0),"")</f>
        <v/>
      </c>
      <c r="P1339" s="85" t="str">
        <f>IFERROR(VLOOKUP(CONCATENATE($B1339,"_",P$3),materiali!$C:$K,6,0),"")</f>
        <v/>
      </c>
      <c r="Q1339" s="86"/>
      <c r="R1339" s="84" t="str">
        <f>IFERROR(VLOOKUP(CONCATENATE($B1339,"_",R$3),materiali!$C:$K,5,0),"")</f>
        <v/>
      </c>
      <c r="S1339" s="85" t="str">
        <f>IFERROR(VLOOKUP(CONCATENATE($B1339,"_",S$3),materiali!$C:$K,6,0),"")</f>
        <v/>
      </c>
      <c r="T1339" s="86"/>
      <c r="U1339" s="31"/>
      <c r="AD1339" s="97"/>
    </row>
    <row r="1340" spans="1:30" ht="35.1" hidden="1" customHeight="1" x14ac:dyDescent="0.25">
      <c r="A1340" s="83"/>
      <c r="B1340" s="7"/>
      <c r="C1340" s="8"/>
      <c r="D1340" s="8"/>
      <c r="E1340" s="60"/>
      <c r="F1340" s="84" t="str">
        <f>IFERROR(VLOOKUP(CONCATENATE($B1340,"_",F$3),materiali!$C:$K,5,0),"")</f>
        <v/>
      </c>
      <c r="G1340" s="85" t="str">
        <f>IFERROR(VLOOKUP(CONCATENATE($B1340,"_",G$3),materiali!$C:$K,6,0),"")</f>
        <v/>
      </c>
      <c r="H1340" s="86"/>
      <c r="I1340" s="84" t="str">
        <f>IFERROR(VLOOKUP(CONCATENATE($B1340,"_",I$3),materiali!$C:$K,5,0),"")</f>
        <v/>
      </c>
      <c r="J1340" s="85" t="str">
        <f>IFERROR(VLOOKUP(CONCATENATE($B1340,"_",J$3),materiali!$C:$K,6,0),"")</f>
        <v/>
      </c>
      <c r="K1340" s="86"/>
      <c r="L1340" s="84" t="str">
        <f>IFERROR(VLOOKUP(CONCATENATE($B1340,"_",L$3),materiali!$C:$K,5,0),"")</f>
        <v/>
      </c>
      <c r="M1340" s="85" t="str">
        <f>IFERROR(VLOOKUP(CONCATENATE($B1340,"_",M$3),materiali!$C:$K,6,0),"")</f>
        <v/>
      </c>
      <c r="N1340" s="86"/>
      <c r="O1340" s="84" t="str">
        <f>IFERROR(VLOOKUP(CONCATENATE($B1340,"_",O$3),materiali!$C:$K,5,0),"")</f>
        <v/>
      </c>
      <c r="P1340" s="85" t="str">
        <f>IFERROR(VLOOKUP(CONCATENATE($B1340,"_",P$3),materiali!$C:$K,6,0),"")</f>
        <v/>
      </c>
      <c r="Q1340" s="86"/>
      <c r="R1340" s="84" t="str">
        <f>IFERROR(VLOOKUP(CONCATENATE($B1340,"_",R$3),materiali!$C:$K,5,0),"")</f>
        <v/>
      </c>
      <c r="S1340" s="85" t="str">
        <f>IFERROR(VLOOKUP(CONCATENATE($B1340,"_",S$3),materiali!$C:$K,6,0),"")</f>
        <v/>
      </c>
      <c r="T1340" s="86"/>
      <c r="U1340" s="31"/>
      <c r="AD1340" s="97"/>
    </row>
    <row r="1341" spans="1:30" ht="35.1" hidden="1" customHeight="1" x14ac:dyDescent="0.25">
      <c r="A1341" s="83"/>
      <c r="B1341" s="7"/>
      <c r="C1341" s="8"/>
      <c r="D1341" s="8"/>
      <c r="E1341" s="60"/>
      <c r="F1341" s="84" t="str">
        <f>IFERROR(VLOOKUP(CONCATENATE($B1341,"_",F$3),materiali!$C:$K,5,0),"")</f>
        <v/>
      </c>
      <c r="G1341" s="85" t="str">
        <f>IFERROR(VLOOKUP(CONCATENATE($B1341,"_",G$3),materiali!$C:$K,6,0),"")</f>
        <v/>
      </c>
      <c r="H1341" s="86"/>
      <c r="I1341" s="84" t="str">
        <f>IFERROR(VLOOKUP(CONCATENATE($B1341,"_",I$3),materiali!$C:$K,5,0),"")</f>
        <v/>
      </c>
      <c r="J1341" s="85" t="str">
        <f>IFERROR(VLOOKUP(CONCATENATE($B1341,"_",J$3),materiali!$C:$K,6,0),"")</f>
        <v/>
      </c>
      <c r="K1341" s="86"/>
      <c r="L1341" s="84" t="str">
        <f>IFERROR(VLOOKUP(CONCATENATE($B1341,"_",L$3),materiali!$C:$K,5,0),"")</f>
        <v/>
      </c>
      <c r="M1341" s="85" t="str">
        <f>IFERROR(VLOOKUP(CONCATENATE($B1341,"_",M$3),materiali!$C:$K,6,0),"")</f>
        <v/>
      </c>
      <c r="N1341" s="86"/>
      <c r="O1341" s="84" t="str">
        <f>IFERROR(VLOOKUP(CONCATENATE($B1341,"_",O$3),materiali!$C:$K,5,0),"")</f>
        <v/>
      </c>
      <c r="P1341" s="85" t="str">
        <f>IFERROR(VLOOKUP(CONCATENATE($B1341,"_",P$3),materiali!$C:$K,6,0),"")</f>
        <v/>
      </c>
      <c r="Q1341" s="86"/>
      <c r="R1341" s="84" t="str">
        <f>IFERROR(VLOOKUP(CONCATENATE($B1341,"_",R$3),materiali!$C:$K,5,0),"")</f>
        <v/>
      </c>
      <c r="S1341" s="85" t="str">
        <f>IFERROR(VLOOKUP(CONCATENATE($B1341,"_",S$3),materiali!$C:$K,6,0),"")</f>
        <v/>
      </c>
      <c r="T1341" s="86"/>
      <c r="U1341" s="31"/>
      <c r="AD1341" s="97"/>
    </row>
    <row r="1342" spans="1:30" ht="35.1" hidden="1" customHeight="1" x14ac:dyDescent="0.25">
      <c r="A1342" s="83"/>
      <c r="B1342" s="7"/>
      <c r="C1342" s="8"/>
      <c r="D1342" s="8"/>
      <c r="E1342" s="60"/>
      <c r="F1342" s="84" t="str">
        <f>IFERROR(VLOOKUP(CONCATENATE($B1342,"_",F$3),materiali!$C:$K,5,0),"")</f>
        <v/>
      </c>
      <c r="G1342" s="85" t="str">
        <f>IFERROR(VLOOKUP(CONCATENATE($B1342,"_",G$3),materiali!$C:$K,6,0),"")</f>
        <v/>
      </c>
      <c r="H1342" s="86"/>
      <c r="I1342" s="84" t="str">
        <f>IFERROR(VLOOKUP(CONCATENATE($B1342,"_",I$3),materiali!$C:$K,5,0),"")</f>
        <v/>
      </c>
      <c r="J1342" s="85" t="str">
        <f>IFERROR(VLOOKUP(CONCATENATE($B1342,"_",J$3),materiali!$C:$K,6,0),"")</f>
        <v/>
      </c>
      <c r="K1342" s="86"/>
      <c r="L1342" s="84" t="str">
        <f>IFERROR(VLOOKUP(CONCATENATE($B1342,"_",L$3),materiali!$C:$K,5,0),"")</f>
        <v/>
      </c>
      <c r="M1342" s="85" t="str">
        <f>IFERROR(VLOOKUP(CONCATENATE($B1342,"_",M$3),materiali!$C:$K,6,0),"")</f>
        <v/>
      </c>
      <c r="N1342" s="86"/>
      <c r="O1342" s="84" t="str">
        <f>IFERROR(VLOOKUP(CONCATENATE($B1342,"_",O$3),materiali!$C:$K,5,0),"")</f>
        <v/>
      </c>
      <c r="P1342" s="85" t="str">
        <f>IFERROR(VLOOKUP(CONCATENATE($B1342,"_",P$3),materiali!$C:$K,6,0),"")</f>
        <v/>
      </c>
      <c r="Q1342" s="86"/>
      <c r="R1342" s="84" t="str">
        <f>IFERROR(VLOOKUP(CONCATENATE($B1342,"_",R$3),materiali!$C:$K,5,0),"")</f>
        <v/>
      </c>
      <c r="S1342" s="85" t="str">
        <f>IFERROR(VLOOKUP(CONCATENATE($B1342,"_",S$3),materiali!$C:$K,6,0),"")</f>
        <v/>
      </c>
      <c r="T1342" s="86"/>
      <c r="U1342" s="31"/>
      <c r="AD1342" s="97"/>
    </row>
    <row r="1343" spans="1:30" ht="35.1" hidden="1" customHeight="1" x14ac:dyDescent="0.25">
      <c r="A1343" s="83"/>
      <c r="B1343" s="7"/>
      <c r="C1343" s="8"/>
      <c r="D1343" s="8"/>
      <c r="E1343" s="60"/>
      <c r="F1343" s="84" t="str">
        <f>IFERROR(VLOOKUP(CONCATENATE($B1343,"_",F$3),materiali!$C:$K,5,0),"")</f>
        <v/>
      </c>
      <c r="G1343" s="85" t="str">
        <f>IFERROR(VLOOKUP(CONCATENATE($B1343,"_",G$3),materiali!$C:$K,6,0),"")</f>
        <v/>
      </c>
      <c r="H1343" s="86"/>
      <c r="I1343" s="84" t="str">
        <f>IFERROR(VLOOKUP(CONCATENATE($B1343,"_",I$3),materiali!$C:$K,5,0),"")</f>
        <v/>
      </c>
      <c r="J1343" s="85" t="str">
        <f>IFERROR(VLOOKUP(CONCATENATE($B1343,"_",J$3),materiali!$C:$K,6,0),"")</f>
        <v/>
      </c>
      <c r="K1343" s="86"/>
      <c r="L1343" s="84" t="str">
        <f>IFERROR(VLOOKUP(CONCATENATE($B1343,"_",L$3),materiali!$C:$K,5,0),"")</f>
        <v/>
      </c>
      <c r="M1343" s="85" t="str">
        <f>IFERROR(VLOOKUP(CONCATENATE($B1343,"_",M$3),materiali!$C:$K,6,0),"")</f>
        <v/>
      </c>
      <c r="N1343" s="86"/>
      <c r="O1343" s="84" t="str">
        <f>IFERROR(VLOOKUP(CONCATENATE($B1343,"_",O$3),materiali!$C:$K,5,0),"")</f>
        <v/>
      </c>
      <c r="P1343" s="85" t="str">
        <f>IFERROR(VLOOKUP(CONCATENATE($B1343,"_",P$3),materiali!$C:$K,6,0),"")</f>
        <v/>
      </c>
      <c r="Q1343" s="86"/>
      <c r="R1343" s="84" t="str">
        <f>IFERROR(VLOOKUP(CONCATENATE($B1343,"_",R$3),materiali!$C:$K,5,0),"")</f>
        <v/>
      </c>
      <c r="S1343" s="85" t="str">
        <f>IFERROR(VLOOKUP(CONCATENATE($B1343,"_",S$3),materiali!$C:$K,6,0),"")</f>
        <v/>
      </c>
      <c r="T1343" s="86"/>
      <c r="U1343" s="31"/>
      <c r="AD1343" s="97"/>
    </row>
    <row r="1344" spans="1:30" ht="35.1" hidden="1" customHeight="1" x14ac:dyDescent="0.25">
      <c r="A1344" s="83"/>
      <c r="B1344" s="7"/>
      <c r="C1344" s="8"/>
      <c r="D1344" s="8"/>
      <c r="E1344" s="60"/>
      <c r="F1344" s="84" t="str">
        <f>IFERROR(VLOOKUP(CONCATENATE($B1344,"_",F$3),materiali!$C:$K,5,0),"")</f>
        <v/>
      </c>
      <c r="G1344" s="85" t="str">
        <f>IFERROR(VLOOKUP(CONCATENATE($B1344,"_",G$3),materiali!$C:$K,6,0),"")</f>
        <v/>
      </c>
      <c r="H1344" s="86"/>
      <c r="I1344" s="84" t="str">
        <f>IFERROR(VLOOKUP(CONCATENATE($B1344,"_",I$3),materiali!$C:$K,5,0),"")</f>
        <v/>
      </c>
      <c r="J1344" s="85" t="str">
        <f>IFERROR(VLOOKUP(CONCATENATE($B1344,"_",J$3),materiali!$C:$K,6,0),"")</f>
        <v/>
      </c>
      <c r="K1344" s="86"/>
      <c r="L1344" s="84" t="str">
        <f>IFERROR(VLOOKUP(CONCATENATE($B1344,"_",L$3),materiali!$C:$K,5,0),"")</f>
        <v/>
      </c>
      <c r="M1344" s="85" t="str">
        <f>IFERROR(VLOOKUP(CONCATENATE($B1344,"_",M$3),materiali!$C:$K,6,0),"")</f>
        <v/>
      </c>
      <c r="N1344" s="86"/>
      <c r="O1344" s="84" t="str">
        <f>IFERROR(VLOOKUP(CONCATENATE($B1344,"_",O$3),materiali!$C:$K,5,0),"")</f>
        <v/>
      </c>
      <c r="P1344" s="85" t="str">
        <f>IFERROR(VLOOKUP(CONCATENATE($B1344,"_",P$3),materiali!$C:$K,6,0),"")</f>
        <v/>
      </c>
      <c r="Q1344" s="86"/>
      <c r="R1344" s="84" t="str">
        <f>IFERROR(VLOOKUP(CONCATENATE($B1344,"_",R$3),materiali!$C:$K,5,0),"")</f>
        <v/>
      </c>
      <c r="S1344" s="85" t="str">
        <f>IFERROR(VLOOKUP(CONCATENATE($B1344,"_",S$3),materiali!$C:$K,6,0),"")</f>
        <v/>
      </c>
      <c r="T1344" s="86"/>
      <c r="U1344" s="31"/>
      <c r="AD1344" s="97"/>
    </row>
    <row r="1345" spans="1:30" ht="35.1" hidden="1" customHeight="1" x14ac:dyDescent="0.25">
      <c r="A1345" s="83"/>
      <c r="B1345" s="7"/>
      <c r="C1345" s="8"/>
      <c r="D1345" s="8"/>
      <c r="E1345" s="60"/>
      <c r="F1345" s="84" t="str">
        <f>IFERROR(VLOOKUP(CONCATENATE($B1345,"_",F$3),materiali!$C:$K,5,0),"")</f>
        <v/>
      </c>
      <c r="G1345" s="85" t="str">
        <f>IFERROR(VLOOKUP(CONCATENATE($B1345,"_",G$3),materiali!$C:$K,6,0),"")</f>
        <v/>
      </c>
      <c r="H1345" s="86"/>
      <c r="I1345" s="84" t="str">
        <f>IFERROR(VLOOKUP(CONCATENATE($B1345,"_",I$3),materiali!$C:$K,5,0),"")</f>
        <v/>
      </c>
      <c r="J1345" s="85" t="str">
        <f>IFERROR(VLOOKUP(CONCATENATE($B1345,"_",J$3),materiali!$C:$K,6,0),"")</f>
        <v/>
      </c>
      <c r="K1345" s="86"/>
      <c r="L1345" s="84" t="str">
        <f>IFERROR(VLOOKUP(CONCATENATE($B1345,"_",L$3),materiali!$C:$K,5,0),"")</f>
        <v/>
      </c>
      <c r="M1345" s="85" t="str">
        <f>IFERROR(VLOOKUP(CONCATENATE($B1345,"_",M$3),materiali!$C:$K,6,0),"")</f>
        <v/>
      </c>
      <c r="N1345" s="86"/>
      <c r="O1345" s="84" t="str">
        <f>IFERROR(VLOOKUP(CONCATENATE($B1345,"_",O$3),materiali!$C:$K,5,0),"")</f>
        <v/>
      </c>
      <c r="P1345" s="85" t="str">
        <f>IFERROR(VLOOKUP(CONCATENATE($B1345,"_",P$3),materiali!$C:$K,6,0),"")</f>
        <v/>
      </c>
      <c r="Q1345" s="86"/>
      <c r="R1345" s="84" t="str">
        <f>IFERROR(VLOOKUP(CONCATENATE($B1345,"_",R$3),materiali!$C:$K,5,0),"")</f>
        <v/>
      </c>
      <c r="S1345" s="85" t="str">
        <f>IFERROR(VLOOKUP(CONCATENATE($B1345,"_",S$3),materiali!$C:$K,6,0),"")</f>
        <v/>
      </c>
      <c r="T1345" s="86"/>
      <c r="U1345" s="31"/>
      <c r="AD1345" s="97"/>
    </row>
    <row r="1346" spans="1:30" ht="35.1" hidden="1" customHeight="1" x14ac:dyDescent="0.25">
      <c r="A1346" s="83"/>
      <c r="B1346" s="7"/>
      <c r="C1346" s="8"/>
      <c r="D1346" s="8"/>
      <c r="E1346" s="60"/>
      <c r="F1346" s="84" t="str">
        <f>IFERROR(VLOOKUP(CONCATENATE($B1346,"_",F$3),materiali!$C:$K,5,0),"")</f>
        <v/>
      </c>
      <c r="G1346" s="85" t="str">
        <f>IFERROR(VLOOKUP(CONCATENATE($B1346,"_",G$3),materiali!$C:$K,6,0),"")</f>
        <v/>
      </c>
      <c r="H1346" s="86"/>
      <c r="I1346" s="84" t="str">
        <f>IFERROR(VLOOKUP(CONCATENATE($B1346,"_",I$3),materiali!$C:$K,5,0),"")</f>
        <v/>
      </c>
      <c r="J1346" s="85" t="str">
        <f>IFERROR(VLOOKUP(CONCATENATE($B1346,"_",J$3),materiali!$C:$K,6,0),"")</f>
        <v/>
      </c>
      <c r="K1346" s="86"/>
      <c r="L1346" s="84" t="str">
        <f>IFERROR(VLOOKUP(CONCATENATE($B1346,"_",L$3),materiali!$C:$K,5,0),"")</f>
        <v/>
      </c>
      <c r="M1346" s="85" t="str">
        <f>IFERROR(VLOOKUP(CONCATENATE($B1346,"_",M$3),materiali!$C:$K,6,0),"")</f>
        <v/>
      </c>
      <c r="N1346" s="86"/>
      <c r="O1346" s="84" t="str">
        <f>IFERROR(VLOOKUP(CONCATENATE($B1346,"_",O$3),materiali!$C:$K,5,0),"")</f>
        <v/>
      </c>
      <c r="P1346" s="85" t="str">
        <f>IFERROR(VLOOKUP(CONCATENATE($B1346,"_",P$3),materiali!$C:$K,6,0),"")</f>
        <v/>
      </c>
      <c r="Q1346" s="86"/>
      <c r="R1346" s="84" t="str">
        <f>IFERROR(VLOOKUP(CONCATENATE($B1346,"_",R$3),materiali!$C:$K,5,0),"")</f>
        <v/>
      </c>
      <c r="S1346" s="85" t="str">
        <f>IFERROR(VLOOKUP(CONCATENATE($B1346,"_",S$3),materiali!$C:$K,6,0),"")</f>
        <v/>
      </c>
      <c r="T1346" s="86"/>
      <c r="U1346" s="31"/>
      <c r="AD1346" s="97"/>
    </row>
    <row r="1347" spans="1:30" ht="35.1" hidden="1" customHeight="1" x14ac:dyDescent="0.25">
      <c r="A1347" s="83"/>
      <c r="B1347" s="7"/>
      <c r="C1347" s="8"/>
      <c r="D1347" s="8"/>
      <c r="E1347" s="60"/>
      <c r="F1347" s="84" t="str">
        <f>IFERROR(VLOOKUP(CONCATENATE($B1347,"_",F$3),materiali!$C:$K,5,0),"")</f>
        <v/>
      </c>
      <c r="G1347" s="85" t="str">
        <f>IFERROR(VLOOKUP(CONCATENATE($B1347,"_",G$3),materiali!$C:$K,6,0),"")</f>
        <v/>
      </c>
      <c r="H1347" s="86"/>
      <c r="I1347" s="84" t="str">
        <f>IFERROR(VLOOKUP(CONCATENATE($B1347,"_",I$3),materiali!$C:$K,5,0),"")</f>
        <v/>
      </c>
      <c r="J1347" s="85" t="str">
        <f>IFERROR(VLOOKUP(CONCATENATE($B1347,"_",J$3),materiali!$C:$K,6,0),"")</f>
        <v/>
      </c>
      <c r="K1347" s="86"/>
      <c r="L1347" s="84" t="str">
        <f>IFERROR(VLOOKUP(CONCATENATE($B1347,"_",L$3),materiali!$C:$K,5,0),"")</f>
        <v/>
      </c>
      <c r="M1347" s="85" t="str">
        <f>IFERROR(VLOOKUP(CONCATENATE($B1347,"_",M$3),materiali!$C:$K,6,0),"")</f>
        <v/>
      </c>
      <c r="N1347" s="86"/>
      <c r="O1347" s="84" t="str">
        <f>IFERROR(VLOOKUP(CONCATENATE($B1347,"_",O$3),materiali!$C:$K,5,0),"")</f>
        <v/>
      </c>
      <c r="P1347" s="85" t="str">
        <f>IFERROR(VLOOKUP(CONCATENATE($B1347,"_",P$3),materiali!$C:$K,6,0),"")</f>
        <v/>
      </c>
      <c r="Q1347" s="86"/>
      <c r="R1347" s="84" t="str">
        <f>IFERROR(VLOOKUP(CONCATENATE($B1347,"_",R$3),materiali!$C:$K,5,0),"")</f>
        <v/>
      </c>
      <c r="S1347" s="85" t="str">
        <f>IFERROR(VLOOKUP(CONCATENATE($B1347,"_",S$3),materiali!$C:$K,6,0),"")</f>
        <v/>
      </c>
      <c r="T1347" s="86"/>
      <c r="U1347" s="31"/>
      <c r="AD1347" s="97"/>
    </row>
    <row r="1348" spans="1:30" ht="35.1" hidden="1" customHeight="1" x14ac:dyDescent="0.25">
      <c r="A1348" s="83"/>
      <c r="B1348" s="7"/>
      <c r="C1348" s="8"/>
      <c r="D1348" s="8"/>
      <c r="E1348" s="60"/>
      <c r="F1348" s="84" t="str">
        <f>IFERROR(VLOOKUP(CONCATENATE($B1348,"_",F$3),materiali!$C:$K,5,0),"")</f>
        <v/>
      </c>
      <c r="G1348" s="85" t="str">
        <f>IFERROR(VLOOKUP(CONCATENATE($B1348,"_",G$3),materiali!$C:$K,6,0),"")</f>
        <v/>
      </c>
      <c r="H1348" s="86"/>
      <c r="I1348" s="84" t="str">
        <f>IFERROR(VLOOKUP(CONCATENATE($B1348,"_",I$3),materiali!$C:$K,5,0),"")</f>
        <v/>
      </c>
      <c r="J1348" s="85" t="str">
        <f>IFERROR(VLOOKUP(CONCATENATE($B1348,"_",J$3),materiali!$C:$K,6,0),"")</f>
        <v/>
      </c>
      <c r="K1348" s="86"/>
      <c r="L1348" s="84" t="str">
        <f>IFERROR(VLOOKUP(CONCATENATE($B1348,"_",L$3),materiali!$C:$K,5,0),"")</f>
        <v/>
      </c>
      <c r="M1348" s="85" t="str">
        <f>IFERROR(VLOOKUP(CONCATENATE($B1348,"_",M$3),materiali!$C:$K,6,0),"")</f>
        <v/>
      </c>
      <c r="N1348" s="86"/>
      <c r="O1348" s="84" t="str">
        <f>IFERROR(VLOOKUP(CONCATENATE($B1348,"_",O$3),materiali!$C:$K,5,0),"")</f>
        <v/>
      </c>
      <c r="P1348" s="85" t="str">
        <f>IFERROR(VLOOKUP(CONCATENATE($B1348,"_",P$3),materiali!$C:$K,6,0),"")</f>
        <v/>
      </c>
      <c r="Q1348" s="86"/>
      <c r="R1348" s="84" t="str">
        <f>IFERROR(VLOOKUP(CONCATENATE($B1348,"_",R$3),materiali!$C:$K,5,0),"")</f>
        <v/>
      </c>
      <c r="S1348" s="85" t="str">
        <f>IFERROR(VLOOKUP(CONCATENATE($B1348,"_",S$3),materiali!$C:$K,6,0),"")</f>
        <v/>
      </c>
      <c r="T1348" s="86"/>
      <c r="U1348" s="31"/>
      <c r="AD1348" s="97"/>
    </row>
    <row r="1349" spans="1:30" ht="35.1" hidden="1" customHeight="1" x14ac:dyDescent="0.25">
      <c r="A1349" s="83"/>
      <c r="B1349" s="7"/>
      <c r="C1349" s="8"/>
      <c r="D1349" s="8"/>
      <c r="E1349" s="60"/>
      <c r="F1349" s="84" t="str">
        <f>IFERROR(VLOOKUP(CONCATENATE($B1349,"_",F$3),materiali!$C:$K,5,0),"")</f>
        <v/>
      </c>
      <c r="G1349" s="85" t="str">
        <f>IFERROR(VLOOKUP(CONCATENATE($B1349,"_",G$3),materiali!$C:$K,6,0),"")</f>
        <v/>
      </c>
      <c r="H1349" s="86"/>
      <c r="I1349" s="84" t="str">
        <f>IFERROR(VLOOKUP(CONCATENATE($B1349,"_",I$3),materiali!$C:$K,5,0),"")</f>
        <v/>
      </c>
      <c r="J1349" s="85" t="str">
        <f>IFERROR(VLOOKUP(CONCATENATE($B1349,"_",J$3),materiali!$C:$K,6,0),"")</f>
        <v/>
      </c>
      <c r="K1349" s="86"/>
      <c r="L1349" s="84" t="str">
        <f>IFERROR(VLOOKUP(CONCATENATE($B1349,"_",L$3),materiali!$C:$K,5,0),"")</f>
        <v/>
      </c>
      <c r="M1349" s="85" t="str">
        <f>IFERROR(VLOOKUP(CONCATENATE($B1349,"_",M$3),materiali!$C:$K,6,0),"")</f>
        <v/>
      </c>
      <c r="N1349" s="86"/>
      <c r="O1349" s="84" t="str">
        <f>IFERROR(VLOOKUP(CONCATENATE($B1349,"_",O$3),materiali!$C:$K,5,0),"")</f>
        <v/>
      </c>
      <c r="P1349" s="85" t="str">
        <f>IFERROR(VLOOKUP(CONCATENATE($B1349,"_",P$3),materiali!$C:$K,6,0),"")</f>
        <v/>
      </c>
      <c r="Q1349" s="86"/>
      <c r="R1349" s="84" t="str">
        <f>IFERROR(VLOOKUP(CONCATENATE($B1349,"_",R$3),materiali!$C:$K,5,0),"")</f>
        <v/>
      </c>
      <c r="S1349" s="85" t="str">
        <f>IFERROR(VLOOKUP(CONCATENATE($B1349,"_",S$3),materiali!$C:$K,6,0),"")</f>
        <v/>
      </c>
      <c r="T1349" s="86"/>
      <c r="U1349" s="31"/>
      <c r="AD1349" s="97"/>
    </row>
    <row r="1350" spans="1:30" ht="35.1" hidden="1" customHeight="1" x14ac:dyDescent="0.25">
      <c r="A1350" s="83"/>
      <c r="B1350" s="7"/>
      <c r="C1350" s="8"/>
      <c r="D1350" s="8"/>
      <c r="E1350" s="60"/>
      <c r="F1350" s="84" t="str">
        <f>IFERROR(VLOOKUP(CONCATENATE($B1350,"_",F$3),materiali!$C:$K,5,0),"")</f>
        <v/>
      </c>
      <c r="G1350" s="85" t="str">
        <f>IFERROR(VLOOKUP(CONCATENATE($B1350,"_",G$3),materiali!$C:$K,6,0),"")</f>
        <v/>
      </c>
      <c r="H1350" s="86"/>
      <c r="I1350" s="84" t="str">
        <f>IFERROR(VLOOKUP(CONCATENATE($B1350,"_",I$3),materiali!$C:$K,5,0),"")</f>
        <v/>
      </c>
      <c r="J1350" s="85" t="str">
        <f>IFERROR(VLOOKUP(CONCATENATE($B1350,"_",J$3),materiali!$C:$K,6,0),"")</f>
        <v/>
      </c>
      <c r="K1350" s="86"/>
      <c r="L1350" s="84" t="str">
        <f>IFERROR(VLOOKUP(CONCATENATE($B1350,"_",L$3),materiali!$C:$K,5,0),"")</f>
        <v/>
      </c>
      <c r="M1350" s="85" t="str">
        <f>IFERROR(VLOOKUP(CONCATENATE($B1350,"_",M$3),materiali!$C:$K,6,0),"")</f>
        <v/>
      </c>
      <c r="N1350" s="86"/>
      <c r="O1350" s="84" t="str">
        <f>IFERROR(VLOOKUP(CONCATENATE($B1350,"_",O$3),materiali!$C:$K,5,0),"")</f>
        <v/>
      </c>
      <c r="P1350" s="85" t="str">
        <f>IFERROR(VLOOKUP(CONCATENATE($B1350,"_",P$3),materiali!$C:$K,6,0),"")</f>
        <v/>
      </c>
      <c r="Q1350" s="86"/>
      <c r="R1350" s="84" t="str">
        <f>IFERROR(VLOOKUP(CONCATENATE($B1350,"_",R$3),materiali!$C:$K,5,0),"")</f>
        <v/>
      </c>
      <c r="S1350" s="85" t="str">
        <f>IFERROR(VLOOKUP(CONCATENATE($B1350,"_",S$3),materiali!$C:$K,6,0),"")</f>
        <v/>
      </c>
      <c r="T1350" s="86"/>
      <c r="U1350" s="31"/>
      <c r="AD1350" s="97"/>
    </row>
    <row r="1351" spans="1:30" ht="35.1" hidden="1" customHeight="1" x14ac:dyDescent="0.25">
      <c r="A1351" s="83"/>
      <c r="B1351" s="7"/>
      <c r="C1351" s="8"/>
      <c r="D1351" s="8"/>
      <c r="E1351" s="60"/>
      <c r="F1351" s="84" t="str">
        <f>IFERROR(VLOOKUP(CONCATENATE($B1351,"_",F$3),materiali!$C:$K,5,0),"")</f>
        <v/>
      </c>
      <c r="G1351" s="85" t="str">
        <f>IFERROR(VLOOKUP(CONCATENATE($B1351,"_",G$3),materiali!$C:$K,6,0),"")</f>
        <v/>
      </c>
      <c r="H1351" s="86"/>
      <c r="I1351" s="84" t="str">
        <f>IFERROR(VLOOKUP(CONCATENATE($B1351,"_",I$3),materiali!$C:$K,5,0),"")</f>
        <v/>
      </c>
      <c r="J1351" s="85" t="str">
        <f>IFERROR(VLOOKUP(CONCATENATE($B1351,"_",J$3),materiali!$C:$K,6,0),"")</f>
        <v/>
      </c>
      <c r="K1351" s="86"/>
      <c r="L1351" s="84" t="str">
        <f>IFERROR(VLOOKUP(CONCATENATE($B1351,"_",L$3),materiali!$C:$K,5,0),"")</f>
        <v/>
      </c>
      <c r="M1351" s="85" t="str">
        <f>IFERROR(VLOOKUP(CONCATENATE($B1351,"_",M$3),materiali!$C:$K,6,0),"")</f>
        <v/>
      </c>
      <c r="N1351" s="86"/>
      <c r="O1351" s="84" t="str">
        <f>IFERROR(VLOOKUP(CONCATENATE($B1351,"_",O$3),materiali!$C:$K,5,0),"")</f>
        <v/>
      </c>
      <c r="P1351" s="85" t="str">
        <f>IFERROR(VLOOKUP(CONCATENATE($B1351,"_",P$3),materiali!$C:$K,6,0),"")</f>
        <v/>
      </c>
      <c r="Q1351" s="86"/>
      <c r="R1351" s="84" t="str">
        <f>IFERROR(VLOOKUP(CONCATENATE($B1351,"_",R$3),materiali!$C:$K,5,0),"")</f>
        <v/>
      </c>
      <c r="S1351" s="85" t="str">
        <f>IFERROR(VLOOKUP(CONCATENATE($B1351,"_",S$3),materiali!$C:$K,6,0),"")</f>
        <v/>
      </c>
      <c r="T1351" s="86"/>
      <c r="U1351" s="31"/>
      <c r="AD1351" s="97"/>
    </row>
    <row r="1352" spans="1:30" ht="35.1" hidden="1" customHeight="1" x14ac:dyDescent="0.25">
      <c r="A1352" s="83"/>
      <c r="B1352" s="7"/>
      <c r="C1352" s="8"/>
      <c r="D1352" s="8"/>
      <c r="E1352" s="60"/>
      <c r="F1352" s="84" t="str">
        <f>IFERROR(VLOOKUP(CONCATENATE($B1352,"_",F$3),materiali!$C:$K,5,0),"")</f>
        <v/>
      </c>
      <c r="G1352" s="85" t="str">
        <f>IFERROR(VLOOKUP(CONCATENATE($B1352,"_",G$3),materiali!$C:$K,6,0),"")</f>
        <v/>
      </c>
      <c r="H1352" s="86"/>
      <c r="I1352" s="84" t="str">
        <f>IFERROR(VLOOKUP(CONCATENATE($B1352,"_",I$3),materiali!$C:$K,5,0),"")</f>
        <v/>
      </c>
      <c r="J1352" s="85" t="str">
        <f>IFERROR(VLOOKUP(CONCATENATE($B1352,"_",J$3),materiali!$C:$K,6,0),"")</f>
        <v/>
      </c>
      <c r="K1352" s="86"/>
      <c r="L1352" s="84" t="str">
        <f>IFERROR(VLOOKUP(CONCATENATE($B1352,"_",L$3),materiali!$C:$K,5,0),"")</f>
        <v/>
      </c>
      <c r="M1352" s="85" t="str">
        <f>IFERROR(VLOOKUP(CONCATENATE($B1352,"_",M$3),materiali!$C:$K,6,0),"")</f>
        <v/>
      </c>
      <c r="N1352" s="86"/>
      <c r="O1352" s="84" t="str">
        <f>IFERROR(VLOOKUP(CONCATENATE($B1352,"_",O$3),materiali!$C:$K,5,0),"")</f>
        <v/>
      </c>
      <c r="P1352" s="85" t="str">
        <f>IFERROR(VLOOKUP(CONCATENATE($B1352,"_",P$3),materiali!$C:$K,6,0),"")</f>
        <v/>
      </c>
      <c r="Q1352" s="86"/>
      <c r="R1352" s="84" t="str">
        <f>IFERROR(VLOOKUP(CONCATENATE($B1352,"_",R$3),materiali!$C:$K,5,0),"")</f>
        <v/>
      </c>
      <c r="S1352" s="85" t="str">
        <f>IFERROR(VLOOKUP(CONCATENATE($B1352,"_",S$3),materiali!$C:$K,6,0),"")</f>
        <v/>
      </c>
      <c r="T1352" s="86"/>
      <c r="U1352" s="31"/>
      <c r="AD1352" s="97"/>
    </row>
    <row r="1353" spans="1:30" ht="35.1" hidden="1" customHeight="1" x14ac:dyDescent="0.25">
      <c r="A1353" s="83"/>
      <c r="B1353" s="7"/>
      <c r="C1353" s="8"/>
      <c r="D1353" s="8"/>
      <c r="E1353" s="60"/>
      <c r="F1353" s="84" t="str">
        <f>IFERROR(VLOOKUP(CONCATENATE($B1353,"_",F$3),materiali!$C:$K,5,0),"")</f>
        <v/>
      </c>
      <c r="G1353" s="85" t="str">
        <f>IFERROR(VLOOKUP(CONCATENATE($B1353,"_",G$3),materiali!$C:$K,6,0),"")</f>
        <v/>
      </c>
      <c r="H1353" s="86"/>
      <c r="I1353" s="84" t="str">
        <f>IFERROR(VLOOKUP(CONCATENATE($B1353,"_",I$3),materiali!$C:$K,5,0),"")</f>
        <v/>
      </c>
      <c r="J1353" s="85" t="str">
        <f>IFERROR(VLOOKUP(CONCATENATE($B1353,"_",J$3),materiali!$C:$K,6,0),"")</f>
        <v/>
      </c>
      <c r="K1353" s="86"/>
      <c r="L1353" s="84" t="str">
        <f>IFERROR(VLOOKUP(CONCATENATE($B1353,"_",L$3),materiali!$C:$K,5,0),"")</f>
        <v/>
      </c>
      <c r="M1353" s="85" t="str">
        <f>IFERROR(VLOOKUP(CONCATENATE($B1353,"_",M$3),materiali!$C:$K,6,0),"")</f>
        <v/>
      </c>
      <c r="N1353" s="86"/>
      <c r="O1353" s="84" t="str">
        <f>IFERROR(VLOOKUP(CONCATENATE($B1353,"_",O$3),materiali!$C:$K,5,0),"")</f>
        <v/>
      </c>
      <c r="P1353" s="85" t="str">
        <f>IFERROR(VLOOKUP(CONCATENATE($B1353,"_",P$3),materiali!$C:$K,6,0),"")</f>
        <v/>
      </c>
      <c r="Q1353" s="86"/>
      <c r="R1353" s="84" t="str">
        <f>IFERROR(VLOOKUP(CONCATENATE($B1353,"_",R$3),materiali!$C:$K,5,0),"")</f>
        <v/>
      </c>
      <c r="S1353" s="85" t="str">
        <f>IFERROR(VLOOKUP(CONCATENATE($B1353,"_",S$3),materiali!$C:$K,6,0),"")</f>
        <v/>
      </c>
      <c r="T1353" s="86"/>
      <c r="U1353" s="31"/>
      <c r="AD1353" s="97"/>
    </row>
    <row r="1354" spans="1:30" ht="35.1" hidden="1" customHeight="1" x14ac:dyDescent="0.25">
      <c r="A1354" s="83"/>
      <c r="B1354" s="7"/>
      <c r="C1354" s="8"/>
      <c r="D1354" s="8"/>
      <c r="E1354" s="60"/>
      <c r="F1354" s="84" t="str">
        <f>IFERROR(VLOOKUP(CONCATENATE($B1354,"_",F$3),materiali!$C:$K,5,0),"")</f>
        <v/>
      </c>
      <c r="G1354" s="85" t="str">
        <f>IFERROR(VLOOKUP(CONCATENATE($B1354,"_",G$3),materiali!$C:$K,6,0),"")</f>
        <v/>
      </c>
      <c r="H1354" s="86"/>
      <c r="I1354" s="84" t="str">
        <f>IFERROR(VLOOKUP(CONCATENATE($B1354,"_",I$3),materiali!$C:$K,5,0),"")</f>
        <v/>
      </c>
      <c r="J1354" s="85" t="str">
        <f>IFERROR(VLOOKUP(CONCATENATE($B1354,"_",J$3),materiali!$C:$K,6,0),"")</f>
        <v/>
      </c>
      <c r="K1354" s="86"/>
      <c r="L1354" s="84" t="str">
        <f>IFERROR(VLOOKUP(CONCATENATE($B1354,"_",L$3),materiali!$C:$K,5,0),"")</f>
        <v/>
      </c>
      <c r="M1354" s="85" t="str">
        <f>IFERROR(VLOOKUP(CONCATENATE($B1354,"_",M$3),materiali!$C:$K,6,0),"")</f>
        <v/>
      </c>
      <c r="N1354" s="86"/>
      <c r="O1354" s="84" t="str">
        <f>IFERROR(VLOOKUP(CONCATENATE($B1354,"_",O$3),materiali!$C:$K,5,0),"")</f>
        <v/>
      </c>
      <c r="P1354" s="85" t="str">
        <f>IFERROR(VLOOKUP(CONCATENATE($B1354,"_",P$3),materiali!$C:$K,6,0),"")</f>
        <v/>
      </c>
      <c r="Q1354" s="86"/>
      <c r="R1354" s="84" t="str">
        <f>IFERROR(VLOOKUP(CONCATENATE($B1354,"_",R$3),materiali!$C:$K,5,0),"")</f>
        <v/>
      </c>
      <c r="S1354" s="85" t="str">
        <f>IFERROR(VLOOKUP(CONCATENATE($B1354,"_",S$3),materiali!$C:$K,6,0),"")</f>
        <v/>
      </c>
      <c r="T1354" s="86"/>
      <c r="U1354" s="31"/>
      <c r="AD1354" s="97"/>
    </row>
    <row r="1355" spans="1:30" ht="35.1" hidden="1" customHeight="1" x14ac:dyDescent="0.25">
      <c r="A1355" s="83"/>
      <c r="B1355" s="7"/>
      <c r="C1355" s="8"/>
      <c r="D1355" s="8"/>
      <c r="E1355" s="60"/>
      <c r="F1355" s="84" t="str">
        <f>IFERROR(VLOOKUP(CONCATENATE($B1355,"_",F$3),materiali!$C:$K,5,0),"")</f>
        <v/>
      </c>
      <c r="G1355" s="85" t="str">
        <f>IFERROR(VLOOKUP(CONCATENATE($B1355,"_",G$3),materiali!$C:$K,6,0),"")</f>
        <v/>
      </c>
      <c r="H1355" s="86"/>
      <c r="I1355" s="84" t="str">
        <f>IFERROR(VLOOKUP(CONCATENATE($B1355,"_",I$3),materiali!$C:$K,5,0),"")</f>
        <v/>
      </c>
      <c r="J1355" s="85" t="str">
        <f>IFERROR(VLOOKUP(CONCATENATE($B1355,"_",J$3),materiali!$C:$K,6,0),"")</f>
        <v/>
      </c>
      <c r="K1355" s="86"/>
      <c r="L1355" s="84" t="str">
        <f>IFERROR(VLOOKUP(CONCATENATE($B1355,"_",L$3),materiali!$C:$K,5,0),"")</f>
        <v/>
      </c>
      <c r="M1355" s="85" t="str">
        <f>IFERROR(VLOOKUP(CONCATENATE($B1355,"_",M$3),materiali!$C:$K,6,0),"")</f>
        <v/>
      </c>
      <c r="N1355" s="86"/>
      <c r="O1355" s="84" t="str">
        <f>IFERROR(VLOOKUP(CONCATENATE($B1355,"_",O$3),materiali!$C:$K,5,0),"")</f>
        <v/>
      </c>
      <c r="P1355" s="85" t="str">
        <f>IFERROR(VLOOKUP(CONCATENATE($B1355,"_",P$3),materiali!$C:$K,6,0),"")</f>
        <v/>
      </c>
      <c r="Q1355" s="86"/>
      <c r="R1355" s="84" t="str">
        <f>IFERROR(VLOOKUP(CONCATENATE($B1355,"_",R$3),materiali!$C:$K,5,0),"")</f>
        <v/>
      </c>
      <c r="S1355" s="85" t="str">
        <f>IFERROR(VLOOKUP(CONCATENATE($B1355,"_",S$3),materiali!$C:$K,6,0),"")</f>
        <v/>
      </c>
      <c r="T1355" s="86"/>
      <c r="U1355" s="31"/>
      <c r="AD1355" s="97"/>
    </row>
    <row r="1356" spans="1:30" ht="35.1" hidden="1" customHeight="1" x14ac:dyDescent="0.25">
      <c r="A1356" s="83"/>
      <c r="B1356" s="7"/>
      <c r="C1356" s="8"/>
      <c r="D1356" s="8"/>
      <c r="E1356" s="60"/>
      <c r="F1356" s="84" t="str">
        <f>IFERROR(VLOOKUP(CONCATENATE($B1356,"_",F$3),materiali!$C:$K,5,0),"")</f>
        <v/>
      </c>
      <c r="G1356" s="85" t="str">
        <f>IFERROR(VLOOKUP(CONCATENATE($B1356,"_",G$3),materiali!$C:$K,6,0),"")</f>
        <v/>
      </c>
      <c r="H1356" s="86"/>
      <c r="I1356" s="84" t="str">
        <f>IFERROR(VLOOKUP(CONCATENATE($B1356,"_",I$3),materiali!$C:$K,5,0),"")</f>
        <v/>
      </c>
      <c r="J1356" s="85" t="str">
        <f>IFERROR(VLOOKUP(CONCATENATE($B1356,"_",J$3),materiali!$C:$K,6,0),"")</f>
        <v/>
      </c>
      <c r="K1356" s="86"/>
      <c r="L1356" s="84" t="str">
        <f>IFERROR(VLOOKUP(CONCATENATE($B1356,"_",L$3),materiali!$C:$K,5,0),"")</f>
        <v/>
      </c>
      <c r="M1356" s="85" t="str">
        <f>IFERROR(VLOOKUP(CONCATENATE($B1356,"_",M$3),materiali!$C:$K,6,0),"")</f>
        <v/>
      </c>
      <c r="N1356" s="86"/>
      <c r="O1356" s="84" t="str">
        <f>IFERROR(VLOOKUP(CONCATENATE($B1356,"_",O$3),materiali!$C:$K,5,0),"")</f>
        <v/>
      </c>
      <c r="P1356" s="85" t="str">
        <f>IFERROR(VLOOKUP(CONCATENATE($B1356,"_",P$3),materiali!$C:$K,6,0),"")</f>
        <v/>
      </c>
      <c r="Q1356" s="86"/>
      <c r="R1356" s="84" t="str">
        <f>IFERROR(VLOOKUP(CONCATENATE($B1356,"_",R$3),materiali!$C:$K,5,0),"")</f>
        <v/>
      </c>
      <c r="S1356" s="85" t="str">
        <f>IFERROR(VLOOKUP(CONCATENATE($B1356,"_",S$3),materiali!$C:$K,6,0),"")</f>
        <v/>
      </c>
      <c r="T1356" s="86"/>
      <c r="U1356" s="31"/>
      <c r="AD1356" s="97"/>
    </row>
    <row r="1357" spans="1:30" ht="35.1" hidden="1" customHeight="1" x14ac:dyDescent="0.25">
      <c r="A1357" s="83"/>
      <c r="B1357" s="7"/>
      <c r="C1357" s="8"/>
      <c r="D1357" s="8"/>
      <c r="E1357" s="60"/>
      <c r="F1357" s="84" t="str">
        <f>IFERROR(VLOOKUP(CONCATENATE($B1357,"_",F$3),materiali!$C:$K,5,0),"")</f>
        <v/>
      </c>
      <c r="G1357" s="85" t="str">
        <f>IFERROR(VLOOKUP(CONCATENATE($B1357,"_",G$3),materiali!$C:$K,6,0),"")</f>
        <v/>
      </c>
      <c r="H1357" s="86"/>
      <c r="I1357" s="84" t="str">
        <f>IFERROR(VLOOKUP(CONCATENATE($B1357,"_",I$3),materiali!$C:$K,5,0),"")</f>
        <v/>
      </c>
      <c r="J1357" s="85" t="str">
        <f>IFERROR(VLOOKUP(CONCATENATE($B1357,"_",J$3),materiali!$C:$K,6,0),"")</f>
        <v/>
      </c>
      <c r="K1357" s="86"/>
      <c r="L1357" s="84" t="str">
        <f>IFERROR(VLOOKUP(CONCATENATE($B1357,"_",L$3),materiali!$C:$K,5,0),"")</f>
        <v/>
      </c>
      <c r="M1357" s="85" t="str">
        <f>IFERROR(VLOOKUP(CONCATENATE($B1357,"_",M$3),materiali!$C:$K,6,0),"")</f>
        <v/>
      </c>
      <c r="N1357" s="86"/>
      <c r="O1357" s="84" t="str">
        <f>IFERROR(VLOOKUP(CONCATENATE($B1357,"_",O$3),materiali!$C:$K,5,0),"")</f>
        <v/>
      </c>
      <c r="P1357" s="85" t="str">
        <f>IFERROR(VLOOKUP(CONCATENATE($B1357,"_",P$3),materiali!$C:$K,6,0),"")</f>
        <v/>
      </c>
      <c r="Q1357" s="86"/>
      <c r="R1357" s="84" t="str">
        <f>IFERROR(VLOOKUP(CONCATENATE($B1357,"_",R$3),materiali!$C:$K,5,0),"")</f>
        <v/>
      </c>
      <c r="S1357" s="85" t="str">
        <f>IFERROR(VLOOKUP(CONCATENATE($B1357,"_",S$3),materiali!$C:$K,6,0),"")</f>
        <v/>
      </c>
      <c r="T1357" s="86"/>
      <c r="U1357" s="31"/>
      <c r="AD1357" s="97"/>
    </row>
    <row r="1358" spans="1:30" ht="35.1" hidden="1" customHeight="1" x14ac:dyDescent="0.25">
      <c r="A1358" s="83"/>
      <c r="B1358" s="7"/>
      <c r="C1358" s="8"/>
      <c r="D1358" s="8"/>
      <c r="E1358" s="60"/>
      <c r="F1358" s="84" t="str">
        <f>IFERROR(VLOOKUP(CONCATENATE($B1358,"_",F$3),materiali!$C:$K,5,0),"")</f>
        <v/>
      </c>
      <c r="G1358" s="85" t="str">
        <f>IFERROR(VLOOKUP(CONCATENATE($B1358,"_",G$3),materiali!$C:$K,6,0),"")</f>
        <v/>
      </c>
      <c r="H1358" s="86"/>
      <c r="I1358" s="84" t="str">
        <f>IFERROR(VLOOKUP(CONCATENATE($B1358,"_",I$3),materiali!$C:$K,5,0),"")</f>
        <v/>
      </c>
      <c r="J1358" s="85" t="str">
        <f>IFERROR(VLOOKUP(CONCATENATE($B1358,"_",J$3),materiali!$C:$K,6,0),"")</f>
        <v/>
      </c>
      <c r="K1358" s="86"/>
      <c r="L1358" s="84" t="str">
        <f>IFERROR(VLOOKUP(CONCATENATE($B1358,"_",L$3),materiali!$C:$K,5,0),"")</f>
        <v/>
      </c>
      <c r="M1358" s="85" t="str">
        <f>IFERROR(VLOOKUP(CONCATENATE($B1358,"_",M$3),materiali!$C:$K,6,0),"")</f>
        <v/>
      </c>
      <c r="N1358" s="86"/>
      <c r="O1358" s="84" t="str">
        <f>IFERROR(VLOOKUP(CONCATENATE($B1358,"_",O$3),materiali!$C:$K,5,0),"")</f>
        <v/>
      </c>
      <c r="P1358" s="85" t="str">
        <f>IFERROR(VLOOKUP(CONCATENATE($B1358,"_",P$3),materiali!$C:$K,6,0),"")</f>
        <v/>
      </c>
      <c r="Q1358" s="86"/>
      <c r="R1358" s="84" t="str">
        <f>IFERROR(VLOOKUP(CONCATENATE($B1358,"_",R$3),materiali!$C:$K,5,0),"")</f>
        <v/>
      </c>
      <c r="S1358" s="85" t="str">
        <f>IFERROR(VLOOKUP(CONCATENATE($B1358,"_",S$3),materiali!$C:$K,6,0),"")</f>
        <v/>
      </c>
      <c r="T1358" s="86"/>
      <c r="U1358" s="31"/>
      <c r="AD1358" s="97"/>
    </row>
    <row r="1359" spans="1:30" ht="35.1" hidden="1" customHeight="1" x14ac:dyDescent="0.25">
      <c r="A1359" s="83"/>
      <c r="B1359" s="7"/>
      <c r="C1359" s="8"/>
      <c r="D1359" s="8"/>
      <c r="E1359" s="60"/>
      <c r="F1359" s="84" t="str">
        <f>IFERROR(VLOOKUP(CONCATENATE($B1359,"_",F$3),materiali!$C:$K,5,0),"")</f>
        <v/>
      </c>
      <c r="G1359" s="85" t="str">
        <f>IFERROR(VLOOKUP(CONCATENATE($B1359,"_",G$3),materiali!$C:$K,6,0),"")</f>
        <v/>
      </c>
      <c r="H1359" s="86"/>
      <c r="I1359" s="84" t="str">
        <f>IFERROR(VLOOKUP(CONCATENATE($B1359,"_",I$3),materiali!$C:$K,5,0),"")</f>
        <v/>
      </c>
      <c r="J1359" s="85" t="str">
        <f>IFERROR(VLOOKUP(CONCATENATE($B1359,"_",J$3),materiali!$C:$K,6,0),"")</f>
        <v/>
      </c>
      <c r="K1359" s="86"/>
      <c r="L1359" s="84" t="str">
        <f>IFERROR(VLOOKUP(CONCATENATE($B1359,"_",L$3),materiali!$C:$K,5,0),"")</f>
        <v/>
      </c>
      <c r="M1359" s="85" t="str">
        <f>IFERROR(VLOOKUP(CONCATENATE($B1359,"_",M$3),materiali!$C:$K,6,0),"")</f>
        <v/>
      </c>
      <c r="N1359" s="86"/>
      <c r="O1359" s="84" t="str">
        <f>IFERROR(VLOOKUP(CONCATENATE($B1359,"_",O$3),materiali!$C:$K,5,0),"")</f>
        <v/>
      </c>
      <c r="P1359" s="85" t="str">
        <f>IFERROR(VLOOKUP(CONCATENATE($B1359,"_",P$3),materiali!$C:$K,6,0),"")</f>
        <v/>
      </c>
      <c r="Q1359" s="86"/>
      <c r="R1359" s="84" t="str">
        <f>IFERROR(VLOOKUP(CONCATENATE($B1359,"_",R$3),materiali!$C:$K,5,0),"")</f>
        <v/>
      </c>
      <c r="S1359" s="85" t="str">
        <f>IFERROR(VLOOKUP(CONCATENATE($B1359,"_",S$3),materiali!$C:$K,6,0),"")</f>
        <v/>
      </c>
      <c r="T1359" s="86"/>
      <c r="U1359" s="31"/>
      <c r="AD1359" s="97"/>
    </row>
    <row r="1360" spans="1:30" ht="35.1" hidden="1" customHeight="1" x14ac:dyDescent="0.25">
      <c r="A1360" s="83"/>
      <c r="B1360" s="7"/>
      <c r="C1360" s="8"/>
      <c r="D1360" s="8"/>
      <c r="E1360" s="60"/>
      <c r="F1360" s="84" t="str">
        <f>IFERROR(VLOOKUP(CONCATENATE($B1360,"_",F$3),materiali!$C:$K,5,0),"")</f>
        <v/>
      </c>
      <c r="G1360" s="85" t="str">
        <f>IFERROR(VLOOKUP(CONCATENATE($B1360,"_",G$3),materiali!$C:$K,6,0),"")</f>
        <v/>
      </c>
      <c r="H1360" s="86"/>
      <c r="I1360" s="84" t="str">
        <f>IFERROR(VLOOKUP(CONCATENATE($B1360,"_",I$3),materiali!$C:$K,5,0),"")</f>
        <v/>
      </c>
      <c r="J1360" s="85" t="str">
        <f>IFERROR(VLOOKUP(CONCATENATE($B1360,"_",J$3),materiali!$C:$K,6,0),"")</f>
        <v/>
      </c>
      <c r="K1360" s="86"/>
      <c r="L1360" s="84" t="str">
        <f>IFERROR(VLOOKUP(CONCATENATE($B1360,"_",L$3),materiali!$C:$K,5,0),"")</f>
        <v/>
      </c>
      <c r="M1360" s="85" t="str">
        <f>IFERROR(VLOOKUP(CONCATENATE($B1360,"_",M$3),materiali!$C:$K,6,0),"")</f>
        <v/>
      </c>
      <c r="N1360" s="86"/>
      <c r="O1360" s="84" t="str">
        <f>IFERROR(VLOOKUP(CONCATENATE($B1360,"_",O$3),materiali!$C:$K,5,0),"")</f>
        <v/>
      </c>
      <c r="P1360" s="85" t="str">
        <f>IFERROR(VLOOKUP(CONCATENATE($B1360,"_",P$3),materiali!$C:$K,6,0),"")</f>
        <v/>
      </c>
      <c r="Q1360" s="86"/>
      <c r="R1360" s="84" t="str">
        <f>IFERROR(VLOOKUP(CONCATENATE($B1360,"_",R$3),materiali!$C:$K,5,0),"")</f>
        <v/>
      </c>
      <c r="S1360" s="85" t="str">
        <f>IFERROR(VLOOKUP(CONCATENATE($B1360,"_",S$3),materiali!$C:$K,6,0),"")</f>
        <v/>
      </c>
      <c r="T1360" s="86"/>
      <c r="U1360" s="31"/>
      <c r="AD1360" s="97"/>
    </row>
    <row r="1361" spans="1:30" ht="35.1" hidden="1" customHeight="1" x14ac:dyDescent="0.25">
      <c r="A1361" s="83"/>
      <c r="B1361" s="7"/>
      <c r="C1361" s="8"/>
      <c r="D1361" s="8"/>
      <c r="E1361" s="60"/>
      <c r="F1361" s="84" t="str">
        <f>IFERROR(VLOOKUP(CONCATENATE($B1361,"_",F$3),materiali!$C:$K,5,0),"")</f>
        <v/>
      </c>
      <c r="G1361" s="85" t="str">
        <f>IFERROR(VLOOKUP(CONCATENATE($B1361,"_",G$3),materiali!$C:$K,6,0),"")</f>
        <v/>
      </c>
      <c r="H1361" s="86"/>
      <c r="I1361" s="84" t="str">
        <f>IFERROR(VLOOKUP(CONCATENATE($B1361,"_",I$3),materiali!$C:$K,5,0),"")</f>
        <v/>
      </c>
      <c r="J1361" s="85" t="str">
        <f>IFERROR(VLOOKUP(CONCATENATE($B1361,"_",J$3),materiali!$C:$K,6,0),"")</f>
        <v/>
      </c>
      <c r="K1361" s="86"/>
      <c r="L1361" s="84" t="str">
        <f>IFERROR(VLOOKUP(CONCATENATE($B1361,"_",L$3),materiali!$C:$K,5,0),"")</f>
        <v/>
      </c>
      <c r="M1361" s="85" t="str">
        <f>IFERROR(VLOOKUP(CONCATENATE($B1361,"_",M$3),materiali!$C:$K,6,0),"")</f>
        <v/>
      </c>
      <c r="N1361" s="86"/>
      <c r="O1361" s="84" t="str">
        <f>IFERROR(VLOOKUP(CONCATENATE($B1361,"_",O$3),materiali!$C:$K,5,0),"")</f>
        <v/>
      </c>
      <c r="P1361" s="85" t="str">
        <f>IFERROR(VLOOKUP(CONCATENATE($B1361,"_",P$3),materiali!$C:$K,6,0),"")</f>
        <v/>
      </c>
      <c r="Q1361" s="86"/>
      <c r="R1361" s="84" t="str">
        <f>IFERROR(VLOOKUP(CONCATENATE($B1361,"_",R$3),materiali!$C:$K,5,0),"")</f>
        <v/>
      </c>
      <c r="S1361" s="85" t="str">
        <f>IFERROR(VLOOKUP(CONCATENATE($B1361,"_",S$3),materiali!$C:$K,6,0),"")</f>
        <v/>
      </c>
      <c r="T1361" s="86"/>
      <c r="U1361" s="31"/>
      <c r="AD1361" s="97"/>
    </row>
    <row r="1362" spans="1:30" ht="35.1" hidden="1" customHeight="1" x14ac:dyDescent="0.25">
      <c r="A1362" s="83"/>
      <c r="B1362" s="7"/>
      <c r="C1362" s="8"/>
      <c r="D1362" s="8"/>
      <c r="E1362" s="60"/>
      <c r="F1362" s="84" t="str">
        <f>IFERROR(VLOOKUP(CONCATENATE($B1362,"_",F$3),materiali!$C:$K,5,0),"")</f>
        <v/>
      </c>
      <c r="G1362" s="85" t="str">
        <f>IFERROR(VLOOKUP(CONCATENATE($B1362,"_",G$3),materiali!$C:$K,6,0),"")</f>
        <v/>
      </c>
      <c r="H1362" s="86"/>
      <c r="I1362" s="84" t="str">
        <f>IFERROR(VLOOKUP(CONCATENATE($B1362,"_",I$3),materiali!$C:$K,5,0),"")</f>
        <v/>
      </c>
      <c r="J1362" s="85" t="str">
        <f>IFERROR(VLOOKUP(CONCATENATE($B1362,"_",J$3),materiali!$C:$K,6,0),"")</f>
        <v/>
      </c>
      <c r="K1362" s="86"/>
      <c r="L1362" s="84" t="str">
        <f>IFERROR(VLOOKUP(CONCATENATE($B1362,"_",L$3),materiali!$C:$K,5,0),"")</f>
        <v/>
      </c>
      <c r="M1362" s="85" t="str">
        <f>IFERROR(VLOOKUP(CONCATENATE($B1362,"_",M$3),materiali!$C:$K,6,0),"")</f>
        <v/>
      </c>
      <c r="N1362" s="86"/>
      <c r="O1362" s="84" t="str">
        <f>IFERROR(VLOOKUP(CONCATENATE($B1362,"_",O$3),materiali!$C:$K,5,0),"")</f>
        <v/>
      </c>
      <c r="P1362" s="85" t="str">
        <f>IFERROR(VLOOKUP(CONCATENATE($B1362,"_",P$3),materiali!$C:$K,6,0),"")</f>
        <v/>
      </c>
      <c r="Q1362" s="86"/>
      <c r="R1362" s="84" t="str">
        <f>IFERROR(VLOOKUP(CONCATENATE($B1362,"_",R$3),materiali!$C:$K,5,0),"")</f>
        <v/>
      </c>
      <c r="S1362" s="85" t="str">
        <f>IFERROR(VLOOKUP(CONCATENATE($B1362,"_",S$3),materiali!$C:$K,6,0),"")</f>
        <v/>
      </c>
      <c r="T1362" s="86"/>
      <c r="U1362" s="31"/>
      <c r="AD1362" s="97"/>
    </row>
    <row r="1363" spans="1:30" ht="35.1" hidden="1" customHeight="1" x14ac:dyDescent="0.25">
      <c r="A1363" s="83"/>
      <c r="B1363" s="7"/>
      <c r="C1363" s="8"/>
      <c r="D1363" s="8"/>
      <c r="E1363" s="60"/>
      <c r="F1363" s="84" t="str">
        <f>IFERROR(VLOOKUP(CONCATENATE($B1363,"_",F$3),materiali!$C:$K,5,0),"")</f>
        <v/>
      </c>
      <c r="G1363" s="85" t="str">
        <f>IFERROR(VLOOKUP(CONCATENATE($B1363,"_",G$3),materiali!$C:$K,6,0),"")</f>
        <v/>
      </c>
      <c r="H1363" s="86"/>
      <c r="I1363" s="84" t="str">
        <f>IFERROR(VLOOKUP(CONCATENATE($B1363,"_",I$3),materiali!$C:$K,5,0),"")</f>
        <v/>
      </c>
      <c r="J1363" s="85" t="str">
        <f>IFERROR(VLOOKUP(CONCATENATE($B1363,"_",J$3),materiali!$C:$K,6,0),"")</f>
        <v/>
      </c>
      <c r="K1363" s="86"/>
      <c r="L1363" s="84" t="str">
        <f>IFERROR(VLOOKUP(CONCATENATE($B1363,"_",L$3),materiali!$C:$K,5,0),"")</f>
        <v/>
      </c>
      <c r="M1363" s="85" t="str">
        <f>IFERROR(VLOOKUP(CONCATENATE($B1363,"_",M$3),materiali!$C:$K,6,0),"")</f>
        <v/>
      </c>
      <c r="N1363" s="86"/>
      <c r="O1363" s="84" t="str">
        <f>IFERROR(VLOOKUP(CONCATENATE($B1363,"_",O$3),materiali!$C:$K,5,0),"")</f>
        <v/>
      </c>
      <c r="P1363" s="85" t="str">
        <f>IFERROR(VLOOKUP(CONCATENATE($B1363,"_",P$3),materiali!$C:$K,6,0),"")</f>
        <v/>
      </c>
      <c r="Q1363" s="86"/>
      <c r="R1363" s="84" t="str">
        <f>IFERROR(VLOOKUP(CONCATENATE($B1363,"_",R$3),materiali!$C:$K,5,0),"")</f>
        <v/>
      </c>
      <c r="S1363" s="85" t="str">
        <f>IFERROR(VLOOKUP(CONCATENATE($B1363,"_",S$3),materiali!$C:$K,6,0),"")</f>
        <v/>
      </c>
      <c r="T1363" s="86"/>
      <c r="U1363" s="31"/>
      <c r="AD1363" s="97"/>
    </row>
    <row r="1364" spans="1:30" ht="35.1" hidden="1" customHeight="1" x14ac:dyDescent="0.25">
      <c r="A1364" s="83"/>
      <c r="B1364" s="7"/>
      <c r="C1364" s="8"/>
      <c r="D1364" s="8"/>
      <c r="E1364" s="60"/>
      <c r="F1364" s="84" t="str">
        <f>IFERROR(VLOOKUP(CONCATENATE($B1364,"_",F$3),materiali!$C:$K,5,0),"")</f>
        <v/>
      </c>
      <c r="G1364" s="85" t="str">
        <f>IFERROR(VLOOKUP(CONCATENATE($B1364,"_",G$3),materiali!$C:$K,6,0),"")</f>
        <v/>
      </c>
      <c r="H1364" s="86"/>
      <c r="I1364" s="84" t="str">
        <f>IFERROR(VLOOKUP(CONCATENATE($B1364,"_",I$3),materiali!$C:$K,5,0),"")</f>
        <v/>
      </c>
      <c r="J1364" s="85" t="str">
        <f>IFERROR(VLOOKUP(CONCATENATE($B1364,"_",J$3),materiali!$C:$K,6,0),"")</f>
        <v/>
      </c>
      <c r="K1364" s="86"/>
      <c r="L1364" s="84" t="str">
        <f>IFERROR(VLOOKUP(CONCATENATE($B1364,"_",L$3),materiali!$C:$K,5,0),"")</f>
        <v/>
      </c>
      <c r="M1364" s="85" t="str">
        <f>IFERROR(VLOOKUP(CONCATENATE($B1364,"_",M$3),materiali!$C:$K,6,0),"")</f>
        <v/>
      </c>
      <c r="N1364" s="86"/>
      <c r="O1364" s="84" t="str">
        <f>IFERROR(VLOOKUP(CONCATENATE($B1364,"_",O$3),materiali!$C:$K,5,0),"")</f>
        <v/>
      </c>
      <c r="P1364" s="85" t="str">
        <f>IFERROR(VLOOKUP(CONCATENATE($B1364,"_",P$3),materiali!$C:$K,6,0),"")</f>
        <v/>
      </c>
      <c r="Q1364" s="86"/>
      <c r="R1364" s="84" t="str">
        <f>IFERROR(VLOOKUP(CONCATENATE($B1364,"_",R$3),materiali!$C:$K,5,0),"")</f>
        <v/>
      </c>
      <c r="S1364" s="85" t="str">
        <f>IFERROR(VLOOKUP(CONCATENATE($B1364,"_",S$3),materiali!$C:$K,6,0),"")</f>
        <v/>
      </c>
      <c r="T1364" s="86"/>
      <c r="U1364" s="31"/>
      <c r="AD1364" s="97"/>
    </row>
    <row r="1365" spans="1:30" ht="35.1" hidden="1" customHeight="1" x14ac:dyDescent="0.25">
      <c r="A1365" s="83"/>
      <c r="B1365" s="7"/>
      <c r="C1365" s="8"/>
      <c r="D1365" s="8"/>
      <c r="E1365" s="60"/>
      <c r="F1365" s="84" t="str">
        <f>IFERROR(VLOOKUP(CONCATENATE($B1365,"_",F$3),materiali!$C:$K,5,0),"")</f>
        <v/>
      </c>
      <c r="G1365" s="85" t="str">
        <f>IFERROR(VLOOKUP(CONCATENATE($B1365,"_",G$3),materiali!$C:$K,6,0),"")</f>
        <v/>
      </c>
      <c r="H1365" s="86"/>
      <c r="I1365" s="84" t="str">
        <f>IFERROR(VLOOKUP(CONCATENATE($B1365,"_",I$3),materiali!$C:$K,5,0),"")</f>
        <v/>
      </c>
      <c r="J1365" s="85" t="str">
        <f>IFERROR(VLOOKUP(CONCATENATE($B1365,"_",J$3),materiali!$C:$K,6,0),"")</f>
        <v/>
      </c>
      <c r="K1365" s="86"/>
      <c r="L1365" s="84" t="str">
        <f>IFERROR(VLOOKUP(CONCATENATE($B1365,"_",L$3),materiali!$C:$K,5,0),"")</f>
        <v/>
      </c>
      <c r="M1365" s="85" t="str">
        <f>IFERROR(VLOOKUP(CONCATENATE($B1365,"_",M$3),materiali!$C:$K,6,0),"")</f>
        <v/>
      </c>
      <c r="N1365" s="86"/>
      <c r="O1365" s="84" t="str">
        <f>IFERROR(VLOOKUP(CONCATENATE($B1365,"_",O$3),materiali!$C:$K,5,0),"")</f>
        <v/>
      </c>
      <c r="P1365" s="85" t="str">
        <f>IFERROR(VLOOKUP(CONCATENATE($B1365,"_",P$3),materiali!$C:$K,6,0),"")</f>
        <v/>
      </c>
      <c r="Q1365" s="86"/>
      <c r="R1365" s="84" t="str">
        <f>IFERROR(VLOOKUP(CONCATENATE($B1365,"_",R$3),materiali!$C:$K,5,0),"")</f>
        <v/>
      </c>
      <c r="S1365" s="85" t="str">
        <f>IFERROR(VLOOKUP(CONCATENATE($B1365,"_",S$3),materiali!$C:$K,6,0),"")</f>
        <v/>
      </c>
      <c r="T1365" s="86"/>
      <c r="U1365" s="31"/>
      <c r="AD1365" s="97"/>
    </row>
    <row r="1366" spans="1:30" ht="35.1" hidden="1" customHeight="1" x14ac:dyDescent="0.25">
      <c r="A1366" s="83"/>
      <c r="B1366" s="7"/>
      <c r="C1366" s="8"/>
      <c r="D1366" s="8"/>
      <c r="E1366" s="60"/>
      <c r="F1366" s="84" t="str">
        <f>IFERROR(VLOOKUP(CONCATENATE($B1366,"_",F$3),materiali!$C:$K,5,0),"")</f>
        <v/>
      </c>
      <c r="G1366" s="85" t="str">
        <f>IFERROR(VLOOKUP(CONCATENATE($B1366,"_",G$3),materiali!$C:$K,6,0),"")</f>
        <v/>
      </c>
      <c r="H1366" s="86"/>
      <c r="I1366" s="84" t="str">
        <f>IFERROR(VLOOKUP(CONCATENATE($B1366,"_",I$3),materiali!$C:$K,5,0),"")</f>
        <v/>
      </c>
      <c r="J1366" s="85" t="str">
        <f>IFERROR(VLOOKUP(CONCATENATE($B1366,"_",J$3),materiali!$C:$K,6,0),"")</f>
        <v/>
      </c>
      <c r="K1366" s="86"/>
      <c r="L1366" s="84" t="str">
        <f>IFERROR(VLOOKUP(CONCATENATE($B1366,"_",L$3),materiali!$C:$K,5,0),"")</f>
        <v/>
      </c>
      <c r="M1366" s="85" t="str">
        <f>IFERROR(VLOOKUP(CONCATENATE($B1366,"_",M$3),materiali!$C:$K,6,0),"")</f>
        <v/>
      </c>
      <c r="N1366" s="86"/>
      <c r="O1366" s="84" t="str">
        <f>IFERROR(VLOOKUP(CONCATENATE($B1366,"_",O$3),materiali!$C:$K,5,0),"")</f>
        <v/>
      </c>
      <c r="P1366" s="85" t="str">
        <f>IFERROR(VLOOKUP(CONCATENATE($B1366,"_",P$3),materiali!$C:$K,6,0),"")</f>
        <v/>
      </c>
      <c r="Q1366" s="86"/>
      <c r="R1366" s="84" t="str">
        <f>IFERROR(VLOOKUP(CONCATENATE($B1366,"_",R$3),materiali!$C:$K,5,0),"")</f>
        <v/>
      </c>
      <c r="S1366" s="85" t="str">
        <f>IFERROR(VLOOKUP(CONCATENATE($B1366,"_",S$3),materiali!$C:$K,6,0),"")</f>
        <v/>
      </c>
      <c r="T1366" s="86"/>
      <c r="U1366" s="31"/>
      <c r="AD1366" s="97"/>
    </row>
    <row r="1367" spans="1:30" ht="35.1" hidden="1" customHeight="1" x14ac:dyDescent="0.25">
      <c r="A1367" s="83"/>
      <c r="B1367" s="7"/>
      <c r="C1367" s="8"/>
      <c r="D1367" s="8"/>
      <c r="E1367" s="60"/>
      <c r="F1367" s="84" t="str">
        <f>IFERROR(VLOOKUP(CONCATENATE($B1367,"_",F$3),materiali!$C:$K,5,0),"")</f>
        <v/>
      </c>
      <c r="G1367" s="85" t="str">
        <f>IFERROR(VLOOKUP(CONCATENATE($B1367,"_",G$3),materiali!$C:$K,6,0),"")</f>
        <v/>
      </c>
      <c r="H1367" s="86"/>
      <c r="I1367" s="84" t="str">
        <f>IFERROR(VLOOKUP(CONCATENATE($B1367,"_",I$3),materiali!$C:$K,5,0),"")</f>
        <v/>
      </c>
      <c r="J1367" s="85" t="str">
        <f>IFERROR(VLOOKUP(CONCATENATE($B1367,"_",J$3),materiali!$C:$K,6,0),"")</f>
        <v/>
      </c>
      <c r="K1367" s="86"/>
      <c r="L1367" s="84" t="str">
        <f>IFERROR(VLOOKUP(CONCATENATE($B1367,"_",L$3),materiali!$C:$K,5,0),"")</f>
        <v/>
      </c>
      <c r="M1367" s="85" t="str">
        <f>IFERROR(VLOOKUP(CONCATENATE($B1367,"_",M$3),materiali!$C:$K,6,0),"")</f>
        <v/>
      </c>
      <c r="N1367" s="86"/>
      <c r="O1367" s="84" t="str">
        <f>IFERROR(VLOOKUP(CONCATENATE($B1367,"_",O$3),materiali!$C:$K,5,0),"")</f>
        <v/>
      </c>
      <c r="P1367" s="85" t="str">
        <f>IFERROR(VLOOKUP(CONCATENATE($B1367,"_",P$3),materiali!$C:$K,6,0),"")</f>
        <v/>
      </c>
      <c r="Q1367" s="86"/>
      <c r="R1367" s="84" t="str">
        <f>IFERROR(VLOOKUP(CONCATENATE($B1367,"_",R$3),materiali!$C:$K,5,0),"")</f>
        <v/>
      </c>
      <c r="S1367" s="85" t="str">
        <f>IFERROR(VLOOKUP(CONCATENATE($B1367,"_",S$3),materiali!$C:$K,6,0),"")</f>
        <v/>
      </c>
      <c r="T1367" s="86"/>
      <c r="U1367" s="31"/>
      <c r="AD1367" s="97"/>
    </row>
    <row r="1368" spans="1:30" ht="35.1" hidden="1" customHeight="1" x14ac:dyDescent="0.25">
      <c r="A1368" s="83"/>
      <c r="B1368" s="7"/>
      <c r="C1368" s="8"/>
      <c r="D1368" s="8"/>
      <c r="E1368" s="60"/>
      <c r="F1368" s="84" t="str">
        <f>IFERROR(VLOOKUP(CONCATENATE($B1368,"_",F$3),materiali!$C:$K,5,0),"")</f>
        <v/>
      </c>
      <c r="G1368" s="85" t="str">
        <f>IFERROR(VLOOKUP(CONCATENATE($B1368,"_",G$3),materiali!$C:$K,6,0),"")</f>
        <v/>
      </c>
      <c r="H1368" s="86"/>
      <c r="I1368" s="84" t="str">
        <f>IFERROR(VLOOKUP(CONCATENATE($B1368,"_",I$3),materiali!$C:$K,5,0),"")</f>
        <v/>
      </c>
      <c r="J1368" s="85" t="str">
        <f>IFERROR(VLOOKUP(CONCATENATE($B1368,"_",J$3),materiali!$C:$K,6,0),"")</f>
        <v/>
      </c>
      <c r="K1368" s="86"/>
      <c r="L1368" s="84" t="str">
        <f>IFERROR(VLOOKUP(CONCATENATE($B1368,"_",L$3),materiali!$C:$K,5,0),"")</f>
        <v/>
      </c>
      <c r="M1368" s="85" t="str">
        <f>IFERROR(VLOOKUP(CONCATENATE($B1368,"_",M$3),materiali!$C:$K,6,0),"")</f>
        <v/>
      </c>
      <c r="N1368" s="86"/>
      <c r="O1368" s="84" t="str">
        <f>IFERROR(VLOOKUP(CONCATENATE($B1368,"_",O$3),materiali!$C:$K,5,0),"")</f>
        <v/>
      </c>
      <c r="P1368" s="85" t="str">
        <f>IFERROR(VLOOKUP(CONCATENATE($B1368,"_",P$3),materiali!$C:$K,6,0),"")</f>
        <v/>
      </c>
      <c r="Q1368" s="86"/>
      <c r="R1368" s="84" t="str">
        <f>IFERROR(VLOOKUP(CONCATENATE($B1368,"_",R$3),materiali!$C:$K,5,0),"")</f>
        <v/>
      </c>
      <c r="S1368" s="85" t="str">
        <f>IFERROR(VLOOKUP(CONCATENATE($B1368,"_",S$3),materiali!$C:$K,6,0),"")</f>
        <v/>
      </c>
      <c r="T1368" s="86"/>
      <c r="U1368" s="31"/>
      <c r="AD1368" s="97"/>
    </row>
    <row r="1369" spans="1:30" ht="35.1" hidden="1" customHeight="1" x14ac:dyDescent="0.25">
      <c r="A1369" s="83"/>
      <c r="B1369" s="7"/>
      <c r="C1369" s="8"/>
      <c r="D1369" s="8"/>
      <c r="E1369" s="60"/>
      <c r="F1369" s="84" t="str">
        <f>IFERROR(VLOOKUP(CONCATENATE($B1369,"_",F$3),materiali!$C:$K,5,0),"")</f>
        <v/>
      </c>
      <c r="G1369" s="85" t="str">
        <f>IFERROR(VLOOKUP(CONCATENATE($B1369,"_",G$3),materiali!$C:$K,6,0),"")</f>
        <v/>
      </c>
      <c r="H1369" s="86"/>
      <c r="I1369" s="84" t="str">
        <f>IFERROR(VLOOKUP(CONCATENATE($B1369,"_",I$3),materiali!$C:$K,5,0),"")</f>
        <v/>
      </c>
      <c r="J1369" s="85" t="str">
        <f>IFERROR(VLOOKUP(CONCATENATE($B1369,"_",J$3),materiali!$C:$K,6,0),"")</f>
        <v/>
      </c>
      <c r="K1369" s="86"/>
      <c r="L1369" s="84" t="str">
        <f>IFERROR(VLOOKUP(CONCATENATE($B1369,"_",L$3),materiali!$C:$K,5,0),"")</f>
        <v/>
      </c>
      <c r="M1369" s="85" t="str">
        <f>IFERROR(VLOOKUP(CONCATENATE($B1369,"_",M$3),materiali!$C:$K,6,0),"")</f>
        <v/>
      </c>
      <c r="N1369" s="86"/>
      <c r="O1369" s="84" t="str">
        <f>IFERROR(VLOOKUP(CONCATENATE($B1369,"_",O$3),materiali!$C:$K,5,0),"")</f>
        <v/>
      </c>
      <c r="P1369" s="85" t="str">
        <f>IFERROR(VLOOKUP(CONCATENATE($B1369,"_",P$3),materiali!$C:$K,6,0),"")</f>
        <v/>
      </c>
      <c r="Q1369" s="86"/>
      <c r="R1369" s="84" t="str">
        <f>IFERROR(VLOOKUP(CONCATENATE($B1369,"_",R$3),materiali!$C:$K,5,0),"")</f>
        <v/>
      </c>
      <c r="S1369" s="85" t="str">
        <f>IFERROR(VLOOKUP(CONCATENATE($B1369,"_",S$3),materiali!$C:$K,6,0),"")</f>
        <v/>
      </c>
      <c r="T1369" s="86"/>
      <c r="U1369" s="31"/>
      <c r="AD1369" s="97"/>
    </row>
    <row r="1370" spans="1:30" ht="35.1" hidden="1" customHeight="1" x14ac:dyDescent="0.25">
      <c r="A1370" s="83"/>
      <c r="B1370" s="7"/>
      <c r="C1370" s="8"/>
      <c r="D1370" s="8"/>
      <c r="E1370" s="60"/>
      <c r="F1370" s="84" t="str">
        <f>IFERROR(VLOOKUP(CONCATENATE($B1370,"_",F$3),materiali!$C:$K,5,0),"")</f>
        <v/>
      </c>
      <c r="G1370" s="85" t="str">
        <f>IFERROR(VLOOKUP(CONCATENATE($B1370,"_",G$3),materiali!$C:$K,6,0),"")</f>
        <v/>
      </c>
      <c r="H1370" s="86"/>
      <c r="I1370" s="84" t="str">
        <f>IFERROR(VLOOKUP(CONCATENATE($B1370,"_",I$3),materiali!$C:$K,5,0),"")</f>
        <v/>
      </c>
      <c r="J1370" s="85" t="str">
        <f>IFERROR(VLOOKUP(CONCATENATE($B1370,"_",J$3),materiali!$C:$K,6,0),"")</f>
        <v/>
      </c>
      <c r="K1370" s="86"/>
      <c r="L1370" s="84" t="str">
        <f>IFERROR(VLOOKUP(CONCATENATE($B1370,"_",L$3),materiali!$C:$K,5,0),"")</f>
        <v/>
      </c>
      <c r="M1370" s="85" t="str">
        <f>IFERROR(VLOOKUP(CONCATENATE($B1370,"_",M$3),materiali!$C:$K,6,0),"")</f>
        <v/>
      </c>
      <c r="N1370" s="86"/>
      <c r="O1370" s="84" t="str">
        <f>IFERROR(VLOOKUP(CONCATENATE($B1370,"_",O$3),materiali!$C:$K,5,0),"")</f>
        <v/>
      </c>
      <c r="P1370" s="85" t="str">
        <f>IFERROR(VLOOKUP(CONCATENATE($B1370,"_",P$3),materiali!$C:$K,6,0),"")</f>
        <v/>
      </c>
      <c r="Q1370" s="86"/>
      <c r="R1370" s="84" t="str">
        <f>IFERROR(VLOOKUP(CONCATENATE($B1370,"_",R$3),materiali!$C:$K,5,0),"")</f>
        <v/>
      </c>
      <c r="S1370" s="85" t="str">
        <f>IFERROR(VLOOKUP(CONCATENATE($B1370,"_",S$3),materiali!$C:$K,6,0),"")</f>
        <v/>
      </c>
      <c r="T1370" s="86"/>
      <c r="U1370" s="31"/>
      <c r="AD1370" s="97"/>
    </row>
    <row r="1371" spans="1:30" ht="35.1" hidden="1" customHeight="1" x14ac:dyDescent="0.25">
      <c r="A1371" s="83"/>
      <c r="B1371" s="7"/>
      <c r="C1371" s="8"/>
      <c r="D1371" s="8"/>
      <c r="E1371" s="60"/>
      <c r="F1371" s="84" t="str">
        <f>IFERROR(VLOOKUP(CONCATENATE($B1371,"_",F$3),materiali!$C:$K,5,0),"")</f>
        <v/>
      </c>
      <c r="G1371" s="85" t="str">
        <f>IFERROR(VLOOKUP(CONCATENATE($B1371,"_",G$3),materiali!$C:$K,6,0),"")</f>
        <v/>
      </c>
      <c r="H1371" s="86"/>
      <c r="I1371" s="84" t="str">
        <f>IFERROR(VLOOKUP(CONCATENATE($B1371,"_",I$3),materiali!$C:$K,5,0),"")</f>
        <v/>
      </c>
      <c r="J1371" s="85" t="str">
        <f>IFERROR(VLOOKUP(CONCATENATE($B1371,"_",J$3),materiali!$C:$K,6,0),"")</f>
        <v/>
      </c>
      <c r="K1371" s="86"/>
      <c r="L1371" s="84" t="str">
        <f>IFERROR(VLOOKUP(CONCATENATE($B1371,"_",L$3),materiali!$C:$K,5,0),"")</f>
        <v/>
      </c>
      <c r="M1371" s="85" t="str">
        <f>IFERROR(VLOOKUP(CONCATENATE($B1371,"_",M$3),materiali!$C:$K,6,0),"")</f>
        <v/>
      </c>
      <c r="N1371" s="86"/>
      <c r="O1371" s="84" t="str">
        <f>IFERROR(VLOOKUP(CONCATENATE($B1371,"_",O$3),materiali!$C:$K,5,0),"")</f>
        <v/>
      </c>
      <c r="P1371" s="85" t="str">
        <f>IFERROR(VLOOKUP(CONCATENATE($B1371,"_",P$3),materiali!$C:$K,6,0),"")</f>
        <v/>
      </c>
      <c r="Q1371" s="86"/>
      <c r="R1371" s="84" t="str">
        <f>IFERROR(VLOOKUP(CONCATENATE($B1371,"_",R$3),materiali!$C:$K,5,0),"")</f>
        <v/>
      </c>
      <c r="S1371" s="85" t="str">
        <f>IFERROR(VLOOKUP(CONCATENATE($B1371,"_",S$3),materiali!$C:$K,6,0),"")</f>
        <v/>
      </c>
      <c r="T1371" s="86"/>
      <c r="U1371" s="31"/>
      <c r="AD1371" s="97"/>
    </row>
    <row r="1372" spans="1:30" ht="35.1" hidden="1" customHeight="1" x14ac:dyDescent="0.25">
      <c r="A1372" s="83"/>
      <c r="B1372" s="7"/>
      <c r="C1372" s="8"/>
      <c r="D1372" s="8"/>
      <c r="E1372" s="60"/>
      <c r="F1372" s="84" t="str">
        <f>IFERROR(VLOOKUP(CONCATENATE($B1372,"_",F$3),materiali!$C:$K,5,0),"")</f>
        <v/>
      </c>
      <c r="G1372" s="85" t="str">
        <f>IFERROR(VLOOKUP(CONCATENATE($B1372,"_",G$3),materiali!$C:$K,6,0),"")</f>
        <v/>
      </c>
      <c r="H1372" s="86"/>
      <c r="I1372" s="84" t="str">
        <f>IFERROR(VLOOKUP(CONCATENATE($B1372,"_",I$3),materiali!$C:$K,5,0),"")</f>
        <v/>
      </c>
      <c r="J1372" s="85" t="str">
        <f>IFERROR(VLOOKUP(CONCATENATE($B1372,"_",J$3),materiali!$C:$K,6,0),"")</f>
        <v/>
      </c>
      <c r="K1372" s="86"/>
      <c r="L1372" s="84" t="str">
        <f>IFERROR(VLOOKUP(CONCATENATE($B1372,"_",L$3),materiali!$C:$K,5,0),"")</f>
        <v/>
      </c>
      <c r="M1372" s="85" t="str">
        <f>IFERROR(VLOOKUP(CONCATENATE($B1372,"_",M$3),materiali!$C:$K,6,0),"")</f>
        <v/>
      </c>
      <c r="N1372" s="86"/>
      <c r="O1372" s="84" t="str">
        <f>IFERROR(VLOOKUP(CONCATENATE($B1372,"_",O$3),materiali!$C:$K,5,0),"")</f>
        <v/>
      </c>
      <c r="P1372" s="85" t="str">
        <f>IFERROR(VLOOKUP(CONCATENATE($B1372,"_",P$3),materiali!$C:$K,6,0),"")</f>
        <v/>
      </c>
      <c r="Q1372" s="86"/>
      <c r="R1372" s="84" t="str">
        <f>IFERROR(VLOOKUP(CONCATENATE($B1372,"_",R$3),materiali!$C:$K,5,0),"")</f>
        <v/>
      </c>
      <c r="S1372" s="85" t="str">
        <f>IFERROR(VLOOKUP(CONCATENATE($B1372,"_",S$3),materiali!$C:$K,6,0),"")</f>
        <v/>
      </c>
      <c r="T1372" s="86"/>
      <c r="U1372" s="31"/>
      <c r="AD1372" s="97"/>
    </row>
    <row r="1373" spans="1:30" ht="35.1" hidden="1" customHeight="1" x14ac:dyDescent="0.25">
      <c r="A1373" s="83"/>
      <c r="B1373" s="7"/>
      <c r="C1373" s="8"/>
      <c r="D1373" s="8"/>
      <c r="E1373" s="60"/>
      <c r="F1373" s="84" t="str">
        <f>IFERROR(VLOOKUP(CONCATENATE($B1373,"_",F$3),materiali!$C:$K,5,0),"")</f>
        <v/>
      </c>
      <c r="G1373" s="85" t="str">
        <f>IFERROR(VLOOKUP(CONCATENATE($B1373,"_",G$3),materiali!$C:$K,6,0),"")</f>
        <v/>
      </c>
      <c r="H1373" s="86"/>
      <c r="I1373" s="84" t="str">
        <f>IFERROR(VLOOKUP(CONCATENATE($B1373,"_",I$3),materiali!$C:$K,5,0),"")</f>
        <v/>
      </c>
      <c r="J1373" s="85" t="str">
        <f>IFERROR(VLOOKUP(CONCATENATE($B1373,"_",J$3),materiali!$C:$K,6,0),"")</f>
        <v/>
      </c>
      <c r="K1373" s="86"/>
      <c r="L1373" s="84" t="str">
        <f>IFERROR(VLOOKUP(CONCATENATE($B1373,"_",L$3),materiali!$C:$K,5,0),"")</f>
        <v/>
      </c>
      <c r="M1373" s="85" t="str">
        <f>IFERROR(VLOOKUP(CONCATENATE($B1373,"_",M$3),materiali!$C:$K,6,0),"")</f>
        <v/>
      </c>
      <c r="N1373" s="86"/>
      <c r="O1373" s="84" t="str">
        <f>IFERROR(VLOOKUP(CONCATENATE($B1373,"_",O$3),materiali!$C:$K,5,0),"")</f>
        <v/>
      </c>
      <c r="P1373" s="85" t="str">
        <f>IFERROR(VLOOKUP(CONCATENATE($B1373,"_",P$3),materiali!$C:$K,6,0),"")</f>
        <v/>
      </c>
      <c r="Q1373" s="86"/>
      <c r="R1373" s="84" t="str">
        <f>IFERROR(VLOOKUP(CONCATENATE($B1373,"_",R$3),materiali!$C:$K,5,0),"")</f>
        <v/>
      </c>
      <c r="S1373" s="85" t="str">
        <f>IFERROR(VLOOKUP(CONCATENATE($B1373,"_",S$3),materiali!$C:$K,6,0),"")</f>
        <v/>
      </c>
      <c r="T1373" s="86"/>
      <c r="U1373" s="31"/>
      <c r="AD1373" s="97"/>
    </row>
    <row r="1374" spans="1:30" ht="35.1" hidden="1" customHeight="1" x14ac:dyDescent="0.25">
      <c r="A1374" s="83"/>
      <c r="B1374" s="7"/>
      <c r="C1374" s="8"/>
      <c r="D1374" s="8"/>
      <c r="E1374" s="60"/>
      <c r="F1374" s="84" t="str">
        <f>IFERROR(VLOOKUP(CONCATENATE($B1374,"_",F$3),materiali!$C:$K,5,0),"")</f>
        <v/>
      </c>
      <c r="G1374" s="85" t="str">
        <f>IFERROR(VLOOKUP(CONCATENATE($B1374,"_",G$3),materiali!$C:$K,6,0),"")</f>
        <v/>
      </c>
      <c r="H1374" s="86"/>
      <c r="I1374" s="84" t="str">
        <f>IFERROR(VLOOKUP(CONCATENATE($B1374,"_",I$3),materiali!$C:$K,5,0),"")</f>
        <v/>
      </c>
      <c r="J1374" s="85" t="str">
        <f>IFERROR(VLOOKUP(CONCATENATE($B1374,"_",J$3),materiali!$C:$K,6,0),"")</f>
        <v/>
      </c>
      <c r="K1374" s="86"/>
      <c r="L1374" s="84" t="str">
        <f>IFERROR(VLOOKUP(CONCATENATE($B1374,"_",L$3),materiali!$C:$K,5,0),"")</f>
        <v/>
      </c>
      <c r="M1374" s="85" t="str">
        <f>IFERROR(VLOOKUP(CONCATENATE($B1374,"_",M$3),materiali!$C:$K,6,0),"")</f>
        <v/>
      </c>
      <c r="N1374" s="86"/>
      <c r="O1374" s="84" t="str">
        <f>IFERROR(VLOOKUP(CONCATENATE($B1374,"_",O$3),materiali!$C:$K,5,0),"")</f>
        <v/>
      </c>
      <c r="P1374" s="85" t="str">
        <f>IFERROR(VLOOKUP(CONCATENATE($B1374,"_",P$3),materiali!$C:$K,6,0),"")</f>
        <v/>
      </c>
      <c r="Q1374" s="86"/>
      <c r="R1374" s="84" t="str">
        <f>IFERROR(VLOOKUP(CONCATENATE($B1374,"_",R$3),materiali!$C:$K,5,0),"")</f>
        <v/>
      </c>
      <c r="S1374" s="85" t="str">
        <f>IFERROR(VLOOKUP(CONCATENATE($B1374,"_",S$3),materiali!$C:$K,6,0),"")</f>
        <v/>
      </c>
      <c r="T1374" s="86"/>
      <c r="U1374" s="31"/>
      <c r="AD1374" s="97"/>
    </row>
    <row r="1375" spans="1:30" ht="35.1" hidden="1" customHeight="1" x14ac:dyDescent="0.25">
      <c r="A1375" s="83"/>
      <c r="B1375" s="7"/>
      <c r="C1375" s="8"/>
      <c r="D1375" s="8"/>
      <c r="E1375" s="60"/>
      <c r="F1375" s="84" t="str">
        <f>IFERROR(VLOOKUP(CONCATENATE($B1375,"_",F$3),materiali!$C:$K,5,0),"")</f>
        <v/>
      </c>
      <c r="G1375" s="85" t="str">
        <f>IFERROR(VLOOKUP(CONCATENATE($B1375,"_",G$3),materiali!$C:$K,6,0),"")</f>
        <v/>
      </c>
      <c r="H1375" s="86"/>
      <c r="I1375" s="84" t="str">
        <f>IFERROR(VLOOKUP(CONCATENATE($B1375,"_",I$3),materiali!$C:$K,5,0),"")</f>
        <v/>
      </c>
      <c r="J1375" s="85" t="str">
        <f>IFERROR(VLOOKUP(CONCATENATE($B1375,"_",J$3),materiali!$C:$K,6,0),"")</f>
        <v/>
      </c>
      <c r="K1375" s="86"/>
      <c r="L1375" s="84" t="str">
        <f>IFERROR(VLOOKUP(CONCATENATE($B1375,"_",L$3),materiali!$C:$K,5,0),"")</f>
        <v/>
      </c>
      <c r="M1375" s="85" t="str">
        <f>IFERROR(VLOOKUP(CONCATENATE($B1375,"_",M$3),materiali!$C:$K,6,0),"")</f>
        <v/>
      </c>
      <c r="N1375" s="86"/>
      <c r="O1375" s="84" t="str">
        <f>IFERROR(VLOOKUP(CONCATENATE($B1375,"_",O$3),materiali!$C:$K,5,0),"")</f>
        <v/>
      </c>
      <c r="P1375" s="85" t="str">
        <f>IFERROR(VLOOKUP(CONCATENATE($B1375,"_",P$3),materiali!$C:$K,6,0),"")</f>
        <v/>
      </c>
      <c r="Q1375" s="86"/>
      <c r="R1375" s="84" t="str">
        <f>IFERROR(VLOOKUP(CONCATENATE($B1375,"_",R$3),materiali!$C:$K,5,0),"")</f>
        <v/>
      </c>
      <c r="S1375" s="85" t="str">
        <f>IFERROR(VLOOKUP(CONCATENATE($B1375,"_",S$3),materiali!$C:$K,6,0),"")</f>
        <v/>
      </c>
      <c r="T1375" s="86"/>
      <c r="U1375" s="31"/>
      <c r="AD1375" s="97"/>
    </row>
    <row r="1376" spans="1:30" ht="35.1" hidden="1" customHeight="1" x14ac:dyDescent="0.25">
      <c r="A1376" s="83"/>
      <c r="B1376" s="7"/>
      <c r="C1376" s="8"/>
      <c r="D1376" s="8"/>
      <c r="E1376" s="60"/>
      <c r="F1376" s="84" t="str">
        <f>IFERROR(VLOOKUP(CONCATENATE($B1376,"_",F$3),materiali!$C:$K,5,0),"")</f>
        <v/>
      </c>
      <c r="G1376" s="85" t="str">
        <f>IFERROR(VLOOKUP(CONCATENATE($B1376,"_",G$3),materiali!$C:$K,6,0),"")</f>
        <v/>
      </c>
      <c r="H1376" s="86"/>
      <c r="I1376" s="84" t="str">
        <f>IFERROR(VLOOKUP(CONCATENATE($B1376,"_",I$3),materiali!$C:$K,5,0),"")</f>
        <v/>
      </c>
      <c r="J1376" s="85" t="str">
        <f>IFERROR(VLOOKUP(CONCATENATE($B1376,"_",J$3),materiali!$C:$K,6,0),"")</f>
        <v/>
      </c>
      <c r="K1376" s="86"/>
      <c r="L1376" s="84" t="str">
        <f>IFERROR(VLOOKUP(CONCATENATE($B1376,"_",L$3),materiali!$C:$K,5,0),"")</f>
        <v/>
      </c>
      <c r="M1376" s="85" t="str">
        <f>IFERROR(VLOOKUP(CONCATENATE($B1376,"_",M$3),materiali!$C:$K,6,0),"")</f>
        <v/>
      </c>
      <c r="N1376" s="86"/>
      <c r="O1376" s="84" t="str">
        <f>IFERROR(VLOOKUP(CONCATENATE($B1376,"_",O$3),materiali!$C:$K,5,0),"")</f>
        <v/>
      </c>
      <c r="P1376" s="85" t="str">
        <f>IFERROR(VLOOKUP(CONCATENATE($B1376,"_",P$3),materiali!$C:$K,6,0),"")</f>
        <v/>
      </c>
      <c r="Q1376" s="86"/>
      <c r="R1376" s="84" t="str">
        <f>IFERROR(VLOOKUP(CONCATENATE($B1376,"_",R$3),materiali!$C:$K,5,0),"")</f>
        <v/>
      </c>
      <c r="S1376" s="85" t="str">
        <f>IFERROR(VLOOKUP(CONCATENATE($B1376,"_",S$3),materiali!$C:$K,6,0),"")</f>
        <v/>
      </c>
      <c r="T1376" s="86"/>
      <c r="U1376" s="31"/>
      <c r="AD1376" s="97"/>
    </row>
    <row r="1377" spans="1:30" ht="35.1" hidden="1" customHeight="1" x14ac:dyDescent="0.25">
      <c r="A1377" s="83"/>
      <c r="B1377" s="7"/>
      <c r="C1377" s="8"/>
      <c r="D1377" s="8"/>
      <c r="E1377" s="60"/>
      <c r="F1377" s="84" t="str">
        <f>IFERROR(VLOOKUP(CONCATENATE($B1377,"_",F$3),materiali!$C:$K,5,0),"")</f>
        <v/>
      </c>
      <c r="G1377" s="85" t="str">
        <f>IFERROR(VLOOKUP(CONCATENATE($B1377,"_",G$3),materiali!$C:$K,6,0),"")</f>
        <v/>
      </c>
      <c r="H1377" s="86"/>
      <c r="I1377" s="84" t="str">
        <f>IFERROR(VLOOKUP(CONCATENATE($B1377,"_",I$3),materiali!$C:$K,5,0),"")</f>
        <v/>
      </c>
      <c r="J1377" s="85" t="str">
        <f>IFERROR(VLOOKUP(CONCATENATE($B1377,"_",J$3),materiali!$C:$K,6,0),"")</f>
        <v/>
      </c>
      <c r="K1377" s="86"/>
      <c r="L1377" s="84" t="str">
        <f>IFERROR(VLOOKUP(CONCATENATE($B1377,"_",L$3),materiali!$C:$K,5,0),"")</f>
        <v/>
      </c>
      <c r="M1377" s="85" t="str">
        <f>IFERROR(VLOOKUP(CONCATENATE($B1377,"_",M$3),materiali!$C:$K,6,0),"")</f>
        <v/>
      </c>
      <c r="N1377" s="86"/>
      <c r="O1377" s="84" t="str">
        <f>IFERROR(VLOOKUP(CONCATENATE($B1377,"_",O$3),materiali!$C:$K,5,0),"")</f>
        <v/>
      </c>
      <c r="P1377" s="85" t="str">
        <f>IFERROR(VLOOKUP(CONCATENATE($B1377,"_",P$3),materiali!$C:$K,6,0),"")</f>
        <v/>
      </c>
      <c r="Q1377" s="86"/>
      <c r="R1377" s="84" t="str">
        <f>IFERROR(VLOOKUP(CONCATENATE($B1377,"_",R$3),materiali!$C:$K,5,0),"")</f>
        <v/>
      </c>
      <c r="S1377" s="85" t="str">
        <f>IFERROR(VLOOKUP(CONCATENATE($B1377,"_",S$3),materiali!$C:$K,6,0),"")</f>
        <v/>
      </c>
      <c r="T1377" s="86"/>
      <c r="U1377" s="31"/>
      <c r="AD1377" s="97"/>
    </row>
    <row r="1378" spans="1:30" ht="35.1" hidden="1" customHeight="1" x14ac:dyDescent="0.25">
      <c r="A1378" s="83"/>
      <c r="B1378" s="7"/>
      <c r="C1378" s="8"/>
      <c r="D1378" s="8"/>
      <c r="E1378" s="60"/>
      <c r="F1378" s="84" t="str">
        <f>IFERROR(VLOOKUP(CONCATENATE($B1378,"_",F$3),materiali!$C:$K,5,0),"")</f>
        <v/>
      </c>
      <c r="G1378" s="85" t="str">
        <f>IFERROR(VLOOKUP(CONCATENATE($B1378,"_",G$3),materiali!$C:$K,6,0),"")</f>
        <v/>
      </c>
      <c r="H1378" s="86"/>
      <c r="I1378" s="84" t="str">
        <f>IFERROR(VLOOKUP(CONCATENATE($B1378,"_",I$3),materiali!$C:$K,5,0),"")</f>
        <v/>
      </c>
      <c r="J1378" s="85" t="str">
        <f>IFERROR(VLOOKUP(CONCATENATE($B1378,"_",J$3),materiali!$C:$K,6,0),"")</f>
        <v/>
      </c>
      <c r="K1378" s="86"/>
      <c r="L1378" s="84" t="str">
        <f>IFERROR(VLOOKUP(CONCATENATE($B1378,"_",L$3),materiali!$C:$K,5,0),"")</f>
        <v/>
      </c>
      <c r="M1378" s="85" t="str">
        <f>IFERROR(VLOOKUP(CONCATENATE($B1378,"_",M$3),materiali!$C:$K,6,0),"")</f>
        <v/>
      </c>
      <c r="N1378" s="86"/>
      <c r="O1378" s="84" t="str">
        <f>IFERROR(VLOOKUP(CONCATENATE($B1378,"_",O$3),materiali!$C:$K,5,0),"")</f>
        <v/>
      </c>
      <c r="P1378" s="85" t="str">
        <f>IFERROR(VLOOKUP(CONCATENATE($B1378,"_",P$3),materiali!$C:$K,6,0),"")</f>
        <v/>
      </c>
      <c r="Q1378" s="86"/>
      <c r="R1378" s="84" t="str">
        <f>IFERROR(VLOOKUP(CONCATENATE($B1378,"_",R$3),materiali!$C:$K,5,0),"")</f>
        <v/>
      </c>
      <c r="S1378" s="85" t="str">
        <f>IFERROR(VLOOKUP(CONCATENATE($B1378,"_",S$3),materiali!$C:$K,6,0),"")</f>
        <v/>
      </c>
      <c r="T1378" s="86"/>
      <c r="U1378" s="31"/>
      <c r="AD1378" s="97"/>
    </row>
    <row r="1379" spans="1:30" ht="35.1" hidden="1" customHeight="1" x14ac:dyDescent="0.25">
      <c r="A1379" s="83"/>
      <c r="B1379" s="7"/>
      <c r="C1379" s="8"/>
      <c r="D1379" s="8"/>
      <c r="E1379" s="60"/>
      <c r="F1379" s="84" t="str">
        <f>IFERROR(VLOOKUP(CONCATENATE($B1379,"_",F$3),materiali!$C:$K,5,0),"")</f>
        <v/>
      </c>
      <c r="G1379" s="85" t="str">
        <f>IFERROR(VLOOKUP(CONCATENATE($B1379,"_",G$3),materiali!$C:$K,6,0),"")</f>
        <v/>
      </c>
      <c r="H1379" s="86"/>
      <c r="I1379" s="84" t="str">
        <f>IFERROR(VLOOKUP(CONCATENATE($B1379,"_",I$3),materiali!$C:$K,5,0),"")</f>
        <v/>
      </c>
      <c r="J1379" s="85" t="str">
        <f>IFERROR(VLOOKUP(CONCATENATE($B1379,"_",J$3),materiali!$C:$K,6,0),"")</f>
        <v/>
      </c>
      <c r="K1379" s="86"/>
      <c r="L1379" s="84" t="str">
        <f>IFERROR(VLOOKUP(CONCATENATE($B1379,"_",L$3),materiali!$C:$K,5,0),"")</f>
        <v/>
      </c>
      <c r="M1379" s="85" t="str">
        <f>IFERROR(VLOOKUP(CONCATENATE($B1379,"_",M$3),materiali!$C:$K,6,0),"")</f>
        <v/>
      </c>
      <c r="N1379" s="86"/>
      <c r="O1379" s="84" t="str">
        <f>IFERROR(VLOOKUP(CONCATENATE($B1379,"_",O$3),materiali!$C:$K,5,0),"")</f>
        <v/>
      </c>
      <c r="P1379" s="85" t="str">
        <f>IFERROR(VLOOKUP(CONCATENATE($B1379,"_",P$3),materiali!$C:$K,6,0),"")</f>
        <v/>
      </c>
      <c r="Q1379" s="86"/>
      <c r="R1379" s="84" t="str">
        <f>IFERROR(VLOOKUP(CONCATENATE($B1379,"_",R$3),materiali!$C:$K,5,0),"")</f>
        <v/>
      </c>
      <c r="S1379" s="85" t="str">
        <f>IFERROR(VLOOKUP(CONCATENATE($B1379,"_",S$3),materiali!$C:$K,6,0),"")</f>
        <v/>
      </c>
      <c r="T1379" s="86"/>
      <c r="U1379" s="31"/>
      <c r="AD1379" s="97"/>
    </row>
    <row r="1380" spans="1:30" ht="35.1" hidden="1" customHeight="1" x14ac:dyDescent="0.25">
      <c r="A1380" s="83"/>
      <c r="B1380" s="7"/>
      <c r="C1380" s="8"/>
      <c r="D1380" s="8"/>
      <c r="E1380" s="60"/>
      <c r="F1380" s="84" t="str">
        <f>IFERROR(VLOOKUP(CONCATENATE($B1380,"_",F$3),materiali!$C:$K,5,0),"")</f>
        <v/>
      </c>
      <c r="G1380" s="85" t="str">
        <f>IFERROR(VLOOKUP(CONCATENATE($B1380,"_",G$3),materiali!$C:$K,6,0),"")</f>
        <v/>
      </c>
      <c r="H1380" s="86"/>
      <c r="I1380" s="84" t="str">
        <f>IFERROR(VLOOKUP(CONCATENATE($B1380,"_",I$3),materiali!$C:$K,5,0),"")</f>
        <v/>
      </c>
      <c r="J1380" s="85" t="str">
        <f>IFERROR(VLOOKUP(CONCATENATE($B1380,"_",J$3),materiali!$C:$K,6,0),"")</f>
        <v/>
      </c>
      <c r="K1380" s="86"/>
      <c r="L1380" s="84" t="str">
        <f>IFERROR(VLOOKUP(CONCATENATE($B1380,"_",L$3),materiali!$C:$K,5,0),"")</f>
        <v/>
      </c>
      <c r="M1380" s="85" t="str">
        <f>IFERROR(VLOOKUP(CONCATENATE($B1380,"_",M$3),materiali!$C:$K,6,0),"")</f>
        <v/>
      </c>
      <c r="N1380" s="86"/>
      <c r="O1380" s="84" t="str">
        <f>IFERROR(VLOOKUP(CONCATENATE($B1380,"_",O$3),materiali!$C:$K,5,0),"")</f>
        <v/>
      </c>
      <c r="P1380" s="85" t="str">
        <f>IFERROR(VLOOKUP(CONCATENATE($B1380,"_",P$3),materiali!$C:$K,6,0),"")</f>
        <v/>
      </c>
      <c r="Q1380" s="86"/>
      <c r="R1380" s="84" t="str">
        <f>IFERROR(VLOOKUP(CONCATENATE($B1380,"_",R$3),materiali!$C:$K,5,0),"")</f>
        <v/>
      </c>
      <c r="S1380" s="85" t="str">
        <f>IFERROR(VLOOKUP(CONCATENATE($B1380,"_",S$3),materiali!$C:$K,6,0),"")</f>
        <v/>
      </c>
      <c r="T1380" s="86"/>
      <c r="U1380" s="31"/>
      <c r="AD1380" s="97"/>
    </row>
    <row r="1381" spans="1:30" ht="35.1" hidden="1" customHeight="1" x14ac:dyDescent="0.25">
      <c r="A1381" s="83"/>
      <c r="B1381" s="7"/>
      <c r="C1381" s="8"/>
      <c r="D1381" s="8"/>
      <c r="E1381" s="60"/>
      <c r="F1381" s="84" t="str">
        <f>IFERROR(VLOOKUP(CONCATENATE($B1381,"_",F$3),materiali!$C:$K,5,0),"")</f>
        <v/>
      </c>
      <c r="G1381" s="85" t="str">
        <f>IFERROR(VLOOKUP(CONCATENATE($B1381,"_",G$3),materiali!$C:$K,6,0),"")</f>
        <v/>
      </c>
      <c r="H1381" s="86"/>
      <c r="I1381" s="84" t="str">
        <f>IFERROR(VLOOKUP(CONCATENATE($B1381,"_",I$3),materiali!$C:$K,5,0),"")</f>
        <v/>
      </c>
      <c r="J1381" s="85" t="str">
        <f>IFERROR(VLOOKUP(CONCATENATE($B1381,"_",J$3),materiali!$C:$K,6,0),"")</f>
        <v/>
      </c>
      <c r="K1381" s="86"/>
      <c r="L1381" s="84" t="str">
        <f>IFERROR(VLOOKUP(CONCATENATE($B1381,"_",L$3),materiali!$C:$K,5,0),"")</f>
        <v/>
      </c>
      <c r="M1381" s="85" t="str">
        <f>IFERROR(VLOOKUP(CONCATENATE($B1381,"_",M$3),materiali!$C:$K,6,0),"")</f>
        <v/>
      </c>
      <c r="N1381" s="86"/>
      <c r="O1381" s="84" t="str">
        <f>IFERROR(VLOOKUP(CONCATENATE($B1381,"_",O$3),materiali!$C:$K,5,0),"")</f>
        <v/>
      </c>
      <c r="P1381" s="85" t="str">
        <f>IFERROR(VLOOKUP(CONCATENATE($B1381,"_",P$3),materiali!$C:$K,6,0),"")</f>
        <v/>
      </c>
      <c r="Q1381" s="86"/>
      <c r="R1381" s="84" t="str">
        <f>IFERROR(VLOOKUP(CONCATENATE($B1381,"_",R$3),materiali!$C:$K,5,0),"")</f>
        <v/>
      </c>
      <c r="S1381" s="85" t="str">
        <f>IFERROR(VLOOKUP(CONCATENATE($B1381,"_",S$3),materiali!$C:$K,6,0),"")</f>
        <v/>
      </c>
      <c r="T1381" s="86"/>
      <c r="U1381" s="31"/>
      <c r="AD1381" s="97"/>
    </row>
    <row r="1382" spans="1:30" ht="35.1" hidden="1" customHeight="1" x14ac:dyDescent="0.25">
      <c r="A1382" s="83"/>
      <c r="B1382" s="7"/>
      <c r="C1382" s="8"/>
      <c r="D1382" s="8"/>
      <c r="E1382" s="60"/>
      <c r="F1382" s="84" t="str">
        <f>IFERROR(VLOOKUP(CONCATENATE($B1382,"_",F$3),materiali!$C:$K,5,0),"")</f>
        <v/>
      </c>
      <c r="G1382" s="85" t="str">
        <f>IFERROR(VLOOKUP(CONCATENATE($B1382,"_",G$3),materiali!$C:$K,6,0),"")</f>
        <v/>
      </c>
      <c r="H1382" s="86"/>
      <c r="I1382" s="84" t="str">
        <f>IFERROR(VLOOKUP(CONCATENATE($B1382,"_",I$3),materiali!$C:$K,5,0),"")</f>
        <v/>
      </c>
      <c r="J1382" s="85" t="str">
        <f>IFERROR(VLOOKUP(CONCATENATE($B1382,"_",J$3),materiali!$C:$K,6,0),"")</f>
        <v/>
      </c>
      <c r="K1382" s="86"/>
      <c r="L1382" s="84" t="str">
        <f>IFERROR(VLOOKUP(CONCATENATE($B1382,"_",L$3),materiali!$C:$K,5,0),"")</f>
        <v/>
      </c>
      <c r="M1382" s="85" t="str">
        <f>IFERROR(VLOOKUP(CONCATENATE($B1382,"_",M$3),materiali!$C:$K,6,0),"")</f>
        <v/>
      </c>
      <c r="N1382" s="86"/>
      <c r="O1382" s="84" t="str">
        <f>IFERROR(VLOOKUP(CONCATENATE($B1382,"_",O$3),materiali!$C:$K,5,0),"")</f>
        <v/>
      </c>
      <c r="P1382" s="85" t="str">
        <f>IFERROR(VLOOKUP(CONCATENATE($B1382,"_",P$3),materiali!$C:$K,6,0),"")</f>
        <v/>
      </c>
      <c r="Q1382" s="86"/>
      <c r="R1382" s="84" t="str">
        <f>IFERROR(VLOOKUP(CONCATENATE($B1382,"_",R$3),materiali!$C:$K,5,0),"")</f>
        <v/>
      </c>
      <c r="S1382" s="85" t="str">
        <f>IFERROR(VLOOKUP(CONCATENATE($B1382,"_",S$3),materiali!$C:$K,6,0),"")</f>
        <v/>
      </c>
      <c r="T1382" s="86"/>
      <c r="U1382" s="31"/>
      <c r="AD1382" s="97"/>
    </row>
    <row r="1383" spans="1:30" ht="35.1" hidden="1" customHeight="1" x14ac:dyDescent="0.25">
      <c r="A1383" s="83"/>
      <c r="B1383" s="7"/>
      <c r="C1383" s="8"/>
      <c r="D1383" s="8"/>
      <c r="E1383" s="60"/>
      <c r="F1383" s="84" t="str">
        <f>IFERROR(VLOOKUP(CONCATENATE($B1383,"_",F$3),materiali!$C:$K,5,0),"")</f>
        <v/>
      </c>
      <c r="G1383" s="85" t="str">
        <f>IFERROR(VLOOKUP(CONCATENATE($B1383,"_",G$3),materiali!$C:$K,6,0),"")</f>
        <v/>
      </c>
      <c r="H1383" s="86"/>
      <c r="I1383" s="84" t="str">
        <f>IFERROR(VLOOKUP(CONCATENATE($B1383,"_",I$3),materiali!$C:$K,5,0),"")</f>
        <v/>
      </c>
      <c r="J1383" s="85" t="str">
        <f>IFERROR(VLOOKUP(CONCATENATE($B1383,"_",J$3),materiali!$C:$K,6,0),"")</f>
        <v/>
      </c>
      <c r="K1383" s="86"/>
      <c r="L1383" s="84" t="str">
        <f>IFERROR(VLOOKUP(CONCATENATE($B1383,"_",L$3),materiali!$C:$K,5,0),"")</f>
        <v/>
      </c>
      <c r="M1383" s="85" t="str">
        <f>IFERROR(VLOOKUP(CONCATENATE($B1383,"_",M$3),materiali!$C:$K,6,0),"")</f>
        <v/>
      </c>
      <c r="N1383" s="86"/>
      <c r="O1383" s="84" t="str">
        <f>IFERROR(VLOOKUP(CONCATENATE($B1383,"_",O$3),materiali!$C:$K,5,0),"")</f>
        <v/>
      </c>
      <c r="P1383" s="85" t="str">
        <f>IFERROR(VLOOKUP(CONCATENATE($B1383,"_",P$3),materiali!$C:$K,6,0),"")</f>
        <v/>
      </c>
      <c r="Q1383" s="86"/>
      <c r="R1383" s="84" t="str">
        <f>IFERROR(VLOOKUP(CONCATENATE($B1383,"_",R$3),materiali!$C:$K,5,0),"")</f>
        <v/>
      </c>
      <c r="S1383" s="85" t="str">
        <f>IFERROR(VLOOKUP(CONCATENATE($B1383,"_",S$3),materiali!$C:$K,6,0),"")</f>
        <v/>
      </c>
      <c r="T1383" s="86"/>
      <c r="U1383" s="31"/>
      <c r="AD1383" s="97"/>
    </row>
    <row r="1384" spans="1:30" ht="35.1" hidden="1" customHeight="1" x14ac:dyDescent="0.25">
      <c r="A1384" s="83"/>
      <c r="B1384" s="7"/>
      <c r="C1384" s="8"/>
      <c r="D1384" s="8"/>
      <c r="E1384" s="60"/>
      <c r="F1384" s="84" t="str">
        <f>IFERROR(VLOOKUP(CONCATENATE($B1384,"_",F$3),materiali!$C:$K,5,0),"")</f>
        <v/>
      </c>
      <c r="G1384" s="85" t="str">
        <f>IFERROR(VLOOKUP(CONCATENATE($B1384,"_",G$3),materiali!$C:$K,6,0),"")</f>
        <v/>
      </c>
      <c r="H1384" s="86"/>
      <c r="I1384" s="84" t="str">
        <f>IFERROR(VLOOKUP(CONCATENATE($B1384,"_",I$3),materiali!$C:$K,5,0),"")</f>
        <v/>
      </c>
      <c r="J1384" s="85" t="str">
        <f>IFERROR(VLOOKUP(CONCATENATE($B1384,"_",J$3),materiali!$C:$K,6,0),"")</f>
        <v/>
      </c>
      <c r="K1384" s="86"/>
      <c r="L1384" s="84" t="str">
        <f>IFERROR(VLOOKUP(CONCATENATE($B1384,"_",L$3),materiali!$C:$K,5,0),"")</f>
        <v/>
      </c>
      <c r="M1384" s="85" t="str">
        <f>IFERROR(VLOOKUP(CONCATENATE($B1384,"_",M$3),materiali!$C:$K,6,0),"")</f>
        <v/>
      </c>
      <c r="N1384" s="86"/>
      <c r="O1384" s="84" t="str">
        <f>IFERROR(VLOOKUP(CONCATENATE($B1384,"_",O$3),materiali!$C:$K,5,0),"")</f>
        <v/>
      </c>
      <c r="P1384" s="85" t="str">
        <f>IFERROR(VLOOKUP(CONCATENATE($B1384,"_",P$3),materiali!$C:$K,6,0),"")</f>
        <v/>
      </c>
      <c r="Q1384" s="86"/>
      <c r="R1384" s="84" t="str">
        <f>IFERROR(VLOOKUP(CONCATENATE($B1384,"_",R$3),materiali!$C:$K,5,0),"")</f>
        <v/>
      </c>
      <c r="S1384" s="85" t="str">
        <f>IFERROR(VLOOKUP(CONCATENATE($B1384,"_",S$3),materiali!$C:$K,6,0),"")</f>
        <v/>
      </c>
      <c r="T1384" s="86"/>
      <c r="U1384" s="31"/>
      <c r="AD1384" s="97"/>
    </row>
    <row r="1385" spans="1:30" ht="35.1" hidden="1" customHeight="1" x14ac:dyDescent="0.25">
      <c r="A1385" s="83"/>
      <c r="B1385" s="7"/>
      <c r="C1385" s="8"/>
      <c r="D1385" s="8"/>
      <c r="E1385" s="60"/>
      <c r="F1385" s="84" t="str">
        <f>IFERROR(VLOOKUP(CONCATENATE($B1385,"_",F$3),materiali!$C:$K,5,0),"")</f>
        <v/>
      </c>
      <c r="G1385" s="85" t="str">
        <f>IFERROR(VLOOKUP(CONCATENATE($B1385,"_",G$3),materiali!$C:$K,6,0),"")</f>
        <v/>
      </c>
      <c r="H1385" s="86"/>
      <c r="I1385" s="84" t="str">
        <f>IFERROR(VLOOKUP(CONCATENATE($B1385,"_",I$3),materiali!$C:$K,5,0),"")</f>
        <v/>
      </c>
      <c r="J1385" s="85" t="str">
        <f>IFERROR(VLOOKUP(CONCATENATE($B1385,"_",J$3),materiali!$C:$K,6,0),"")</f>
        <v/>
      </c>
      <c r="K1385" s="86"/>
      <c r="L1385" s="84" t="str">
        <f>IFERROR(VLOOKUP(CONCATENATE($B1385,"_",L$3),materiali!$C:$K,5,0),"")</f>
        <v/>
      </c>
      <c r="M1385" s="85" t="str">
        <f>IFERROR(VLOOKUP(CONCATENATE($B1385,"_",M$3),materiali!$C:$K,6,0),"")</f>
        <v/>
      </c>
      <c r="N1385" s="86"/>
      <c r="O1385" s="84" t="str">
        <f>IFERROR(VLOOKUP(CONCATENATE($B1385,"_",O$3),materiali!$C:$K,5,0),"")</f>
        <v/>
      </c>
      <c r="P1385" s="85" t="str">
        <f>IFERROR(VLOOKUP(CONCATENATE($B1385,"_",P$3),materiali!$C:$K,6,0),"")</f>
        <v/>
      </c>
      <c r="Q1385" s="86"/>
      <c r="R1385" s="84" t="str">
        <f>IFERROR(VLOOKUP(CONCATENATE($B1385,"_",R$3),materiali!$C:$K,5,0),"")</f>
        <v/>
      </c>
      <c r="S1385" s="85" t="str">
        <f>IFERROR(VLOOKUP(CONCATENATE($B1385,"_",S$3),materiali!$C:$K,6,0),"")</f>
        <v/>
      </c>
      <c r="T1385" s="86"/>
      <c r="U1385" s="31"/>
      <c r="AD1385" s="97"/>
    </row>
    <row r="1386" spans="1:30" ht="35.1" hidden="1" customHeight="1" x14ac:dyDescent="0.25">
      <c r="A1386" s="83"/>
      <c r="B1386" s="7"/>
      <c r="C1386" s="8"/>
      <c r="D1386" s="8"/>
      <c r="E1386" s="60"/>
      <c r="F1386" s="84" t="str">
        <f>IFERROR(VLOOKUP(CONCATENATE($B1386,"_",F$3),materiali!$C:$K,5,0),"")</f>
        <v/>
      </c>
      <c r="G1386" s="85" t="str">
        <f>IFERROR(VLOOKUP(CONCATENATE($B1386,"_",G$3),materiali!$C:$K,6,0),"")</f>
        <v/>
      </c>
      <c r="H1386" s="86"/>
      <c r="I1386" s="84" t="str">
        <f>IFERROR(VLOOKUP(CONCATENATE($B1386,"_",I$3),materiali!$C:$K,5,0),"")</f>
        <v/>
      </c>
      <c r="J1386" s="85" t="str">
        <f>IFERROR(VLOOKUP(CONCATENATE($B1386,"_",J$3),materiali!$C:$K,6,0),"")</f>
        <v/>
      </c>
      <c r="K1386" s="86"/>
      <c r="L1386" s="84" t="str">
        <f>IFERROR(VLOOKUP(CONCATENATE($B1386,"_",L$3),materiali!$C:$K,5,0),"")</f>
        <v/>
      </c>
      <c r="M1386" s="85" t="str">
        <f>IFERROR(VLOOKUP(CONCATENATE($B1386,"_",M$3),materiali!$C:$K,6,0),"")</f>
        <v/>
      </c>
      <c r="N1386" s="86"/>
      <c r="O1386" s="84" t="str">
        <f>IFERROR(VLOOKUP(CONCATENATE($B1386,"_",O$3),materiali!$C:$K,5,0),"")</f>
        <v/>
      </c>
      <c r="P1386" s="85" t="str">
        <f>IFERROR(VLOOKUP(CONCATENATE($B1386,"_",P$3),materiali!$C:$K,6,0),"")</f>
        <v/>
      </c>
      <c r="Q1386" s="86"/>
      <c r="R1386" s="84" t="str">
        <f>IFERROR(VLOOKUP(CONCATENATE($B1386,"_",R$3),materiali!$C:$K,5,0),"")</f>
        <v/>
      </c>
      <c r="S1386" s="85" t="str">
        <f>IFERROR(VLOOKUP(CONCATENATE($B1386,"_",S$3),materiali!$C:$K,6,0),"")</f>
        <v/>
      </c>
      <c r="T1386" s="86"/>
      <c r="U1386" s="31"/>
      <c r="AD1386" s="97"/>
    </row>
    <row r="1387" spans="1:30" ht="35.1" hidden="1" customHeight="1" x14ac:dyDescent="0.25">
      <c r="A1387" s="83"/>
      <c r="B1387" s="7"/>
      <c r="C1387" s="8"/>
      <c r="D1387" s="8"/>
      <c r="E1387" s="60"/>
      <c r="F1387" s="84" t="str">
        <f>IFERROR(VLOOKUP(CONCATENATE($B1387,"_",F$3),materiali!$C:$K,5,0),"")</f>
        <v/>
      </c>
      <c r="G1387" s="85" t="str">
        <f>IFERROR(VLOOKUP(CONCATENATE($B1387,"_",G$3),materiali!$C:$K,6,0),"")</f>
        <v/>
      </c>
      <c r="H1387" s="86"/>
      <c r="I1387" s="84" t="str">
        <f>IFERROR(VLOOKUP(CONCATENATE($B1387,"_",I$3),materiali!$C:$K,5,0),"")</f>
        <v/>
      </c>
      <c r="J1387" s="85" t="str">
        <f>IFERROR(VLOOKUP(CONCATENATE($B1387,"_",J$3),materiali!$C:$K,6,0),"")</f>
        <v/>
      </c>
      <c r="K1387" s="86"/>
      <c r="L1387" s="84" t="str">
        <f>IFERROR(VLOOKUP(CONCATENATE($B1387,"_",L$3),materiali!$C:$K,5,0),"")</f>
        <v/>
      </c>
      <c r="M1387" s="85" t="str">
        <f>IFERROR(VLOOKUP(CONCATENATE($B1387,"_",M$3),materiali!$C:$K,6,0),"")</f>
        <v/>
      </c>
      <c r="N1387" s="86"/>
      <c r="O1387" s="84" t="str">
        <f>IFERROR(VLOOKUP(CONCATENATE($B1387,"_",O$3),materiali!$C:$K,5,0),"")</f>
        <v/>
      </c>
      <c r="P1387" s="85" t="str">
        <f>IFERROR(VLOOKUP(CONCATENATE($B1387,"_",P$3),materiali!$C:$K,6,0),"")</f>
        <v/>
      </c>
      <c r="Q1387" s="86"/>
      <c r="R1387" s="84" t="str">
        <f>IFERROR(VLOOKUP(CONCATENATE($B1387,"_",R$3),materiali!$C:$K,5,0),"")</f>
        <v/>
      </c>
      <c r="S1387" s="85" t="str">
        <f>IFERROR(VLOOKUP(CONCATENATE($B1387,"_",S$3),materiali!$C:$K,6,0),"")</f>
        <v/>
      </c>
      <c r="T1387" s="86"/>
      <c r="U1387" s="31"/>
      <c r="AD1387" s="97"/>
    </row>
    <row r="1388" spans="1:30" ht="35.1" hidden="1" customHeight="1" x14ac:dyDescent="0.25">
      <c r="A1388" s="83"/>
      <c r="B1388" s="7"/>
      <c r="C1388" s="8"/>
      <c r="D1388" s="8"/>
      <c r="E1388" s="60"/>
      <c r="F1388" s="84" t="str">
        <f>IFERROR(VLOOKUP(CONCATENATE($B1388,"_",F$3),materiali!$C:$K,5,0),"")</f>
        <v/>
      </c>
      <c r="G1388" s="85" t="str">
        <f>IFERROR(VLOOKUP(CONCATENATE($B1388,"_",G$3),materiali!$C:$K,6,0),"")</f>
        <v/>
      </c>
      <c r="H1388" s="86"/>
      <c r="I1388" s="84" t="str">
        <f>IFERROR(VLOOKUP(CONCATENATE($B1388,"_",I$3),materiali!$C:$K,5,0),"")</f>
        <v/>
      </c>
      <c r="J1388" s="85" t="str">
        <f>IFERROR(VLOOKUP(CONCATENATE($B1388,"_",J$3),materiali!$C:$K,6,0),"")</f>
        <v/>
      </c>
      <c r="K1388" s="86"/>
      <c r="L1388" s="84" t="str">
        <f>IFERROR(VLOOKUP(CONCATENATE($B1388,"_",L$3),materiali!$C:$K,5,0),"")</f>
        <v/>
      </c>
      <c r="M1388" s="85" t="str">
        <f>IFERROR(VLOOKUP(CONCATENATE($B1388,"_",M$3),materiali!$C:$K,6,0),"")</f>
        <v/>
      </c>
      <c r="N1388" s="86"/>
      <c r="O1388" s="84" t="str">
        <f>IFERROR(VLOOKUP(CONCATENATE($B1388,"_",O$3),materiali!$C:$K,5,0),"")</f>
        <v/>
      </c>
      <c r="P1388" s="85" t="str">
        <f>IFERROR(VLOOKUP(CONCATENATE($B1388,"_",P$3),materiali!$C:$K,6,0),"")</f>
        <v/>
      </c>
      <c r="Q1388" s="86"/>
      <c r="R1388" s="84" t="str">
        <f>IFERROR(VLOOKUP(CONCATENATE($B1388,"_",R$3),materiali!$C:$K,5,0),"")</f>
        <v/>
      </c>
      <c r="S1388" s="85" t="str">
        <f>IFERROR(VLOOKUP(CONCATENATE($B1388,"_",S$3),materiali!$C:$K,6,0),"")</f>
        <v/>
      </c>
      <c r="T1388" s="86"/>
      <c r="U1388" s="31"/>
      <c r="AD1388" s="97"/>
    </row>
    <row r="1389" spans="1:30" ht="35.1" hidden="1" customHeight="1" x14ac:dyDescent="0.25">
      <c r="A1389" s="83"/>
      <c r="B1389" s="7"/>
      <c r="C1389" s="8"/>
      <c r="D1389" s="8"/>
      <c r="E1389" s="60"/>
      <c r="F1389" s="84" t="str">
        <f>IFERROR(VLOOKUP(CONCATENATE($B1389,"_",F$3),materiali!$C:$K,5,0),"")</f>
        <v/>
      </c>
      <c r="G1389" s="85" t="str">
        <f>IFERROR(VLOOKUP(CONCATENATE($B1389,"_",G$3),materiali!$C:$K,6,0),"")</f>
        <v/>
      </c>
      <c r="H1389" s="86"/>
      <c r="I1389" s="84" t="str">
        <f>IFERROR(VLOOKUP(CONCATENATE($B1389,"_",I$3),materiali!$C:$K,5,0),"")</f>
        <v/>
      </c>
      <c r="J1389" s="85" t="str">
        <f>IFERROR(VLOOKUP(CONCATENATE($B1389,"_",J$3),materiali!$C:$K,6,0),"")</f>
        <v/>
      </c>
      <c r="K1389" s="86"/>
      <c r="L1389" s="84" t="str">
        <f>IFERROR(VLOOKUP(CONCATENATE($B1389,"_",L$3),materiali!$C:$K,5,0),"")</f>
        <v/>
      </c>
      <c r="M1389" s="85" t="str">
        <f>IFERROR(VLOOKUP(CONCATENATE($B1389,"_",M$3),materiali!$C:$K,6,0),"")</f>
        <v/>
      </c>
      <c r="N1389" s="86"/>
      <c r="O1389" s="84" t="str">
        <f>IFERROR(VLOOKUP(CONCATENATE($B1389,"_",O$3),materiali!$C:$K,5,0),"")</f>
        <v/>
      </c>
      <c r="P1389" s="85" t="str">
        <f>IFERROR(VLOOKUP(CONCATENATE($B1389,"_",P$3),materiali!$C:$K,6,0),"")</f>
        <v/>
      </c>
      <c r="Q1389" s="86"/>
      <c r="R1389" s="84" t="str">
        <f>IFERROR(VLOOKUP(CONCATENATE($B1389,"_",R$3),materiali!$C:$K,5,0),"")</f>
        <v/>
      </c>
      <c r="S1389" s="85" t="str">
        <f>IFERROR(VLOOKUP(CONCATENATE($B1389,"_",S$3),materiali!$C:$K,6,0),"")</f>
        <v/>
      </c>
      <c r="T1389" s="86"/>
      <c r="U1389" s="31"/>
      <c r="AD1389" s="97"/>
    </row>
    <row r="1390" spans="1:30" ht="35.1" hidden="1" customHeight="1" x14ac:dyDescent="0.25">
      <c r="A1390" s="83"/>
      <c r="B1390" s="7"/>
      <c r="C1390" s="8"/>
      <c r="D1390" s="8"/>
      <c r="E1390" s="60"/>
      <c r="F1390" s="84" t="str">
        <f>IFERROR(VLOOKUP(CONCATENATE($B1390,"_",F$3),materiali!$C:$K,5,0),"")</f>
        <v/>
      </c>
      <c r="G1390" s="85" t="str">
        <f>IFERROR(VLOOKUP(CONCATENATE($B1390,"_",G$3),materiali!$C:$K,6,0),"")</f>
        <v/>
      </c>
      <c r="H1390" s="86"/>
      <c r="I1390" s="84" t="str">
        <f>IFERROR(VLOOKUP(CONCATENATE($B1390,"_",I$3),materiali!$C:$K,5,0),"")</f>
        <v/>
      </c>
      <c r="J1390" s="85" t="str">
        <f>IFERROR(VLOOKUP(CONCATENATE($B1390,"_",J$3),materiali!$C:$K,6,0),"")</f>
        <v/>
      </c>
      <c r="K1390" s="86"/>
      <c r="L1390" s="84" t="str">
        <f>IFERROR(VLOOKUP(CONCATENATE($B1390,"_",L$3),materiali!$C:$K,5,0),"")</f>
        <v/>
      </c>
      <c r="M1390" s="85" t="str">
        <f>IFERROR(VLOOKUP(CONCATENATE($B1390,"_",M$3),materiali!$C:$K,6,0),"")</f>
        <v/>
      </c>
      <c r="N1390" s="86"/>
      <c r="O1390" s="84" t="str">
        <f>IFERROR(VLOOKUP(CONCATENATE($B1390,"_",O$3),materiali!$C:$K,5,0),"")</f>
        <v/>
      </c>
      <c r="P1390" s="85" t="str">
        <f>IFERROR(VLOOKUP(CONCATENATE($B1390,"_",P$3),materiali!$C:$K,6,0),"")</f>
        <v/>
      </c>
      <c r="Q1390" s="86"/>
      <c r="R1390" s="84" t="str">
        <f>IFERROR(VLOOKUP(CONCATENATE($B1390,"_",R$3),materiali!$C:$K,5,0),"")</f>
        <v/>
      </c>
      <c r="S1390" s="85" t="str">
        <f>IFERROR(VLOOKUP(CONCATENATE($B1390,"_",S$3),materiali!$C:$K,6,0),"")</f>
        <v/>
      </c>
      <c r="T1390" s="86"/>
      <c r="U1390" s="31"/>
      <c r="AD1390" s="97"/>
    </row>
    <row r="1391" spans="1:30" ht="35.1" hidden="1" customHeight="1" x14ac:dyDescent="0.25">
      <c r="A1391" s="83"/>
      <c r="B1391" s="7"/>
      <c r="C1391" s="8"/>
      <c r="D1391" s="8"/>
      <c r="E1391" s="60"/>
      <c r="F1391" s="84" t="str">
        <f>IFERROR(VLOOKUP(CONCATENATE($B1391,"_",F$3),materiali!$C:$K,5,0),"")</f>
        <v/>
      </c>
      <c r="G1391" s="85" t="str">
        <f>IFERROR(VLOOKUP(CONCATENATE($B1391,"_",G$3),materiali!$C:$K,6,0),"")</f>
        <v/>
      </c>
      <c r="H1391" s="86"/>
      <c r="I1391" s="84" t="str">
        <f>IFERROR(VLOOKUP(CONCATENATE($B1391,"_",I$3),materiali!$C:$K,5,0),"")</f>
        <v/>
      </c>
      <c r="J1391" s="85" t="str">
        <f>IFERROR(VLOOKUP(CONCATENATE($B1391,"_",J$3),materiali!$C:$K,6,0),"")</f>
        <v/>
      </c>
      <c r="K1391" s="86"/>
      <c r="L1391" s="84" t="str">
        <f>IFERROR(VLOOKUP(CONCATENATE($B1391,"_",L$3),materiali!$C:$K,5,0),"")</f>
        <v/>
      </c>
      <c r="M1391" s="85" t="str">
        <f>IFERROR(VLOOKUP(CONCATENATE($B1391,"_",M$3),materiali!$C:$K,6,0),"")</f>
        <v/>
      </c>
      <c r="N1391" s="86"/>
      <c r="O1391" s="84" t="str">
        <f>IFERROR(VLOOKUP(CONCATENATE($B1391,"_",O$3),materiali!$C:$K,5,0),"")</f>
        <v/>
      </c>
      <c r="P1391" s="85" t="str">
        <f>IFERROR(VLOOKUP(CONCATENATE($B1391,"_",P$3),materiali!$C:$K,6,0),"")</f>
        <v/>
      </c>
      <c r="Q1391" s="86"/>
      <c r="R1391" s="84" t="str">
        <f>IFERROR(VLOOKUP(CONCATENATE($B1391,"_",R$3),materiali!$C:$K,5,0),"")</f>
        <v/>
      </c>
      <c r="S1391" s="85" t="str">
        <f>IFERROR(VLOOKUP(CONCATENATE($B1391,"_",S$3),materiali!$C:$K,6,0),"")</f>
        <v/>
      </c>
      <c r="T1391" s="86"/>
      <c r="U1391" s="31"/>
      <c r="AD1391" s="97"/>
    </row>
    <row r="1392" spans="1:30" ht="35.1" hidden="1" customHeight="1" x14ac:dyDescent="0.25">
      <c r="A1392" s="83"/>
      <c r="B1392" s="7"/>
      <c r="C1392" s="8"/>
      <c r="D1392" s="8"/>
      <c r="E1392" s="60"/>
      <c r="F1392" s="84" t="str">
        <f>IFERROR(VLOOKUP(CONCATENATE($B1392,"_",F$3),materiali!$C:$K,5,0),"")</f>
        <v/>
      </c>
      <c r="G1392" s="85" t="str">
        <f>IFERROR(VLOOKUP(CONCATENATE($B1392,"_",G$3),materiali!$C:$K,6,0),"")</f>
        <v/>
      </c>
      <c r="H1392" s="86"/>
      <c r="I1392" s="84" t="str">
        <f>IFERROR(VLOOKUP(CONCATENATE($B1392,"_",I$3),materiali!$C:$K,5,0),"")</f>
        <v/>
      </c>
      <c r="J1392" s="85" t="str">
        <f>IFERROR(VLOOKUP(CONCATENATE($B1392,"_",J$3),materiali!$C:$K,6,0),"")</f>
        <v/>
      </c>
      <c r="K1392" s="86"/>
      <c r="L1392" s="84" t="str">
        <f>IFERROR(VLOOKUP(CONCATENATE($B1392,"_",L$3),materiali!$C:$K,5,0),"")</f>
        <v/>
      </c>
      <c r="M1392" s="85" t="str">
        <f>IFERROR(VLOOKUP(CONCATENATE($B1392,"_",M$3),materiali!$C:$K,6,0),"")</f>
        <v/>
      </c>
      <c r="N1392" s="86"/>
      <c r="O1392" s="84" t="str">
        <f>IFERROR(VLOOKUP(CONCATENATE($B1392,"_",O$3),materiali!$C:$K,5,0),"")</f>
        <v/>
      </c>
      <c r="P1392" s="85" t="str">
        <f>IFERROR(VLOOKUP(CONCATENATE($B1392,"_",P$3),materiali!$C:$K,6,0),"")</f>
        <v/>
      </c>
      <c r="Q1392" s="86"/>
      <c r="R1392" s="84" t="str">
        <f>IFERROR(VLOOKUP(CONCATENATE($B1392,"_",R$3),materiali!$C:$K,5,0),"")</f>
        <v/>
      </c>
      <c r="S1392" s="85" t="str">
        <f>IFERROR(VLOOKUP(CONCATENATE($B1392,"_",S$3),materiali!$C:$K,6,0),"")</f>
        <v/>
      </c>
      <c r="T1392" s="86"/>
      <c r="U1392" s="31"/>
      <c r="AD1392" s="97"/>
    </row>
    <row r="1393" spans="1:30" ht="35.1" hidden="1" customHeight="1" x14ac:dyDescent="0.25">
      <c r="A1393" s="83"/>
      <c r="B1393" s="7"/>
      <c r="C1393" s="8"/>
      <c r="D1393" s="8"/>
      <c r="E1393" s="60"/>
      <c r="F1393" s="84" t="str">
        <f>IFERROR(VLOOKUP(CONCATENATE($B1393,"_",F$3),materiali!$C:$K,5,0),"")</f>
        <v/>
      </c>
      <c r="G1393" s="85" t="str">
        <f>IFERROR(VLOOKUP(CONCATENATE($B1393,"_",G$3),materiali!$C:$K,6,0),"")</f>
        <v/>
      </c>
      <c r="H1393" s="86"/>
      <c r="I1393" s="84" t="str">
        <f>IFERROR(VLOOKUP(CONCATENATE($B1393,"_",I$3),materiali!$C:$K,5,0),"")</f>
        <v/>
      </c>
      <c r="J1393" s="85" t="str">
        <f>IFERROR(VLOOKUP(CONCATENATE($B1393,"_",J$3),materiali!$C:$K,6,0),"")</f>
        <v/>
      </c>
      <c r="K1393" s="86"/>
      <c r="L1393" s="84" t="str">
        <f>IFERROR(VLOOKUP(CONCATENATE($B1393,"_",L$3),materiali!$C:$K,5,0),"")</f>
        <v/>
      </c>
      <c r="M1393" s="85" t="str">
        <f>IFERROR(VLOOKUP(CONCATENATE($B1393,"_",M$3),materiali!$C:$K,6,0),"")</f>
        <v/>
      </c>
      <c r="N1393" s="86"/>
      <c r="O1393" s="84" t="str">
        <f>IFERROR(VLOOKUP(CONCATENATE($B1393,"_",O$3),materiali!$C:$K,5,0),"")</f>
        <v/>
      </c>
      <c r="P1393" s="85" t="str">
        <f>IFERROR(VLOOKUP(CONCATENATE($B1393,"_",P$3),materiali!$C:$K,6,0),"")</f>
        <v/>
      </c>
      <c r="Q1393" s="86"/>
      <c r="R1393" s="84" t="str">
        <f>IFERROR(VLOOKUP(CONCATENATE($B1393,"_",R$3),materiali!$C:$K,5,0),"")</f>
        <v/>
      </c>
      <c r="S1393" s="85" t="str">
        <f>IFERROR(VLOOKUP(CONCATENATE($B1393,"_",S$3),materiali!$C:$K,6,0),"")</f>
        <v/>
      </c>
      <c r="T1393" s="86"/>
      <c r="U1393" s="31"/>
      <c r="AD1393" s="97"/>
    </row>
    <row r="1394" spans="1:30" ht="35.1" hidden="1" customHeight="1" x14ac:dyDescent="0.25">
      <c r="A1394" s="83"/>
      <c r="B1394" s="7"/>
      <c r="C1394" s="8"/>
      <c r="D1394" s="8"/>
      <c r="E1394" s="60"/>
      <c r="F1394" s="84" t="str">
        <f>IFERROR(VLOOKUP(CONCATENATE($B1394,"_",F$3),materiali!$C:$K,5,0),"")</f>
        <v/>
      </c>
      <c r="G1394" s="85" t="str">
        <f>IFERROR(VLOOKUP(CONCATENATE($B1394,"_",G$3),materiali!$C:$K,6,0),"")</f>
        <v/>
      </c>
      <c r="H1394" s="86"/>
      <c r="I1394" s="84" t="str">
        <f>IFERROR(VLOOKUP(CONCATENATE($B1394,"_",I$3),materiali!$C:$K,5,0),"")</f>
        <v/>
      </c>
      <c r="J1394" s="85" t="str">
        <f>IFERROR(VLOOKUP(CONCATENATE($B1394,"_",J$3),materiali!$C:$K,6,0),"")</f>
        <v/>
      </c>
      <c r="K1394" s="86"/>
      <c r="L1394" s="84" t="str">
        <f>IFERROR(VLOOKUP(CONCATENATE($B1394,"_",L$3),materiali!$C:$K,5,0),"")</f>
        <v/>
      </c>
      <c r="M1394" s="85" t="str">
        <f>IFERROR(VLOOKUP(CONCATENATE($B1394,"_",M$3),materiali!$C:$K,6,0),"")</f>
        <v/>
      </c>
      <c r="N1394" s="86"/>
      <c r="O1394" s="84" t="str">
        <f>IFERROR(VLOOKUP(CONCATENATE($B1394,"_",O$3),materiali!$C:$K,5,0),"")</f>
        <v/>
      </c>
      <c r="P1394" s="85" t="str">
        <f>IFERROR(VLOOKUP(CONCATENATE($B1394,"_",P$3),materiali!$C:$K,6,0),"")</f>
        <v/>
      </c>
      <c r="Q1394" s="86"/>
      <c r="R1394" s="84" t="str">
        <f>IFERROR(VLOOKUP(CONCATENATE($B1394,"_",R$3),materiali!$C:$K,5,0),"")</f>
        <v/>
      </c>
      <c r="S1394" s="85" t="str">
        <f>IFERROR(VLOOKUP(CONCATENATE($B1394,"_",S$3),materiali!$C:$K,6,0),"")</f>
        <v/>
      </c>
      <c r="T1394" s="86"/>
      <c r="U1394" s="31"/>
      <c r="AD1394" s="97"/>
    </row>
    <row r="1395" spans="1:30" ht="35.1" hidden="1" customHeight="1" x14ac:dyDescent="0.25">
      <c r="A1395" s="83"/>
      <c r="B1395" s="7"/>
      <c r="C1395" s="8"/>
      <c r="D1395" s="8"/>
      <c r="E1395" s="60"/>
      <c r="F1395" s="84" t="str">
        <f>IFERROR(VLOOKUP(CONCATENATE($B1395,"_",F$3),materiali!$C:$K,5,0),"")</f>
        <v/>
      </c>
      <c r="G1395" s="85" t="str">
        <f>IFERROR(VLOOKUP(CONCATENATE($B1395,"_",G$3),materiali!$C:$K,6,0),"")</f>
        <v/>
      </c>
      <c r="H1395" s="86"/>
      <c r="I1395" s="84" t="str">
        <f>IFERROR(VLOOKUP(CONCATENATE($B1395,"_",I$3),materiali!$C:$K,5,0),"")</f>
        <v/>
      </c>
      <c r="J1395" s="85" t="str">
        <f>IFERROR(VLOOKUP(CONCATENATE($B1395,"_",J$3),materiali!$C:$K,6,0),"")</f>
        <v/>
      </c>
      <c r="K1395" s="86"/>
      <c r="L1395" s="84" t="str">
        <f>IFERROR(VLOOKUP(CONCATENATE($B1395,"_",L$3),materiali!$C:$K,5,0),"")</f>
        <v/>
      </c>
      <c r="M1395" s="85" t="str">
        <f>IFERROR(VLOOKUP(CONCATENATE($B1395,"_",M$3),materiali!$C:$K,6,0),"")</f>
        <v/>
      </c>
      <c r="N1395" s="86"/>
      <c r="O1395" s="84" t="str">
        <f>IFERROR(VLOOKUP(CONCATENATE($B1395,"_",O$3),materiali!$C:$K,5,0),"")</f>
        <v/>
      </c>
      <c r="P1395" s="85" t="str">
        <f>IFERROR(VLOOKUP(CONCATENATE($B1395,"_",P$3),materiali!$C:$K,6,0),"")</f>
        <v/>
      </c>
      <c r="Q1395" s="86"/>
      <c r="R1395" s="84" t="str">
        <f>IFERROR(VLOOKUP(CONCATENATE($B1395,"_",R$3),materiali!$C:$K,5,0),"")</f>
        <v/>
      </c>
      <c r="S1395" s="85" t="str">
        <f>IFERROR(VLOOKUP(CONCATENATE($B1395,"_",S$3),materiali!$C:$K,6,0),"")</f>
        <v/>
      </c>
      <c r="T1395" s="86"/>
      <c r="U1395" s="31"/>
      <c r="AD1395" s="97"/>
    </row>
    <row r="1396" spans="1:30" ht="35.1" hidden="1" customHeight="1" x14ac:dyDescent="0.25">
      <c r="A1396" s="83"/>
      <c r="B1396" s="7"/>
      <c r="C1396" s="8"/>
      <c r="D1396" s="8"/>
      <c r="E1396" s="60"/>
      <c r="F1396" s="84" t="str">
        <f>IFERROR(VLOOKUP(CONCATENATE($B1396,"_",F$3),materiali!$C:$K,5,0),"")</f>
        <v/>
      </c>
      <c r="G1396" s="85" t="str">
        <f>IFERROR(VLOOKUP(CONCATENATE($B1396,"_",G$3),materiali!$C:$K,6,0),"")</f>
        <v/>
      </c>
      <c r="H1396" s="86"/>
      <c r="I1396" s="84" t="str">
        <f>IFERROR(VLOOKUP(CONCATENATE($B1396,"_",I$3),materiali!$C:$K,5,0),"")</f>
        <v/>
      </c>
      <c r="J1396" s="85" t="str">
        <f>IFERROR(VLOOKUP(CONCATENATE($B1396,"_",J$3),materiali!$C:$K,6,0),"")</f>
        <v/>
      </c>
      <c r="K1396" s="86"/>
      <c r="L1396" s="84" t="str">
        <f>IFERROR(VLOOKUP(CONCATENATE($B1396,"_",L$3),materiali!$C:$K,5,0),"")</f>
        <v/>
      </c>
      <c r="M1396" s="85" t="str">
        <f>IFERROR(VLOOKUP(CONCATENATE($B1396,"_",M$3),materiali!$C:$K,6,0),"")</f>
        <v/>
      </c>
      <c r="N1396" s="86"/>
      <c r="O1396" s="84" t="str">
        <f>IFERROR(VLOOKUP(CONCATENATE($B1396,"_",O$3),materiali!$C:$K,5,0),"")</f>
        <v/>
      </c>
      <c r="P1396" s="85" t="str">
        <f>IFERROR(VLOOKUP(CONCATENATE($B1396,"_",P$3),materiali!$C:$K,6,0),"")</f>
        <v/>
      </c>
      <c r="Q1396" s="86"/>
      <c r="R1396" s="84" t="str">
        <f>IFERROR(VLOOKUP(CONCATENATE($B1396,"_",R$3),materiali!$C:$K,5,0),"")</f>
        <v/>
      </c>
      <c r="S1396" s="85" t="str">
        <f>IFERROR(VLOOKUP(CONCATENATE($B1396,"_",S$3),materiali!$C:$K,6,0),"")</f>
        <v/>
      </c>
      <c r="T1396" s="86"/>
      <c r="U1396" s="31"/>
      <c r="AD1396" s="97"/>
    </row>
    <row r="1397" spans="1:30" ht="35.1" hidden="1" customHeight="1" x14ac:dyDescent="0.25">
      <c r="A1397" s="83"/>
      <c r="B1397" s="7"/>
      <c r="C1397" s="8"/>
      <c r="D1397" s="8"/>
      <c r="E1397" s="60"/>
      <c r="F1397" s="84" t="str">
        <f>IFERROR(VLOOKUP(CONCATENATE($B1397,"_",F$3),materiali!$C:$K,5,0),"")</f>
        <v/>
      </c>
      <c r="G1397" s="85" t="str">
        <f>IFERROR(VLOOKUP(CONCATENATE($B1397,"_",G$3),materiali!$C:$K,6,0),"")</f>
        <v/>
      </c>
      <c r="H1397" s="86"/>
      <c r="I1397" s="84" t="str">
        <f>IFERROR(VLOOKUP(CONCATENATE($B1397,"_",I$3),materiali!$C:$K,5,0),"")</f>
        <v/>
      </c>
      <c r="J1397" s="85" t="str">
        <f>IFERROR(VLOOKUP(CONCATENATE($B1397,"_",J$3),materiali!$C:$K,6,0),"")</f>
        <v/>
      </c>
      <c r="K1397" s="86"/>
      <c r="L1397" s="84" t="str">
        <f>IFERROR(VLOOKUP(CONCATENATE($B1397,"_",L$3),materiali!$C:$K,5,0),"")</f>
        <v/>
      </c>
      <c r="M1397" s="85" t="str">
        <f>IFERROR(VLOOKUP(CONCATENATE($B1397,"_",M$3),materiali!$C:$K,6,0),"")</f>
        <v/>
      </c>
      <c r="N1397" s="86"/>
      <c r="O1397" s="84" t="str">
        <f>IFERROR(VLOOKUP(CONCATENATE($B1397,"_",O$3),materiali!$C:$K,5,0),"")</f>
        <v/>
      </c>
      <c r="P1397" s="85" t="str">
        <f>IFERROR(VLOOKUP(CONCATENATE($B1397,"_",P$3),materiali!$C:$K,6,0),"")</f>
        <v/>
      </c>
      <c r="Q1397" s="86"/>
      <c r="R1397" s="84" t="str">
        <f>IFERROR(VLOOKUP(CONCATENATE($B1397,"_",R$3),materiali!$C:$K,5,0),"")</f>
        <v/>
      </c>
      <c r="S1397" s="85" t="str">
        <f>IFERROR(VLOOKUP(CONCATENATE($B1397,"_",S$3),materiali!$C:$K,6,0),"")</f>
        <v/>
      </c>
      <c r="T1397" s="86"/>
      <c r="U1397" s="31"/>
      <c r="AD1397" s="97"/>
    </row>
    <row r="1398" spans="1:30" ht="35.1" hidden="1" customHeight="1" x14ac:dyDescent="0.25">
      <c r="A1398" s="83"/>
      <c r="B1398" s="7"/>
      <c r="C1398" s="8"/>
      <c r="D1398" s="8"/>
      <c r="E1398" s="60"/>
      <c r="F1398" s="84" t="str">
        <f>IFERROR(VLOOKUP(CONCATENATE($B1398,"_",F$3),materiali!$C:$K,5,0),"")</f>
        <v/>
      </c>
      <c r="G1398" s="85" t="str">
        <f>IFERROR(VLOOKUP(CONCATENATE($B1398,"_",G$3),materiali!$C:$K,6,0),"")</f>
        <v/>
      </c>
      <c r="H1398" s="86"/>
      <c r="I1398" s="84" t="str">
        <f>IFERROR(VLOOKUP(CONCATENATE($B1398,"_",I$3),materiali!$C:$K,5,0),"")</f>
        <v/>
      </c>
      <c r="J1398" s="85" t="str">
        <f>IFERROR(VLOOKUP(CONCATENATE($B1398,"_",J$3),materiali!$C:$K,6,0),"")</f>
        <v/>
      </c>
      <c r="K1398" s="86"/>
      <c r="L1398" s="84" t="str">
        <f>IFERROR(VLOOKUP(CONCATENATE($B1398,"_",L$3),materiali!$C:$K,5,0),"")</f>
        <v/>
      </c>
      <c r="M1398" s="85" t="str">
        <f>IFERROR(VLOOKUP(CONCATENATE($B1398,"_",M$3),materiali!$C:$K,6,0),"")</f>
        <v/>
      </c>
      <c r="N1398" s="86"/>
      <c r="O1398" s="84" t="str">
        <f>IFERROR(VLOOKUP(CONCATENATE($B1398,"_",O$3),materiali!$C:$K,5,0),"")</f>
        <v/>
      </c>
      <c r="P1398" s="85" t="str">
        <f>IFERROR(VLOOKUP(CONCATENATE($B1398,"_",P$3),materiali!$C:$K,6,0),"")</f>
        <v/>
      </c>
      <c r="Q1398" s="86"/>
      <c r="R1398" s="84" t="str">
        <f>IFERROR(VLOOKUP(CONCATENATE($B1398,"_",R$3),materiali!$C:$K,5,0),"")</f>
        <v/>
      </c>
      <c r="S1398" s="85" t="str">
        <f>IFERROR(VLOOKUP(CONCATENATE($B1398,"_",S$3),materiali!$C:$K,6,0),"")</f>
        <v/>
      </c>
      <c r="T1398" s="86"/>
      <c r="U1398" s="31"/>
      <c r="AD1398" s="97"/>
    </row>
    <row r="1399" spans="1:30" ht="35.1" hidden="1" customHeight="1" x14ac:dyDescent="0.25">
      <c r="A1399" s="83"/>
      <c r="B1399" s="7"/>
      <c r="C1399" s="8"/>
      <c r="D1399" s="8"/>
      <c r="E1399" s="60"/>
      <c r="F1399" s="84" t="str">
        <f>IFERROR(VLOOKUP(CONCATENATE($B1399,"_",F$3),materiali!$C:$K,5,0),"")</f>
        <v/>
      </c>
      <c r="G1399" s="85" t="str">
        <f>IFERROR(VLOOKUP(CONCATENATE($B1399,"_",G$3),materiali!$C:$K,6,0),"")</f>
        <v/>
      </c>
      <c r="H1399" s="86"/>
      <c r="I1399" s="84" t="str">
        <f>IFERROR(VLOOKUP(CONCATENATE($B1399,"_",I$3),materiali!$C:$K,5,0),"")</f>
        <v/>
      </c>
      <c r="J1399" s="85" t="str">
        <f>IFERROR(VLOOKUP(CONCATENATE($B1399,"_",J$3),materiali!$C:$K,6,0),"")</f>
        <v/>
      </c>
      <c r="K1399" s="86"/>
      <c r="L1399" s="84" t="str">
        <f>IFERROR(VLOOKUP(CONCATENATE($B1399,"_",L$3),materiali!$C:$K,5,0),"")</f>
        <v/>
      </c>
      <c r="M1399" s="85" t="str">
        <f>IFERROR(VLOOKUP(CONCATENATE($B1399,"_",M$3),materiali!$C:$K,6,0),"")</f>
        <v/>
      </c>
      <c r="N1399" s="86"/>
      <c r="O1399" s="84" t="str">
        <f>IFERROR(VLOOKUP(CONCATENATE($B1399,"_",O$3),materiali!$C:$K,5,0),"")</f>
        <v/>
      </c>
      <c r="P1399" s="85" t="str">
        <f>IFERROR(VLOOKUP(CONCATENATE($B1399,"_",P$3),materiali!$C:$K,6,0),"")</f>
        <v/>
      </c>
      <c r="Q1399" s="86"/>
      <c r="R1399" s="84" t="str">
        <f>IFERROR(VLOOKUP(CONCATENATE($B1399,"_",R$3),materiali!$C:$K,5,0),"")</f>
        <v/>
      </c>
      <c r="S1399" s="85" t="str">
        <f>IFERROR(VLOOKUP(CONCATENATE($B1399,"_",S$3),materiali!$C:$K,6,0),"")</f>
        <v/>
      </c>
      <c r="T1399" s="86"/>
      <c r="U1399" s="31"/>
      <c r="AD1399" s="97"/>
    </row>
    <row r="1400" spans="1:30" ht="35.1" hidden="1" customHeight="1" x14ac:dyDescent="0.25">
      <c r="A1400" s="83"/>
      <c r="B1400" s="7"/>
      <c r="C1400" s="8"/>
      <c r="D1400" s="8"/>
      <c r="E1400" s="60"/>
      <c r="F1400" s="84" t="str">
        <f>IFERROR(VLOOKUP(CONCATENATE($B1400,"_",F$3),materiali!$C:$K,5,0),"")</f>
        <v/>
      </c>
      <c r="G1400" s="85" t="str">
        <f>IFERROR(VLOOKUP(CONCATENATE($B1400,"_",G$3),materiali!$C:$K,6,0),"")</f>
        <v/>
      </c>
      <c r="H1400" s="86"/>
      <c r="I1400" s="84" t="str">
        <f>IFERROR(VLOOKUP(CONCATENATE($B1400,"_",I$3),materiali!$C:$K,5,0),"")</f>
        <v/>
      </c>
      <c r="J1400" s="85" t="str">
        <f>IFERROR(VLOOKUP(CONCATENATE($B1400,"_",J$3),materiali!$C:$K,6,0),"")</f>
        <v/>
      </c>
      <c r="K1400" s="86"/>
      <c r="L1400" s="84" t="str">
        <f>IFERROR(VLOOKUP(CONCATENATE($B1400,"_",L$3),materiali!$C:$K,5,0),"")</f>
        <v/>
      </c>
      <c r="M1400" s="85" t="str">
        <f>IFERROR(VLOOKUP(CONCATENATE($B1400,"_",M$3),materiali!$C:$K,6,0),"")</f>
        <v/>
      </c>
      <c r="N1400" s="86"/>
      <c r="O1400" s="84" t="str">
        <f>IFERROR(VLOOKUP(CONCATENATE($B1400,"_",O$3),materiali!$C:$K,5,0),"")</f>
        <v/>
      </c>
      <c r="P1400" s="85" t="str">
        <f>IFERROR(VLOOKUP(CONCATENATE($B1400,"_",P$3),materiali!$C:$K,6,0),"")</f>
        <v/>
      </c>
      <c r="Q1400" s="86"/>
      <c r="R1400" s="84" t="str">
        <f>IFERROR(VLOOKUP(CONCATENATE($B1400,"_",R$3),materiali!$C:$K,5,0),"")</f>
        <v/>
      </c>
      <c r="S1400" s="85" t="str">
        <f>IFERROR(VLOOKUP(CONCATENATE($B1400,"_",S$3),materiali!$C:$K,6,0),"")</f>
        <v/>
      </c>
      <c r="T1400" s="86"/>
      <c r="U1400" s="31"/>
      <c r="AD1400" s="97"/>
    </row>
    <row r="1401" spans="1:30" ht="35.1" hidden="1" customHeight="1" x14ac:dyDescent="0.25">
      <c r="A1401" s="83"/>
      <c r="B1401" s="7"/>
      <c r="C1401" s="8"/>
      <c r="D1401" s="8"/>
      <c r="E1401" s="60"/>
      <c r="F1401" s="84" t="str">
        <f>IFERROR(VLOOKUP(CONCATENATE($B1401,"_",F$3),materiali!$C:$K,5,0),"")</f>
        <v/>
      </c>
      <c r="G1401" s="85" t="str">
        <f>IFERROR(VLOOKUP(CONCATENATE($B1401,"_",G$3),materiali!$C:$K,6,0),"")</f>
        <v/>
      </c>
      <c r="H1401" s="86"/>
      <c r="I1401" s="84" t="str">
        <f>IFERROR(VLOOKUP(CONCATENATE($B1401,"_",I$3),materiali!$C:$K,5,0),"")</f>
        <v/>
      </c>
      <c r="J1401" s="85" t="str">
        <f>IFERROR(VLOOKUP(CONCATENATE($B1401,"_",J$3),materiali!$C:$K,6,0),"")</f>
        <v/>
      </c>
      <c r="K1401" s="86"/>
      <c r="L1401" s="84" t="str">
        <f>IFERROR(VLOOKUP(CONCATENATE($B1401,"_",L$3),materiali!$C:$K,5,0),"")</f>
        <v/>
      </c>
      <c r="M1401" s="85" t="str">
        <f>IFERROR(VLOOKUP(CONCATENATE($B1401,"_",M$3),materiali!$C:$K,6,0),"")</f>
        <v/>
      </c>
      <c r="N1401" s="86"/>
      <c r="O1401" s="84" t="str">
        <f>IFERROR(VLOOKUP(CONCATENATE($B1401,"_",O$3),materiali!$C:$K,5,0),"")</f>
        <v/>
      </c>
      <c r="P1401" s="85" t="str">
        <f>IFERROR(VLOOKUP(CONCATENATE($B1401,"_",P$3),materiali!$C:$K,6,0),"")</f>
        <v/>
      </c>
      <c r="Q1401" s="86"/>
      <c r="R1401" s="84" t="str">
        <f>IFERROR(VLOOKUP(CONCATENATE($B1401,"_",R$3),materiali!$C:$K,5,0),"")</f>
        <v/>
      </c>
      <c r="S1401" s="85" t="str">
        <f>IFERROR(VLOOKUP(CONCATENATE($B1401,"_",S$3),materiali!$C:$K,6,0),"")</f>
        <v/>
      </c>
      <c r="T1401" s="86"/>
      <c r="U1401" s="31"/>
      <c r="AD1401" s="97"/>
    </row>
    <row r="1402" spans="1:30" ht="35.1" hidden="1" customHeight="1" x14ac:dyDescent="0.25">
      <c r="A1402" s="83"/>
      <c r="B1402" s="7"/>
      <c r="C1402" s="8"/>
      <c r="D1402" s="8"/>
      <c r="E1402" s="60"/>
      <c r="F1402" s="84" t="str">
        <f>IFERROR(VLOOKUP(CONCATENATE($B1402,"_",F$3),materiali!$C:$K,5,0),"")</f>
        <v/>
      </c>
      <c r="G1402" s="85" t="str">
        <f>IFERROR(VLOOKUP(CONCATENATE($B1402,"_",G$3),materiali!$C:$K,6,0),"")</f>
        <v/>
      </c>
      <c r="H1402" s="86"/>
      <c r="I1402" s="84" t="str">
        <f>IFERROR(VLOOKUP(CONCATENATE($B1402,"_",I$3),materiali!$C:$K,5,0),"")</f>
        <v/>
      </c>
      <c r="J1402" s="85" t="str">
        <f>IFERROR(VLOOKUP(CONCATENATE($B1402,"_",J$3),materiali!$C:$K,6,0),"")</f>
        <v/>
      </c>
      <c r="K1402" s="86"/>
      <c r="L1402" s="84" t="str">
        <f>IFERROR(VLOOKUP(CONCATENATE($B1402,"_",L$3),materiali!$C:$K,5,0),"")</f>
        <v/>
      </c>
      <c r="M1402" s="85" t="str">
        <f>IFERROR(VLOOKUP(CONCATENATE($B1402,"_",M$3),materiali!$C:$K,6,0),"")</f>
        <v/>
      </c>
      <c r="N1402" s="86"/>
      <c r="O1402" s="84" t="str">
        <f>IFERROR(VLOOKUP(CONCATENATE($B1402,"_",O$3),materiali!$C:$K,5,0),"")</f>
        <v/>
      </c>
      <c r="P1402" s="85" t="str">
        <f>IFERROR(VLOOKUP(CONCATENATE($B1402,"_",P$3),materiali!$C:$K,6,0),"")</f>
        <v/>
      </c>
      <c r="Q1402" s="86"/>
      <c r="R1402" s="84" t="str">
        <f>IFERROR(VLOOKUP(CONCATENATE($B1402,"_",R$3),materiali!$C:$K,5,0),"")</f>
        <v/>
      </c>
      <c r="S1402" s="85" t="str">
        <f>IFERROR(VLOOKUP(CONCATENATE($B1402,"_",S$3),materiali!$C:$K,6,0),"")</f>
        <v/>
      </c>
      <c r="T1402" s="86"/>
      <c r="U1402" s="31"/>
      <c r="AD1402" s="97"/>
    </row>
    <row r="1403" spans="1:30" ht="35.1" hidden="1" customHeight="1" x14ac:dyDescent="0.25">
      <c r="A1403" s="83"/>
      <c r="B1403" s="7"/>
      <c r="C1403" s="8"/>
      <c r="D1403" s="8"/>
      <c r="E1403" s="60"/>
      <c r="F1403" s="84" t="str">
        <f>IFERROR(VLOOKUP(CONCATENATE($B1403,"_",F$3),materiali!$C:$K,5,0),"")</f>
        <v/>
      </c>
      <c r="G1403" s="85" t="str">
        <f>IFERROR(VLOOKUP(CONCATENATE($B1403,"_",G$3),materiali!$C:$K,6,0),"")</f>
        <v/>
      </c>
      <c r="H1403" s="86"/>
      <c r="I1403" s="84" t="str">
        <f>IFERROR(VLOOKUP(CONCATENATE($B1403,"_",I$3),materiali!$C:$K,5,0),"")</f>
        <v/>
      </c>
      <c r="J1403" s="85" t="str">
        <f>IFERROR(VLOOKUP(CONCATENATE($B1403,"_",J$3),materiali!$C:$K,6,0),"")</f>
        <v/>
      </c>
      <c r="K1403" s="86"/>
      <c r="L1403" s="84" t="str">
        <f>IFERROR(VLOOKUP(CONCATENATE($B1403,"_",L$3),materiali!$C:$K,5,0),"")</f>
        <v/>
      </c>
      <c r="M1403" s="85" t="str">
        <f>IFERROR(VLOOKUP(CONCATENATE($B1403,"_",M$3),materiali!$C:$K,6,0),"")</f>
        <v/>
      </c>
      <c r="N1403" s="86"/>
      <c r="O1403" s="84" t="str">
        <f>IFERROR(VLOOKUP(CONCATENATE($B1403,"_",O$3),materiali!$C:$K,5,0),"")</f>
        <v/>
      </c>
      <c r="P1403" s="85" t="str">
        <f>IFERROR(VLOOKUP(CONCATENATE($B1403,"_",P$3),materiali!$C:$K,6,0),"")</f>
        <v/>
      </c>
      <c r="Q1403" s="86"/>
      <c r="R1403" s="84" t="str">
        <f>IFERROR(VLOOKUP(CONCATENATE($B1403,"_",R$3),materiali!$C:$K,5,0),"")</f>
        <v/>
      </c>
      <c r="S1403" s="85" t="str">
        <f>IFERROR(VLOOKUP(CONCATENATE($B1403,"_",S$3),materiali!$C:$K,6,0),"")</f>
        <v/>
      </c>
      <c r="T1403" s="86"/>
      <c r="U1403" s="31"/>
      <c r="AD1403" s="97"/>
    </row>
    <row r="1404" spans="1:30" ht="35.1" hidden="1" customHeight="1" x14ac:dyDescent="0.25">
      <c r="A1404" s="83"/>
      <c r="B1404" s="7"/>
      <c r="C1404" s="8"/>
      <c r="D1404" s="8"/>
      <c r="E1404" s="60"/>
      <c r="F1404" s="84" t="str">
        <f>IFERROR(VLOOKUP(CONCATENATE($B1404,"_",F$3),materiali!$C:$K,5,0),"")</f>
        <v/>
      </c>
      <c r="G1404" s="85" t="str">
        <f>IFERROR(VLOOKUP(CONCATENATE($B1404,"_",G$3),materiali!$C:$K,6,0),"")</f>
        <v/>
      </c>
      <c r="H1404" s="86"/>
      <c r="I1404" s="84" t="str">
        <f>IFERROR(VLOOKUP(CONCATENATE($B1404,"_",I$3),materiali!$C:$K,5,0),"")</f>
        <v/>
      </c>
      <c r="J1404" s="85" t="str">
        <f>IFERROR(VLOOKUP(CONCATENATE($B1404,"_",J$3),materiali!$C:$K,6,0),"")</f>
        <v/>
      </c>
      <c r="K1404" s="86"/>
      <c r="L1404" s="84" t="str">
        <f>IFERROR(VLOOKUP(CONCATENATE($B1404,"_",L$3),materiali!$C:$K,5,0),"")</f>
        <v/>
      </c>
      <c r="M1404" s="85" t="str">
        <f>IFERROR(VLOOKUP(CONCATENATE($B1404,"_",M$3),materiali!$C:$K,6,0),"")</f>
        <v/>
      </c>
      <c r="N1404" s="86"/>
      <c r="O1404" s="84" t="str">
        <f>IFERROR(VLOOKUP(CONCATENATE($B1404,"_",O$3),materiali!$C:$K,5,0),"")</f>
        <v/>
      </c>
      <c r="P1404" s="85" t="str">
        <f>IFERROR(VLOOKUP(CONCATENATE($B1404,"_",P$3),materiali!$C:$K,6,0),"")</f>
        <v/>
      </c>
      <c r="Q1404" s="86"/>
      <c r="R1404" s="84" t="str">
        <f>IFERROR(VLOOKUP(CONCATENATE($B1404,"_",R$3),materiali!$C:$K,5,0),"")</f>
        <v/>
      </c>
      <c r="S1404" s="85" t="str">
        <f>IFERROR(VLOOKUP(CONCATENATE($B1404,"_",S$3),materiali!$C:$K,6,0),"")</f>
        <v/>
      </c>
      <c r="T1404" s="86"/>
      <c r="U1404" s="31"/>
      <c r="AD1404" s="97"/>
    </row>
    <row r="1405" spans="1:30" ht="35.1" hidden="1" customHeight="1" x14ac:dyDescent="0.25">
      <c r="A1405" s="83"/>
      <c r="B1405" s="7"/>
      <c r="C1405" s="8"/>
      <c r="D1405" s="8"/>
      <c r="E1405" s="60"/>
      <c r="F1405" s="84" t="str">
        <f>IFERROR(VLOOKUP(CONCATENATE($B1405,"_",F$3),materiali!$C:$K,5,0),"")</f>
        <v/>
      </c>
      <c r="G1405" s="85" t="str">
        <f>IFERROR(VLOOKUP(CONCATENATE($B1405,"_",G$3),materiali!$C:$K,6,0),"")</f>
        <v/>
      </c>
      <c r="H1405" s="86"/>
      <c r="I1405" s="84" t="str">
        <f>IFERROR(VLOOKUP(CONCATENATE($B1405,"_",I$3),materiali!$C:$K,5,0),"")</f>
        <v/>
      </c>
      <c r="J1405" s="85" t="str">
        <f>IFERROR(VLOOKUP(CONCATENATE($B1405,"_",J$3),materiali!$C:$K,6,0),"")</f>
        <v/>
      </c>
      <c r="K1405" s="86"/>
      <c r="L1405" s="84" t="str">
        <f>IFERROR(VLOOKUP(CONCATENATE($B1405,"_",L$3),materiali!$C:$K,5,0),"")</f>
        <v/>
      </c>
      <c r="M1405" s="85" t="str">
        <f>IFERROR(VLOOKUP(CONCATENATE($B1405,"_",M$3),materiali!$C:$K,6,0),"")</f>
        <v/>
      </c>
      <c r="N1405" s="86"/>
      <c r="O1405" s="84" t="str">
        <f>IFERROR(VLOOKUP(CONCATENATE($B1405,"_",O$3),materiali!$C:$K,5,0),"")</f>
        <v/>
      </c>
      <c r="P1405" s="85" t="str">
        <f>IFERROR(VLOOKUP(CONCATENATE($B1405,"_",P$3),materiali!$C:$K,6,0),"")</f>
        <v/>
      </c>
      <c r="Q1405" s="86"/>
      <c r="R1405" s="84" t="str">
        <f>IFERROR(VLOOKUP(CONCATENATE($B1405,"_",R$3),materiali!$C:$K,5,0),"")</f>
        <v/>
      </c>
      <c r="S1405" s="85" t="str">
        <f>IFERROR(VLOOKUP(CONCATENATE($B1405,"_",S$3),materiali!$C:$K,6,0),"")</f>
        <v/>
      </c>
      <c r="T1405" s="86"/>
      <c r="U1405" s="31"/>
      <c r="AD1405" s="97"/>
    </row>
    <row r="1406" spans="1:30" ht="35.1" hidden="1" customHeight="1" x14ac:dyDescent="0.25">
      <c r="A1406" s="83"/>
      <c r="B1406" s="7"/>
      <c r="C1406" s="8"/>
      <c r="D1406" s="8"/>
      <c r="E1406" s="60"/>
      <c r="F1406" s="84" t="str">
        <f>IFERROR(VLOOKUP(CONCATENATE($B1406,"_",F$3),materiali!$C:$K,5,0),"")</f>
        <v/>
      </c>
      <c r="G1406" s="85" t="str">
        <f>IFERROR(VLOOKUP(CONCATENATE($B1406,"_",G$3),materiali!$C:$K,6,0),"")</f>
        <v/>
      </c>
      <c r="H1406" s="86"/>
      <c r="I1406" s="84" t="str">
        <f>IFERROR(VLOOKUP(CONCATENATE($B1406,"_",I$3),materiali!$C:$K,5,0),"")</f>
        <v/>
      </c>
      <c r="J1406" s="85" t="str">
        <f>IFERROR(VLOOKUP(CONCATENATE($B1406,"_",J$3),materiali!$C:$K,6,0),"")</f>
        <v/>
      </c>
      <c r="K1406" s="86"/>
      <c r="L1406" s="84" t="str">
        <f>IFERROR(VLOOKUP(CONCATENATE($B1406,"_",L$3),materiali!$C:$K,5,0),"")</f>
        <v/>
      </c>
      <c r="M1406" s="85" t="str">
        <f>IFERROR(VLOOKUP(CONCATENATE($B1406,"_",M$3),materiali!$C:$K,6,0),"")</f>
        <v/>
      </c>
      <c r="N1406" s="86"/>
      <c r="O1406" s="84" t="str">
        <f>IFERROR(VLOOKUP(CONCATENATE($B1406,"_",O$3),materiali!$C:$K,5,0),"")</f>
        <v/>
      </c>
      <c r="P1406" s="85" t="str">
        <f>IFERROR(VLOOKUP(CONCATENATE($B1406,"_",P$3),materiali!$C:$K,6,0),"")</f>
        <v/>
      </c>
      <c r="Q1406" s="86"/>
      <c r="R1406" s="84" t="str">
        <f>IFERROR(VLOOKUP(CONCATENATE($B1406,"_",R$3),materiali!$C:$K,5,0),"")</f>
        <v/>
      </c>
      <c r="S1406" s="85" t="str">
        <f>IFERROR(VLOOKUP(CONCATENATE($B1406,"_",S$3),materiali!$C:$K,6,0),"")</f>
        <v/>
      </c>
      <c r="T1406" s="86"/>
      <c r="U1406" s="31"/>
      <c r="AD1406" s="97"/>
    </row>
    <row r="1407" spans="1:30" ht="35.1" hidden="1" customHeight="1" x14ac:dyDescent="0.25">
      <c r="A1407" s="83"/>
      <c r="B1407" s="7"/>
      <c r="C1407" s="8"/>
      <c r="D1407" s="8"/>
      <c r="E1407" s="60"/>
      <c r="F1407" s="84" t="str">
        <f>IFERROR(VLOOKUP(CONCATENATE($B1407,"_",F$3),materiali!$C:$K,5,0),"")</f>
        <v/>
      </c>
      <c r="G1407" s="85" t="str">
        <f>IFERROR(VLOOKUP(CONCATENATE($B1407,"_",G$3),materiali!$C:$K,6,0),"")</f>
        <v/>
      </c>
      <c r="H1407" s="86"/>
      <c r="I1407" s="84" t="str">
        <f>IFERROR(VLOOKUP(CONCATENATE($B1407,"_",I$3),materiali!$C:$K,5,0),"")</f>
        <v/>
      </c>
      <c r="J1407" s="85" t="str">
        <f>IFERROR(VLOOKUP(CONCATENATE($B1407,"_",J$3),materiali!$C:$K,6,0),"")</f>
        <v/>
      </c>
      <c r="K1407" s="86"/>
      <c r="L1407" s="84" t="str">
        <f>IFERROR(VLOOKUP(CONCATENATE($B1407,"_",L$3),materiali!$C:$K,5,0),"")</f>
        <v/>
      </c>
      <c r="M1407" s="85" t="str">
        <f>IFERROR(VLOOKUP(CONCATENATE($B1407,"_",M$3),materiali!$C:$K,6,0),"")</f>
        <v/>
      </c>
      <c r="N1407" s="86"/>
      <c r="O1407" s="84" t="str">
        <f>IFERROR(VLOOKUP(CONCATENATE($B1407,"_",O$3),materiali!$C:$K,5,0),"")</f>
        <v/>
      </c>
      <c r="P1407" s="85" t="str">
        <f>IFERROR(VLOOKUP(CONCATENATE($B1407,"_",P$3),materiali!$C:$K,6,0),"")</f>
        <v/>
      </c>
      <c r="Q1407" s="86"/>
      <c r="R1407" s="84" t="str">
        <f>IFERROR(VLOOKUP(CONCATENATE($B1407,"_",R$3),materiali!$C:$K,5,0),"")</f>
        <v/>
      </c>
      <c r="S1407" s="85" t="str">
        <f>IFERROR(VLOOKUP(CONCATENATE($B1407,"_",S$3),materiali!$C:$K,6,0),"")</f>
        <v/>
      </c>
      <c r="T1407" s="86"/>
      <c r="U1407" s="31"/>
      <c r="AD1407" s="97"/>
    </row>
    <row r="1408" spans="1:30" ht="35.1" hidden="1" customHeight="1" x14ac:dyDescent="0.25">
      <c r="A1408" s="83"/>
      <c r="B1408" s="7"/>
      <c r="C1408" s="8"/>
      <c r="D1408" s="8"/>
      <c r="E1408" s="60"/>
      <c r="F1408" s="84" t="str">
        <f>IFERROR(VLOOKUP(CONCATENATE($B1408,"_",F$3),materiali!$C:$K,5,0),"")</f>
        <v/>
      </c>
      <c r="G1408" s="85" t="str">
        <f>IFERROR(VLOOKUP(CONCATENATE($B1408,"_",G$3),materiali!$C:$K,6,0),"")</f>
        <v/>
      </c>
      <c r="H1408" s="86"/>
      <c r="I1408" s="84" t="str">
        <f>IFERROR(VLOOKUP(CONCATENATE($B1408,"_",I$3),materiali!$C:$K,5,0),"")</f>
        <v/>
      </c>
      <c r="J1408" s="85" t="str">
        <f>IFERROR(VLOOKUP(CONCATENATE($B1408,"_",J$3),materiali!$C:$K,6,0),"")</f>
        <v/>
      </c>
      <c r="K1408" s="86"/>
      <c r="L1408" s="84" t="str">
        <f>IFERROR(VLOOKUP(CONCATENATE($B1408,"_",L$3),materiali!$C:$K,5,0),"")</f>
        <v/>
      </c>
      <c r="M1408" s="85" t="str">
        <f>IFERROR(VLOOKUP(CONCATENATE($B1408,"_",M$3),materiali!$C:$K,6,0),"")</f>
        <v/>
      </c>
      <c r="N1408" s="86"/>
      <c r="O1408" s="84" t="str">
        <f>IFERROR(VLOOKUP(CONCATENATE($B1408,"_",O$3),materiali!$C:$K,5,0),"")</f>
        <v/>
      </c>
      <c r="P1408" s="85" t="str">
        <f>IFERROR(VLOOKUP(CONCATENATE($B1408,"_",P$3),materiali!$C:$K,6,0),"")</f>
        <v/>
      </c>
      <c r="Q1408" s="86"/>
      <c r="R1408" s="84" t="str">
        <f>IFERROR(VLOOKUP(CONCATENATE($B1408,"_",R$3),materiali!$C:$K,5,0),"")</f>
        <v/>
      </c>
      <c r="S1408" s="85" t="str">
        <f>IFERROR(VLOOKUP(CONCATENATE($B1408,"_",S$3),materiali!$C:$K,6,0),"")</f>
        <v/>
      </c>
      <c r="T1408" s="86"/>
      <c r="U1408" s="31"/>
      <c r="AD1408" s="97"/>
    </row>
    <row r="1409" spans="1:30" ht="35.1" hidden="1" customHeight="1" x14ac:dyDescent="0.25">
      <c r="A1409" s="83"/>
      <c r="B1409" s="7"/>
      <c r="C1409" s="8"/>
      <c r="D1409" s="8"/>
      <c r="E1409" s="60"/>
      <c r="F1409" s="84" t="str">
        <f>IFERROR(VLOOKUP(CONCATENATE($B1409,"_",F$3),materiali!$C:$K,5,0),"")</f>
        <v/>
      </c>
      <c r="G1409" s="85" t="str">
        <f>IFERROR(VLOOKUP(CONCATENATE($B1409,"_",G$3),materiali!$C:$K,6,0),"")</f>
        <v/>
      </c>
      <c r="H1409" s="86"/>
      <c r="I1409" s="84" t="str">
        <f>IFERROR(VLOOKUP(CONCATENATE($B1409,"_",I$3),materiali!$C:$K,5,0),"")</f>
        <v/>
      </c>
      <c r="J1409" s="85" t="str">
        <f>IFERROR(VLOOKUP(CONCATENATE($B1409,"_",J$3),materiali!$C:$K,6,0),"")</f>
        <v/>
      </c>
      <c r="K1409" s="86"/>
      <c r="L1409" s="84" t="str">
        <f>IFERROR(VLOOKUP(CONCATENATE($B1409,"_",L$3),materiali!$C:$K,5,0),"")</f>
        <v/>
      </c>
      <c r="M1409" s="85" t="str">
        <f>IFERROR(VLOOKUP(CONCATENATE($B1409,"_",M$3),materiali!$C:$K,6,0),"")</f>
        <v/>
      </c>
      <c r="N1409" s="86"/>
      <c r="O1409" s="84" t="str">
        <f>IFERROR(VLOOKUP(CONCATENATE($B1409,"_",O$3),materiali!$C:$K,5,0),"")</f>
        <v/>
      </c>
      <c r="P1409" s="85" t="str">
        <f>IFERROR(VLOOKUP(CONCATENATE($B1409,"_",P$3),materiali!$C:$K,6,0),"")</f>
        <v/>
      </c>
      <c r="Q1409" s="86"/>
      <c r="R1409" s="84" t="str">
        <f>IFERROR(VLOOKUP(CONCATENATE($B1409,"_",R$3),materiali!$C:$K,5,0),"")</f>
        <v/>
      </c>
      <c r="S1409" s="85" t="str">
        <f>IFERROR(VLOOKUP(CONCATENATE($B1409,"_",S$3),materiali!$C:$K,6,0),"")</f>
        <v/>
      </c>
      <c r="T1409" s="86"/>
      <c r="U1409" s="31"/>
      <c r="AD1409" s="97"/>
    </row>
    <row r="1410" spans="1:30" ht="35.1" hidden="1" customHeight="1" x14ac:dyDescent="0.25">
      <c r="A1410" s="83"/>
      <c r="B1410" s="7"/>
      <c r="C1410" s="8"/>
      <c r="D1410" s="8"/>
      <c r="E1410" s="60"/>
      <c r="F1410" s="84" t="str">
        <f>IFERROR(VLOOKUP(CONCATENATE($B1410,"_",F$3),materiali!$C:$K,5,0),"")</f>
        <v/>
      </c>
      <c r="G1410" s="85" t="str">
        <f>IFERROR(VLOOKUP(CONCATENATE($B1410,"_",G$3),materiali!$C:$K,6,0),"")</f>
        <v/>
      </c>
      <c r="H1410" s="86"/>
      <c r="I1410" s="84" t="str">
        <f>IFERROR(VLOOKUP(CONCATENATE($B1410,"_",I$3),materiali!$C:$K,5,0),"")</f>
        <v/>
      </c>
      <c r="J1410" s="85" t="str">
        <f>IFERROR(VLOOKUP(CONCATENATE($B1410,"_",J$3),materiali!$C:$K,6,0),"")</f>
        <v/>
      </c>
      <c r="K1410" s="86"/>
      <c r="L1410" s="84" t="str">
        <f>IFERROR(VLOOKUP(CONCATENATE($B1410,"_",L$3),materiali!$C:$K,5,0),"")</f>
        <v/>
      </c>
      <c r="M1410" s="85" t="str">
        <f>IFERROR(VLOOKUP(CONCATENATE($B1410,"_",M$3),materiali!$C:$K,6,0),"")</f>
        <v/>
      </c>
      <c r="N1410" s="86"/>
      <c r="O1410" s="84" t="str">
        <f>IFERROR(VLOOKUP(CONCATENATE($B1410,"_",O$3),materiali!$C:$K,5,0),"")</f>
        <v/>
      </c>
      <c r="P1410" s="85" t="str">
        <f>IFERROR(VLOOKUP(CONCATENATE($B1410,"_",P$3),materiali!$C:$K,6,0),"")</f>
        <v/>
      </c>
      <c r="Q1410" s="86"/>
      <c r="R1410" s="84" t="str">
        <f>IFERROR(VLOOKUP(CONCATENATE($B1410,"_",R$3),materiali!$C:$K,5,0),"")</f>
        <v/>
      </c>
      <c r="S1410" s="85" t="str">
        <f>IFERROR(VLOOKUP(CONCATENATE($B1410,"_",S$3),materiali!$C:$K,6,0),"")</f>
        <v/>
      </c>
      <c r="T1410" s="86"/>
      <c r="U1410" s="31"/>
      <c r="AD1410" s="97"/>
    </row>
    <row r="1411" spans="1:30" ht="35.1" hidden="1" customHeight="1" x14ac:dyDescent="0.25">
      <c r="A1411" s="83"/>
      <c r="B1411" s="7"/>
      <c r="C1411" s="8"/>
      <c r="D1411" s="8"/>
      <c r="E1411" s="60"/>
      <c r="F1411" s="84" t="str">
        <f>IFERROR(VLOOKUP(CONCATENATE($B1411,"_",F$3),materiali!$C:$K,5,0),"")</f>
        <v/>
      </c>
      <c r="G1411" s="85" t="str">
        <f>IFERROR(VLOOKUP(CONCATENATE($B1411,"_",G$3),materiali!$C:$K,6,0),"")</f>
        <v/>
      </c>
      <c r="H1411" s="86"/>
      <c r="I1411" s="84" t="str">
        <f>IFERROR(VLOOKUP(CONCATENATE($B1411,"_",I$3),materiali!$C:$K,5,0),"")</f>
        <v/>
      </c>
      <c r="J1411" s="85" t="str">
        <f>IFERROR(VLOOKUP(CONCATENATE($B1411,"_",J$3),materiali!$C:$K,6,0),"")</f>
        <v/>
      </c>
      <c r="K1411" s="86"/>
      <c r="L1411" s="84" t="str">
        <f>IFERROR(VLOOKUP(CONCATENATE($B1411,"_",L$3),materiali!$C:$K,5,0),"")</f>
        <v/>
      </c>
      <c r="M1411" s="85" t="str">
        <f>IFERROR(VLOOKUP(CONCATENATE($B1411,"_",M$3),materiali!$C:$K,6,0),"")</f>
        <v/>
      </c>
      <c r="N1411" s="86"/>
      <c r="O1411" s="84" t="str">
        <f>IFERROR(VLOOKUP(CONCATENATE($B1411,"_",O$3),materiali!$C:$K,5,0),"")</f>
        <v/>
      </c>
      <c r="P1411" s="85" t="str">
        <f>IFERROR(VLOOKUP(CONCATENATE($B1411,"_",P$3),materiali!$C:$K,6,0),"")</f>
        <v/>
      </c>
      <c r="Q1411" s="86"/>
      <c r="R1411" s="84" t="str">
        <f>IFERROR(VLOOKUP(CONCATENATE($B1411,"_",R$3),materiali!$C:$K,5,0),"")</f>
        <v/>
      </c>
      <c r="S1411" s="85" t="str">
        <f>IFERROR(VLOOKUP(CONCATENATE($B1411,"_",S$3),materiali!$C:$K,6,0),"")</f>
        <v/>
      </c>
      <c r="T1411" s="86"/>
      <c r="U1411" s="31"/>
      <c r="AD1411" s="97"/>
    </row>
    <row r="1412" spans="1:30" ht="35.1" hidden="1" customHeight="1" x14ac:dyDescent="0.25">
      <c r="A1412" s="83"/>
      <c r="B1412" s="7"/>
      <c r="C1412" s="8"/>
      <c r="D1412" s="8"/>
      <c r="E1412" s="60"/>
      <c r="F1412" s="84" t="str">
        <f>IFERROR(VLOOKUP(CONCATENATE($B1412,"_",F$3),materiali!$C:$K,5,0),"")</f>
        <v/>
      </c>
      <c r="G1412" s="85" t="str">
        <f>IFERROR(VLOOKUP(CONCATENATE($B1412,"_",G$3),materiali!$C:$K,6,0),"")</f>
        <v/>
      </c>
      <c r="H1412" s="86"/>
      <c r="I1412" s="84" t="str">
        <f>IFERROR(VLOOKUP(CONCATENATE($B1412,"_",I$3),materiali!$C:$K,5,0),"")</f>
        <v/>
      </c>
      <c r="J1412" s="85" t="str">
        <f>IFERROR(VLOOKUP(CONCATENATE($B1412,"_",J$3),materiali!$C:$K,6,0),"")</f>
        <v/>
      </c>
      <c r="K1412" s="86"/>
      <c r="L1412" s="84" t="str">
        <f>IFERROR(VLOOKUP(CONCATENATE($B1412,"_",L$3),materiali!$C:$K,5,0),"")</f>
        <v/>
      </c>
      <c r="M1412" s="85" t="str">
        <f>IFERROR(VLOOKUP(CONCATENATE($B1412,"_",M$3),materiali!$C:$K,6,0),"")</f>
        <v/>
      </c>
      <c r="N1412" s="86"/>
      <c r="O1412" s="84" t="str">
        <f>IFERROR(VLOOKUP(CONCATENATE($B1412,"_",O$3),materiali!$C:$K,5,0),"")</f>
        <v/>
      </c>
      <c r="P1412" s="85" t="str">
        <f>IFERROR(VLOOKUP(CONCATENATE($B1412,"_",P$3),materiali!$C:$K,6,0),"")</f>
        <v/>
      </c>
      <c r="Q1412" s="86"/>
      <c r="R1412" s="84" t="str">
        <f>IFERROR(VLOOKUP(CONCATENATE($B1412,"_",R$3),materiali!$C:$K,5,0),"")</f>
        <v/>
      </c>
      <c r="S1412" s="85" t="str">
        <f>IFERROR(VLOOKUP(CONCATENATE($B1412,"_",S$3),materiali!$C:$K,6,0),"")</f>
        <v/>
      </c>
      <c r="T1412" s="86"/>
      <c r="U1412" s="31"/>
      <c r="AD1412" s="97"/>
    </row>
    <row r="1413" spans="1:30" ht="35.1" hidden="1" customHeight="1" x14ac:dyDescent="0.25">
      <c r="A1413" s="83"/>
      <c r="B1413" s="7"/>
      <c r="C1413" s="8"/>
      <c r="D1413" s="8"/>
      <c r="E1413" s="60"/>
      <c r="F1413" s="84" t="str">
        <f>IFERROR(VLOOKUP(CONCATENATE($B1413,"_",F$3),materiali!$C:$K,5,0),"")</f>
        <v/>
      </c>
      <c r="G1413" s="85" t="str">
        <f>IFERROR(VLOOKUP(CONCATENATE($B1413,"_",G$3),materiali!$C:$K,6,0),"")</f>
        <v/>
      </c>
      <c r="H1413" s="86"/>
      <c r="I1413" s="84" t="str">
        <f>IFERROR(VLOOKUP(CONCATENATE($B1413,"_",I$3),materiali!$C:$K,5,0),"")</f>
        <v/>
      </c>
      <c r="J1413" s="85" t="str">
        <f>IFERROR(VLOOKUP(CONCATENATE($B1413,"_",J$3),materiali!$C:$K,6,0),"")</f>
        <v/>
      </c>
      <c r="K1413" s="86"/>
      <c r="L1413" s="84" t="str">
        <f>IFERROR(VLOOKUP(CONCATENATE($B1413,"_",L$3),materiali!$C:$K,5,0),"")</f>
        <v/>
      </c>
      <c r="M1413" s="85" t="str">
        <f>IFERROR(VLOOKUP(CONCATENATE($B1413,"_",M$3),materiali!$C:$K,6,0),"")</f>
        <v/>
      </c>
      <c r="N1413" s="86"/>
      <c r="O1413" s="84" t="str">
        <f>IFERROR(VLOOKUP(CONCATENATE($B1413,"_",O$3),materiali!$C:$K,5,0),"")</f>
        <v/>
      </c>
      <c r="P1413" s="85" t="str">
        <f>IFERROR(VLOOKUP(CONCATENATE($B1413,"_",P$3),materiali!$C:$K,6,0),"")</f>
        <v/>
      </c>
      <c r="Q1413" s="86"/>
      <c r="R1413" s="84" t="str">
        <f>IFERROR(VLOOKUP(CONCATENATE($B1413,"_",R$3),materiali!$C:$K,5,0),"")</f>
        <v/>
      </c>
      <c r="S1413" s="85" t="str">
        <f>IFERROR(VLOOKUP(CONCATENATE($B1413,"_",S$3),materiali!$C:$K,6,0),"")</f>
        <v/>
      </c>
      <c r="T1413" s="86"/>
      <c r="U1413" s="31"/>
      <c r="AD1413" s="97"/>
    </row>
    <row r="1414" spans="1:30" ht="35.1" hidden="1" customHeight="1" x14ac:dyDescent="0.25">
      <c r="A1414" s="83"/>
      <c r="B1414" s="7"/>
      <c r="C1414" s="8"/>
      <c r="D1414" s="8"/>
      <c r="E1414" s="60"/>
      <c r="F1414" s="84" t="str">
        <f>IFERROR(VLOOKUP(CONCATENATE($B1414,"_",F$3),materiali!$C:$K,5,0),"")</f>
        <v/>
      </c>
      <c r="G1414" s="85" t="str">
        <f>IFERROR(VLOOKUP(CONCATENATE($B1414,"_",G$3),materiali!$C:$K,6,0),"")</f>
        <v/>
      </c>
      <c r="H1414" s="86"/>
      <c r="I1414" s="84" t="str">
        <f>IFERROR(VLOOKUP(CONCATENATE($B1414,"_",I$3),materiali!$C:$K,5,0),"")</f>
        <v/>
      </c>
      <c r="J1414" s="85" t="str">
        <f>IFERROR(VLOOKUP(CONCATENATE($B1414,"_",J$3),materiali!$C:$K,6,0),"")</f>
        <v/>
      </c>
      <c r="K1414" s="86"/>
      <c r="L1414" s="84" t="str">
        <f>IFERROR(VLOOKUP(CONCATENATE($B1414,"_",L$3),materiali!$C:$K,5,0),"")</f>
        <v/>
      </c>
      <c r="M1414" s="85" t="str">
        <f>IFERROR(VLOOKUP(CONCATENATE($B1414,"_",M$3),materiali!$C:$K,6,0),"")</f>
        <v/>
      </c>
      <c r="N1414" s="86"/>
      <c r="O1414" s="84" t="str">
        <f>IFERROR(VLOOKUP(CONCATENATE($B1414,"_",O$3),materiali!$C:$K,5,0),"")</f>
        <v/>
      </c>
      <c r="P1414" s="85" t="str">
        <f>IFERROR(VLOOKUP(CONCATENATE($B1414,"_",P$3),materiali!$C:$K,6,0),"")</f>
        <v/>
      </c>
      <c r="Q1414" s="86"/>
      <c r="R1414" s="84" t="str">
        <f>IFERROR(VLOOKUP(CONCATENATE($B1414,"_",R$3),materiali!$C:$K,5,0),"")</f>
        <v/>
      </c>
      <c r="S1414" s="85" t="str">
        <f>IFERROR(VLOOKUP(CONCATENATE($B1414,"_",S$3),materiali!$C:$K,6,0),"")</f>
        <v/>
      </c>
      <c r="T1414" s="86"/>
      <c r="U1414" s="31"/>
      <c r="AD1414" s="97"/>
    </row>
    <row r="1415" spans="1:30" ht="35.1" hidden="1" customHeight="1" x14ac:dyDescent="0.25">
      <c r="A1415" s="83"/>
      <c r="B1415" s="7"/>
      <c r="C1415" s="8"/>
      <c r="D1415" s="8"/>
      <c r="E1415" s="60"/>
      <c r="F1415" s="84" t="str">
        <f>IFERROR(VLOOKUP(CONCATENATE($B1415,"_",F$3),materiali!$C:$K,5,0),"")</f>
        <v/>
      </c>
      <c r="G1415" s="85" t="str">
        <f>IFERROR(VLOOKUP(CONCATENATE($B1415,"_",G$3),materiali!$C:$K,6,0),"")</f>
        <v/>
      </c>
      <c r="H1415" s="86"/>
      <c r="I1415" s="84" t="str">
        <f>IFERROR(VLOOKUP(CONCATENATE($B1415,"_",I$3),materiali!$C:$K,5,0),"")</f>
        <v/>
      </c>
      <c r="J1415" s="85" t="str">
        <f>IFERROR(VLOOKUP(CONCATENATE($B1415,"_",J$3),materiali!$C:$K,6,0),"")</f>
        <v/>
      </c>
      <c r="K1415" s="86"/>
      <c r="L1415" s="84" t="str">
        <f>IFERROR(VLOOKUP(CONCATENATE($B1415,"_",L$3),materiali!$C:$K,5,0),"")</f>
        <v/>
      </c>
      <c r="M1415" s="85" t="str">
        <f>IFERROR(VLOOKUP(CONCATENATE($B1415,"_",M$3),materiali!$C:$K,6,0),"")</f>
        <v/>
      </c>
      <c r="N1415" s="86"/>
      <c r="O1415" s="84" t="str">
        <f>IFERROR(VLOOKUP(CONCATENATE($B1415,"_",O$3),materiali!$C:$K,5,0),"")</f>
        <v/>
      </c>
      <c r="P1415" s="85" t="str">
        <f>IFERROR(VLOOKUP(CONCATENATE($B1415,"_",P$3),materiali!$C:$K,6,0),"")</f>
        <v/>
      </c>
      <c r="Q1415" s="86"/>
      <c r="R1415" s="84" t="str">
        <f>IFERROR(VLOOKUP(CONCATENATE($B1415,"_",R$3),materiali!$C:$K,5,0),"")</f>
        <v/>
      </c>
      <c r="S1415" s="85" t="str">
        <f>IFERROR(VLOOKUP(CONCATENATE($B1415,"_",S$3),materiali!$C:$K,6,0),"")</f>
        <v/>
      </c>
      <c r="T1415" s="86"/>
      <c r="U1415" s="31"/>
      <c r="AD1415" s="97"/>
    </row>
    <row r="1416" spans="1:30" ht="35.1" hidden="1" customHeight="1" x14ac:dyDescent="0.25">
      <c r="A1416" s="83"/>
      <c r="B1416" s="7"/>
      <c r="C1416" s="8"/>
      <c r="D1416" s="8"/>
      <c r="E1416" s="60"/>
      <c r="F1416" s="84" t="str">
        <f>IFERROR(VLOOKUP(CONCATENATE($B1416,"_",F$3),materiali!$C:$K,5,0),"")</f>
        <v/>
      </c>
      <c r="G1416" s="85" t="str">
        <f>IFERROR(VLOOKUP(CONCATENATE($B1416,"_",G$3),materiali!$C:$K,6,0),"")</f>
        <v/>
      </c>
      <c r="H1416" s="86"/>
      <c r="I1416" s="84" t="str">
        <f>IFERROR(VLOOKUP(CONCATENATE($B1416,"_",I$3),materiali!$C:$K,5,0),"")</f>
        <v/>
      </c>
      <c r="J1416" s="85" t="str">
        <f>IFERROR(VLOOKUP(CONCATENATE($B1416,"_",J$3),materiali!$C:$K,6,0),"")</f>
        <v/>
      </c>
      <c r="K1416" s="86"/>
      <c r="L1416" s="84" t="str">
        <f>IFERROR(VLOOKUP(CONCATENATE($B1416,"_",L$3),materiali!$C:$K,5,0),"")</f>
        <v/>
      </c>
      <c r="M1416" s="85" t="str">
        <f>IFERROR(VLOOKUP(CONCATENATE($B1416,"_",M$3),materiali!$C:$K,6,0),"")</f>
        <v/>
      </c>
      <c r="N1416" s="86"/>
      <c r="O1416" s="84" t="str">
        <f>IFERROR(VLOOKUP(CONCATENATE($B1416,"_",O$3),materiali!$C:$K,5,0),"")</f>
        <v/>
      </c>
      <c r="P1416" s="85" t="str">
        <f>IFERROR(VLOOKUP(CONCATENATE($B1416,"_",P$3),materiali!$C:$K,6,0),"")</f>
        <v/>
      </c>
      <c r="Q1416" s="86"/>
      <c r="R1416" s="84" t="str">
        <f>IFERROR(VLOOKUP(CONCATENATE($B1416,"_",R$3),materiali!$C:$K,5,0),"")</f>
        <v/>
      </c>
      <c r="S1416" s="85" t="str">
        <f>IFERROR(VLOOKUP(CONCATENATE($B1416,"_",S$3),materiali!$C:$K,6,0),"")</f>
        <v/>
      </c>
      <c r="T1416" s="86"/>
      <c r="U1416" s="31"/>
      <c r="AD1416" s="97"/>
    </row>
    <row r="1417" spans="1:30" ht="35.1" hidden="1" customHeight="1" x14ac:dyDescent="0.25">
      <c r="A1417" s="83"/>
      <c r="B1417" s="7"/>
      <c r="C1417" s="8"/>
      <c r="D1417" s="8"/>
      <c r="E1417" s="60"/>
      <c r="F1417" s="84" t="str">
        <f>IFERROR(VLOOKUP(CONCATENATE($B1417,"_",F$3),materiali!$C:$K,5,0),"")</f>
        <v/>
      </c>
      <c r="G1417" s="85" t="str">
        <f>IFERROR(VLOOKUP(CONCATENATE($B1417,"_",G$3),materiali!$C:$K,6,0),"")</f>
        <v/>
      </c>
      <c r="H1417" s="86"/>
      <c r="I1417" s="84" t="str">
        <f>IFERROR(VLOOKUP(CONCATENATE($B1417,"_",I$3),materiali!$C:$K,5,0),"")</f>
        <v/>
      </c>
      <c r="J1417" s="85" t="str">
        <f>IFERROR(VLOOKUP(CONCATENATE($B1417,"_",J$3),materiali!$C:$K,6,0),"")</f>
        <v/>
      </c>
      <c r="K1417" s="86"/>
      <c r="L1417" s="84" t="str">
        <f>IFERROR(VLOOKUP(CONCATENATE($B1417,"_",L$3),materiali!$C:$K,5,0),"")</f>
        <v/>
      </c>
      <c r="M1417" s="85" t="str">
        <f>IFERROR(VLOOKUP(CONCATENATE($B1417,"_",M$3),materiali!$C:$K,6,0),"")</f>
        <v/>
      </c>
      <c r="N1417" s="86"/>
      <c r="O1417" s="84" t="str">
        <f>IFERROR(VLOOKUP(CONCATENATE($B1417,"_",O$3),materiali!$C:$K,5,0),"")</f>
        <v/>
      </c>
      <c r="P1417" s="85" t="str">
        <f>IFERROR(VLOOKUP(CONCATENATE($B1417,"_",P$3),materiali!$C:$K,6,0),"")</f>
        <v/>
      </c>
      <c r="Q1417" s="86"/>
      <c r="R1417" s="84" t="str">
        <f>IFERROR(VLOOKUP(CONCATENATE($B1417,"_",R$3),materiali!$C:$K,5,0),"")</f>
        <v/>
      </c>
      <c r="S1417" s="85" t="str">
        <f>IFERROR(VLOOKUP(CONCATENATE($B1417,"_",S$3),materiali!$C:$K,6,0),"")</f>
        <v/>
      </c>
      <c r="T1417" s="86"/>
      <c r="U1417" s="31"/>
      <c r="AD1417" s="97"/>
    </row>
    <row r="1418" spans="1:30" ht="35.1" hidden="1" customHeight="1" x14ac:dyDescent="0.25">
      <c r="A1418" s="83"/>
      <c r="B1418" s="7"/>
      <c r="C1418" s="8"/>
      <c r="D1418" s="8"/>
      <c r="E1418" s="60"/>
      <c r="F1418" s="84" t="str">
        <f>IFERROR(VLOOKUP(CONCATENATE($B1418,"_",F$3),materiali!$C:$K,5,0),"")</f>
        <v/>
      </c>
      <c r="G1418" s="85" t="str">
        <f>IFERROR(VLOOKUP(CONCATENATE($B1418,"_",G$3),materiali!$C:$K,6,0),"")</f>
        <v/>
      </c>
      <c r="H1418" s="86"/>
      <c r="I1418" s="84" t="str">
        <f>IFERROR(VLOOKUP(CONCATENATE($B1418,"_",I$3),materiali!$C:$K,5,0),"")</f>
        <v/>
      </c>
      <c r="J1418" s="85" t="str">
        <f>IFERROR(VLOOKUP(CONCATENATE($B1418,"_",J$3),materiali!$C:$K,6,0),"")</f>
        <v/>
      </c>
      <c r="K1418" s="86"/>
      <c r="L1418" s="84" t="str">
        <f>IFERROR(VLOOKUP(CONCATENATE($B1418,"_",L$3),materiali!$C:$K,5,0),"")</f>
        <v/>
      </c>
      <c r="M1418" s="85" t="str">
        <f>IFERROR(VLOOKUP(CONCATENATE($B1418,"_",M$3),materiali!$C:$K,6,0),"")</f>
        <v/>
      </c>
      <c r="N1418" s="86"/>
      <c r="O1418" s="84" t="str">
        <f>IFERROR(VLOOKUP(CONCATENATE($B1418,"_",O$3),materiali!$C:$K,5,0),"")</f>
        <v/>
      </c>
      <c r="P1418" s="85" t="str">
        <f>IFERROR(VLOOKUP(CONCATENATE($B1418,"_",P$3),materiali!$C:$K,6,0),"")</f>
        <v/>
      </c>
      <c r="Q1418" s="86"/>
      <c r="R1418" s="84" t="str">
        <f>IFERROR(VLOOKUP(CONCATENATE($B1418,"_",R$3),materiali!$C:$K,5,0),"")</f>
        <v/>
      </c>
      <c r="S1418" s="85" t="str">
        <f>IFERROR(VLOOKUP(CONCATENATE($B1418,"_",S$3),materiali!$C:$K,6,0),"")</f>
        <v/>
      </c>
      <c r="T1418" s="86"/>
      <c r="U1418" s="31"/>
      <c r="AD1418" s="97"/>
    </row>
    <row r="1419" spans="1:30" ht="35.1" hidden="1" customHeight="1" x14ac:dyDescent="0.25">
      <c r="A1419" s="83"/>
      <c r="B1419" s="7"/>
      <c r="C1419" s="8"/>
      <c r="D1419" s="8"/>
      <c r="E1419" s="60"/>
      <c r="F1419" s="84" t="str">
        <f>IFERROR(VLOOKUP(CONCATENATE($B1419,"_",F$3),materiali!$C:$K,5,0),"")</f>
        <v/>
      </c>
      <c r="G1419" s="85" t="str">
        <f>IFERROR(VLOOKUP(CONCATENATE($B1419,"_",G$3),materiali!$C:$K,6,0),"")</f>
        <v/>
      </c>
      <c r="H1419" s="86"/>
      <c r="I1419" s="84" t="str">
        <f>IFERROR(VLOOKUP(CONCATENATE($B1419,"_",I$3),materiali!$C:$K,5,0),"")</f>
        <v/>
      </c>
      <c r="J1419" s="85" t="str">
        <f>IFERROR(VLOOKUP(CONCATENATE($B1419,"_",J$3),materiali!$C:$K,6,0),"")</f>
        <v/>
      </c>
      <c r="K1419" s="86"/>
      <c r="L1419" s="84" t="str">
        <f>IFERROR(VLOOKUP(CONCATENATE($B1419,"_",L$3),materiali!$C:$K,5,0),"")</f>
        <v/>
      </c>
      <c r="M1419" s="85" t="str">
        <f>IFERROR(VLOOKUP(CONCATENATE($B1419,"_",M$3),materiali!$C:$K,6,0),"")</f>
        <v/>
      </c>
      <c r="N1419" s="86"/>
      <c r="O1419" s="84" t="str">
        <f>IFERROR(VLOOKUP(CONCATENATE($B1419,"_",O$3),materiali!$C:$K,5,0),"")</f>
        <v/>
      </c>
      <c r="P1419" s="85" t="str">
        <f>IFERROR(VLOOKUP(CONCATENATE($B1419,"_",P$3),materiali!$C:$K,6,0),"")</f>
        <v/>
      </c>
      <c r="Q1419" s="86"/>
      <c r="R1419" s="84" t="str">
        <f>IFERROR(VLOOKUP(CONCATENATE($B1419,"_",R$3),materiali!$C:$K,5,0),"")</f>
        <v/>
      </c>
      <c r="S1419" s="85" t="str">
        <f>IFERROR(VLOOKUP(CONCATENATE($B1419,"_",S$3),materiali!$C:$K,6,0),"")</f>
        <v/>
      </c>
      <c r="T1419" s="86"/>
      <c r="U1419" s="31"/>
      <c r="AD1419" s="97"/>
    </row>
    <row r="1420" spans="1:30" ht="35.1" hidden="1" customHeight="1" x14ac:dyDescent="0.25">
      <c r="A1420" s="83"/>
      <c r="B1420" s="7"/>
      <c r="C1420" s="8"/>
      <c r="D1420" s="8"/>
      <c r="E1420" s="60"/>
      <c r="F1420" s="84" t="str">
        <f>IFERROR(VLOOKUP(CONCATENATE($B1420,"_",F$3),materiali!$C:$K,5,0),"")</f>
        <v/>
      </c>
      <c r="G1420" s="85" t="str">
        <f>IFERROR(VLOOKUP(CONCATENATE($B1420,"_",G$3),materiali!$C:$K,6,0),"")</f>
        <v/>
      </c>
      <c r="H1420" s="86"/>
      <c r="I1420" s="84" t="str">
        <f>IFERROR(VLOOKUP(CONCATENATE($B1420,"_",I$3),materiali!$C:$K,5,0),"")</f>
        <v/>
      </c>
      <c r="J1420" s="85" t="str">
        <f>IFERROR(VLOOKUP(CONCATENATE($B1420,"_",J$3),materiali!$C:$K,6,0),"")</f>
        <v/>
      </c>
      <c r="K1420" s="86"/>
      <c r="L1420" s="84" t="str">
        <f>IFERROR(VLOOKUP(CONCATENATE($B1420,"_",L$3),materiali!$C:$K,5,0),"")</f>
        <v/>
      </c>
      <c r="M1420" s="85" t="str">
        <f>IFERROR(VLOOKUP(CONCATENATE($B1420,"_",M$3),materiali!$C:$K,6,0),"")</f>
        <v/>
      </c>
      <c r="N1420" s="86"/>
      <c r="O1420" s="84" t="str">
        <f>IFERROR(VLOOKUP(CONCATENATE($B1420,"_",O$3),materiali!$C:$K,5,0),"")</f>
        <v/>
      </c>
      <c r="P1420" s="85" t="str">
        <f>IFERROR(VLOOKUP(CONCATENATE($B1420,"_",P$3),materiali!$C:$K,6,0),"")</f>
        <v/>
      </c>
      <c r="Q1420" s="86"/>
      <c r="R1420" s="84" t="str">
        <f>IFERROR(VLOOKUP(CONCATENATE($B1420,"_",R$3),materiali!$C:$K,5,0),"")</f>
        <v/>
      </c>
      <c r="S1420" s="85" t="str">
        <f>IFERROR(VLOOKUP(CONCATENATE($B1420,"_",S$3),materiali!$C:$K,6,0),"")</f>
        <v/>
      </c>
      <c r="T1420" s="86"/>
      <c r="U1420" s="31"/>
      <c r="AD1420" s="97"/>
    </row>
    <row r="1421" spans="1:30" ht="35.1" hidden="1" customHeight="1" x14ac:dyDescent="0.25">
      <c r="A1421" s="83"/>
      <c r="B1421" s="7"/>
      <c r="C1421" s="8"/>
      <c r="D1421" s="8"/>
      <c r="E1421" s="60"/>
      <c r="F1421" s="84" t="str">
        <f>IFERROR(VLOOKUP(CONCATENATE($B1421,"_",F$3),materiali!$C:$K,5,0),"")</f>
        <v/>
      </c>
      <c r="G1421" s="85" t="str">
        <f>IFERROR(VLOOKUP(CONCATENATE($B1421,"_",G$3),materiali!$C:$K,6,0),"")</f>
        <v/>
      </c>
      <c r="H1421" s="86"/>
      <c r="I1421" s="84" t="str">
        <f>IFERROR(VLOOKUP(CONCATENATE($B1421,"_",I$3),materiali!$C:$K,5,0),"")</f>
        <v/>
      </c>
      <c r="J1421" s="85" t="str">
        <f>IFERROR(VLOOKUP(CONCATENATE($B1421,"_",J$3),materiali!$C:$K,6,0),"")</f>
        <v/>
      </c>
      <c r="K1421" s="86"/>
      <c r="L1421" s="84" t="str">
        <f>IFERROR(VLOOKUP(CONCATENATE($B1421,"_",L$3),materiali!$C:$K,5,0),"")</f>
        <v/>
      </c>
      <c r="M1421" s="85" t="str">
        <f>IFERROR(VLOOKUP(CONCATENATE($B1421,"_",M$3),materiali!$C:$K,6,0),"")</f>
        <v/>
      </c>
      <c r="N1421" s="86"/>
      <c r="O1421" s="84" t="str">
        <f>IFERROR(VLOOKUP(CONCATENATE($B1421,"_",O$3),materiali!$C:$K,5,0),"")</f>
        <v/>
      </c>
      <c r="P1421" s="85" t="str">
        <f>IFERROR(VLOOKUP(CONCATENATE($B1421,"_",P$3),materiali!$C:$K,6,0),"")</f>
        <v/>
      </c>
      <c r="Q1421" s="86"/>
      <c r="R1421" s="84" t="str">
        <f>IFERROR(VLOOKUP(CONCATENATE($B1421,"_",R$3),materiali!$C:$K,5,0),"")</f>
        <v/>
      </c>
      <c r="S1421" s="85" t="str">
        <f>IFERROR(VLOOKUP(CONCATENATE($B1421,"_",S$3),materiali!$C:$K,6,0),"")</f>
        <v/>
      </c>
      <c r="T1421" s="86"/>
      <c r="U1421" s="31"/>
      <c r="AD1421" s="97"/>
    </row>
    <row r="1422" spans="1:30" ht="35.1" hidden="1" customHeight="1" x14ac:dyDescent="0.25">
      <c r="A1422" s="83"/>
      <c r="B1422" s="7"/>
      <c r="C1422" s="8"/>
      <c r="D1422" s="8"/>
      <c r="E1422" s="60"/>
      <c r="F1422" s="84" t="str">
        <f>IFERROR(VLOOKUP(CONCATENATE($B1422,"_",F$3),materiali!$C:$K,5,0),"")</f>
        <v/>
      </c>
      <c r="G1422" s="85" t="str">
        <f>IFERROR(VLOOKUP(CONCATENATE($B1422,"_",G$3),materiali!$C:$K,6,0),"")</f>
        <v/>
      </c>
      <c r="H1422" s="86"/>
      <c r="I1422" s="84" t="str">
        <f>IFERROR(VLOOKUP(CONCATENATE($B1422,"_",I$3),materiali!$C:$K,5,0),"")</f>
        <v/>
      </c>
      <c r="J1422" s="85" t="str">
        <f>IFERROR(VLOOKUP(CONCATENATE($B1422,"_",J$3),materiali!$C:$K,6,0),"")</f>
        <v/>
      </c>
      <c r="K1422" s="86"/>
      <c r="L1422" s="84" t="str">
        <f>IFERROR(VLOOKUP(CONCATENATE($B1422,"_",L$3),materiali!$C:$K,5,0),"")</f>
        <v/>
      </c>
      <c r="M1422" s="85" t="str">
        <f>IFERROR(VLOOKUP(CONCATENATE($B1422,"_",M$3),materiali!$C:$K,6,0),"")</f>
        <v/>
      </c>
      <c r="N1422" s="86"/>
      <c r="O1422" s="84" t="str">
        <f>IFERROR(VLOOKUP(CONCATENATE($B1422,"_",O$3),materiali!$C:$K,5,0),"")</f>
        <v/>
      </c>
      <c r="P1422" s="85" t="str">
        <f>IFERROR(VLOOKUP(CONCATENATE($B1422,"_",P$3),materiali!$C:$K,6,0),"")</f>
        <v/>
      </c>
      <c r="Q1422" s="86"/>
      <c r="R1422" s="84" t="str">
        <f>IFERROR(VLOOKUP(CONCATENATE($B1422,"_",R$3),materiali!$C:$K,5,0),"")</f>
        <v/>
      </c>
      <c r="S1422" s="85" t="str">
        <f>IFERROR(VLOOKUP(CONCATENATE($B1422,"_",S$3),materiali!$C:$K,6,0),"")</f>
        <v/>
      </c>
      <c r="T1422" s="86"/>
      <c r="U1422" s="31"/>
      <c r="AD1422" s="97"/>
    </row>
    <row r="1423" spans="1:30" ht="35.1" hidden="1" customHeight="1" x14ac:dyDescent="0.25">
      <c r="A1423" s="83"/>
      <c r="B1423" s="7"/>
      <c r="C1423" s="8"/>
      <c r="D1423" s="8"/>
      <c r="E1423" s="60"/>
      <c r="F1423" s="84" t="str">
        <f>IFERROR(VLOOKUP(CONCATENATE($B1423,"_",F$3),materiali!$C:$K,5,0),"")</f>
        <v/>
      </c>
      <c r="G1423" s="85" t="str">
        <f>IFERROR(VLOOKUP(CONCATENATE($B1423,"_",G$3),materiali!$C:$K,6,0),"")</f>
        <v/>
      </c>
      <c r="H1423" s="86"/>
      <c r="I1423" s="84" t="str">
        <f>IFERROR(VLOOKUP(CONCATENATE($B1423,"_",I$3),materiali!$C:$K,5,0),"")</f>
        <v/>
      </c>
      <c r="J1423" s="85" t="str">
        <f>IFERROR(VLOOKUP(CONCATENATE($B1423,"_",J$3),materiali!$C:$K,6,0),"")</f>
        <v/>
      </c>
      <c r="K1423" s="86"/>
      <c r="L1423" s="84" t="str">
        <f>IFERROR(VLOOKUP(CONCATENATE($B1423,"_",L$3),materiali!$C:$K,5,0),"")</f>
        <v/>
      </c>
      <c r="M1423" s="85" t="str">
        <f>IFERROR(VLOOKUP(CONCATENATE($B1423,"_",M$3),materiali!$C:$K,6,0),"")</f>
        <v/>
      </c>
      <c r="N1423" s="86"/>
      <c r="O1423" s="84" t="str">
        <f>IFERROR(VLOOKUP(CONCATENATE($B1423,"_",O$3),materiali!$C:$K,5,0),"")</f>
        <v/>
      </c>
      <c r="P1423" s="85" t="str">
        <f>IFERROR(VLOOKUP(CONCATENATE($B1423,"_",P$3),materiali!$C:$K,6,0),"")</f>
        <v/>
      </c>
      <c r="Q1423" s="86"/>
      <c r="R1423" s="84" t="str">
        <f>IFERROR(VLOOKUP(CONCATENATE($B1423,"_",R$3),materiali!$C:$K,5,0),"")</f>
        <v/>
      </c>
      <c r="S1423" s="85" t="str">
        <f>IFERROR(VLOOKUP(CONCATENATE($B1423,"_",S$3),materiali!$C:$K,6,0),"")</f>
        <v/>
      </c>
      <c r="T1423" s="86"/>
      <c r="U1423" s="31"/>
      <c r="AD1423" s="97"/>
    </row>
    <row r="1424" spans="1:30" ht="35.1" hidden="1" customHeight="1" x14ac:dyDescent="0.25">
      <c r="A1424" s="83"/>
      <c r="B1424" s="7"/>
      <c r="C1424" s="8"/>
      <c r="D1424" s="8"/>
      <c r="E1424" s="60"/>
      <c r="F1424" s="84" t="str">
        <f>IFERROR(VLOOKUP(CONCATENATE($B1424,"_",F$3),materiali!$C:$K,5,0),"")</f>
        <v/>
      </c>
      <c r="G1424" s="85" t="str">
        <f>IFERROR(VLOOKUP(CONCATENATE($B1424,"_",G$3),materiali!$C:$K,6,0),"")</f>
        <v/>
      </c>
      <c r="H1424" s="86"/>
      <c r="I1424" s="84" t="str">
        <f>IFERROR(VLOOKUP(CONCATENATE($B1424,"_",I$3),materiali!$C:$K,5,0),"")</f>
        <v/>
      </c>
      <c r="J1424" s="85" t="str">
        <f>IFERROR(VLOOKUP(CONCATENATE($B1424,"_",J$3),materiali!$C:$K,6,0),"")</f>
        <v/>
      </c>
      <c r="K1424" s="86"/>
      <c r="L1424" s="84" t="str">
        <f>IFERROR(VLOOKUP(CONCATENATE($B1424,"_",L$3),materiali!$C:$K,5,0),"")</f>
        <v/>
      </c>
      <c r="M1424" s="85" t="str">
        <f>IFERROR(VLOOKUP(CONCATENATE($B1424,"_",M$3),materiali!$C:$K,6,0),"")</f>
        <v/>
      </c>
      <c r="N1424" s="86"/>
      <c r="O1424" s="84" t="str">
        <f>IFERROR(VLOOKUP(CONCATENATE($B1424,"_",O$3),materiali!$C:$K,5,0),"")</f>
        <v/>
      </c>
      <c r="P1424" s="85" t="str">
        <f>IFERROR(VLOOKUP(CONCATENATE($B1424,"_",P$3),materiali!$C:$K,6,0),"")</f>
        <v/>
      </c>
      <c r="Q1424" s="86"/>
      <c r="R1424" s="84" t="str">
        <f>IFERROR(VLOOKUP(CONCATENATE($B1424,"_",R$3),materiali!$C:$K,5,0),"")</f>
        <v/>
      </c>
      <c r="S1424" s="85" t="str">
        <f>IFERROR(VLOOKUP(CONCATENATE($B1424,"_",S$3),materiali!$C:$K,6,0),"")</f>
        <v/>
      </c>
      <c r="T1424" s="86"/>
      <c r="U1424" s="31"/>
      <c r="AD1424" s="97"/>
    </row>
    <row r="1425" spans="1:30" ht="35.1" hidden="1" customHeight="1" x14ac:dyDescent="0.25">
      <c r="A1425" s="83"/>
      <c r="B1425" s="7"/>
      <c r="C1425" s="8"/>
      <c r="D1425" s="8"/>
      <c r="E1425" s="60"/>
      <c r="F1425" s="84" t="str">
        <f>IFERROR(VLOOKUP(CONCATENATE($B1425,"_",F$3),materiali!$C:$K,5,0),"")</f>
        <v/>
      </c>
      <c r="G1425" s="85" t="str">
        <f>IFERROR(VLOOKUP(CONCATENATE($B1425,"_",G$3),materiali!$C:$K,6,0),"")</f>
        <v/>
      </c>
      <c r="H1425" s="86"/>
      <c r="I1425" s="84" t="str">
        <f>IFERROR(VLOOKUP(CONCATENATE($B1425,"_",I$3),materiali!$C:$K,5,0),"")</f>
        <v/>
      </c>
      <c r="J1425" s="85" t="str">
        <f>IFERROR(VLOOKUP(CONCATENATE($B1425,"_",J$3),materiali!$C:$K,6,0),"")</f>
        <v/>
      </c>
      <c r="K1425" s="86"/>
      <c r="L1425" s="84" t="str">
        <f>IFERROR(VLOOKUP(CONCATENATE($B1425,"_",L$3),materiali!$C:$K,5,0),"")</f>
        <v/>
      </c>
      <c r="M1425" s="85" t="str">
        <f>IFERROR(VLOOKUP(CONCATENATE($B1425,"_",M$3),materiali!$C:$K,6,0),"")</f>
        <v/>
      </c>
      <c r="N1425" s="86"/>
      <c r="O1425" s="84" t="str">
        <f>IFERROR(VLOOKUP(CONCATENATE($B1425,"_",O$3),materiali!$C:$K,5,0),"")</f>
        <v/>
      </c>
      <c r="P1425" s="85" t="str">
        <f>IFERROR(VLOOKUP(CONCATENATE($B1425,"_",P$3),materiali!$C:$K,6,0),"")</f>
        <v/>
      </c>
      <c r="Q1425" s="86"/>
      <c r="R1425" s="84" t="str">
        <f>IFERROR(VLOOKUP(CONCATENATE($B1425,"_",R$3),materiali!$C:$K,5,0),"")</f>
        <v/>
      </c>
      <c r="S1425" s="85" t="str">
        <f>IFERROR(VLOOKUP(CONCATENATE($B1425,"_",S$3),materiali!$C:$K,6,0),"")</f>
        <v/>
      </c>
      <c r="T1425" s="86"/>
      <c r="U1425" s="31"/>
      <c r="AD1425" s="97"/>
    </row>
    <row r="1426" spans="1:30" ht="35.1" hidden="1" customHeight="1" x14ac:dyDescent="0.25">
      <c r="A1426" s="83"/>
      <c r="B1426" s="7"/>
      <c r="C1426" s="8"/>
      <c r="D1426" s="8"/>
      <c r="E1426" s="60"/>
      <c r="F1426" s="84" t="str">
        <f>IFERROR(VLOOKUP(CONCATENATE($B1426,"_",F$3),materiali!$C:$K,5,0),"")</f>
        <v/>
      </c>
      <c r="G1426" s="85" t="str">
        <f>IFERROR(VLOOKUP(CONCATENATE($B1426,"_",G$3),materiali!$C:$K,6,0),"")</f>
        <v/>
      </c>
      <c r="H1426" s="86"/>
      <c r="I1426" s="84" t="str">
        <f>IFERROR(VLOOKUP(CONCATENATE($B1426,"_",I$3),materiali!$C:$K,5,0),"")</f>
        <v/>
      </c>
      <c r="J1426" s="85" t="str">
        <f>IFERROR(VLOOKUP(CONCATENATE($B1426,"_",J$3),materiali!$C:$K,6,0),"")</f>
        <v/>
      </c>
      <c r="K1426" s="86"/>
      <c r="L1426" s="84" t="str">
        <f>IFERROR(VLOOKUP(CONCATENATE($B1426,"_",L$3),materiali!$C:$K,5,0),"")</f>
        <v/>
      </c>
      <c r="M1426" s="85" t="str">
        <f>IFERROR(VLOOKUP(CONCATENATE($B1426,"_",M$3),materiali!$C:$K,6,0),"")</f>
        <v/>
      </c>
      <c r="N1426" s="86"/>
      <c r="O1426" s="84" t="str">
        <f>IFERROR(VLOOKUP(CONCATENATE($B1426,"_",O$3),materiali!$C:$K,5,0),"")</f>
        <v/>
      </c>
      <c r="P1426" s="85" t="str">
        <f>IFERROR(VLOOKUP(CONCATENATE($B1426,"_",P$3),materiali!$C:$K,6,0),"")</f>
        <v/>
      </c>
      <c r="Q1426" s="86"/>
      <c r="R1426" s="84" t="str">
        <f>IFERROR(VLOOKUP(CONCATENATE($B1426,"_",R$3),materiali!$C:$K,5,0),"")</f>
        <v/>
      </c>
      <c r="S1426" s="85" t="str">
        <f>IFERROR(VLOOKUP(CONCATENATE($B1426,"_",S$3),materiali!$C:$K,6,0),"")</f>
        <v/>
      </c>
      <c r="T1426" s="86"/>
      <c r="U1426" s="31"/>
      <c r="AD1426" s="97"/>
    </row>
    <row r="1427" spans="1:30" ht="35.1" hidden="1" customHeight="1" x14ac:dyDescent="0.25">
      <c r="A1427" s="83"/>
      <c r="B1427" s="7"/>
      <c r="C1427" s="8"/>
      <c r="D1427" s="8"/>
      <c r="E1427" s="60"/>
      <c r="F1427" s="84" t="str">
        <f>IFERROR(VLOOKUP(CONCATENATE($B1427,"_",F$3),materiali!$C:$K,5,0),"")</f>
        <v/>
      </c>
      <c r="G1427" s="85" t="str">
        <f>IFERROR(VLOOKUP(CONCATENATE($B1427,"_",G$3),materiali!$C:$K,6,0),"")</f>
        <v/>
      </c>
      <c r="H1427" s="86"/>
      <c r="I1427" s="84" t="str">
        <f>IFERROR(VLOOKUP(CONCATENATE($B1427,"_",I$3),materiali!$C:$K,5,0),"")</f>
        <v/>
      </c>
      <c r="J1427" s="85" t="str">
        <f>IFERROR(VLOOKUP(CONCATENATE($B1427,"_",J$3),materiali!$C:$K,6,0),"")</f>
        <v/>
      </c>
      <c r="K1427" s="86"/>
      <c r="L1427" s="84" t="str">
        <f>IFERROR(VLOOKUP(CONCATENATE($B1427,"_",L$3),materiali!$C:$K,5,0),"")</f>
        <v/>
      </c>
      <c r="M1427" s="85" t="str">
        <f>IFERROR(VLOOKUP(CONCATENATE($B1427,"_",M$3),materiali!$C:$K,6,0),"")</f>
        <v/>
      </c>
      <c r="N1427" s="86"/>
      <c r="O1427" s="84" t="str">
        <f>IFERROR(VLOOKUP(CONCATENATE($B1427,"_",O$3),materiali!$C:$K,5,0),"")</f>
        <v/>
      </c>
      <c r="P1427" s="85" t="str">
        <f>IFERROR(VLOOKUP(CONCATENATE($B1427,"_",P$3),materiali!$C:$K,6,0),"")</f>
        <v/>
      </c>
      <c r="Q1427" s="86"/>
      <c r="R1427" s="84" t="str">
        <f>IFERROR(VLOOKUP(CONCATENATE($B1427,"_",R$3),materiali!$C:$K,5,0),"")</f>
        <v/>
      </c>
      <c r="S1427" s="85" t="str">
        <f>IFERROR(VLOOKUP(CONCATENATE($B1427,"_",S$3),materiali!$C:$K,6,0),"")</f>
        <v/>
      </c>
      <c r="T1427" s="86"/>
      <c r="U1427" s="31"/>
      <c r="AD1427" s="97"/>
    </row>
    <row r="1428" spans="1:30" ht="35.1" hidden="1" customHeight="1" x14ac:dyDescent="0.25">
      <c r="A1428" s="83"/>
      <c r="B1428" s="7"/>
      <c r="C1428" s="8"/>
      <c r="D1428" s="8"/>
      <c r="E1428" s="60"/>
      <c r="F1428" s="84" t="str">
        <f>IFERROR(VLOOKUP(CONCATENATE($B1428,"_",F$3),materiali!$C:$K,5,0),"")</f>
        <v/>
      </c>
      <c r="G1428" s="85" t="str">
        <f>IFERROR(VLOOKUP(CONCATENATE($B1428,"_",G$3),materiali!$C:$K,6,0),"")</f>
        <v/>
      </c>
      <c r="H1428" s="86"/>
      <c r="I1428" s="84" t="str">
        <f>IFERROR(VLOOKUP(CONCATENATE($B1428,"_",I$3),materiali!$C:$K,5,0),"")</f>
        <v/>
      </c>
      <c r="J1428" s="85" t="str">
        <f>IFERROR(VLOOKUP(CONCATENATE($B1428,"_",J$3),materiali!$C:$K,6,0),"")</f>
        <v/>
      </c>
      <c r="K1428" s="86"/>
      <c r="L1428" s="84" t="str">
        <f>IFERROR(VLOOKUP(CONCATENATE($B1428,"_",L$3),materiali!$C:$K,5,0),"")</f>
        <v/>
      </c>
      <c r="M1428" s="85" t="str">
        <f>IFERROR(VLOOKUP(CONCATENATE($B1428,"_",M$3),materiali!$C:$K,6,0),"")</f>
        <v/>
      </c>
      <c r="N1428" s="86"/>
      <c r="O1428" s="84" t="str">
        <f>IFERROR(VLOOKUP(CONCATENATE($B1428,"_",O$3),materiali!$C:$K,5,0),"")</f>
        <v/>
      </c>
      <c r="P1428" s="85" t="str">
        <f>IFERROR(VLOOKUP(CONCATENATE($B1428,"_",P$3),materiali!$C:$K,6,0),"")</f>
        <v/>
      </c>
      <c r="Q1428" s="86"/>
      <c r="R1428" s="84" t="str">
        <f>IFERROR(VLOOKUP(CONCATENATE($B1428,"_",R$3),materiali!$C:$K,5,0),"")</f>
        <v/>
      </c>
      <c r="S1428" s="85" t="str">
        <f>IFERROR(VLOOKUP(CONCATENATE($B1428,"_",S$3),materiali!$C:$K,6,0),"")</f>
        <v/>
      </c>
      <c r="T1428" s="86"/>
      <c r="U1428" s="31"/>
      <c r="AD1428" s="97"/>
    </row>
    <row r="1429" spans="1:30" ht="35.1" hidden="1" customHeight="1" x14ac:dyDescent="0.25">
      <c r="A1429" s="83"/>
      <c r="B1429" s="7"/>
      <c r="C1429" s="8"/>
      <c r="D1429" s="8"/>
      <c r="E1429" s="60"/>
      <c r="F1429" s="84" t="str">
        <f>IFERROR(VLOOKUP(CONCATENATE($B1429,"_",F$3),materiali!$C:$K,5,0),"")</f>
        <v/>
      </c>
      <c r="G1429" s="85" t="str">
        <f>IFERROR(VLOOKUP(CONCATENATE($B1429,"_",G$3),materiali!$C:$K,6,0),"")</f>
        <v/>
      </c>
      <c r="H1429" s="86"/>
      <c r="I1429" s="84" t="str">
        <f>IFERROR(VLOOKUP(CONCATENATE($B1429,"_",I$3),materiali!$C:$K,5,0),"")</f>
        <v/>
      </c>
      <c r="J1429" s="85" t="str">
        <f>IFERROR(VLOOKUP(CONCATENATE($B1429,"_",J$3),materiali!$C:$K,6,0),"")</f>
        <v/>
      </c>
      <c r="K1429" s="86"/>
      <c r="L1429" s="84" t="str">
        <f>IFERROR(VLOOKUP(CONCATENATE($B1429,"_",L$3),materiali!$C:$K,5,0),"")</f>
        <v/>
      </c>
      <c r="M1429" s="85" t="str">
        <f>IFERROR(VLOOKUP(CONCATENATE($B1429,"_",M$3),materiali!$C:$K,6,0),"")</f>
        <v/>
      </c>
      <c r="N1429" s="86"/>
      <c r="O1429" s="84" t="str">
        <f>IFERROR(VLOOKUP(CONCATENATE($B1429,"_",O$3),materiali!$C:$K,5,0),"")</f>
        <v/>
      </c>
      <c r="P1429" s="85" t="str">
        <f>IFERROR(VLOOKUP(CONCATENATE($B1429,"_",P$3),materiali!$C:$K,6,0),"")</f>
        <v/>
      </c>
      <c r="Q1429" s="86"/>
      <c r="R1429" s="84" t="str">
        <f>IFERROR(VLOOKUP(CONCATENATE($B1429,"_",R$3),materiali!$C:$K,5,0),"")</f>
        <v/>
      </c>
      <c r="S1429" s="85" t="str">
        <f>IFERROR(VLOOKUP(CONCATENATE($B1429,"_",S$3),materiali!$C:$K,6,0),"")</f>
        <v/>
      </c>
      <c r="T1429" s="86"/>
      <c r="U1429" s="31"/>
      <c r="AD1429" s="97"/>
    </row>
    <row r="1430" spans="1:30" ht="35.1" hidden="1" customHeight="1" x14ac:dyDescent="0.25">
      <c r="A1430" s="83"/>
      <c r="B1430" s="7"/>
      <c r="C1430" s="8"/>
      <c r="D1430" s="8"/>
      <c r="E1430" s="60"/>
      <c r="F1430" s="84" t="str">
        <f>IFERROR(VLOOKUP(CONCATENATE($B1430,"_",F$3),materiali!$C:$K,5,0),"")</f>
        <v/>
      </c>
      <c r="G1430" s="85" t="str">
        <f>IFERROR(VLOOKUP(CONCATENATE($B1430,"_",G$3),materiali!$C:$K,6,0),"")</f>
        <v/>
      </c>
      <c r="H1430" s="86"/>
      <c r="I1430" s="84" t="str">
        <f>IFERROR(VLOOKUP(CONCATENATE($B1430,"_",I$3),materiali!$C:$K,5,0),"")</f>
        <v/>
      </c>
      <c r="J1430" s="85" t="str">
        <f>IFERROR(VLOOKUP(CONCATENATE($B1430,"_",J$3),materiali!$C:$K,6,0),"")</f>
        <v/>
      </c>
      <c r="K1430" s="86"/>
      <c r="L1430" s="84" t="str">
        <f>IFERROR(VLOOKUP(CONCATENATE($B1430,"_",L$3),materiali!$C:$K,5,0),"")</f>
        <v/>
      </c>
      <c r="M1430" s="85" t="str">
        <f>IFERROR(VLOOKUP(CONCATENATE($B1430,"_",M$3),materiali!$C:$K,6,0),"")</f>
        <v/>
      </c>
      <c r="N1430" s="86"/>
      <c r="O1430" s="84" t="str">
        <f>IFERROR(VLOOKUP(CONCATENATE($B1430,"_",O$3),materiali!$C:$K,5,0),"")</f>
        <v/>
      </c>
      <c r="P1430" s="85" t="str">
        <f>IFERROR(VLOOKUP(CONCATENATE($B1430,"_",P$3),materiali!$C:$K,6,0),"")</f>
        <v/>
      </c>
      <c r="Q1430" s="86"/>
      <c r="R1430" s="84" t="str">
        <f>IFERROR(VLOOKUP(CONCATENATE($B1430,"_",R$3),materiali!$C:$K,5,0),"")</f>
        <v/>
      </c>
      <c r="S1430" s="85" t="str">
        <f>IFERROR(VLOOKUP(CONCATENATE($B1430,"_",S$3),materiali!$C:$K,6,0),"")</f>
        <v/>
      </c>
      <c r="T1430" s="86"/>
      <c r="U1430" s="31"/>
      <c r="AD1430" s="97"/>
    </row>
    <row r="1431" spans="1:30" ht="35.1" hidden="1" customHeight="1" x14ac:dyDescent="0.25">
      <c r="A1431" s="83"/>
      <c r="B1431" s="7"/>
      <c r="C1431" s="8"/>
      <c r="D1431" s="8"/>
      <c r="E1431" s="60"/>
      <c r="F1431" s="84" t="str">
        <f>IFERROR(VLOOKUP(CONCATENATE($B1431,"_",F$3),materiali!$C:$K,5,0),"")</f>
        <v/>
      </c>
      <c r="G1431" s="85" t="str">
        <f>IFERROR(VLOOKUP(CONCATENATE($B1431,"_",G$3),materiali!$C:$K,6,0),"")</f>
        <v/>
      </c>
      <c r="H1431" s="86"/>
      <c r="I1431" s="84" t="str">
        <f>IFERROR(VLOOKUP(CONCATENATE($B1431,"_",I$3),materiali!$C:$K,5,0),"")</f>
        <v/>
      </c>
      <c r="J1431" s="85" t="str">
        <f>IFERROR(VLOOKUP(CONCATENATE($B1431,"_",J$3),materiali!$C:$K,6,0),"")</f>
        <v/>
      </c>
      <c r="K1431" s="86"/>
      <c r="L1431" s="84" t="str">
        <f>IFERROR(VLOOKUP(CONCATENATE($B1431,"_",L$3),materiali!$C:$K,5,0),"")</f>
        <v/>
      </c>
      <c r="M1431" s="85" t="str">
        <f>IFERROR(VLOOKUP(CONCATENATE($B1431,"_",M$3),materiali!$C:$K,6,0),"")</f>
        <v/>
      </c>
      <c r="N1431" s="86"/>
      <c r="O1431" s="84" t="str">
        <f>IFERROR(VLOOKUP(CONCATENATE($B1431,"_",O$3),materiali!$C:$K,5,0),"")</f>
        <v/>
      </c>
      <c r="P1431" s="85" t="str">
        <f>IFERROR(VLOOKUP(CONCATENATE($B1431,"_",P$3),materiali!$C:$K,6,0),"")</f>
        <v/>
      </c>
      <c r="Q1431" s="86"/>
      <c r="R1431" s="84" t="str">
        <f>IFERROR(VLOOKUP(CONCATENATE($B1431,"_",R$3),materiali!$C:$K,5,0),"")</f>
        <v/>
      </c>
      <c r="S1431" s="85" t="str">
        <f>IFERROR(VLOOKUP(CONCATENATE($B1431,"_",S$3),materiali!$C:$K,6,0),"")</f>
        <v/>
      </c>
      <c r="T1431" s="86"/>
      <c r="U1431" s="31"/>
      <c r="AD1431" s="97"/>
    </row>
    <row r="1432" spans="1:30" ht="35.1" hidden="1" customHeight="1" x14ac:dyDescent="0.25">
      <c r="A1432" s="83"/>
      <c r="B1432" s="7"/>
      <c r="C1432" s="8"/>
      <c r="D1432" s="8"/>
      <c r="E1432" s="60"/>
      <c r="F1432" s="84" t="str">
        <f>IFERROR(VLOOKUP(CONCATENATE($B1432,"_",F$3),materiali!$C:$K,5,0),"")</f>
        <v/>
      </c>
      <c r="G1432" s="85" t="str">
        <f>IFERROR(VLOOKUP(CONCATENATE($B1432,"_",G$3),materiali!$C:$K,6,0),"")</f>
        <v/>
      </c>
      <c r="H1432" s="86"/>
      <c r="I1432" s="84" t="str">
        <f>IFERROR(VLOOKUP(CONCATENATE($B1432,"_",I$3),materiali!$C:$K,5,0),"")</f>
        <v/>
      </c>
      <c r="J1432" s="85" t="str">
        <f>IFERROR(VLOOKUP(CONCATENATE($B1432,"_",J$3),materiali!$C:$K,6,0),"")</f>
        <v/>
      </c>
      <c r="K1432" s="86"/>
      <c r="L1432" s="84" t="str">
        <f>IFERROR(VLOOKUP(CONCATENATE($B1432,"_",L$3),materiali!$C:$K,5,0),"")</f>
        <v/>
      </c>
      <c r="M1432" s="85" t="str">
        <f>IFERROR(VLOOKUP(CONCATENATE($B1432,"_",M$3),materiali!$C:$K,6,0),"")</f>
        <v/>
      </c>
      <c r="N1432" s="86"/>
      <c r="O1432" s="84" t="str">
        <f>IFERROR(VLOOKUP(CONCATENATE($B1432,"_",O$3),materiali!$C:$K,5,0),"")</f>
        <v/>
      </c>
      <c r="P1432" s="85" t="str">
        <f>IFERROR(VLOOKUP(CONCATENATE($B1432,"_",P$3),materiali!$C:$K,6,0),"")</f>
        <v/>
      </c>
      <c r="Q1432" s="86"/>
      <c r="R1432" s="84" t="str">
        <f>IFERROR(VLOOKUP(CONCATENATE($B1432,"_",R$3),materiali!$C:$K,5,0),"")</f>
        <v/>
      </c>
      <c r="S1432" s="85" t="str">
        <f>IFERROR(VLOOKUP(CONCATENATE($B1432,"_",S$3),materiali!$C:$K,6,0),"")</f>
        <v/>
      </c>
      <c r="T1432" s="86"/>
      <c r="U1432" s="31"/>
      <c r="AD1432" s="97"/>
    </row>
    <row r="1433" spans="1:30" ht="35.1" hidden="1" customHeight="1" x14ac:dyDescent="0.25">
      <c r="A1433" s="83"/>
      <c r="B1433" s="7"/>
      <c r="C1433" s="8"/>
      <c r="D1433" s="8"/>
      <c r="E1433" s="60"/>
      <c r="F1433" s="84" t="str">
        <f>IFERROR(VLOOKUP(CONCATENATE($B1433,"_",F$3),materiali!$C:$K,5,0),"")</f>
        <v/>
      </c>
      <c r="G1433" s="85" t="str">
        <f>IFERROR(VLOOKUP(CONCATENATE($B1433,"_",G$3),materiali!$C:$K,6,0),"")</f>
        <v/>
      </c>
      <c r="H1433" s="86"/>
      <c r="I1433" s="84" t="str">
        <f>IFERROR(VLOOKUP(CONCATENATE($B1433,"_",I$3),materiali!$C:$K,5,0),"")</f>
        <v/>
      </c>
      <c r="J1433" s="85" t="str">
        <f>IFERROR(VLOOKUP(CONCATENATE($B1433,"_",J$3),materiali!$C:$K,6,0),"")</f>
        <v/>
      </c>
      <c r="K1433" s="86"/>
      <c r="L1433" s="84" t="str">
        <f>IFERROR(VLOOKUP(CONCATENATE($B1433,"_",L$3),materiali!$C:$K,5,0),"")</f>
        <v/>
      </c>
      <c r="M1433" s="85" t="str">
        <f>IFERROR(VLOOKUP(CONCATENATE($B1433,"_",M$3),materiali!$C:$K,6,0),"")</f>
        <v/>
      </c>
      <c r="N1433" s="86"/>
      <c r="O1433" s="84" t="str">
        <f>IFERROR(VLOOKUP(CONCATENATE($B1433,"_",O$3),materiali!$C:$K,5,0),"")</f>
        <v/>
      </c>
      <c r="P1433" s="85" t="str">
        <f>IFERROR(VLOOKUP(CONCATENATE($B1433,"_",P$3),materiali!$C:$K,6,0),"")</f>
        <v/>
      </c>
      <c r="Q1433" s="86"/>
      <c r="R1433" s="84" t="str">
        <f>IFERROR(VLOOKUP(CONCATENATE($B1433,"_",R$3),materiali!$C:$K,5,0),"")</f>
        <v/>
      </c>
      <c r="S1433" s="85" t="str">
        <f>IFERROR(VLOOKUP(CONCATENATE($B1433,"_",S$3),materiali!$C:$K,6,0),"")</f>
        <v/>
      </c>
      <c r="T1433" s="86"/>
      <c r="U1433" s="31"/>
      <c r="AD1433" s="97"/>
    </row>
    <row r="1434" spans="1:30" ht="35.1" hidden="1" customHeight="1" x14ac:dyDescent="0.25">
      <c r="A1434" s="83"/>
      <c r="B1434" s="7"/>
      <c r="C1434" s="8"/>
      <c r="D1434" s="8"/>
      <c r="E1434" s="60"/>
      <c r="F1434" s="84" t="str">
        <f>IFERROR(VLOOKUP(CONCATENATE($B1434,"_",F$3),materiali!$C:$K,5,0),"")</f>
        <v/>
      </c>
      <c r="G1434" s="85" t="str">
        <f>IFERROR(VLOOKUP(CONCATENATE($B1434,"_",G$3),materiali!$C:$K,6,0),"")</f>
        <v/>
      </c>
      <c r="H1434" s="86"/>
      <c r="I1434" s="84" t="str">
        <f>IFERROR(VLOOKUP(CONCATENATE($B1434,"_",I$3),materiali!$C:$K,5,0),"")</f>
        <v/>
      </c>
      <c r="J1434" s="85" t="str">
        <f>IFERROR(VLOOKUP(CONCATENATE($B1434,"_",J$3),materiali!$C:$K,6,0),"")</f>
        <v/>
      </c>
      <c r="K1434" s="86"/>
      <c r="L1434" s="84" t="str">
        <f>IFERROR(VLOOKUP(CONCATENATE($B1434,"_",L$3),materiali!$C:$K,5,0),"")</f>
        <v/>
      </c>
      <c r="M1434" s="85" t="str">
        <f>IFERROR(VLOOKUP(CONCATENATE($B1434,"_",M$3),materiali!$C:$K,6,0),"")</f>
        <v/>
      </c>
      <c r="N1434" s="86"/>
      <c r="O1434" s="84" t="str">
        <f>IFERROR(VLOOKUP(CONCATENATE($B1434,"_",O$3),materiali!$C:$K,5,0),"")</f>
        <v/>
      </c>
      <c r="P1434" s="85" t="str">
        <f>IFERROR(VLOOKUP(CONCATENATE($B1434,"_",P$3),materiali!$C:$K,6,0),"")</f>
        <v/>
      </c>
      <c r="Q1434" s="86"/>
      <c r="R1434" s="84" t="str">
        <f>IFERROR(VLOOKUP(CONCATENATE($B1434,"_",R$3),materiali!$C:$K,5,0),"")</f>
        <v/>
      </c>
      <c r="S1434" s="85" t="str">
        <f>IFERROR(VLOOKUP(CONCATENATE($B1434,"_",S$3),materiali!$C:$K,6,0),"")</f>
        <v/>
      </c>
      <c r="T1434" s="86"/>
      <c r="U1434" s="31"/>
      <c r="AD1434" s="97"/>
    </row>
    <row r="1435" spans="1:30" ht="35.1" hidden="1" customHeight="1" x14ac:dyDescent="0.25">
      <c r="A1435" s="83"/>
      <c r="B1435" s="7"/>
      <c r="C1435" s="8"/>
      <c r="D1435" s="8"/>
      <c r="E1435" s="60"/>
      <c r="F1435" s="84" t="str">
        <f>IFERROR(VLOOKUP(CONCATENATE($B1435,"_",F$3),materiali!$C:$K,5,0),"")</f>
        <v/>
      </c>
      <c r="G1435" s="85" t="str">
        <f>IFERROR(VLOOKUP(CONCATENATE($B1435,"_",G$3),materiali!$C:$K,6,0),"")</f>
        <v/>
      </c>
      <c r="H1435" s="86"/>
      <c r="I1435" s="84" t="str">
        <f>IFERROR(VLOOKUP(CONCATENATE($B1435,"_",I$3),materiali!$C:$K,5,0),"")</f>
        <v/>
      </c>
      <c r="J1435" s="85" t="str">
        <f>IFERROR(VLOOKUP(CONCATENATE($B1435,"_",J$3),materiali!$C:$K,6,0),"")</f>
        <v/>
      </c>
      <c r="K1435" s="86"/>
      <c r="L1435" s="84" t="str">
        <f>IFERROR(VLOOKUP(CONCATENATE($B1435,"_",L$3),materiali!$C:$K,5,0),"")</f>
        <v/>
      </c>
      <c r="M1435" s="85" t="str">
        <f>IFERROR(VLOOKUP(CONCATENATE($B1435,"_",M$3),materiali!$C:$K,6,0),"")</f>
        <v/>
      </c>
      <c r="N1435" s="86"/>
      <c r="O1435" s="84" t="str">
        <f>IFERROR(VLOOKUP(CONCATENATE($B1435,"_",O$3),materiali!$C:$K,5,0),"")</f>
        <v/>
      </c>
      <c r="P1435" s="85" t="str">
        <f>IFERROR(VLOOKUP(CONCATENATE($B1435,"_",P$3),materiali!$C:$K,6,0),"")</f>
        <v/>
      </c>
      <c r="Q1435" s="86"/>
      <c r="R1435" s="84" t="str">
        <f>IFERROR(VLOOKUP(CONCATENATE($B1435,"_",R$3),materiali!$C:$K,5,0),"")</f>
        <v/>
      </c>
      <c r="S1435" s="85" t="str">
        <f>IFERROR(VLOOKUP(CONCATENATE($B1435,"_",S$3),materiali!$C:$K,6,0),"")</f>
        <v/>
      </c>
      <c r="T1435" s="86"/>
      <c r="U1435" s="31"/>
      <c r="AD1435" s="97"/>
    </row>
    <row r="1436" spans="1:30" ht="35.1" hidden="1" customHeight="1" x14ac:dyDescent="0.25">
      <c r="A1436" s="83"/>
      <c r="B1436" s="7"/>
      <c r="C1436" s="8"/>
      <c r="D1436" s="8"/>
      <c r="E1436" s="60"/>
      <c r="F1436" s="84" t="str">
        <f>IFERROR(VLOOKUP(CONCATENATE($B1436,"_",F$3),materiali!$C:$K,5,0),"")</f>
        <v/>
      </c>
      <c r="G1436" s="85" t="str">
        <f>IFERROR(VLOOKUP(CONCATENATE($B1436,"_",G$3),materiali!$C:$K,6,0),"")</f>
        <v/>
      </c>
      <c r="H1436" s="86"/>
      <c r="I1436" s="84" t="str">
        <f>IFERROR(VLOOKUP(CONCATENATE($B1436,"_",I$3),materiali!$C:$K,5,0),"")</f>
        <v/>
      </c>
      <c r="J1436" s="85" t="str">
        <f>IFERROR(VLOOKUP(CONCATENATE($B1436,"_",J$3),materiali!$C:$K,6,0),"")</f>
        <v/>
      </c>
      <c r="K1436" s="86"/>
      <c r="L1436" s="84" t="str">
        <f>IFERROR(VLOOKUP(CONCATENATE($B1436,"_",L$3),materiali!$C:$K,5,0),"")</f>
        <v/>
      </c>
      <c r="M1436" s="85" t="str">
        <f>IFERROR(VLOOKUP(CONCATENATE($B1436,"_",M$3),materiali!$C:$K,6,0),"")</f>
        <v/>
      </c>
      <c r="N1436" s="86"/>
      <c r="O1436" s="84" t="str">
        <f>IFERROR(VLOOKUP(CONCATENATE($B1436,"_",O$3),materiali!$C:$K,5,0),"")</f>
        <v/>
      </c>
      <c r="P1436" s="85" t="str">
        <f>IFERROR(VLOOKUP(CONCATENATE($B1436,"_",P$3),materiali!$C:$K,6,0),"")</f>
        <v/>
      </c>
      <c r="Q1436" s="86"/>
      <c r="R1436" s="84" t="str">
        <f>IFERROR(VLOOKUP(CONCATENATE($B1436,"_",R$3),materiali!$C:$K,5,0),"")</f>
        <v/>
      </c>
      <c r="S1436" s="85" t="str">
        <f>IFERROR(VLOOKUP(CONCATENATE($B1436,"_",S$3),materiali!$C:$K,6,0),"")</f>
        <v/>
      </c>
      <c r="T1436" s="86"/>
      <c r="U1436" s="31"/>
      <c r="AD1436" s="97"/>
    </row>
    <row r="1437" spans="1:30" ht="35.1" hidden="1" customHeight="1" x14ac:dyDescent="0.25">
      <c r="A1437" s="83"/>
      <c r="B1437" s="7"/>
      <c r="C1437" s="8"/>
      <c r="D1437" s="8"/>
      <c r="E1437" s="60"/>
      <c r="F1437" s="84" t="str">
        <f>IFERROR(VLOOKUP(CONCATENATE($B1437,"_",F$3),materiali!$C:$K,5,0),"")</f>
        <v/>
      </c>
      <c r="G1437" s="85" t="str">
        <f>IFERROR(VLOOKUP(CONCATENATE($B1437,"_",G$3),materiali!$C:$K,6,0),"")</f>
        <v/>
      </c>
      <c r="H1437" s="86"/>
      <c r="I1437" s="84" t="str">
        <f>IFERROR(VLOOKUP(CONCATENATE($B1437,"_",I$3),materiali!$C:$K,5,0),"")</f>
        <v/>
      </c>
      <c r="J1437" s="85" t="str">
        <f>IFERROR(VLOOKUP(CONCATENATE($B1437,"_",J$3),materiali!$C:$K,6,0),"")</f>
        <v/>
      </c>
      <c r="K1437" s="86"/>
      <c r="L1437" s="84" t="str">
        <f>IFERROR(VLOOKUP(CONCATENATE($B1437,"_",L$3),materiali!$C:$K,5,0),"")</f>
        <v/>
      </c>
      <c r="M1437" s="85" t="str">
        <f>IFERROR(VLOOKUP(CONCATENATE($B1437,"_",M$3),materiali!$C:$K,6,0),"")</f>
        <v/>
      </c>
      <c r="N1437" s="86"/>
      <c r="O1437" s="84" t="str">
        <f>IFERROR(VLOOKUP(CONCATENATE($B1437,"_",O$3),materiali!$C:$K,5,0),"")</f>
        <v/>
      </c>
      <c r="P1437" s="85" t="str">
        <f>IFERROR(VLOOKUP(CONCATENATE($B1437,"_",P$3),materiali!$C:$K,6,0),"")</f>
        <v/>
      </c>
      <c r="Q1437" s="86"/>
      <c r="R1437" s="84" t="str">
        <f>IFERROR(VLOOKUP(CONCATENATE($B1437,"_",R$3),materiali!$C:$K,5,0),"")</f>
        <v/>
      </c>
      <c r="S1437" s="85" t="str">
        <f>IFERROR(VLOOKUP(CONCATENATE($B1437,"_",S$3),materiali!$C:$K,6,0),"")</f>
        <v/>
      </c>
      <c r="T1437" s="86"/>
      <c r="U1437" s="31"/>
      <c r="AD1437" s="97"/>
    </row>
    <row r="1438" spans="1:30" ht="35.1" hidden="1" customHeight="1" x14ac:dyDescent="0.25">
      <c r="A1438" s="83"/>
      <c r="B1438" s="7"/>
      <c r="C1438" s="8"/>
      <c r="D1438" s="8"/>
      <c r="E1438" s="60"/>
      <c r="F1438" s="84" t="str">
        <f>IFERROR(VLOOKUP(CONCATENATE($B1438,"_",F$3),materiali!$C:$K,5,0),"")</f>
        <v/>
      </c>
      <c r="G1438" s="85" t="str">
        <f>IFERROR(VLOOKUP(CONCATENATE($B1438,"_",G$3),materiali!$C:$K,6,0),"")</f>
        <v/>
      </c>
      <c r="H1438" s="86"/>
      <c r="I1438" s="84" t="str">
        <f>IFERROR(VLOOKUP(CONCATENATE($B1438,"_",I$3),materiali!$C:$K,5,0),"")</f>
        <v/>
      </c>
      <c r="J1438" s="85" t="str">
        <f>IFERROR(VLOOKUP(CONCATENATE($B1438,"_",J$3),materiali!$C:$K,6,0),"")</f>
        <v/>
      </c>
      <c r="K1438" s="86"/>
      <c r="L1438" s="84" t="str">
        <f>IFERROR(VLOOKUP(CONCATENATE($B1438,"_",L$3),materiali!$C:$K,5,0),"")</f>
        <v/>
      </c>
      <c r="M1438" s="85" t="str">
        <f>IFERROR(VLOOKUP(CONCATENATE($B1438,"_",M$3),materiali!$C:$K,6,0),"")</f>
        <v/>
      </c>
      <c r="N1438" s="86"/>
      <c r="O1438" s="84" t="str">
        <f>IFERROR(VLOOKUP(CONCATENATE($B1438,"_",O$3),materiali!$C:$K,5,0),"")</f>
        <v/>
      </c>
      <c r="P1438" s="85" t="str">
        <f>IFERROR(VLOOKUP(CONCATENATE($B1438,"_",P$3),materiali!$C:$K,6,0),"")</f>
        <v/>
      </c>
      <c r="Q1438" s="86"/>
      <c r="R1438" s="84" t="str">
        <f>IFERROR(VLOOKUP(CONCATENATE($B1438,"_",R$3),materiali!$C:$K,5,0),"")</f>
        <v/>
      </c>
      <c r="S1438" s="85" t="str">
        <f>IFERROR(VLOOKUP(CONCATENATE($B1438,"_",S$3),materiali!$C:$K,6,0),"")</f>
        <v/>
      </c>
      <c r="T1438" s="86"/>
      <c r="U1438" s="31"/>
      <c r="AD1438" s="97"/>
    </row>
    <row r="1439" spans="1:30" ht="35.1" hidden="1" customHeight="1" x14ac:dyDescent="0.25">
      <c r="A1439" s="83"/>
      <c r="B1439" s="7"/>
      <c r="C1439" s="8"/>
      <c r="D1439" s="8"/>
      <c r="E1439" s="60"/>
      <c r="F1439" s="84" t="str">
        <f>IFERROR(VLOOKUP(CONCATENATE($B1439,"_",F$3),materiali!$C:$K,5,0),"")</f>
        <v/>
      </c>
      <c r="G1439" s="85" t="str">
        <f>IFERROR(VLOOKUP(CONCATENATE($B1439,"_",G$3),materiali!$C:$K,6,0),"")</f>
        <v/>
      </c>
      <c r="H1439" s="86"/>
      <c r="I1439" s="84" t="str">
        <f>IFERROR(VLOOKUP(CONCATENATE($B1439,"_",I$3),materiali!$C:$K,5,0),"")</f>
        <v/>
      </c>
      <c r="J1439" s="85" t="str">
        <f>IFERROR(VLOOKUP(CONCATENATE($B1439,"_",J$3),materiali!$C:$K,6,0),"")</f>
        <v/>
      </c>
      <c r="K1439" s="86"/>
      <c r="L1439" s="84" t="str">
        <f>IFERROR(VLOOKUP(CONCATENATE($B1439,"_",L$3),materiali!$C:$K,5,0),"")</f>
        <v/>
      </c>
      <c r="M1439" s="85" t="str">
        <f>IFERROR(VLOOKUP(CONCATENATE($B1439,"_",M$3),materiali!$C:$K,6,0),"")</f>
        <v/>
      </c>
      <c r="N1439" s="86"/>
      <c r="O1439" s="84" t="str">
        <f>IFERROR(VLOOKUP(CONCATENATE($B1439,"_",O$3),materiali!$C:$K,5,0),"")</f>
        <v/>
      </c>
      <c r="P1439" s="85" t="str">
        <f>IFERROR(VLOOKUP(CONCATENATE($B1439,"_",P$3),materiali!$C:$K,6,0),"")</f>
        <v/>
      </c>
      <c r="Q1439" s="86"/>
      <c r="R1439" s="84" t="str">
        <f>IFERROR(VLOOKUP(CONCATENATE($B1439,"_",R$3),materiali!$C:$K,5,0),"")</f>
        <v/>
      </c>
      <c r="S1439" s="85" t="str">
        <f>IFERROR(VLOOKUP(CONCATENATE($B1439,"_",S$3),materiali!$C:$K,6,0),"")</f>
        <v/>
      </c>
      <c r="T1439" s="86"/>
      <c r="U1439" s="31"/>
      <c r="AD1439" s="97"/>
    </row>
    <row r="1440" spans="1:30" ht="35.1" hidden="1" customHeight="1" x14ac:dyDescent="0.25">
      <c r="A1440" s="83"/>
      <c r="B1440" s="7"/>
      <c r="C1440" s="8"/>
      <c r="D1440" s="8"/>
      <c r="E1440" s="60"/>
      <c r="F1440" s="84" t="str">
        <f>IFERROR(VLOOKUP(CONCATENATE($B1440,"_",F$3),materiali!$C:$K,5,0),"")</f>
        <v/>
      </c>
      <c r="G1440" s="85" t="str">
        <f>IFERROR(VLOOKUP(CONCATENATE($B1440,"_",G$3),materiali!$C:$K,6,0),"")</f>
        <v/>
      </c>
      <c r="H1440" s="86"/>
      <c r="I1440" s="84" t="str">
        <f>IFERROR(VLOOKUP(CONCATENATE($B1440,"_",I$3),materiali!$C:$K,5,0),"")</f>
        <v/>
      </c>
      <c r="J1440" s="85" t="str">
        <f>IFERROR(VLOOKUP(CONCATENATE($B1440,"_",J$3),materiali!$C:$K,6,0),"")</f>
        <v/>
      </c>
      <c r="K1440" s="86"/>
      <c r="L1440" s="84" t="str">
        <f>IFERROR(VLOOKUP(CONCATENATE($B1440,"_",L$3),materiali!$C:$K,5,0),"")</f>
        <v/>
      </c>
      <c r="M1440" s="85" t="str">
        <f>IFERROR(VLOOKUP(CONCATENATE($B1440,"_",M$3),materiali!$C:$K,6,0),"")</f>
        <v/>
      </c>
      <c r="N1440" s="86"/>
      <c r="O1440" s="84" t="str">
        <f>IFERROR(VLOOKUP(CONCATENATE($B1440,"_",O$3),materiali!$C:$K,5,0),"")</f>
        <v/>
      </c>
      <c r="P1440" s="85" t="str">
        <f>IFERROR(VLOOKUP(CONCATENATE($B1440,"_",P$3),materiali!$C:$K,6,0),"")</f>
        <v/>
      </c>
      <c r="Q1440" s="86"/>
      <c r="R1440" s="84" t="str">
        <f>IFERROR(VLOOKUP(CONCATENATE($B1440,"_",R$3),materiali!$C:$K,5,0),"")</f>
        <v/>
      </c>
      <c r="S1440" s="85" t="str">
        <f>IFERROR(VLOOKUP(CONCATENATE($B1440,"_",S$3),materiali!$C:$K,6,0),"")</f>
        <v/>
      </c>
      <c r="T1440" s="86"/>
      <c r="U1440" s="31"/>
      <c r="AD1440" s="97"/>
    </row>
    <row r="1441" spans="1:30" ht="35.1" hidden="1" customHeight="1" x14ac:dyDescent="0.25">
      <c r="A1441" s="83"/>
      <c r="B1441" s="7"/>
      <c r="C1441" s="8"/>
      <c r="D1441" s="8"/>
      <c r="E1441" s="60"/>
      <c r="F1441" s="84" t="str">
        <f>IFERROR(VLOOKUP(CONCATENATE($B1441,"_",F$3),materiali!$C:$K,5,0),"")</f>
        <v/>
      </c>
      <c r="G1441" s="85" t="str">
        <f>IFERROR(VLOOKUP(CONCATENATE($B1441,"_",G$3),materiali!$C:$K,6,0),"")</f>
        <v/>
      </c>
      <c r="H1441" s="86"/>
      <c r="I1441" s="84" t="str">
        <f>IFERROR(VLOOKUP(CONCATENATE($B1441,"_",I$3),materiali!$C:$K,5,0),"")</f>
        <v/>
      </c>
      <c r="J1441" s="85" t="str">
        <f>IFERROR(VLOOKUP(CONCATENATE($B1441,"_",J$3),materiali!$C:$K,6,0),"")</f>
        <v/>
      </c>
      <c r="K1441" s="86"/>
      <c r="L1441" s="84" t="str">
        <f>IFERROR(VLOOKUP(CONCATENATE($B1441,"_",L$3),materiali!$C:$K,5,0),"")</f>
        <v/>
      </c>
      <c r="M1441" s="85" t="str">
        <f>IFERROR(VLOOKUP(CONCATENATE($B1441,"_",M$3),materiali!$C:$K,6,0),"")</f>
        <v/>
      </c>
      <c r="N1441" s="86"/>
      <c r="O1441" s="84" t="str">
        <f>IFERROR(VLOOKUP(CONCATENATE($B1441,"_",O$3),materiali!$C:$K,5,0),"")</f>
        <v/>
      </c>
      <c r="P1441" s="85" t="str">
        <f>IFERROR(VLOOKUP(CONCATENATE($B1441,"_",P$3),materiali!$C:$K,6,0),"")</f>
        <v/>
      </c>
      <c r="Q1441" s="86"/>
      <c r="R1441" s="84" t="str">
        <f>IFERROR(VLOOKUP(CONCATENATE($B1441,"_",R$3),materiali!$C:$K,5,0),"")</f>
        <v/>
      </c>
      <c r="S1441" s="85" t="str">
        <f>IFERROR(VLOOKUP(CONCATENATE($B1441,"_",S$3),materiali!$C:$K,6,0),"")</f>
        <v/>
      </c>
      <c r="T1441" s="86"/>
      <c r="U1441" s="31"/>
      <c r="AD1441" s="97"/>
    </row>
    <row r="1442" spans="1:30" ht="35.1" hidden="1" customHeight="1" x14ac:dyDescent="0.25">
      <c r="A1442" s="83"/>
      <c r="B1442" s="7"/>
      <c r="C1442" s="8"/>
      <c r="D1442" s="8"/>
      <c r="E1442" s="60"/>
      <c r="F1442" s="84" t="str">
        <f>IFERROR(VLOOKUP(CONCATENATE($B1442,"_",F$3),materiali!$C:$K,5,0),"")</f>
        <v/>
      </c>
      <c r="G1442" s="85" t="str">
        <f>IFERROR(VLOOKUP(CONCATENATE($B1442,"_",G$3),materiali!$C:$K,6,0),"")</f>
        <v/>
      </c>
      <c r="H1442" s="86"/>
      <c r="I1442" s="84" t="str">
        <f>IFERROR(VLOOKUP(CONCATENATE($B1442,"_",I$3),materiali!$C:$K,5,0),"")</f>
        <v/>
      </c>
      <c r="J1442" s="85" t="str">
        <f>IFERROR(VLOOKUP(CONCATENATE($B1442,"_",J$3),materiali!$C:$K,6,0),"")</f>
        <v/>
      </c>
      <c r="K1442" s="86"/>
      <c r="L1442" s="84" t="str">
        <f>IFERROR(VLOOKUP(CONCATENATE($B1442,"_",L$3),materiali!$C:$K,5,0),"")</f>
        <v/>
      </c>
      <c r="M1442" s="85" t="str">
        <f>IFERROR(VLOOKUP(CONCATENATE($B1442,"_",M$3),materiali!$C:$K,6,0),"")</f>
        <v/>
      </c>
      <c r="N1442" s="86"/>
      <c r="O1442" s="84" t="str">
        <f>IFERROR(VLOOKUP(CONCATENATE($B1442,"_",O$3),materiali!$C:$K,5,0),"")</f>
        <v/>
      </c>
      <c r="P1442" s="85" t="str">
        <f>IFERROR(VLOOKUP(CONCATENATE($B1442,"_",P$3),materiali!$C:$K,6,0),"")</f>
        <v/>
      </c>
      <c r="Q1442" s="86"/>
      <c r="R1442" s="84" t="str">
        <f>IFERROR(VLOOKUP(CONCATENATE($B1442,"_",R$3),materiali!$C:$K,5,0),"")</f>
        <v/>
      </c>
      <c r="S1442" s="85" t="str">
        <f>IFERROR(VLOOKUP(CONCATENATE($B1442,"_",S$3),materiali!$C:$K,6,0),"")</f>
        <v/>
      </c>
      <c r="T1442" s="86"/>
      <c r="U1442" s="31"/>
      <c r="AD1442" s="97"/>
    </row>
    <row r="1443" spans="1:30" ht="35.1" hidden="1" customHeight="1" x14ac:dyDescent="0.25">
      <c r="A1443" s="83"/>
      <c r="B1443" s="7"/>
      <c r="C1443" s="8"/>
      <c r="D1443" s="8"/>
      <c r="E1443" s="60"/>
      <c r="F1443" s="84" t="str">
        <f>IFERROR(VLOOKUP(CONCATENATE($B1443,"_",F$3),materiali!$C:$K,5,0),"")</f>
        <v/>
      </c>
      <c r="G1443" s="85" t="str">
        <f>IFERROR(VLOOKUP(CONCATENATE($B1443,"_",G$3),materiali!$C:$K,6,0),"")</f>
        <v/>
      </c>
      <c r="H1443" s="86"/>
      <c r="I1443" s="84" t="str">
        <f>IFERROR(VLOOKUP(CONCATENATE($B1443,"_",I$3),materiali!$C:$K,5,0),"")</f>
        <v/>
      </c>
      <c r="J1443" s="85" t="str">
        <f>IFERROR(VLOOKUP(CONCATENATE($B1443,"_",J$3),materiali!$C:$K,6,0),"")</f>
        <v/>
      </c>
      <c r="K1443" s="86"/>
      <c r="L1443" s="84" t="str">
        <f>IFERROR(VLOOKUP(CONCATENATE($B1443,"_",L$3),materiali!$C:$K,5,0),"")</f>
        <v/>
      </c>
      <c r="M1443" s="85" t="str">
        <f>IFERROR(VLOOKUP(CONCATENATE($B1443,"_",M$3),materiali!$C:$K,6,0),"")</f>
        <v/>
      </c>
      <c r="N1443" s="86"/>
      <c r="O1443" s="84" t="str">
        <f>IFERROR(VLOOKUP(CONCATENATE($B1443,"_",O$3),materiali!$C:$K,5,0),"")</f>
        <v/>
      </c>
      <c r="P1443" s="85" t="str">
        <f>IFERROR(VLOOKUP(CONCATENATE($B1443,"_",P$3),materiali!$C:$K,6,0),"")</f>
        <v/>
      </c>
      <c r="Q1443" s="86"/>
      <c r="R1443" s="84" t="str">
        <f>IFERROR(VLOOKUP(CONCATENATE($B1443,"_",R$3),materiali!$C:$K,5,0),"")</f>
        <v/>
      </c>
      <c r="S1443" s="85" t="str">
        <f>IFERROR(VLOOKUP(CONCATENATE($B1443,"_",S$3),materiali!$C:$K,6,0),"")</f>
        <v/>
      </c>
      <c r="T1443" s="86"/>
      <c r="U1443" s="31"/>
      <c r="AD1443" s="97"/>
    </row>
    <row r="1444" spans="1:30" ht="35.1" hidden="1" customHeight="1" x14ac:dyDescent="0.25">
      <c r="A1444" s="83"/>
      <c r="B1444" s="7"/>
      <c r="C1444" s="8"/>
      <c r="D1444" s="8"/>
      <c r="E1444" s="60"/>
      <c r="F1444" s="84" t="str">
        <f>IFERROR(VLOOKUP(CONCATENATE($B1444,"_",F$3),materiali!$C:$K,5,0),"")</f>
        <v/>
      </c>
      <c r="G1444" s="85" t="str">
        <f>IFERROR(VLOOKUP(CONCATENATE($B1444,"_",G$3),materiali!$C:$K,6,0),"")</f>
        <v/>
      </c>
      <c r="H1444" s="86"/>
      <c r="I1444" s="84" t="str">
        <f>IFERROR(VLOOKUP(CONCATENATE($B1444,"_",I$3),materiali!$C:$K,5,0),"")</f>
        <v/>
      </c>
      <c r="J1444" s="85" t="str">
        <f>IFERROR(VLOOKUP(CONCATENATE($B1444,"_",J$3),materiali!$C:$K,6,0),"")</f>
        <v/>
      </c>
      <c r="K1444" s="86"/>
      <c r="L1444" s="84" t="str">
        <f>IFERROR(VLOOKUP(CONCATENATE($B1444,"_",L$3),materiali!$C:$K,5,0),"")</f>
        <v/>
      </c>
      <c r="M1444" s="85" t="str">
        <f>IFERROR(VLOOKUP(CONCATENATE($B1444,"_",M$3),materiali!$C:$K,6,0),"")</f>
        <v/>
      </c>
      <c r="N1444" s="86"/>
      <c r="O1444" s="84" t="str">
        <f>IFERROR(VLOOKUP(CONCATENATE($B1444,"_",O$3),materiali!$C:$K,5,0),"")</f>
        <v/>
      </c>
      <c r="P1444" s="85" t="str">
        <f>IFERROR(VLOOKUP(CONCATENATE($B1444,"_",P$3),materiali!$C:$K,6,0),"")</f>
        <v/>
      </c>
      <c r="Q1444" s="86"/>
      <c r="R1444" s="84" t="str">
        <f>IFERROR(VLOOKUP(CONCATENATE($B1444,"_",R$3),materiali!$C:$K,5,0),"")</f>
        <v/>
      </c>
      <c r="S1444" s="85" t="str">
        <f>IFERROR(VLOOKUP(CONCATENATE($B1444,"_",S$3),materiali!$C:$K,6,0),"")</f>
        <v/>
      </c>
      <c r="T1444" s="86"/>
      <c r="U1444" s="31"/>
      <c r="AD1444" s="97"/>
    </row>
    <row r="1445" spans="1:30" ht="35.1" hidden="1" customHeight="1" x14ac:dyDescent="0.25">
      <c r="A1445" s="83"/>
      <c r="B1445" s="7"/>
      <c r="C1445" s="8"/>
      <c r="D1445" s="8"/>
      <c r="E1445" s="60"/>
      <c r="F1445" s="84" t="str">
        <f>IFERROR(VLOOKUP(CONCATENATE($B1445,"_",F$3),materiali!$C:$K,5,0),"")</f>
        <v/>
      </c>
      <c r="G1445" s="85" t="str">
        <f>IFERROR(VLOOKUP(CONCATENATE($B1445,"_",G$3),materiali!$C:$K,6,0),"")</f>
        <v/>
      </c>
      <c r="H1445" s="86"/>
      <c r="I1445" s="84" t="str">
        <f>IFERROR(VLOOKUP(CONCATENATE($B1445,"_",I$3),materiali!$C:$K,5,0),"")</f>
        <v/>
      </c>
      <c r="J1445" s="85" t="str">
        <f>IFERROR(VLOOKUP(CONCATENATE($B1445,"_",J$3),materiali!$C:$K,6,0),"")</f>
        <v/>
      </c>
      <c r="K1445" s="86"/>
      <c r="L1445" s="84" t="str">
        <f>IFERROR(VLOOKUP(CONCATENATE($B1445,"_",L$3),materiali!$C:$K,5,0),"")</f>
        <v/>
      </c>
      <c r="M1445" s="85" t="str">
        <f>IFERROR(VLOOKUP(CONCATENATE($B1445,"_",M$3),materiali!$C:$K,6,0),"")</f>
        <v/>
      </c>
      <c r="N1445" s="86"/>
      <c r="O1445" s="84" t="str">
        <f>IFERROR(VLOOKUP(CONCATENATE($B1445,"_",O$3),materiali!$C:$K,5,0),"")</f>
        <v/>
      </c>
      <c r="P1445" s="85" t="str">
        <f>IFERROR(VLOOKUP(CONCATENATE($B1445,"_",P$3),materiali!$C:$K,6,0),"")</f>
        <v/>
      </c>
      <c r="Q1445" s="86"/>
      <c r="R1445" s="84" t="str">
        <f>IFERROR(VLOOKUP(CONCATENATE($B1445,"_",R$3),materiali!$C:$K,5,0),"")</f>
        <v/>
      </c>
      <c r="S1445" s="85" t="str">
        <f>IFERROR(VLOOKUP(CONCATENATE($B1445,"_",S$3),materiali!$C:$K,6,0),"")</f>
        <v/>
      </c>
      <c r="T1445" s="86"/>
      <c r="U1445" s="31"/>
      <c r="AD1445" s="97"/>
    </row>
    <row r="1446" spans="1:30" ht="35.1" hidden="1" customHeight="1" x14ac:dyDescent="0.25">
      <c r="A1446" s="83"/>
      <c r="B1446" s="7"/>
      <c r="C1446" s="8"/>
      <c r="D1446" s="8"/>
      <c r="E1446" s="60"/>
      <c r="F1446" s="84" t="str">
        <f>IFERROR(VLOOKUP(CONCATENATE($B1446,"_",F$3),materiali!$C:$K,5,0),"")</f>
        <v/>
      </c>
      <c r="G1446" s="85" t="str">
        <f>IFERROR(VLOOKUP(CONCATENATE($B1446,"_",G$3),materiali!$C:$K,6,0),"")</f>
        <v/>
      </c>
      <c r="H1446" s="86"/>
      <c r="I1446" s="84" t="str">
        <f>IFERROR(VLOOKUP(CONCATENATE($B1446,"_",I$3),materiali!$C:$K,5,0),"")</f>
        <v/>
      </c>
      <c r="J1446" s="85" t="str">
        <f>IFERROR(VLOOKUP(CONCATENATE($B1446,"_",J$3),materiali!$C:$K,6,0),"")</f>
        <v/>
      </c>
      <c r="K1446" s="86"/>
      <c r="L1446" s="84" t="str">
        <f>IFERROR(VLOOKUP(CONCATENATE($B1446,"_",L$3),materiali!$C:$K,5,0),"")</f>
        <v/>
      </c>
      <c r="M1446" s="85" t="str">
        <f>IFERROR(VLOOKUP(CONCATENATE($B1446,"_",M$3),materiali!$C:$K,6,0),"")</f>
        <v/>
      </c>
      <c r="N1446" s="86"/>
      <c r="O1446" s="84" t="str">
        <f>IFERROR(VLOOKUP(CONCATENATE($B1446,"_",O$3),materiali!$C:$K,5,0),"")</f>
        <v/>
      </c>
      <c r="P1446" s="85" t="str">
        <f>IFERROR(VLOOKUP(CONCATENATE($B1446,"_",P$3),materiali!$C:$K,6,0),"")</f>
        <v/>
      </c>
      <c r="Q1446" s="86"/>
      <c r="R1446" s="84" t="str">
        <f>IFERROR(VLOOKUP(CONCATENATE($B1446,"_",R$3),materiali!$C:$K,5,0),"")</f>
        <v/>
      </c>
      <c r="S1446" s="85" t="str">
        <f>IFERROR(VLOOKUP(CONCATENATE($B1446,"_",S$3),materiali!$C:$K,6,0),"")</f>
        <v/>
      </c>
      <c r="T1446" s="86"/>
      <c r="U1446" s="31"/>
      <c r="AD1446" s="97"/>
    </row>
    <row r="1447" spans="1:30" ht="35.1" hidden="1" customHeight="1" x14ac:dyDescent="0.25">
      <c r="A1447" s="83"/>
      <c r="B1447" s="7"/>
      <c r="C1447" s="8"/>
      <c r="D1447" s="8"/>
      <c r="E1447" s="60"/>
      <c r="F1447" s="84" t="str">
        <f>IFERROR(VLOOKUP(CONCATENATE($B1447,"_",F$3),materiali!$C:$K,5,0),"")</f>
        <v/>
      </c>
      <c r="G1447" s="85" t="str">
        <f>IFERROR(VLOOKUP(CONCATENATE($B1447,"_",G$3),materiali!$C:$K,6,0),"")</f>
        <v/>
      </c>
      <c r="H1447" s="86"/>
      <c r="I1447" s="84" t="str">
        <f>IFERROR(VLOOKUP(CONCATENATE($B1447,"_",I$3),materiali!$C:$K,5,0),"")</f>
        <v/>
      </c>
      <c r="J1447" s="85" t="str">
        <f>IFERROR(VLOOKUP(CONCATENATE($B1447,"_",J$3),materiali!$C:$K,6,0),"")</f>
        <v/>
      </c>
      <c r="K1447" s="86"/>
      <c r="L1447" s="84" t="str">
        <f>IFERROR(VLOOKUP(CONCATENATE($B1447,"_",L$3),materiali!$C:$K,5,0),"")</f>
        <v/>
      </c>
      <c r="M1447" s="85" t="str">
        <f>IFERROR(VLOOKUP(CONCATENATE($B1447,"_",M$3),materiali!$C:$K,6,0),"")</f>
        <v/>
      </c>
      <c r="N1447" s="86"/>
      <c r="O1447" s="84" t="str">
        <f>IFERROR(VLOOKUP(CONCATENATE($B1447,"_",O$3),materiali!$C:$K,5,0),"")</f>
        <v/>
      </c>
      <c r="P1447" s="85" t="str">
        <f>IFERROR(VLOOKUP(CONCATENATE($B1447,"_",P$3),materiali!$C:$K,6,0),"")</f>
        <v/>
      </c>
      <c r="Q1447" s="86"/>
      <c r="R1447" s="84" t="str">
        <f>IFERROR(VLOOKUP(CONCATENATE($B1447,"_",R$3),materiali!$C:$K,5,0),"")</f>
        <v/>
      </c>
      <c r="S1447" s="85" t="str">
        <f>IFERROR(VLOOKUP(CONCATENATE($B1447,"_",S$3),materiali!$C:$K,6,0),"")</f>
        <v/>
      </c>
      <c r="T1447" s="86"/>
      <c r="U1447" s="31"/>
      <c r="AD1447" s="97"/>
    </row>
    <row r="1448" spans="1:30" ht="35.1" hidden="1" customHeight="1" x14ac:dyDescent="0.25">
      <c r="A1448" s="83"/>
      <c r="B1448" s="7"/>
      <c r="C1448" s="8"/>
      <c r="D1448" s="8"/>
      <c r="E1448" s="60"/>
      <c r="F1448" s="84" t="str">
        <f>IFERROR(VLOOKUP(CONCATENATE($B1448,"_",F$3),materiali!$C:$K,5,0),"")</f>
        <v/>
      </c>
      <c r="G1448" s="85" t="str">
        <f>IFERROR(VLOOKUP(CONCATENATE($B1448,"_",G$3),materiali!$C:$K,6,0),"")</f>
        <v/>
      </c>
      <c r="H1448" s="86"/>
      <c r="I1448" s="84" t="str">
        <f>IFERROR(VLOOKUP(CONCATENATE($B1448,"_",I$3),materiali!$C:$K,5,0),"")</f>
        <v/>
      </c>
      <c r="J1448" s="85" t="str">
        <f>IFERROR(VLOOKUP(CONCATENATE($B1448,"_",J$3),materiali!$C:$K,6,0),"")</f>
        <v/>
      </c>
      <c r="K1448" s="86"/>
      <c r="L1448" s="84" t="str">
        <f>IFERROR(VLOOKUP(CONCATENATE($B1448,"_",L$3),materiali!$C:$K,5,0),"")</f>
        <v/>
      </c>
      <c r="M1448" s="85" t="str">
        <f>IFERROR(VLOOKUP(CONCATENATE($B1448,"_",M$3),materiali!$C:$K,6,0),"")</f>
        <v/>
      </c>
      <c r="N1448" s="86"/>
      <c r="O1448" s="84" t="str">
        <f>IFERROR(VLOOKUP(CONCATENATE($B1448,"_",O$3),materiali!$C:$K,5,0),"")</f>
        <v/>
      </c>
      <c r="P1448" s="85" t="str">
        <f>IFERROR(VLOOKUP(CONCATENATE($B1448,"_",P$3),materiali!$C:$K,6,0),"")</f>
        <v/>
      </c>
      <c r="Q1448" s="86"/>
      <c r="R1448" s="84" t="str">
        <f>IFERROR(VLOOKUP(CONCATENATE($B1448,"_",R$3),materiali!$C:$K,5,0),"")</f>
        <v/>
      </c>
      <c r="S1448" s="85" t="str">
        <f>IFERROR(VLOOKUP(CONCATENATE($B1448,"_",S$3),materiali!$C:$K,6,0),"")</f>
        <v/>
      </c>
      <c r="T1448" s="86"/>
      <c r="U1448" s="31"/>
      <c r="AD1448" s="97"/>
    </row>
    <row r="1449" spans="1:30" ht="35.1" hidden="1" customHeight="1" x14ac:dyDescent="0.25">
      <c r="A1449" s="83"/>
      <c r="B1449" s="7"/>
      <c r="C1449" s="8"/>
      <c r="D1449" s="8"/>
      <c r="E1449" s="60"/>
      <c r="F1449" s="84" t="str">
        <f>IFERROR(VLOOKUP(CONCATENATE($B1449,"_",F$3),materiali!$C:$K,5,0),"")</f>
        <v/>
      </c>
      <c r="G1449" s="85" t="str">
        <f>IFERROR(VLOOKUP(CONCATENATE($B1449,"_",G$3),materiali!$C:$K,6,0),"")</f>
        <v/>
      </c>
      <c r="H1449" s="86"/>
      <c r="I1449" s="84" t="str">
        <f>IFERROR(VLOOKUP(CONCATENATE($B1449,"_",I$3),materiali!$C:$K,5,0),"")</f>
        <v/>
      </c>
      <c r="J1449" s="85" t="str">
        <f>IFERROR(VLOOKUP(CONCATENATE($B1449,"_",J$3),materiali!$C:$K,6,0),"")</f>
        <v/>
      </c>
      <c r="K1449" s="86"/>
      <c r="L1449" s="84" t="str">
        <f>IFERROR(VLOOKUP(CONCATENATE($B1449,"_",L$3),materiali!$C:$K,5,0),"")</f>
        <v/>
      </c>
      <c r="M1449" s="85" t="str">
        <f>IFERROR(VLOOKUP(CONCATENATE($B1449,"_",M$3),materiali!$C:$K,6,0),"")</f>
        <v/>
      </c>
      <c r="N1449" s="86"/>
      <c r="O1449" s="84" t="str">
        <f>IFERROR(VLOOKUP(CONCATENATE($B1449,"_",O$3),materiali!$C:$K,5,0),"")</f>
        <v/>
      </c>
      <c r="P1449" s="85" t="str">
        <f>IFERROR(VLOOKUP(CONCATENATE($B1449,"_",P$3),materiali!$C:$K,6,0),"")</f>
        <v/>
      </c>
      <c r="Q1449" s="86"/>
      <c r="R1449" s="84" t="str">
        <f>IFERROR(VLOOKUP(CONCATENATE($B1449,"_",R$3),materiali!$C:$K,5,0),"")</f>
        <v/>
      </c>
      <c r="S1449" s="85" t="str">
        <f>IFERROR(VLOOKUP(CONCATENATE($B1449,"_",S$3),materiali!$C:$K,6,0),"")</f>
        <v/>
      </c>
      <c r="T1449" s="86"/>
      <c r="U1449" s="31"/>
      <c r="AD1449" s="97"/>
    </row>
    <row r="1450" spans="1:30" ht="35.1" hidden="1" customHeight="1" x14ac:dyDescent="0.25">
      <c r="A1450" s="83"/>
      <c r="B1450" s="7"/>
      <c r="C1450" s="8"/>
      <c r="D1450" s="8"/>
      <c r="E1450" s="60"/>
      <c r="F1450" s="84" t="str">
        <f>IFERROR(VLOOKUP(CONCATENATE($B1450,"_",F$3),materiali!$C:$K,5,0),"")</f>
        <v/>
      </c>
      <c r="G1450" s="85" t="str">
        <f>IFERROR(VLOOKUP(CONCATENATE($B1450,"_",G$3),materiali!$C:$K,6,0),"")</f>
        <v/>
      </c>
      <c r="H1450" s="86"/>
      <c r="I1450" s="84" t="str">
        <f>IFERROR(VLOOKUP(CONCATENATE($B1450,"_",I$3),materiali!$C:$K,5,0),"")</f>
        <v/>
      </c>
      <c r="J1450" s="85" t="str">
        <f>IFERROR(VLOOKUP(CONCATENATE($B1450,"_",J$3),materiali!$C:$K,6,0),"")</f>
        <v/>
      </c>
      <c r="K1450" s="86"/>
      <c r="L1450" s="84" t="str">
        <f>IFERROR(VLOOKUP(CONCATENATE($B1450,"_",L$3),materiali!$C:$K,5,0),"")</f>
        <v/>
      </c>
      <c r="M1450" s="85" t="str">
        <f>IFERROR(VLOOKUP(CONCATENATE($B1450,"_",M$3),materiali!$C:$K,6,0),"")</f>
        <v/>
      </c>
      <c r="N1450" s="86"/>
      <c r="O1450" s="84" t="str">
        <f>IFERROR(VLOOKUP(CONCATENATE($B1450,"_",O$3),materiali!$C:$K,5,0),"")</f>
        <v/>
      </c>
      <c r="P1450" s="85" t="str">
        <f>IFERROR(VLOOKUP(CONCATENATE($B1450,"_",P$3),materiali!$C:$K,6,0),"")</f>
        <v/>
      </c>
      <c r="Q1450" s="86"/>
      <c r="R1450" s="84" t="str">
        <f>IFERROR(VLOOKUP(CONCATENATE($B1450,"_",R$3),materiali!$C:$K,5,0),"")</f>
        <v/>
      </c>
      <c r="S1450" s="85" t="str">
        <f>IFERROR(VLOOKUP(CONCATENATE($B1450,"_",S$3),materiali!$C:$K,6,0),"")</f>
        <v/>
      </c>
      <c r="T1450" s="86"/>
      <c r="U1450" s="31"/>
      <c r="AD1450" s="97"/>
    </row>
    <row r="1451" spans="1:30" ht="35.1" hidden="1" customHeight="1" x14ac:dyDescent="0.25">
      <c r="A1451" s="83"/>
      <c r="B1451" s="7"/>
      <c r="C1451" s="8"/>
      <c r="D1451" s="8"/>
      <c r="E1451" s="60"/>
      <c r="F1451" s="84" t="str">
        <f>IFERROR(VLOOKUP(CONCATENATE($B1451,"_",F$3),materiali!$C:$K,5,0),"")</f>
        <v/>
      </c>
      <c r="G1451" s="85" t="str">
        <f>IFERROR(VLOOKUP(CONCATENATE($B1451,"_",G$3),materiali!$C:$K,6,0),"")</f>
        <v/>
      </c>
      <c r="H1451" s="86"/>
      <c r="I1451" s="84" t="str">
        <f>IFERROR(VLOOKUP(CONCATENATE($B1451,"_",I$3),materiali!$C:$K,5,0),"")</f>
        <v/>
      </c>
      <c r="J1451" s="85" t="str">
        <f>IFERROR(VLOOKUP(CONCATENATE($B1451,"_",J$3),materiali!$C:$K,6,0),"")</f>
        <v/>
      </c>
      <c r="K1451" s="86"/>
      <c r="L1451" s="84" t="str">
        <f>IFERROR(VLOOKUP(CONCATENATE($B1451,"_",L$3),materiali!$C:$K,5,0),"")</f>
        <v/>
      </c>
      <c r="M1451" s="85" t="str">
        <f>IFERROR(VLOOKUP(CONCATENATE($B1451,"_",M$3),materiali!$C:$K,6,0),"")</f>
        <v/>
      </c>
      <c r="N1451" s="86"/>
      <c r="O1451" s="84" t="str">
        <f>IFERROR(VLOOKUP(CONCATENATE($B1451,"_",O$3),materiali!$C:$K,5,0),"")</f>
        <v/>
      </c>
      <c r="P1451" s="85" t="str">
        <f>IFERROR(VLOOKUP(CONCATENATE($B1451,"_",P$3),materiali!$C:$K,6,0),"")</f>
        <v/>
      </c>
      <c r="Q1451" s="86"/>
      <c r="R1451" s="84" t="str">
        <f>IFERROR(VLOOKUP(CONCATENATE($B1451,"_",R$3),materiali!$C:$K,5,0),"")</f>
        <v/>
      </c>
      <c r="S1451" s="85" t="str">
        <f>IFERROR(VLOOKUP(CONCATENATE($B1451,"_",S$3),materiali!$C:$K,6,0),"")</f>
        <v/>
      </c>
      <c r="T1451" s="86"/>
      <c r="U1451" s="31"/>
      <c r="AD1451" s="97"/>
    </row>
    <row r="1452" spans="1:30" ht="35.1" hidden="1" customHeight="1" x14ac:dyDescent="0.25">
      <c r="A1452" s="83"/>
      <c r="B1452" s="7"/>
      <c r="C1452" s="8"/>
      <c r="D1452" s="8"/>
      <c r="E1452" s="60"/>
      <c r="F1452" s="84" t="str">
        <f>IFERROR(VLOOKUP(CONCATENATE($B1452,"_",F$3),materiali!$C:$K,5,0),"")</f>
        <v/>
      </c>
      <c r="G1452" s="85" t="str">
        <f>IFERROR(VLOOKUP(CONCATENATE($B1452,"_",G$3),materiali!$C:$K,6,0),"")</f>
        <v/>
      </c>
      <c r="H1452" s="86"/>
      <c r="I1452" s="84" t="str">
        <f>IFERROR(VLOOKUP(CONCATENATE($B1452,"_",I$3),materiali!$C:$K,5,0),"")</f>
        <v/>
      </c>
      <c r="J1452" s="85" t="str">
        <f>IFERROR(VLOOKUP(CONCATENATE($B1452,"_",J$3),materiali!$C:$K,6,0),"")</f>
        <v/>
      </c>
      <c r="K1452" s="86"/>
      <c r="L1452" s="84" t="str">
        <f>IFERROR(VLOOKUP(CONCATENATE($B1452,"_",L$3),materiali!$C:$K,5,0),"")</f>
        <v/>
      </c>
      <c r="M1452" s="85" t="str">
        <f>IFERROR(VLOOKUP(CONCATENATE($B1452,"_",M$3),materiali!$C:$K,6,0),"")</f>
        <v/>
      </c>
      <c r="N1452" s="86"/>
      <c r="O1452" s="84" t="str">
        <f>IFERROR(VLOOKUP(CONCATENATE($B1452,"_",O$3),materiali!$C:$K,5,0),"")</f>
        <v/>
      </c>
      <c r="P1452" s="85" t="str">
        <f>IFERROR(VLOOKUP(CONCATENATE($B1452,"_",P$3),materiali!$C:$K,6,0),"")</f>
        <v/>
      </c>
      <c r="Q1452" s="86"/>
      <c r="R1452" s="84" t="str">
        <f>IFERROR(VLOOKUP(CONCATENATE($B1452,"_",R$3),materiali!$C:$K,5,0),"")</f>
        <v/>
      </c>
      <c r="S1452" s="85" t="str">
        <f>IFERROR(VLOOKUP(CONCATENATE($B1452,"_",S$3),materiali!$C:$K,6,0),"")</f>
        <v/>
      </c>
      <c r="T1452" s="86"/>
      <c r="U1452" s="31"/>
      <c r="AD1452" s="97"/>
    </row>
    <row r="1453" spans="1:30" ht="35.1" hidden="1" customHeight="1" x14ac:dyDescent="0.25">
      <c r="A1453" s="83"/>
      <c r="B1453" s="7"/>
      <c r="C1453" s="8"/>
      <c r="D1453" s="8"/>
      <c r="E1453" s="60"/>
      <c r="F1453" s="84" t="str">
        <f>IFERROR(VLOOKUP(CONCATENATE($B1453,"_",F$3),materiali!$C:$K,5,0),"")</f>
        <v/>
      </c>
      <c r="G1453" s="85" t="str">
        <f>IFERROR(VLOOKUP(CONCATENATE($B1453,"_",G$3),materiali!$C:$K,6,0),"")</f>
        <v/>
      </c>
      <c r="H1453" s="86"/>
      <c r="I1453" s="84" t="str">
        <f>IFERROR(VLOOKUP(CONCATENATE($B1453,"_",I$3),materiali!$C:$K,5,0),"")</f>
        <v/>
      </c>
      <c r="J1453" s="85" t="str">
        <f>IFERROR(VLOOKUP(CONCATENATE($B1453,"_",J$3),materiali!$C:$K,6,0),"")</f>
        <v/>
      </c>
      <c r="K1453" s="86"/>
      <c r="L1453" s="84" t="str">
        <f>IFERROR(VLOOKUP(CONCATENATE($B1453,"_",L$3),materiali!$C:$K,5,0),"")</f>
        <v/>
      </c>
      <c r="M1453" s="85" t="str">
        <f>IFERROR(VLOOKUP(CONCATENATE($B1453,"_",M$3),materiali!$C:$K,6,0),"")</f>
        <v/>
      </c>
      <c r="N1453" s="86"/>
      <c r="O1453" s="84" t="str">
        <f>IFERROR(VLOOKUP(CONCATENATE($B1453,"_",O$3),materiali!$C:$K,5,0),"")</f>
        <v/>
      </c>
      <c r="P1453" s="85" t="str">
        <f>IFERROR(VLOOKUP(CONCATENATE($B1453,"_",P$3),materiali!$C:$K,6,0),"")</f>
        <v/>
      </c>
      <c r="Q1453" s="86"/>
      <c r="R1453" s="84" t="str">
        <f>IFERROR(VLOOKUP(CONCATENATE($B1453,"_",R$3),materiali!$C:$K,5,0),"")</f>
        <v/>
      </c>
      <c r="S1453" s="85" t="str">
        <f>IFERROR(VLOOKUP(CONCATENATE($B1453,"_",S$3),materiali!$C:$K,6,0),"")</f>
        <v/>
      </c>
      <c r="T1453" s="86"/>
      <c r="U1453" s="31"/>
      <c r="AD1453" s="97"/>
    </row>
    <row r="1454" spans="1:30" ht="35.1" hidden="1" customHeight="1" x14ac:dyDescent="0.25">
      <c r="A1454" s="83"/>
      <c r="B1454" s="7"/>
      <c r="C1454" s="8"/>
      <c r="D1454" s="8"/>
      <c r="E1454" s="60"/>
      <c r="F1454" s="84" t="str">
        <f>IFERROR(VLOOKUP(CONCATENATE($B1454,"_",F$3),materiali!$C:$K,5,0),"")</f>
        <v/>
      </c>
      <c r="G1454" s="85" t="str">
        <f>IFERROR(VLOOKUP(CONCATENATE($B1454,"_",G$3),materiali!$C:$K,6,0),"")</f>
        <v/>
      </c>
      <c r="H1454" s="86"/>
      <c r="I1454" s="84" t="str">
        <f>IFERROR(VLOOKUP(CONCATENATE($B1454,"_",I$3),materiali!$C:$K,5,0),"")</f>
        <v/>
      </c>
      <c r="J1454" s="85" t="str">
        <f>IFERROR(VLOOKUP(CONCATENATE($B1454,"_",J$3),materiali!$C:$K,6,0),"")</f>
        <v/>
      </c>
      <c r="K1454" s="86"/>
      <c r="L1454" s="84" t="str">
        <f>IFERROR(VLOOKUP(CONCATENATE($B1454,"_",L$3),materiali!$C:$K,5,0),"")</f>
        <v/>
      </c>
      <c r="M1454" s="85" t="str">
        <f>IFERROR(VLOOKUP(CONCATENATE($B1454,"_",M$3),materiali!$C:$K,6,0),"")</f>
        <v/>
      </c>
      <c r="N1454" s="86"/>
      <c r="O1454" s="84" t="str">
        <f>IFERROR(VLOOKUP(CONCATENATE($B1454,"_",O$3),materiali!$C:$K,5,0),"")</f>
        <v/>
      </c>
      <c r="P1454" s="85" t="str">
        <f>IFERROR(VLOOKUP(CONCATENATE($B1454,"_",P$3),materiali!$C:$K,6,0),"")</f>
        <v/>
      </c>
      <c r="Q1454" s="86"/>
      <c r="R1454" s="84" t="str">
        <f>IFERROR(VLOOKUP(CONCATENATE($B1454,"_",R$3),materiali!$C:$K,5,0),"")</f>
        <v/>
      </c>
      <c r="S1454" s="85" t="str">
        <f>IFERROR(VLOOKUP(CONCATENATE($B1454,"_",S$3),materiali!$C:$K,6,0),"")</f>
        <v/>
      </c>
      <c r="T1454" s="86"/>
      <c r="U1454" s="31"/>
      <c r="AD1454" s="97"/>
    </row>
    <row r="1455" spans="1:30" ht="35.1" hidden="1" customHeight="1" x14ac:dyDescent="0.25">
      <c r="A1455" s="83"/>
      <c r="B1455" s="7"/>
      <c r="C1455" s="8"/>
      <c r="D1455" s="8"/>
      <c r="E1455" s="60"/>
      <c r="F1455" s="84" t="str">
        <f>IFERROR(VLOOKUP(CONCATENATE($B1455,"_",F$3),materiali!$C:$K,5,0),"")</f>
        <v/>
      </c>
      <c r="G1455" s="85" t="str">
        <f>IFERROR(VLOOKUP(CONCATENATE($B1455,"_",G$3),materiali!$C:$K,6,0),"")</f>
        <v/>
      </c>
      <c r="H1455" s="86"/>
      <c r="I1455" s="84" t="str">
        <f>IFERROR(VLOOKUP(CONCATENATE($B1455,"_",I$3),materiali!$C:$K,5,0),"")</f>
        <v/>
      </c>
      <c r="J1455" s="85" t="str">
        <f>IFERROR(VLOOKUP(CONCATENATE($B1455,"_",J$3),materiali!$C:$K,6,0),"")</f>
        <v/>
      </c>
      <c r="K1455" s="86"/>
      <c r="L1455" s="84" t="str">
        <f>IFERROR(VLOOKUP(CONCATENATE($B1455,"_",L$3),materiali!$C:$K,5,0),"")</f>
        <v/>
      </c>
      <c r="M1455" s="85" t="str">
        <f>IFERROR(VLOOKUP(CONCATENATE($B1455,"_",M$3),materiali!$C:$K,6,0),"")</f>
        <v/>
      </c>
      <c r="N1455" s="86"/>
      <c r="O1455" s="84" t="str">
        <f>IFERROR(VLOOKUP(CONCATENATE($B1455,"_",O$3),materiali!$C:$K,5,0),"")</f>
        <v/>
      </c>
      <c r="P1455" s="85" t="str">
        <f>IFERROR(VLOOKUP(CONCATENATE($B1455,"_",P$3),materiali!$C:$K,6,0),"")</f>
        <v/>
      </c>
      <c r="Q1455" s="86"/>
      <c r="R1455" s="84" t="str">
        <f>IFERROR(VLOOKUP(CONCATENATE($B1455,"_",R$3),materiali!$C:$K,5,0),"")</f>
        <v/>
      </c>
      <c r="S1455" s="85" t="str">
        <f>IFERROR(VLOOKUP(CONCATENATE($B1455,"_",S$3),materiali!$C:$K,6,0),"")</f>
        <v/>
      </c>
      <c r="T1455" s="86"/>
      <c r="U1455" s="31"/>
      <c r="AD1455" s="97"/>
    </row>
    <row r="1456" spans="1:30" ht="35.1" hidden="1" customHeight="1" x14ac:dyDescent="0.25">
      <c r="A1456" s="83"/>
      <c r="B1456" s="7"/>
      <c r="C1456" s="8"/>
      <c r="D1456" s="8"/>
      <c r="E1456" s="60"/>
      <c r="F1456" s="84" t="str">
        <f>IFERROR(VLOOKUP(CONCATENATE($B1456,"_",F$3),materiali!$C:$K,5,0),"")</f>
        <v/>
      </c>
      <c r="G1456" s="85" t="str">
        <f>IFERROR(VLOOKUP(CONCATENATE($B1456,"_",G$3),materiali!$C:$K,6,0),"")</f>
        <v/>
      </c>
      <c r="H1456" s="86"/>
      <c r="I1456" s="84" t="str">
        <f>IFERROR(VLOOKUP(CONCATENATE($B1456,"_",I$3),materiali!$C:$K,5,0),"")</f>
        <v/>
      </c>
      <c r="J1456" s="85" t="str">
        <f>IFERROR(VLOOKUP(CONCATENATE($B1456,"_",J$3),materiali!$C:$K,6,0),"")</f>
        <v/>
      </c>
      <c r="K1456" s="86"/>
      <c r="L1456" s="84" t="str">
        <f>IFERROR(VLOOKUP(CONCATENATE($B1456,"_",L$3),materiali!$C:$K,5,0),"")</f>
        <v/>
      </c>
      <c r="M1456" s="85" t="str">
        <f>IFERROR(VLOOKUP(CONCATENATE($B1456,"_",M$3),materiali!$C:$K,6,0),"")</f>
        <v/>
      </c>
      <c r="N1456" s="86"/>
      <c r="O1456" s="84" t="str">
        <f>IFERROR(VLOOKUP(CONCATENATE($B1456,"_",O$3),materiali!$C:$K,5,0),"")</f>
        <v/>
      </c>
      <c r="P1456" s="85" t="str">
        <f>IFERROR(VLOOKUP(CONCATENATE($B1456,"_",P$3),materiali!$C:$K,6,0),"")</f>
        <v/>
      </c>
      <c r="Q1456" s="86"/>
      <c r="R1456" s="84" t="str">
        <f>IFERROR(VLOOKUP(CONCATENATE($B1456,"_",R$3),materiali!$C:$K,5,0),"")</f>
        <v/>
      </c>
      <c r="S1456" s="85" t="str">
        <f>IFERROR(VLOOKUP(CONCATENATE($B1456,"_",S$3),materiali!$C:$K,6,0),"")</f>
        <v/>
      </c>
      <c r="T1456" s="86"/>
      <c r="U1456" s="31"/>
      <c r="AD1456" s="97"/>
    </row>
    <row r="1457" spans="1:30" ht="35.1" hidden="1" customHeight="1" x14ac:dyDescent="0.25">
      <c r="A1457" s="83"/>
      <c r="B1457" s="7"/>
      <c r="C1457" s="8"/>
      <c r="D1457" s="8"/>
      <c r="E1457" s="60"/>
      <c r="F1457" s="84" t="str">
        <f>IFERROR(VLOOKUP(CONCATENATE($B1457,"_",F$3),materiali!$C:$K,5,0),"")</f>
        <v/>
      </c>
      <c r="G1457" s="85" t="str">
        <f>IFERROR(VLOOKUP(CONCATENATE($B1457,"_",G$3),materiali!$C:$K,6,0),"")</f>
        <v/>
      </c>
      <c r="H1457" s="86"/>
      <c r="I1457" s="84" t="str">
        <f>IFERROR(VLOOKUP(CONCATENATE($B1457,"_",I$3),materiali!$C:$K,5,0),"")</f>
        <v/>
      </c>
      <c r="J1457" s="85" t="str">
        <f>IFERROR(VLOOKUP(CONCATENATE($B1457,"_",J$3),materiali!$C:$K,6,0),"")</f>
        <v/>
      </c>
      <c r="K1457" s="86"/>
      <c r="L1457" s="84" t="str">
        <f>IFERROR(VLOOKUP(CONCATENATE($B1457,"_",L$3),materiali!$C:$K,5,0),"")</f>
        <v/>
      </c>
      <c r="M1457" s="85" t="str">
        <f>IFERROR(VLOOKUP(CONCATENATE($B1457,"_",M$3),materiali!$C:$K,6,0),"")</f>
        <v/>
      </c>
      <c r="N1457" s="86"/>
      <c r="O1457" s="84" t="str">
        <f>IFERROR(VLOOKUP(CONCATENATE($B1457,"_",O$3),materiali!$C:$K,5,0),"")</f>
        <v/>
      </c>
      <c r="P1457" s="85" t="str">
        <f>IFERROR(VLOOKUP(CONCATENATE($B1457,"_",P$3),materiali!$C:$K,6,0),"")</f>
        <v/>
      </c>
      <c r="Q1457" s="86"/>
      <c r="R1457" s="84" t="str">
        <f>IFERROR(VLOOKUP(CONCATENATE($B1457,"_",R$3),materiali!$C:$K,5,0),"")</f>
        <v/>
      </c>
      <c r="S1457" s="85" t="str">
        <f>IFERROR(VLOOKUP(CONCATENATE($B1457,"_",S$3),materiali!$C:$K,6,0),"")</f>
        <v/>
      </c>
      <c r="T1457" s="86"/>
      <c r="U1457" s="31"/>
      <c r="AD1457" s="97"/>
    </row>
    <row r="1458" spans="1:30" ht="35.1" hidden="1" customHeight="1" x14ac:dyDescent="0.25">
      <c r="A1458" s="83"/>
      <c r="B1458" s="7"/>
      <c r="C1458" s="8"/>
      <c r="D1458" s="8"/>
      <c r="E1458" s="60"/>
      <c r="F1458" s="84" t="str">
        <f>IFERROR(VLOOKUP(CONCATENATE($B1458,"_",F$3),materiali!$C:$K,5,0),"")</f>
        <v/>
      </c>
      <c r="G1458" s="85" t="str">
        <f>IFERROR(VLOOKUP(CONCATENATE($B1458,"_",G$3),materiali!$C:$K,6,0),"")</f>
        <v/>
      </c>
      <c r="H1458" s="86"/>
      <c r="I1458" s="84" t="str">
        <f>IFERROR(VLOOKUP(CONCATENATE($B1458,"_",I$3),materiali!$C:$K,5,0),"")</f>
        <v/>
      </c>
      <c r="J1458" s="85" t="str">
        <f>IFERROR(VLOOKUP(CONCATENATE($B1458,"_",J$3),materiali!$C:$K,6,0),"")</f>
        <v/>
      </c>
      <c r="K1458" s="86"/>
      <c r="L1458" s="84" t="str">
        <f>IFERROR(VLOOKUP(CONCATENATE($B1458,"_",L$3),materiali!$C:$K,5,0),"")</f>
        <v/>
      </c>
      <c r="M1458" s="85" t="str">
        <f>IFERROR(VLOOKUP(CONCATENATE($B1458,"_",M$3),materiali!$C:$K,6,0),"")</f>
        <v/>
      </c>
      <c r="N1458" s="86"/>
      <c r="O1458" s="84" t="str">
        <f>IFERROR(VLOOKUP(CONCATENATE($B1458,"_",O$3),materiali!$C:$K,5,0),"")</f>
        <v/>
      </c>
      <c r="P1458" s="85" t="str">
        <f>IFERROR(VLOOKUP(CONCATENATE($B1458,"_",P$3),materiali!$C:$K,6,0),"")</f>
        <v/>
      </c>
      <c r="Q1458" s="86"/>
      <c r="R1458" s="84" t="str">
        <f>IFERROR(VLOOKUP(CONCATENATE($B1458,"_",R$3),materiali!$C:$K,5,0),"")</f>
        <v/>
      </c>
      <c r="S1458" s="85" t="str">
        <f>IFERROR(VLOOKUP(CONCATENATE($B1458,"_",S$3),materiali!$C:$K,6,0),"")</f>
        <v/>
      </c>
      <c r="T1458" s="86"/>
      <c r="U1458" s="31"/>
      <c r="AD1458" s="97"/>
    </row>
    <row r="1459" spans="1:30" ht="35.1" hidden="1" customHeight="1" x14ac:dyDescent="0.25">
      <c r="A1459" s="83"/>
      <c r="B1459" s="7"/>
      <c r="C1459" s="8"/>
      <c r="D1459" s="8"/>
      <c r="E1459" s="60"/>
      <c r="F1459" s="84" t="str">
        <f>IFERROR(VLOOKUP(CONCATENATE($B1459,"_",F$3),materiali!$C:$K,5,0),"")</f>
        <v/>
      </c>
      <c r="G1459" s="85" t="str">
        <f>IFERROR(VLOOKUP(CONCATENATE($B1459,"_",G$3),materiali!$C:$K,6,0),"")</f>
        <v/>
      </c>
      <c r="H1459" s="86"/>
      <c r="I1459" s="84" t="str">
        <f>IFERROR(VLOOKUP(CONCATENATE($B1459,"_",I$3),materiali!$C:$K,5,0),"")</f>
        <v/>
      </c>
      <c r="J1459" s="85" t="str">
        <f>IFERROR(VLOOKUP(CONCATENATE($B1459,"_",J$3),materiali!$C:$K,6,0),"")</f>
        <v/>
      </c>
      <c r="K1459" s="86"/>
      <c r="L1459" s="84" t="str">
        <f>IFERROR(VLOOKUP(CONCATENATE($B1459,"_",L$3),materiali!$C:$K,5,0),"")</f>
        <v/>
      </c>
      <c r="M1459" s="85" t="str">
        <f>IFERROR(VLOOKUP(CONCATENATE($B1459,"_",M$3),materiali!$C:$K,6,0),"")</f>
        <v/>
      </c>
      <c r="N1459" s="86"/>
      <c r="O1459" s="84" t="str">
        <f>IFERROR(VLOOKUP(CONCATENATE($B1459,"_",O$3),materiali!$C:$K,5,0),"")</f>
        <v/>
      </c>
      <c r="P1459" s="85" t="str">
        <f>IFERROR(VLOOKUP(CONCATENATE($B1459,"_",P$3),materiali!$C:$K,6,0),"")</f>
        <v/>
      </c>
      <c r="Q1459" s="86"/>
      <c r="R1459" s="84" t="str">
        <f>IFERROR(VLOOKUP(CONCATENATE($B1459,"_",R$3),materiali!$C:$K,5,0),"")</f>
        <v/>
      </c>
      <c r="S1459" s="85" t="str">
        <f>IFERROR(VLOOKUP(CONCATENATE($B1459,"_",S$3),materiali!$C:$K,6,0),"")</f>
        <v/>
      </c>
      <c r="T1459" s="86"/>
      <c r="U1459" s="31"/>
      <c r="AD1459" s="97"/>
    </row>
    <row r="1460" spans="1:30" ht="35.1" hidden="1" customHeight="1" x14ac:dyDescent="0.25">
      <c r="A1460" s="83"/>
      <c r="B1460" s="7"/>
      <c r="C1460" s="8"/>
      <c r="D1460" s="8"/>
      <c r="E1460" s="60"/>
      <c r="F1460" s="84" t="str">
        <f>IFERROR(VLOOKUP(CONCATENATE($B1460,"_",F$3),materiali!$C:$K,5,0),"")</f>
        <v/>
      </c>
      <c r="G1460" s="85" t="str">
        <f>IFERROR(VLOOKUP(CONCATENATE($B1460,"_",G$3),materiali!$C:$K,6,0),"")</f>
        <v/>
      </c>
      <c r="H1460" s="86"/>
      <c r="I1460" s="84" t="str">
        <f>IFERROR(VLOOKUP(CONCATENATE($B1460,"_",I$3),materiali!$C:$K,5,0),"")</f>
        <v/>
      </c>
      <c r="J1460" s="85" t="str">
        <f>IFERROR(VLOOKUP(CONCATENATE($B1460,"_",J$3),materiali!$C:$K,6,0),"")</f>
        <v/>
      </c>
      <c r="K1460" s="86"/>
      <c r="L1460" s="84" t="str">
        <f>IFERROR(VLOOKUP(CONCATENATE($B1460,"_",L$3),materiali!$C:$K,5,0),"")</f>
        <v/>
      </c>
      <c r="M1460" s="85" t="str">
        <f>IFERROR(VLOOKUP(CONCATENATE($B1460,"_",M$3),materiali!$C:$K,6,0),"")</f>
        <v/>
      </c>
      <c r="N1460" s="86"/>
      <c r="O1460" s="84" t="str">
        <f>IFERROR(VLOOKUP(CONCATENATE($B1460,"_",O$3),materiali!$C:$K,5,0),"")</f>
        <v/>
      </c>
      <c r="P1460" s="85" t="str">
        <f>IFERROR(VLOOKUP(CONCATENATE($B1460,"_",P$3),materiali!$C:$K,6,0),"")</f>
        <v/>
      </c>
      <c r="Q1460" s="86"/>
      <c r="R1460" s="84" t="str">
        <f>IFERROR(VLOOKUP(CONCATENATE($B1460,"_",R$3),materiali!$C:$K,5,0),"")</f>
        <v/>
      </c>
      <c r="S1460" s="85" t="str">
        <f>IFERROR(VLOOKUP(CONCATENATE($B1460,"_",S$3),materiali!$C:$K,6,0),"")</f>
        <v/>
      </c>
      <c r="T1460" s="86"/>
      <c r="U1460" s="31"/>
      <c r="AD1460" s="97"/>
    </row>
    <row r="1461" spans="1:30" ht="35.1" hidden="1" customHeight="1" x14ac:dyDescent="0.25">
      <c r="A1461" s="83"/>
      <c r="B1461" s="7"/>
      <c r="C1461" s="8"/>
      <c r="D1461" s="8"/>
      <c r="E1461" s="60"/>
      <c r="F1461" s="84" t="str">
        <f>IFERROR(VLOOKUP(CONCATENATE($B1461,"_",F$3),materiali!$C:$K,5,0),"")</f>
        <v/>
      </c>
      <c r="G1461" s="85" t="str">
        <f>IFERROR(VLOOKUP(CONCATENATE($B1461,"_",G$3),materiali!$C:$K,6,0),"")</f>
        <v/>
      </c>
      <c r="H1461" s="86"/>
      <c r="I1461" s="84" t="str">
        <f>IFERROR(VLOOKUP(CONCATENATE($B1461,"_",I$3),materiali!$C:$K,5,0),"")</f>
        <v/>
      </c>
      <c r="J1461" s="85" t="str">
        <f>IFERROR(VLOOKUP(CONCATENATE($B1461,"_",J$3),materiali!$C:$K,6,0),"")</f>
        <v/>
      </c>
      <c r="K1461" s="86"/>
      <c r="L1461" s="84" t="str">
        <f>IFERROR(VLOOKUP(CONCATENATE($B1461,"_",L$3),materiali!$C:$K,5,0),"")</f>
        <v/>
      </c>
      <c r="M1461" s="85" t="str">
        <f>IFERROR(VLOOKUP(CONCATENATE($B1461,"_",M$3),materiali!$C:$K,6,0),"")</f>
        <v/>
      </c>
      <c r="N1461" s="86"/>
      <c r="O1461" s="84" t="str">
        <f>IFERROR(VLOOKUP(CONCATENATE($B1461,"_",O$3),materiali!$C:$K,5,0),"")</f>
        <v/>
      </c>
      <c r="P1461" s="85" t="str">
        <f>IFERROR(VLOOKUP(CONCATENATE($B1461,"_",P$3),materiali!$C:$K,6,0),"")</f>
        <v/>
      </c>
      <c r="Q1461" s="86"/>
      <c r="R1461" s="84" t="str">
        <f>IFERROR(VLOOKUP(CONCATENATE($B1461,"_",R$3),materiali!$C:$K,5,0),"")</f>
        <v/>
      </c>
      <c r="S1461" s="85" t="str">
        <f>IFERROR(VLOOKUP(CONCATENATE($B1461,"_",S$3),materiali!$C:$K,6,0),"")</f>
        <v/>
      </c>
      <c r="T1461" s="86"/>
      <c r="U1461" s="31"/>
      <c r="AD1461" s="97"/>
    </row>
    <row r="1462" spans="1:30" ht="35.1" hidden="1" customHeight="1" x14ac:dyDescent="0.25">
      <c r="A1462" s="83"/>
      <c r="B1462" s="7"/>
      <c r="C1462" s="8"/>
      <c r="D1462" s="8"/>
      <c r="E1462" s="60"/>
      <c r="F1462" s="84" t="str">
        <f>IFERROR(VLOOKUP(CONCATENATE($B1462,"_",F$3),materiali!$C:$K,5,0),"")</f>
        <v/>
      </c>
      <c r="G1462" s="85" t="str">
        <f>IFERROR(VLOOKUP(CONCATENATE($B1462,"_",G$3),materiali!$C:$K,6,0),"")</f>
        <v/>
      </c>
      <c r="H1462" s="86"/>
      <c r="I1462" s="84" t="str">
        <f>IFERROR(VLOOKUP(CONCATENATE($B1462,"_",I$3),materiali!$C:$K,5,0),"")</f>
        <v/>
      </c>
      <c r="J1462" s="85" t="str">
        <f>IFERROR(VLOOKUP(CONCATENATE($B1462,"_",J$3),materiali!$C:$K,6,0),"")</f>
        <v/>
      </c>
      <c r="K1462" s="86"/>
      <c r="L1462" s="84" t="str">
        <f>IFERROR(VLOOKUP(CONCATENATE($B1462,"_",L$3),materiali!$C:$K,5,0),"")</f>
        <v/>
      </c>
      <c r="M1462" s="85" t="str">
        <f>IFERROR(VLOOKUP(CONCATENATE($B1462,"_",M$3),materiali!$C:$K,6,0),"")</f>
        <v/>
      </c>
      <c r="N1462" s="86"/>
      <c r="O1462" s="84" t="str">
        <f>IFERROR(VLOOKUP(CONCATENATE($B1462,"_",O$3),materiali!$C:$K,5,0),"")</f>
        <v/>
      </c>
      <c r="P1462" s="85" t="str">
        <f>IFERROR(VLOOKUP(CONCATENATE($B1462,"_",P$3),materiali!$C:$K,6,0),"")</f>
        <v/>
      </c>
      <c r="Q1462" s="86"/>
      <c r="R1462" s="84" t="str">
        <f>IFERROR(VLOOKUP(CONCATENATE($B1462,"_",R$3),materiali!$C:$K,5,0),"")</f>
        <v/>
      </c>
      <c r="S1462" s="85" t="str">
        <f>IFERROR(VLOOKUP(CONCATENATE($B1462,"_",S$3),materiali!$C:$K,6,0),"")</f>
        <v/>
      </c>
      <c r="T1462" s="86"/>
      <c r="U1462" s="31"/>
      <c r="AD1462" s="97"/>
    </row>
    <row r="1463" spans="1:30" ht="35.1" hidden="1" customHeight="1" x14ac:dyDescent="0.25">
      <c r="A1463" s="83"/>
      <c r="B1463" s="7"/>
      <c r="C1463" s="8"/>
      <c r="D1463" s="8"/>
      <c r="E1463" s="60"/>
      <c r="F1463" s="84" t="str">
        <f>IFERROR(VLOOKUP(CONCATENATE($B1463,"_",F$3),materiali!$C:$K,5,0),"")</f>
        <v/>
      </c>
      <c r="G1463" s="85" t="str">
        <f>IFERROR(VLOOKUP(CONCATENATE($B1463,"_",G$3),materiali!$C:$K,6,0),"")</f>
        <v/>
      </c>
      <c r="H1463" s="86"/>
      <c r="I1463" s="84" t="str">
        <f>IFERROR(VLOOKUP(CONCATENATE($B1463,"_",I$3),materiali!$C:$K,5,0),"")</f>
        <v/>
      </c>
      <c r="J1463" s="85" t="str">
        <f>IFERROR(VLOOKUP(CONCATENATE($B1463,"_",J$3),materiali!$C:$K,6,0),"")</f>
        <v/>
      </c>
      <c r="K1463" s="86"/>
      <c r="L1463" s="84" t="str">
        <f>IFERROR(VLOOKUP(CONCATENATE($B1463,"_",L$3),materiali!$C:$K,5,0),"")</f>
        <v/>
      </c>
      <c r="M1463" s="85" t="str">
        <f>IFERROR(VLOOKUP(CONCATENATE($B1463,"_",M$3),materiali!$C:$K,6,0),"")</f>
        <v/>
      </c>
      <c r="N1463" s="86"/>
      <c r="O1463" s="84" t="str">
        <f>IFERROR(VLOOKUP(CONCATENATE($B1463,"_",O$3),materiali!$C:$K,5,0),"")</f>
        <v/>
      </c>
      <c r="P1463" s="85" t="str">
        <f>IFERROR(VLOOKUP(CONCATENATE($B1463,"_",P$3),materiali!$C:$K,6,0),"")</f>
        <v/>
      </c>
      <c r="Q1463" s="86"/>
      <c r="R1463" s="84" t="str">
        <f>IFERROR(VLOOKUP(CONCATENATE($B1463,"_",R$3),materiali!$C:$K,5,0),"")</f>
        <v/>
      </c>
      <c r="S1463" s="85" t="str">
        <f>IFERROR(VLOOKUP(CONCATENATE($B1463,"_",S$3),materiali!$C:$K,6,0),"")</f>
        <v/>
      </c>
      <c r="T1463" s="86"/>
      <c r="U1463" s="31"/>
      <c r="AD1463" s="97"/>
    </row>
    <row r="1464" spans="1:30" ht="35.1" hidden="1" customHeight="1" x14ac:dyDescent="0.25">
      <c r="A1464" s="83"/>
      <c r="B1464" s="7"/>
      <c r="C1464" s="8"/>
      <c r="D1464" s="8"/>
      <c r="E1464" s="60"/>
      <c r="F1464" s="84" t="str">
        <f>IFERROR(VLOOKUP(CONCATENATE($B1464,"_",F$3),materiali!$C:$K,5,0),"")</f>
        <v/>
      </c>
      <c r="G1464" s="85" t="str">
        <f>IFERROR(VLOOKUP(CONCATENATE($B1464,"_",G$3),materiali!$C:$K,6,0),"")</f>
        <v/>
      </c>
      <c r="H1464" s="86"/>
      <c r="I1464" s="84" t="str">
        <f>IFERROR(VLOOKUP(CONCATENATE($B1464,"_",I$3),materiali!$C:$K,5,0),"")</f>
        <v/>
      </c>
      <c r="J1464" s="85" t="str">
        <f>IFERROR(VLOOKUP(CONCATENATE($B1464,"_",J$3),materiali!$C:$K,6,0),"")</f>
        <v/>
      </c>
      <c r="K1464" s="86"/>
      <c r="L1464" s="84" t="str">
        <f>IFERROR(VLOOKUP(CONCATENATE($B1464,"_",L$3),materiali!$C:$K,5,0),"")</f>
        <v/>
      </c>
      <c r="M1464" s="85" t="str">
        <f>IFERROR(VLOOKUP(CONCATENATE($B1464,"_",M$3),materiali!$C:$K,6,0),"")</f>
        <v/>
      </c>
      <c r="N1464" s="86"/>
      <c r="O1464" s="84" t="str">
        <f>IFERROR(VLOOKUP(CONCATENATE($B1464,"_",O$3),materiali!$C:$K,5,0),"")</f>
        <v/>
      </c>
      <c r="P1464" s="85" t="str">
        <f>IFERROR(VLOOKUP(CONCATENATE($B1464,"_",P$3),materiali!$C:$K,6,0),"")</f>
        <v/>
      </c>
      <c r="Q1464" s="86"/>
      <c r="R1464" s="84" t="str">
        <f>IFERROR(VLOOKUP(CONCATENATE($B1464,"_",R$3),materiali!$C:$K,5,0),"")</f>
        <v/>
      </c>
      <c r="S1464" s="85" t="str">
        <f>IFERROR(VLOOKUP(CONCATENATE($B1464,"_",S$3),materiali!$C:$K,6,0),"")</f>
        <v/>
      </c>
      <c r="T1464" s="86"/>
      <c r="U1464" s="31"/>
      <c r="AD1464" s="97"/>
    </row>
    <row r="1465" spans="1:30" ht="35.1" hidden="1" customHeight="1" x14ac:dyDescent="0.25">
      <c r="A1465" s="83"/>
      <c r="B1465" s="7"/>
      <c r="C1465" s="8"/>
      <c r="D1465" s="8"/>
      <c r="E1465" s="60"/>
      <c r="F1465" s="84" t="str">
        <f>IFERROR(VLOOKUP(CONCATENATE($B1465,"_",F$3),materiali!$C:$K,5,0),"")</f>
        <v/>
      </c>
      <c r="G1465" s="85" t="str">
        <f>IFERROR(VLOOKUP(CONCATENATE($B1465,"_",G$3),materiali!$C:$K,6,0),"")</f>
        <v/>
      </c>
      <c r="H1465" s="86"/>
      <c r="I1465" s="84" t="str">
        <f>IFERROR(VLOOKUP(CONCATENATE($B1465,"_",I$3),materiali!$C:$K,5,0),"")</f>
        <v/>
      </c>
      <c r="J1465" s="85" t="str">
        <f>IFERROR(VLOOKUP(CONCATENATE($B1465,"_",J$3),materiali!$C:$K,6,0),"")</f>
        <v/>
      </c>
      <c r="K1465" s="86"/>
      <c r="L1465" s="84" t="str">
        <f>IFERROR(VLOOKUP(CONCATENATE($B1465,"_",L$3),materiali!$C:$K,5,0),"")</f>
        <v/>
      </c>
      <c r="M1465" s="85" t="str">
        <f>IFERROR(VLOOKUP(CONCATENATE($B1465,"_",M$3),materiali!$C:$K,6,0),"")</f>
        <v/>
      </c>
      <c r="N1465" s="86"/>
      <c r="O1465" s="84" t="str">
        <f>IFERROR(VLOOKUP(CONCATENATE($B1465,"_",O$3),materiali!$C:$K,5,0),"")</f>
        <v/>
      </c>
      <c r="P1465" s="85" t="str">
        <f>IFERROR(VLOOKUP(CONCATENATE($B1465,"_",P$3),materiali!$C:$K,6,0),"")</f>
        <v/>
      </c>
      <c r="Q1465" s="86"/>
      <c r="R1465" s="84" t="str">
        <f>IFERROR(VLOOKUP(CONCATENATE($B1465,"_",R$3),materiali!$C:$K,5,0),"")</f>
        <v/>
      </c>
      <c r="S1465" s="85" t="str">
        <f>IFERROR(VLOOKUP(CONCATENATE($B1465,"_",S$3),materiali!$C:$K,6,0),"")</f>
        <v/>
      </c>
      <c r="T1465" s="86"/>
      <c r="U1465" s="31"/>
      <c r="AD1465" s="97"/>
    </row>
    <row r="1466" spans="1:30" ht="35.1" hidden="1" customHeight="1" x14ac:dyDescent="0.25">
      <c r="A1466" s="83"/>
      <c r="B1466" s="7"/>
      <c r="C1466" s="8"/>
      <c r="D1466" s="8"/>
      <c r="E1466" s="60"/>
      <c r="F1466" s="84" t="str">
        <f>IFERROR(VLOOKUP(CONCATENATE($B1466,"_",F$3),materiali!$C:$K,5,0),"")</f>
        <v/>
      </c>
      <c r="G1466" s="85" t="str">
        <f>IFERROR(VLOOKUP(CONCATENATE($B1466,"_",G$3),materiali!$C:$K,6,0),"")</f>
        <v/>
      </c>
      <c r="H1466" s="86"/>
      <c r="I1466" s="84" t="str">
        <f>IFERROR(VLOOKUP(CONCATENATE($B1466,"_",I$3),materiali!$C:$K,5,0),"")</f>
        <v/>
      </c>
      <c r="J1466" s="85" t="str">
        <f>IFERROR(VLOOKUP(CONCATENATE($B1466,"_",J$3),materiali!$C:$K,6,0),"")</f>
        <v/>
      </c>
      <c r="K1466" s="86"/>
      <c r="L1466" s="84" t="str">
        <f>IFERROR(VLOOKUP(CONCATENATE($B1466,"_",L$3),materiali!$C:$K,5,0),"")</f>
        <v/>
      </c>
      <c r="M1466" s="85" t="str">
        <f>IFERROR(VLOOKUP(CONCATENATE($B1466,"_",M$3),materiali!$C:$K,6,0),"")</f>
        <v/>
      </c>
      <c r="N1466" s="86"/>
      <c r="O1466" s="84" t="str">
        <f>IFERROR(VLOOKUP(CONCATENATE($B1466,"_",O$3),materiali!$C:$K,5,0),"")</f>
        <v/>
      </c>
      <c r="P1466" s="85" t="str">
        <f>IFERROR(VLOOKUP(CONCATENATE($B1466,"_",P$3),materiali!$C:$K,6,0),"")</f>
        <v/>
      </c>
      <c r="Q1466" s="86"/>
      <c r="R1466" s="84" t="str">
        <f>IFERROR(VLOOKUP(CONCATENATE($B1466,"_",R$3),materiali!$C:$K,5,0),"")</f>
        <v/>
      </c>
      <c r="S1466" s="85" t="str">
        <f>IFERROR(VLOOKUP(CONCATENATE($B1466,"_",S$3),materiali!$C:$K,6,0),"")</f>
        <v/>
      </c>
      <c r="T1466" s="86"/>
      <c r="U1466" s="31"/>
      <c r="AD1466" s="97"/>
    </row>
    <row r="1467" spans="1:30" ht="35.1" hidden="1" customHeight="1" x14ac:dyDescent="0.25">
      <c r="A1467" s="83"/>
      <c r="B1467" s="7"/>
      <c r="C1467" s="8"/>
      <c r="D1467" s="8"/>
      <c r="E1467" s="60"/>
      <c r="F1467" s="84" t="str">
        <f>IFERROR(VLOOKUP(CONCATENATE($B1467,"_",F$3),materiali!$C:$K,5,0),"")</f>
        <v/>
      </c>
      <c r="G1467" s="85" t="str">
        <f>IFERROR(VLOOKUP(CONCATENATE($B1467,"_",G$3),materiali!$C:$K,6,0),"")</f>
        <v/>
      </c>
      <c r="H1467" s="86"/>
      <c r="I1467" s="84" t="str">
        <f>IFERROR(VLOOKUP(CONCATENATE($B1467,"_",I$3),materiali!$C:$K,5,0),"")</f>
        <v/>
      </c>
      <c r="J1467" s="85" t="str">
        <f>IFERROR(VLOOKUP(CONCATENATE($B1467,"_",J$3),materiali!$C:$K,6,0),"")</f>
        <v/>
      </c>
      <c r="K1467" s="86"/>
      <c r="L1467" s="84" t="str">
        <f>IFERROR(VLOOKUP(CONCATENATE($B1467,"_",L$3),materiali!$C:$K,5,0),"")</f>
        <v/>
      </c>
      <c r="M1467" s="85" t="str">
        <f>IFERROR(VLOOKUP(CONCATENATE($B1467,"_",M$3),materiali!$C:$K,6,0),"")</f>
        <v/>
      </c>
      <c r="N1467" s="86"/>
      <c r="O1467" s="84" t="str">
        <f>IFERROR(VLOOKUP(CONCATENATE($B1467,"_",O$3),materiali!$C:$K,5,0),"")</f>
        <v/>
      </c>
      <c r="P1467" s="85" t="str">
        <f>IFERROR(VLOOKUP(CONCATENATE($B1467,"_",P$3),materiali!$C:$K,6,0),"")</f>
        <v/>
      </c>
      <c r="Q1467" s="86"/>
      <c r="R1467" s="84" t="str">
        <f>IFERROR(VLOOKUP(CONCATENATE($B1467,"_",R$3),materiali!$C:$K,5,0),"")</f>
        <v/>
      </c>
      <c r="S1467" s="85" t="str">
        <f>IFERROR(VLOOKUP(CONCATENATE($B1467,"_",S$3),materiali!$C:$K,6,0),"")</f>
        <v/>
      </c>
      <c r="T1467" s="86"/>
      <c r="U1467" s="31"/>
      <c r="AD1467" s="97"/>
    </row>
    <row r="1468" spans="1:30" ht="35.1" hidden="1" customHeight="1" x14ac:dyDescent="0.25">
      <c r="A1468" s="83"/>
      <c r="B1468" s="7"/>
      <c r="C1468" s="8"/>
      <c r="D1468" s="8"/>
      <c r="E1468" s="60"/>
      <c r="F1468" s="84" t="str">
        <f>IFERROR(VLOOKUP(CONCATENATE($B1468,"_",F$3),materiali!$C:$K,5,0),"")</f>
        <v/>
      </c>
      <c r="G1468" s="85" t="str">
        <f>IFERROR(VLOOKUP(CONCATENATE($B1468,"_",G$3),materiali!$C:$K,6,0),"")</f>
        <v/>
      </c>
      <c r="H1468" s="86"/>
      <c r="I1468" s="84" t="str">
        <f>IFERROR(VLOOKUP(CONCATENATE($B1468,"_",I$3),materiali!$C:$K,5,0),"")</f>
        <v/>
      </c>
      <c r="J1468" s="85" t="str">
        <f>IFERROR(VLOOKUP(CONCATENATE($B1468,"_",J$3),materiali!$C:$K,6,0),"")</f>
        <v/>
      </c>
      <c r="K1468" s="86"/>
      <c r="L1468" s="84" t="str">
        <f>IFERROR(VLOOKUP(CONCATENATE($B1468,"_",L$3),materiali!$C:$K,5,0),"")</f>
        <v/>
      </c>
      <c r="M1468" s="85" t="str">
        <f>IFERROR(VLOOKUP(CONCATENATE($B1468,"_",M$3),materiali!$C:$K,6,0),"")</f>
        <v/>
      </c>
      <c r="N1468" s="86"/>
      <c r="O1468" s="84" t="str">
        <f>IFERROR(VLOOKUP(CONCATENATE($B1468,"_",O$3),materiali!$C:$K,5,0),"")</f>
        <v/>
      </c>
      <c r="P1468" s="85" t="str">
        <f>IFERROR(VLOOKUP(CONCATENATE($B1468,"_",P$3),materiali!$C:$K,6,0),"")</f>
        <v/>
      </c>
      <c r="Q1468" s="86"/>
      <c r="R1468" s="84" t="str">
        <f>IFERROR(VLOOKUP(CONCATENATE($B1468,"_",R$3),materiali!$C:$K,5,0),"")</f>
        <v/>
      </c>
      <c r="S1468" s="85" t="str">
        <f>IFERROR(VLOOKUP(CONCATENATE($B1468,"_",S$3),materiali!$C:$K,6,0),"")</f>
        <v/>
      </c>
      <c r="T1468" s="86"/>
      <c r="U1468" s="31"/>
      <c r="AD1468" s="97"/>
    </row>
    <row r="1469" spans="1:30" ht="35.1" hidden="1" customHeight="1" x14ac:dyDescent="0.25">
      <c r="A1469" s="83"/>
      <c r="B1469" s="7"/>
      <c r="C1469" s="8"/>
      <c r="D1469" s="8"/>
      <c r="E1469" s="60"/>
      <c r="F1469" s="84" t="str">
        <f>IFERROR(VLOOKUP(CONCATENATE($B1469,"_",F$3),materiali!$C:$K,5,0),"")</f>
        <v/>
      </c>
      <c r="G1469" s="85" t="str">
        <f>IFERROR(VLOOKUP(CONCATENATE($B1469,"_",G$3),materiali!$C:$K,6,0),"")</f>
        <v/>
      </c>
      <c r="H1469" s="86"/>
      <c r="I1469" s="84" t="str">
        <f>IFERROR(VLOOKUP(CONCATENATE($B1469,"_",I$3),materiali!$C:$K,5,0),"")</f>
        <v/>
      </c>
      <c r="J1469" s="85" t="str">
        <f>IFERROR(VLOOKUP(CONCATENATE($B1469,"_",J$3),materiali!$C:$K,6,0),"")</f>
        <v/>
      </c>
      <c r="K1469" s="86"/>
      <c r="L1469" s="84" t="str">
        <f>IFERROR(VLOOKUP(CONCATENATE($B1469,"_",L$3),materiali!$C:$K,5,0),"")</f>
        <v/>
      </c>
      <c r="M1469" s="85" t="str">
        <f>IFERROR(VLOOKUP(CONCATENATE($B1469,"_",M$3),materiali!$C:$K,6,0),"")</f>
        <v/>
      </c>
      <c r="N1469" s="86"/>
      <c r="O1469" s="84" t="str">
        <f>IFERROR(VLOOKUP(CONCATENATE($B1469,"_",O$3),materiali!$C:$K,5,0),"")</f>
        <v/>
      </c>
      <c r="P1469" s="85" t="str">
        <f>IFERROR(VLOOKUP(CONCATENATE($B1469,"_",P$3),materiali!$C:$K,6,0),"")</f>
        <v/>
      </c>
      <c r="Q1469" s="86"/>
      <c r="R1469" s="84" t="str">
        <f>IFERROR(VLOOKUP(CONCATENATE($B1469,"_",R$3),materiali!$C:$K,5,0),"")</f>
        <v/>
      </c>
      <c r="S1469" s="85" t="str">
        <f>IFERROR(VLOOKUP(CONCATENATE($B1469,"_",S$3),materiali!$C:$K,6,0),"")</f>
        <v/>
      </c>
      <c r="T1469" s="86"/>
      <c r="U1469" s="31"/>
      <c r="AD1469" s="97"/>
    </row>
    <row r="1470" spans="1:30" ht="35.1" hidden="1" customHeight="1" x14ac:dyDescent="0.25">
      <c r="A1470" s="83"/>
      <c r="B1470" s="7"/>
      <c r="C1470" s="8"/>
      <c r="D1470" s="8"/>
      <c r="E1470" s="60"/>
      <c r="F1470" s="84" t="str">
        <f>IFERROR(VLOOKUP(CONCATENATE($B1470,"_",F$3),materiali!$C:$K,5,0),"")</f>
        <v/>
      </c>
      <c r="G1470" s="85" t="str">
        <f>IFERROR(VLOOKUP(CONCATENATE($B1470,"_",G$3),materiali!$C:$K,6,0),"")</f>
        <v/>
      </c>
      <c r="H1470" s="86"/>
      <c r="I1470" s="84" t="str">
        <f>IFERROR(VLOOKUP(CONCATENATE($B1470,"_",I$3),materiali!$C:$K,5,0),"")</f>
        <v/>
      </c>
      <c r="J1470" s="85" t="str">
        <f>IFERROR(VLOOKUP(CONCATENATE($B1470,"_",J$3),materiali!$C:$K,6,0),"")</f>
        <v/>
      </c>
      <c r="K1470" s="86"/>
      <c r="L1470" s="84" t="str">
        <f>IFERROR(VLOOKUP(CONCATENATE($B1470,"_",L$3),materiali!$C:$K,5,0),"")</f>
        <v/>
      </c>
      <c r="M1470" s="85" t="str">
        <f>IFERROR(VLOOKUP(CONCATENATE($B1470,"_",M$3),materiali!$C:$K,6,0),"")</f>
        <v/>
      </c>
      <c r="N1470" s="86"/>
      <c r="O1470" s="84" t="str">
        <f>IFERROR(VLOOKUP(CONCATENATE($B1470,"_",O$3),materiali!$C:$K,5,0),"")</f>
        <v/>
      </c>
      <c r="P1470" s="85" t="str">
        <f>IFERROR(VLOOKUP(CONCATENATE($B1470,"_",P$3),materiali!$C:$K,6,0),"")</f>
        <v/>
      </c>
      <c r="Q1470" s="86"/>
      <c r="R1470" s="84" t="str">
        <f>IFERROR(VLOOKUP(CONCATENATE($B1470,"_",R$3),materiali!$C:$K,5,0),"")</f>
        <v/>
      </c>
      <c r="S1470" s="85" t="str">
        <f>IFERROR(VLOOKUP(CONCATENATE($B1470,"_",S$3),materiali!$C:$K,6,0),"")</f>
        <v/>
      </c>
      <c r="T1470" s="86"/>
      <c r="U1470" s="31"/>
      <c r="AD1470" s="97"/>
    </row>
    <row r="1471" spans="1:30" ht="35.1" hidden="1" customHeight="1" x14ac:dyDescent="0.25">
      <c r="A1471" s="83"/>
      <c r="B1471" s="7"/>
      <c r="C1471" s="8"/>
      <c r="D1471" s="8"/>
      <c r="E1471" s="60"/>
      <c r="F1471" s="84" t="str">
        <f>IFERROR(VLOOKUP(CONCATENATE($B1471,"_",F$3),materiali!$C:$K,5,0),"")</f>
        <v/>
      </c>
      <c r="G1471" s="85" t="str">
        <f>IFERROR(VLOOKUP(CONCATENATE($B1471,"_",G$3),materiali!$C:$K,6,0),"")</f>
        <v/>
      </c>
      <c r="H1471" s="86"/>
      <c r="I1471" s="84" t="str">
        <f>IFERROR(VLOOKUP(CONCATENATE($B1471,"_",I$3),materiali!$C:$K,5,0),"")</f>
        <v/>
      </c>
      <c r="J1471" s="85" t="str">
        <f>IFERROR(VLOOKUP(CONCATENATE($B1471,"_",J$3),materiali!$C:$K,6,0),"")</f>
        <v/>
      </c>
      <c r="K1471" s="86"/>
      <c r="L1471" s="84" t="str">
        <f>IFERROR(VLOOKUP(CONCATENATE($B1471,"_",L$3),materiali!$C:$K,5,0),"")</f>
        <v/>
      </c>
      <c r="M1471" s="85" t="str">
        <f>IFERROR(VLOOKUP(CONCATENATE($B1471,"_",M$3),materiali!$C:$K,6,0),"")</f>
        <v/>
      </c>
      <c r="N1471" s="86"/>
      <c r="O1471" s="84" t="str">
        <f>IFERROR(VLOOKUP(CONCATENATE($B1471,"_",O$3),materiali!$C:$K,5,0),"")</f>
        <v/>
      </c>
      <c r="P1471" s="85" t="str">
        <f>IFERROR(VLOOKUP(CONCATENATE($B1471,"_",P$3),materiali!$C:$K,6,0),"")</f>
        <v/>
      </c>
      <c r="Q1471" s="86"/>
      <c r="R1471" s="84" t="str">
        <f>IFERROR(VLOOKUP(CONCATENATE($B1471,"_",R$3),materiali!$C:$K,5,0),"")</f>
        <v/>
      </c>
      <c r="S1471" s="85" t="str">
        <f>IFERROR(VLOOKUP(CONCATENATE($B1471,"_",S$3),materiali!$C:$K,6,0),"")</f>
        <v/>
      </c>
      <c r="T1471" s="86"/>
      <c r="U1471" s="31"/>
      <c r="AD1471" s="97"/>
    </row>
    <row r="1472" spans="1:30" ht="35.1" hidden="1" customHeight="1" x14ac:dyDescent="0.25">
      <c r="A1472" s="83"/>
      <c r="B1472" s="7"/>
      <c r="C1472" s="8"/>
      <c r="D1472" s="8"/>
      <c r="E1472" s="60"/>
      <c r="F1472" s="84" t="str">
        <f>IFERROR(VLOOKUP(CONCATENATE($B1472,"_",F$3),materiali!$C:$K,5,0),"")</f>
        <v/>
      </c>
      <c r="G1472" s="85" t="str">
        <f>IFERROR(VLOOKUP(CONCATENATE($B1472,"_",G$3),materiali!$C:$K,6,0),"")</f>
        <v/>
      </c>
      <c r="H1472" s="86"/>
      <c r="I1472" s="84" t="str">
        <f>IFERROR(VLOOKUP(CONCATENATE($B1472,"_",I$3),materiali!$C:$K,5,0),"")</f>
        <v/>
      </c>
      <c r="J1472" s="85" t="str">
        <f>IFERROR(VLOOKUP(CONCATENATE($B1472,"_",J$3),materiali!$C:$K,6,0),"")</f>
        <v/>
      </c>
      <c r="K1472" s="86"/>
      <c r="L1472" s="84" t="str">
        <f>IFERROR(VLOOKUP(CONCATENATE($B1472,"_",L$3),materiali!$C:$K,5,0),"")</f>
        <v/>
      </c>
      <c r="M1472" s="85" t="str">
        <f>IFERROR(VLOOKUP(CONCATENATE($B1472,"_",M$3),materiali!$C:$K,6,0),"")</f>
        <v/>
      </c>
      <c r="N1472" s="86"/>
      <c r="O1472" s="84" t="str">
        <f>IFERROR(VLOOKUP(CONCATENATE($B1472,"_",O$3),materiali!$C:$K,5,0),"")</f>
        <v/>
      </c>
      <c r="P1472" s="85" t="str">
        <f>IFERROR(VLOOKUP(CONCATENATE($B1472,"_",P$3),materiali!$C:$K,6,0),"")</f>
        <v/>
      </c>
      <c r="Q1472" s="86"/>
      <c r="R1472" s="84" t="str">
        <f>IFERROR(VLOOKUP(CONCATENATE($B1472,"_",R$3),materiali!$C:$K,5,0),"")</f>
        <v/>
      </c>
      <c r="S1472" s="85" t="str">
        <f>IFERROR(VLOOKUP(CONCATENATE($B1472,"_",S$3),materiali!$C:$K,6,0),"")</f>
        <v/>
      </c>
      <c r="T1472" s="86"/>
      <c r="U1472" s="31"/>
      <c r="AD1472" s="97"/>
    </row>
    <row r="1473" spans="1:30" ht="35.1" hidden="1" customHeight="1" x14ac:dyDescent="0.25">
      <c r="A1473" s="83"/>
      <c r="B1473" s="7"/>
      <c r="C1473" s="8"/>
      <c r="D1473" s="8"/>
      <c r="E1473" s="60"/>
      <c r="F1473" s="84" t="str">
        <f>IFERROR(VLOOKUP(CONCATENATE($B1473,"_",F$3),materiali!$C:$K,5,0),"")</f>
        <v/>
      </c>
      <c r="G1473" s="85" t="str">
        <f>IFERROR(VLOOKUP(CONCATENATE($B1473,"_",G$3),materiali!$C:$K,6,0),"")</f>
        <v/>
      </c>
      <c r="H1473" s="86"/>
      <c r="I1473" s="84" t="str">
        <f>IFERROR(VLOOKUP(CONCATENATE($B1473,"_",I$3),materiali!$C:$K,5,0),"")</f>
        <v/>
      </c>
      <c r="J1473" s="85" t="str">
        <f>IFERROR(VLOOKUP(CONCATENATE($B1473,"_",J$3),materiali!$C:$K,6,0),"")</f>
        <v/>
      </c>
      <c r="K1473" s="86"/>
      <c r="L1473" s="84" t="str">
        <f>IFERROR(VLOOKUP(CONCATENATE($B1473,"_",L$3),materiali!$C:$K,5,0),"")</f>
        <v/>
      </c>
      <c r="M1473" s="85" t="str">
        <f>IFERROR(VLOOKUP(CONCATENATE($B1473,"_",M$3),materiali!$C:$K,6,0),"")</f>
        <v/>
      </c>
      <c r="N1473" s="86"/>
      <c r="O1473" s="84" t="str">
        <f>IFERROR(VLOOKUP(CONCATENATE($B1473,"_",O$3),materiali!$C:$K,5,0),"")</f>
        <v/>
      </c>
      <c r="P1473" s="85" t="str">
        <f>IFERROR(VLOOKUP(CONCATENATE($B1473,"_",P$3),materiali!$C:$K,6,0),"")</f>
        <v/>
      </c>
      <c r="Q1473" s="86"/>
      <c r="R1473" s="84" t="str">
        <f>IFERROR(VLOOKUP(CONCATENATE($B1473,"_",R$3),materiali!$C:$K,5,0),"")</f>
        <v/>
      </c>
      <c r="S1473" s="85" t="str">
        <f>IFERROR(VLOOKUP(CONCATENATE($B1473,"_",S$3),materiali!$C:$K,6,0),"")</f>
        <v/>
      </c>
      <c r="T1473" s="86"/>
      <c r="U1473" s="31"/>
      <c r="AD1473" s="97"/>
    </row>
    <row r="1474" spans="1:30" ht="35.1" hidden="1" customHeight="1" x14ac:dyDescent="0.25">
      <c r="A1474" s="83"/>
      <c r="B1474" s="7"/>
      <c r="C1474" s="8"/>
      <c r="D1474" s="8"/>
      <c r="E1474" s="60"/>
      <c r="F1474" s="84" t="str">
        <f>IFERROR(VLOOKUP(CONCATENATE($B1474,"_",F$3),materiali!$C:$K,5,0),"")</f>
        <v/>
      </c>
      <c r="G1474" s="85" t="str">
        <f>IFERROR(VLOOKUP(CONCATENATE($B1474,"_",G$3),materiali!$C:$K,6,0),"")</f>
        <v/>
      </c>
      <c r="H1474" s="86"/>
      <c r="I1474" s="84" t="str">
        <f>IFERROR(VLOOKUP(CONCATENATE($B1474,"_",I$3),materiali!$C:$K,5,0),"")</f>
        <v/>
      </c>
      <c r="J1474" s="85" t="str">
        <f>IFERROR(VLOOKUP(CONCATENATE($B1474,"_",J$3),materiali!$C:$K,6,0),"")</f>
        <v/>
      </c>
      <c r="K1474" s="86"/>
      <c r="L1474" s="84" t="str">
        <f>IFERROR(VLOOKUP(CONCATENATE($B1474,"_",L$3),materiali!$C:$K,5,0),"")</f>
        <v/>
      </c>
      <c r="M1474" s="85" t="str">
        <f>IFERROR(VLOOKUP(CONCATENATE($B1474,"_",M$3),materiali!$C:$K,6,0),"")</f>
        <v/>
      </c>
      <c r="N1474" s="86"/>
      <c r="O1474" s="84" t="str">
        <f>IFERROR(VLOOKUP(CONCATENATE($B1474,"_",O$3),materiali!$C:$K,5,0),"")</f>
        <v/>
      </c>
      <c r="P1474" s="85" t="str">
        <f>IFERROR(VLOOKUP(CONCATENATE($B1474,"_",P$3),materiali!$C:$K,6,0),"")</f>
        <v/>
      </c>
      <c r="Q1474" s="86"/>
      <c r="R1474" s="84" t="str">
        <f>IFERROR(VLOOKUP(CONCATENATE($B1474,"_",R$3),materiali!$C:$K,5,0),"")</f>
        <v/>
      </c>
      <c r="S1474" s="85" t="str">
        <f>IFERROR(VLOOKUP(CONCATENATE($B1474,"_",S$3),materiali!$C:$K,6,0),"")</f>
        <v/>
      </c>
      <c r="T1474" s="86"/>
      <c r="U1474" s="31"/>
      <c r="AD1474" s="97"/>
    </row>
    <row r="1475" spans="1:30" ht="35.1" hidden="1" customHeight="1" x14ac:dyDescent="0.25">
      <c r="A1475" s="83"/>
      <c r="B1475" s="7"/>
      <c r="C1475" s="8"/>
      <c r="D1475" s="8"/>
      <c r="E1475" s="60"/>
      <c r="F1475" s="84" t="str">
        <f>IFERROR(VLOOKUP(CONCATENATE($B1475,"_",F$3),materiali!$C:$K,5,0),"")</f>
        <v/>
      </c>
      <c r="G1475" s="85" t="str">
        <f>IFERROR(VLOOKUP(CONCATENATE($B1475,"_",G$3),materiali!$C:$K,6,0),"")</f>
        <v/>
      </c>
      <c r="H1475" s="86"/>
      <c r="I1475" s="84" t="str">
        <f>IFERROR(VLOOKUP(CONCATENATE($B1475,"_",I$3),materiali!$C:$K,5,0),"")</f>
        <v/>
      </c>
      <c r="J1475" s="85" t="str">
        <f>IFERROR(VLOOKUP(CONCATENATE($B1475,"_",J$3),materiali!$C:$K,6,0),"")</f>
        <v/>
      </c>
      <c r="K1475" s="86"/>
      <c r="L1475" s="84" t="str">
        <f>IFERROR(VLOOKUP(CONCATENATE($B1475,"_",L$3),materiali!$C:$K,5,0),"")</f>
        <v/>
      </c>
      <c r="M1475" s="85" t="str">
        <f>IFERROR(VLOOKUP(CONCATENATE($B1475,"_",M$3),materiali!$C:$K,6,0),"")</f>
        <v/>
      </c>
      <c r="N1475" s="86"/>
      <c r="O1475" s="84" t="str">
        <f>IFERROR(VLOOKUP(CONCATENATE($B1475,"_",O$3),materiali!$C:$K,5,0),"")</f>
        <v/>
      </c>
      <c r="P1475" s="85" t="str">
        <f>IFERROR(VLOOKUP(CONCATENATE($B1475,"_",P$3),materiali!$C:$K,6,0),"")</f>
        <v/>
      </c>
      <c r="Q1475" s="86"/>
      <c r="R1475" s="84" t="str">
        <f>IFERROR(VLOOKUP(CONCATENATE($B1475,"_",R$3),materiali!$C:$K,5,0),"")</f>
        <v/>
      </c>
      <c r="S1475" s="85" t="str">
        <f>IFERROR(VLOOKUP(CONCATENATE($B1475,"_",S$3),materiali!$C:$K,6,0),"")</f>
        <v/>
      </c>
      <c r="T1475" s="86"/>
      <c r="U1475" s="31"/>
      <c r="AD1475" s="97"/>
    </row>
    <row r="1476" spans="1:30" ht="35.1" hidden="1" customHeight="1" x14ac:dyDescent="0.25">
      <c r="A1476" s="83"/>
      <c r="B1476" s="7"/>
      <c r="C1476" s="8"/>
      <c r="D1476" s="8"/>
      <c r="E1476" s="60"/>
      <c r="F1476" s="84" t="str">
        <f>IFERROR(VLOOKUP(CONCATENATE($B1476,"_",F$3),materiali!$C:$K,5,0),"")</f>
        <v/>
      </c>
      <c r="G1476" s="85" t="str">
        <f>IFERROR(VLOOKUP(CONCATENATE($B1476,"_",G$3),materiali!$C:$K,6,0),"")</f>
        <v/>
      </c>
      <c r="H1476" s="86"/>
      <c r="I1476" s="84" t="str">
        <f>IFERROR(VLOOKUP(CONCATENATE($B1476,"_",I$3),materiali!$C:$K,5,0),"")</f>
        <v/>
      </c>
      <c r="J1476" s="85" t="str">
        <f>IFERROR(VLOOKUP(CONCATENATE($B1476,"_",J$3),materiali!$C:$K,6,0),"")</f>
        <v/>
      </c>
      <c r="K1476" s="86"/>
      <c r="L1476" s="84" t="str">
        <f>IFERROR(VLOOKUP(CONCATENATE($B1476,"_",L$3),materiali!$C:$K,5,0),"")</f>
        <v/>
      </c>
      <c r="M1476" s="85" t="str">
        <f>IFERROR(VLOOKUP(CONCATENATE($B1476,"_",M$3),materiali!$C:$K,6,0),"")</f>
        <v/>
      </c>
      <c r="N1476" s="86"/>
      <c r="O1476" s="84" t="str">
        <f>IFERROR(VLOOKUP(CONCATENATE($B1476,"_",O$3),materiali!$C:$K,5,0),"")</f>
        <v/>
      </c>
      <c r="P1476" s="85" t="str">
        <f>IFERROR(VLOOKUP(CONCATENATE($B1476,"_",P$3),materiali!$C:$K,6,0),"")</f>
        <v/>
      </c>
      <c r="Q1476" s="86"/>
      <c r="R1476" s="84" t="str">
        <f>IFERROR(VLOOKUP(CONCATENATE($B1476,"_",R$3),materiali!$C:$K,5,0),"")</f>
        <v/>
      </c>
      <c r="S1476" s="85" t="str">
        <f>IFERROR(VLOOKUP(CONCATENATE($B1476,"_",S$3),materiali!$C:$K,6,0),"")</f>
        <v/>
      </c>
      <c r="T1476" s="86"/>
      <c r="U1476" s="31"/>
      <c r="AD1476" s="97"/>
    </row>
    <row r="1477" spans="1:30" ht="35.1" hidden="1" customHeight="1" x14ac:dyDescent="0.25">
      <c r="A1477" s="83"/>
      <c r="B1477" s="7"/>
      <c r="C1477" s="8"/>
      <c r="D1477" s="8"/>
      <c r="E1477" s="60"/>
      <c r="F1477" s="84" t="str">
        <f>IFERROR(VLOOKUP(CONCATENATE($B1477,"_",F$3),materiali!$C:$K,5,0),"")</f>
        <v/>
      </c>
      <c r="G1477" s="85" t="str">
        <f>IFERROR(VLOOKUP(CONCATENATE($B1477,"_",G$3),materiali!$C:$K,6,0),"")</f>
        <v/>
      </c>
      <c r="H1477" s="86"/>
      <c r="I1477" s="84" t="str">
        <f>IFERROR(VLOOKUP(CONCATENATE($B1477,"_",I$3),materiali!$C:$K,5,0),"")</f>
        <v/>
      </c>
      <c r="J1477" s="85" t="str">
        <f>IFERROR(VLOOKUP(CONCATENATE($B1477,"_",J$3),materiali!$C:$K,6,0),"")</f>
        <v/>
      </c>
      <c r="K1477" s="86"/>
      <c r="L1477" s="84" t="str">
        <f>IFERROR(VLOOKUP(CONCATENATE($B1477,"_",L$3),materiali!$C:$K,5,0),"")</f>
        <v/>
      </c>
      <c r="M1477" s="85" t="str">
        <f>IFERROR(VLOOKUP(CONCATENATE($B1477,"_",M$3),materiali!$C:$K,6,0),"")</f>
        <v/>
      </c>
      <c r="N1477" s="86"/>
      <c r="O1477" s="84" t="str">
        <f>IFERROR(VLOOKUP(CONCATENATE($B1477,"_",O$3),materiali!$C:$K,5,0),"")</f>
        <v/>
      </c>
      <c r="P1477" s="85" t="str">
        <f>IFERROR(VLOOKUP(CONCATENATE($B1477,"_",P$3),materiali!$C:$K,6,0),"")</f>
        <v/>
      </c>
      <c r="Q1477" s="86"/>
      <c r="R1477" s="84" t="str">
        <f>IFERROR(VLOOKUP(CONCATENATE($B1477,"_",R$3),materiali!$C:$K,5,0),"")</f>
        <v/>
      </c>
      <c r="S1477" s="85" t="str">
        <f>IFERROR(VLOOKUP(CONCATENATE($B1477,"_",S$3),materiali!$C:$K,6,0),"")</f>
        <v/>
      </c>
      <c r="T1477" s="86"/>
      <c r="U1477" s="31"/>
      <c r="AD1477" s="97"/>
    </row>
    <row r="1478" spans="1:30" ht="35.1" hidden="1" customHeight="1" x14ac:dyDescent="0.25">
      <c r="A1478" s="83"/>
      <c r="B1478" s="7"/>
      <c r="C1478" s="8"/>
      <c r="D1478" s="8"/>
      <c r="E1478" s="60"/>
      <c r="F1478" s="84" t="str">
        <f>IFERROR(VLOOKUP(CONCATENATE($B1478,"_",F$3),materiali!$C:$K,5,0),"")</f>
        <v/>
      </c>
      <c r="G1478" s="85" t="str">
        <f>IFERROR(VLOOKUP(CONCATENATE($B1478,"_",G$3),materiali!$C:$K,6,0),"")</f>
        <v/>
      </c>
      <c r="H1478" s="86"/>
      <c r="I1478" s="84" t="str">
        <f>IFERROR(VLOOKUP(CONCATENATE($B1478,"_",I$3),materiali!$C:$K,5,0),"")</f>
        <v/>
      </c>
      <c r="J1478" s="85" t="str">
        <f>IFERROR(VLOOKUP(CONCATENATE($B1478,"_",J$3),materiali!$C:$K,6,0),"")</f>
        <v/>
      </c>
      <c r="K1478" s="86"/>
      <c r="L1478" s="84" t="str">
        <f>IFERROR(VLOOKUP(CONCATENATE($B1478,"_",L$3),materiali!$C:$K,5,0),"")</f>
        <v/>
      </c>
      <c r="M1478" s="85" t="str">
        <f>IFERROR(VLOOKUP(CONCATENATE($B1478,"_",M$3),materiali!$C:$K,6,0),"")</f>
        <v/>
      </c>
      <c r="N1478" s="86"/>
      <c r="O1478" s="84" t="str">
        <f>IFERROR(VLOOKUP(CONCATENATE($B1478,"_",O$3),materiali!$C:$K,5,0),"")</f>
        <v/>
      </c>
      <c r="P1478" s="85" t="str">
        <f>IFERROR(VLOOKUP(CONCATENATE($B1478,"_",P$3),materiali!$C:$K,6,0),"")</f>
        <v/>
      </c>
      <c r="Q1478" s="86"/>
      <c r="R1478" s="84" t="str">
        <f>IFERROR(VLOOKUP(CONCATENATE($B1478,"_",R$3),materiali!$C:$K,5,0),"")</f>
        <v/>
      </c>
      <c r="S1478" s="85" t="str">
        <f>IFERROR(VLOOKUP(CONCATENATE($B1478,"_",S$3),materiali!$C:$K,6,0),"")</f>
        <v/>
      </c>
      <c r="T1478" s="86"/>
      <c r="U1478" s="31"/>
      <c r="AD1478" s="97"/>
    </row>
    <row r="1479" spans="1:30" ht="35.1" hidden="1" customHeight="1" x14ac:dyDescent="0.25">
      <c r="A1479" s="83"/>
      <c r="B1479" s="7"/>
      <c r="C1479" s="8"/>
      <c r="D1479" s="8"/>
      <c r="E1479" s="60"/>
      <c r="F1479" s="84" t="str">
        <f>IFERROR(VLOOKUP(CONCATENATE($B1479,"_",F$3),materiali!$C:$K,5,0),"")</f>
        <v/>
      </c>
      <c r="G1479" s="85" t="str">
        <f>IFERROR(VLOOKUP(CONCATENATE($B1479,"_",G$3),materiali!$C:$K,6,0),"")</f>
        <v/>
      </c>
      <c r="H1479" s="86"/>
      <c r="I1479" s="84" t="str">
        <f>IFERROR(VLOOKUP(CONCATENATE($B1479,"_",I$3),materiali!$C:$K,5,0),"")</f>
        <v/>
      </c>
      <c r="J1479" s="85" t="str">
        <f>IFERROR(VLOOKUP(CONCATENATE($B1479,"_",J$3),materiali!$C:$K,6,0),"")</f>
        <v/>
      </c>
      <c r="K1479" s="86"/>
      <c r="L1479" s="84" t="str">
        <f>IFERROR(VLOOKUP(CONCATENATE($B1479,"_",L$3),materiali!$C:$K,5,0),"")</f>
        <v/>
      </c>
      <c r="M1479" s="85" t="str">
        <f>IFERROR(VLOOKUP(CONCATENATE($B1479,"_",M$3),materiali!$C:$K,6,0),"")</f>
        <v/>
      </c>
      <c r="N1479" s="86"/>
      <c r="O1479" s="84" t="str">
        <f>IFERROR(VLOOKUP(CONCATENATE($B1479,"_",O$3),materiali!$C:$K,5,0),"")</f>
        <v/>
      </c>
      <c r="P1479" s="85" t="str">
        <f>IFERROR(VLOOKUP(CONCATENATE($B1479,"_",P$3),materiali!$C:$K,6,0),"")</f>
        <v/>
      </c>
      <c r="Q1479" s="86"/>
      <c r="R1479" s="84" t="str">
        <f>IFERROR(VLOOKUP(CONCATENATE($B1479,"_",R$3),materiali!$C:$K,5,0),"")</f>
        <v/>
      </c>
      <c r="S1479" s="85" t="str">
        <f>IFERROR(VLOOKUP(CONCATENATE($B1479,"_",S$3),materiali!$C:$K,6,0),"")</f>
        <v/>
      </c>
      <c r="T1479" s="86"/>
      <c r="U1479" s="31"/>
      <c r="AD1479" s="97"/>
    </row>
    <row r="1480" spans="1:30" ht="35.1" hidden="1" customHeight="1" x14ac:dyDescent="0.25">
      <c r="A1480" s="83"/>
      <c r="B1480" s="7"/>
      <c r="C1480" s="8"/>
      <c r="D1480" s="8"/>
      <c r="E1480" s="60"/>
      <c r="F1480" s="84" t="str">
        <f>IFERROR(VLOOKUP(CONCATENATE($B1480,"_",F$3),materiali!$C:$K,5,0),"")</f>
        <v/>
      </c>
      <c r="G1480" s="85" t="str">
        <f>IFERROR(VLOOKUP(CONCATENATE($B1480,"_",G$3),materiali!$C:$K,6,0),"")</f>
        <v/>
      </c>
      <c r="H1480" s="86"/>
      <c r="I1480" s="84" t="str">
        <f>IFERROR(VLOOKUP(CONCATENATE($B1480,"_",I$3),materiali!$C:$K,5,0),"")</f>
        <v/>
      </c>
      <c r="J1480" s="85" t="str">
        <f>IFERROR(VLOOKUP(CONCATENATE($B1480,"_",J$3),materiali!$C:$K,6,0),"")</f>
        <v/>
      </c>
      <c r="K1480" s="86"/>
      <c r="L1480" s="84" t="str">
        <f>IFERROR(VLOOKUP(CONCATENATE($B1480,"_",L$3),materiali!$C:$K,5,0),"")</f>
        <v/>
      </c>
      <c r="M1480" s="85" t="str">
        <f>IFERROR(VLOOKUP(CONCATENATE($B1480,"_",M$3),materiali!$C:$K,6,0),"")</f>
        <v/>
      </c>
      <c r="N1480" s="86"/>
      <c r="O1480" s="84" t="str">
        <f>IFERROR(VLOOKUP(CONCATENATE($B1480,"_",O$3),materiali!$C:$K,5,0),"")</f>
        <v/>
      </c>
      <c r="P1480" s="85" t="str">
        <f>IFERROR(VLOOKUP(CONCATENATE($B1480,"_",P$3),materiali!$C:$K,6,0),"")</f>
        <v/>
      </c>
      <c r="Q1480" s="86"/>
      <c r="R1480" s="84" t="str">
        <f>IFERROR(VLOOKUP(CONCATENATE($B1480,"_",R$3),materiali!$C:$K,5,0),"")</f>
        <v/>
      </c>
      <c r="S1480" s="85" t="str">
        <f>IFERROR(VLOOKUP(CONCATENATE($B1480,"_",S$3),materiali!$C:$K,6,0),"")</f>
        <v/>
      </c>
      <c r="T1480" s="86"/>
      <c r="U1480" s="31"/>
      <c r="AD1480" s="97"/>
    </row>
    <row r="1481" spans="1:30" ht="35.1" hidden="1" customHeight="1" x14ac:dyDescent="0.25">
      <c r="A1481" s="83"/>
      <c r="B1481" s="7"/>
      <c r="C1481" s="8"/>
      <c r="D1481" s="8"/>
      <c r="E1481" s="60"/>
      <c r="F1481" s="84" t="str">
        <f>IFERROR(VLOOKUP(CONCATENATE($B1481,"_",F$3),materiali!$C:$K,5,0),"")</f>
        <v/>
      </c>
      <c r="G1481" s="85" t="str">
        <f>IFERROR(VLOOKUP(CONCATENATE($B1481,"_",G$3),materiali!$C:$K,6,0),"")</f>
        <v/>
      </c>
      <c r="H1481" s="86"/>
      <c r="I1481" s="84" t="str">
        <f>IFERROR(VLOOKUP(CONCATENATE($B1481,"_",I$3),materiali!$C:$K,5,0),"")</f>
        <v/>
      </c>
      <c r="J1481" s="85" t="str">
        <f>IFERROR(VLOOKUP(CONCATENATE($B1481,"_",J$3),materiali!$C:$K,6,0),"")</f>
        <v/>
      </c>
      <c r="K1481" s="86"/>
      <c r="L1481" s="84" t="str">
        <f>IFERROR(VLOOKUP(CONCATENATE($B1481,"_",L$3),materiali!$C:$K,5,0),"")</f>
        <v/>
      </c>
      <c r="M1481" s="85" t="str">
        <f>IFERROR(VLOOKUP(CONCATENATE($B1481,"_",M$3),materiali!$C:$K,6,0),"")</f>
        <v/>
      </c>
      <c r="N1481" s="86"/>
      <c r="O1481" s="84" t="str">
        <f>IFERROR(VLOOKUP(CONCATENATE($B1481,"_",O$3),materiali!$C:$K,5,0),"")</f>
        <v/>
      </c>
      <c r="P1481" s="85" t="str">
        <f>IFERROR(VLOOKUP(CONCATENATE($B1481,"_",P$3),materiali!$C:$K,6,0),"")</f>
        <v/>
      </c>
      <c r="Q1481" s="86"/>
      <c r="R1481" s="84" t="str">
        <f>IFERROR(VLOOKUP(CONCATENATE($B1481,"_",R$3),materiali!$C:$K,5,0),"")</f>
        <v/>
      </c>
      <c r="S1481" s="85" t="str">
        <f>IFERROR(VLOOKUP(CONCATENATE($B1481,"_",S$3),materiali!$C:$K,6,0),"")</f>
        <v/>
      </c>
      <c r="T1481" s="86"/>
      <c r="U1481" s="31"/>
      <c r="AD1481" s="97"/>
    </row>
    <row r="1482" spans="1:30" ht="35.1" hidden="1" customHeight="1" x14ac:dyDescent="0.25">
      <c r="A1482" s="83"/>
      <c r="B1482" s="7"/>
      <c r="C1482" s="8"/>
      <c r="D1482" s="8"/>
      <c r="E1482" s="60"/>
      <c r="F1482" s="84" t="str">
        <f>IFERROR(VLOOKUP(CONCATENATE($B1482,"_",F$3),materiali!$C:$K,5,0),"")</f>
        <v/>
      </c>
      <c r="G1482" s="85" t="str">
        <f>IFERROR(VLOOKUP(CONCATENATE($B1482,"_",G$3),materiali!$C:$K,6,0),"")</f>
        <v/>
      </c>
      <c r="H1482" s="86"/>
      <c r="I1482" s="84" t="str">
        <f>IFERROR(VLOOKUP(CONCATENATE($B1482,"_",I$3),materiali!$C:$K,5,0),"")</f>
        <v/>
      </c>
      <c r="J1482" s="85" t="str">
        <f>IFERROR(VLOOKUP(CONCATENATE($B1482,"_",J$3),materiali!$C:$K,6,0),"")</f>
        <v/>
      </c>
      <c r="K1482" s="86"/>
      <c r="L1482" s="84" t="str">
        <f>IFERROR(VLOOKUP(CONCATENATE($B1482,"_",L$3),materiali!$C:$K,5,0),"")</f>
        <v/>
      </c>
      <c r="M1482" s="85" t="str">
        <f>IFERROR(VLOOKUP(CONCATENATE($B1482,"_",M$3),materiali!$C:$K,6,0),"")</f>
        <v/>
      </c>
      <c r="N1482" s="86"/>
      <c r="O1482" s="84" t="str">
        <f>IFERROR(VLOOKUP(CONCATENATE($B1482,"_",O$3),materiali!$C:$K,5,0),"")</f>
        <v/>
      </c>
      <c r="P1482" s="85" t="str">
        <f>IFERROR(VLOOKUP(CONCATENATE($B1482,"_",P$3),materiali!$C:$K,6,0),"")</f>
        <v/>
      </c>
      <c r="Q1482" s="86"/>
      <c r="R1482" s="84" t="str">
        <f>IFERROR(VLOOKUP(CONCATENATE($B1482,"_",R$3),materiali!$C:$K,5,0),"")</f>
        <v/>
      </c>
      <c r="S1482" s="85" t="str">
        <f>IFERROR(VLOOKUP(CONCATENATE($B1482,"_",S$3),materiali!$C:$K,6,0),"")</f>
        <v/>
      </c>
      <c r="T1482" s="86"/>
      <c r="U1482" s="31"/>
      <c r="AD1482" s="97"/>
    </row>
    <row r="1483" spans="1:30" ht="35.1" hidden="1" customHeight="1" x14ac:dyDescent="0.25">
      <c r="A1483" s="83"/>
      <c r="B1483" s="7"/>
      <c r="C1483" s="8"/>
      <c r="D1483" s="8"/>
      <c r="E1483" s="60"/>
      <c r="F1483" s="84" t="str">
        <f>IFERROR(VLOOKUP(CONCATENATE($B1483,"_",F$3),materiali!$C:$K,5,0),"")</f>
        <v/>
      </c>
      <c r="G1483" s="85" t="str">
        <f>IFERROR(VLOOKUP(CONCATENATE($B1483,"_",G$3),materiali!$C:$K,6,0),"")</f>
        <v/>
      </c>
      <c r="H1483" s="86"/>
      <c r="I1483" s="84" t="str">
        <f>IFERROR(VLOOKUP(CONCATENATE($B1483,"_",I$3),materiali!$C:$K,5,0),"")</f>
        <v/>
      </c>
      <c r="J1483" s="85" t="str">
        <f>IFERROR(VLOOKUP(CONCATENATE($B1483,"_",J$3),materiali!$C:$K,6,0),"")</f>
        <v/>
      </c>
      <c r="K1483" s="86"/>
      <c r="L1483" s="84" t="str">
        <f>IFERROR(VLOOKUP(CONCATENATE($B1483,"_",L$3),materiali!$C:$K,5,0),"")</f>
        <v/>
      </c>
      <c r="M1483" s="85" t="str">
        <f>IFERROR(VLOOKUP(CONCATENATE($B1483,"_",M$3),materiali!$C:$K,6,0),"")</f>
        <v/>
      </c>
      <c r="N1483" s="86"/>
      <c r="O1483" s="84" t="str">
        <f>IFERROR(VLOOKUP(CONCATENATE($B1483,"_",O$3),materiali!$C:$K,5,0),"")</f>
        <v/>
      </c>
      <c r="P1483" s="85" t="str">
        <f>IFERROR(VLOOKUP(CONCATENATE($B1483,"_",P$3),materiali!$C:$K,6,0),"")</f>
        <v/>
      </c>
      <c r="Q1483" s="86"/>
      <c r="R1483" s="84" t="str">
        <f>IFERROR(VLOOKUP(CONCATENATE($B1483,"_",R$3),materiali!$C:$K,5,0),"")</f>
        <v/>
      </c>
      <c r="S1483" s="85" t="str">
        <f>IFERROR(VLOOKUP(CONCATENATE($B1483,"_",S$3),materiali!$C:$K,6,0),"")</f>
        <v/>
      </c>
      <c r="T1483" s="86"/>
      <c r="U1483" s="31"/>
      <c r="AD1483" s="97"/>
    </row>
    <row r="1484" spans="1:30" ht="35.1" hidden="1" customHeight="1" x14ac:dyDescent="0.25">
      <c r="A1484" s="83"/>
      <c r="B1484" s="7"/>
      <c r="C1484" s="8"/>
      <c r="D1484" s="8"/>
      <c r="E1484" s="60"/>
      <c r="F1484" s="84" t="str">
        <f>IFERROR(VLOOKUP(CONCATENATE($B1484,"_",F$3),materiali!$C:$K,5,0),"")</f>
        <v/>
      </c>
      <c r="G1484" s="85" t="str">
        <f>IFERROR(VLOOKUP(CONCATENATE($B1484,"_",G$3),materiali!$C:$K,6,0),"")</f>
        <v/>
      </c>
      <c r="H1484" s="86"/>
      <c r="I1484" s="84" t="str">
        <f>IFERROR(VLOOKUP(CONCATENATE($B1484,"_",I$3),materiali!$C:$K,5,0),"")</f>
        <v/>
      </c>
      <c r="J1484" s="85" t="str">
        <f>IFERROR(VLOOKUP(CONCATENATE($B1484,"_",J$3),materiali!$C:$K,6,0),"")</f>
        <v/>
      </c>
      <c r="K1484" s="86"/>
      <c r="L1484" s="84" t="str">
        <f>IFERROR(VLOOKUP(CONCATENATE($B1484,"_",L$3),materiali!$C:$K,5,0),"")</f>
        <v/>
      </c>
      <c r="M1484" s="85" t="str">
        <f>IFERROR(VLOOKUP(CONCATENATE($B1484,"_",M$3),materiali!$C:$K,6,0),"")</f>
        <v/>
      </c>
      <c r="N1484" s="86"/>
      <c r="O1484" s="84" t="str">
        <f>IFERROR(VLOOKUP(CONCATENATE($B1484,"_",O$3),materiali!$C:$K,5,0),"")</f>
        <v/>
      </c>
      <c r="P1484" s="85" t="str">
        <f>IFERROR(VLOOKUP(CONCATENATE($B1484,"_",P$3),materiali!$C:$K,6,0),"")</f>
        <v/>
      </c>
      <c r="Q1484" s="86"/>
      <c r="R1484" s="84" t="str">
        <f>IFERROR(VLOOKUP(CONCATENATE($B1484,"_",R$3),materiali!$C:$K,5,0),"")</f>
        <v/>
      </c>
      <c r="S1484" s="85" t="str">
        <f>IFERROR(VLOOKUP(CONCATENATE($B1484,"_",S$3),materiali!$C:$K,6,0),"")</f>
        <v/>
      </c>
      <c r="T1484" s="86"/>
      <c r="U1484" s="31"/>
      <c r="AD1484" s="97"/>
    </row>
    <row r="1485" spans="1:30" ht="35.1" hidden="1" customHeight="1" x14ac:dyDescent="0.25">
      <c r="A1485" s="83"/>
      <c r="B1485" s="7"/>
      <c r="C1485" s="8"/>
      <c r="D1485" s="8"/>
      <c r="E1485" s="60"/>
      <c r="F1485" s="84" t="str">
        <f>IFERROR(VLOOKUP(CONCATENATE($B1485,"_",F$3),materiali!$C:$K,5,0),"")</f>
        <v/>
      </c>
      <c r="G1485" s="85" t="str">
        <f>IFERROR(VLOOKUP(CONCATENATE($B1485,"_",G$3),materiali!$C:$K,6,0),"")</f>
        <v/>
      </c>
      <c r="H1485" s="86"/>
      <c r="I1485" s="84" t="str">
        <f>IFERROR(VLOOKUP(CONCATENATE($B1485,"_",I$3),materiali!$C:$K,5,0),"")</f>
        <v/>
      </c>
      <c r="J1485" s="85" t="str">
        <f>IFERROR(VLOOKUP(CONCATENATE($B1485,"_",J$3),materiali!$C:$K,6,0),"")</f>
        <v/>
      </c>
      <c r="K1485" s="86"/>
      <c r="L1485" s="84" t="str">
        <f>IFERROR(VLOOKUP(CONCATENATE($B1485,"_",L$3),materiali!$C:$K,5,0),"")</f>
        <v/>
      </c>
      <c r="M1485" s="85" t="str">
        <f>IFERROR(VLOOKUP(CONCATENATE($B1485,"_",M$3),materiali!$C:$K,6,0),"")</f>
        <v/>
      </c>
      <c r="N1485" s="86"/>
      <c r="O1485" s="84" t="str">
        <f>IFERROR(VLOOKUP(CONCATENATE($B1485,"_",O$3),materiali!$C:$K,5,0),"")</f>
        <v/>
      </c>
      <c r="P1485" s="85" t="str">
        <f>IFERROR(VLOOKUP(CONCATENATE($B1485,"_",P$3),materiali!$C:$K,6,0),"")</f>
        <v/>
      </c>
      <c r="Q1485" s="86"/>
      <c r="R1485" s="84" t="str">
        <f>IFERROR(VLOOKUP(CONCATENATE($B1485,"_",R$3),materiali!$C:$K,5,0),"")</f>
        <v/>
      </c>
      <c r="S1485" s="85" t="str">
        <f>IFERROR(VLOOKUP(CONCATENATE($B1485,"_",S$3),materiali!$C:$K,6,0),"")</f>
        <v/>
      </c>
      <c r="T1485" s="86"/>
      <c r="U1485" s="31"/>
      <c r="AD1485" s="97"/>
    </row>
    <row r="1486" spans="1:30" ht="35.1" hidden="1" customHeight="1" x14ac:dyDescent="0.25">
      <c r="A1486" s="83"/>
      <c r="B1486" s="7"/>
      <c r="C1486" s="8"/>
      <c r="D1486" s="8"/>
      <c r="E1486" s="60"/>
      <c r="F1486" s="84" t="str">
        <f>IFERROR(VLOOKUP(CONCATENATE($B1486,"_",F$3),materiali!$C:$K,5,0),"")</f>
        <v/>
      </c>
      <c r="G1486" s="85" t="str">
        <f>IFERROR(VLOOKUP(CONCATENATE($B1486,"_",G$3),materiali!$C:$K,6,0),"")</f>
        <v/>
      </c>
      <c r="H1486" s="86"/>
      <c r="I1486" s="84" t="str">
        <f>IFERROR(VLOOKUP(CONCATENATE($B1486,"_",I$3),materiali!$C:$K,5,0),"")</f>
        <v/>
      </c>
      <c r="J1486" s="85" t="str">
        <f>IFERROR(VLOOKUP(CONCATENATE($B1486,"_",J$3),materiali!$C:$K,6,0),"")</f>
        <v/>
      </c>
      <c r="K1486" s="86"/>
      <c r="L1486" s="84" t="str">
        <f>IFERROR(VLOOKUP(CONCATENATE($B1486,"_",L$3),materiali!$C:$K,5,0),"")</f>
        <v/>
      </c>
      <c r="M1486" s="85" t="str">
        <f>IFERROR(VLOOKUP(CONCATENATE($B1486,"_",M$3),materiali!$C:$K,6,0),"")</f>
        <v/>
      </c>
      <c r="N1486" s="86"/>
      <c r="O1486" s="84" t="str">
        <f>IFERROR(VLOOKUP(CONCATENATE($B1486,"_",O$3),materiali!$C:$K,5,0),"")</f>
        <v/>
      </c>
      <c r="P1486" s="85" t="str">
        <f>IFERROR(VLOOKUP(CONCATENATE($B1486,"_",P$3),materiali!$C:$K,6,0),"")</f>
        <v/>
      </c>
      <c r="Q1486" s="86"/>
      <c r="R1486" s="84" t="str">
        <f>IFERROR(VLOOKUP(CONCATENATE($B1486,"_",R$3),materiali!$C:$K,5,0),"")</f>
        <v/>
      </c>
      <c r="S1486" s="85" t="str">
        <f>IFERROR(VLOOKUP(CONCATENATE($B1486,"_",S$3),materiali!$C:$K,6,0),"")</f>
        <v/>
      </c>
      <c r="T1486" s="86"/>
      <c r="U1486" s="31"/>
      <c r="AD1486" s="97"/>
    </row>
    <row r="1487" spans="1:30" ht="35.1" hidden="1" customHeight="1" x14ac:dyDescent="0.25">
      <c r="A1487" s="83"/>
      <c r="B1487" s="7"/>
      <c r="C1487" s="8"/>
      <c r="D1487" s="8"/>
      <c r="E1487" s="60"/>
      <c r="F1487" s="84" t="str">
        <f>IFERROR(VLOOKUP(CONCATENATE($B1487,"_",F$3),materiali!$C:$K,5,0),"")</f>
        <v/>
      </c>
      <c r="G1487" s="85" t="str">
        <f>IFERROR(VLOOKUP(CONCATENATE($B1487,"_",G$3),materiali!$C:$K,6,0),"")</f>
        <v/>
      </c>
      <c r="H1487" s="86"/>
      <c r="I1487" s="84" t="str">
        <f>IFERROR(VLOOKUP(CONCATENATE($B1487,"_",I$3),materiali!$C:$K,5,0),"")</f>
        <v/>
      </c>
      <c r="J1487" s="85" t="str">
        <f>IFERROR(VLOOKUP(CONCATENATE($B1487,"_",J$3),materiali!$C:$K,6,0),"")</f>
        <v/>
      </c>
      <c r="K1487" s="86"/>
      <c r="L1487" s="84" t="str">
        <f>IFERROR(VLOOKUP(CONCATENATE($B1487,"_",L$3),materiali!$C:$K,5,0),"")</f>
        <v/>
      </c>
      <c r="M1487" s="85" t="str">
        <f>IFERROR(VLOOKUP(CONCATENATE($B1487,"_",M$3),materiali!$C:$K,6,0),"")</f>
        <v/>
      </c>
      <c r="N1487" s="86"/>
      <c r="O1487" s="84" t="str">
        <f>IFERROR(VLOOKUP(CONCATENATE($B1487,"_",O$3),materiali!$C:$K,5,0),"")</f>
        <v/>
      </c>
      <c r="P1487" s="85" t="str">
        <f>IFERROR(VLOOKUP(CONCATENATE($B1487,"_",P$3),materiali!$C:$K,6,0),"")</f>
        <v/>
      </c>
      <c r="Q1487" s="86"/>
      <c r="R1487" s="84" t="str">
        <f>IFERROR(VLOOKUP(CONCATENATE($B1487,"_",R$3),materiali!$C:$K,5,0),"")</f>
        <v/>
      </c>
      <c r="S1487" s="85" t="str">
        <f>IFERROR(VLOOKUP(CONCATENATE($B1487,"_",S$3),materiali!$C:$K,6,0),"")</f>
        <v/>
      </c>
      <c r="T1487" s="86"/>
      <c r="U1487" s="31"/>
      <c r="AD1487" s="97"/>
    </row>
    <row r="1488" spans="1:30" ht="35.1" hidden="1" customHeight="1" x14ac:dyDescent="0.25">
      <c r="A1488" s="83"/>
      <c r="B1488" s="7"/>
      <c r="C1488" s="8"/>
      <c r="D1488" s="8"/>
      <c r="E1488" s="60"/>
      <c r="F1488" s="84" t="str">
        <f>IFERROR(VLOOKUP(CONCATENATE($B1488,"_",F$3),materiali!$C:$K,5,0),"")</f>
        <v/>
      </c>
      <c r="G1488" s="85" t="str">
        <f>IFERROR(VLOOKUP(CONCATENATE($B1488,"_",G$3),materiali!$C:$K,6,0),"")</f>
        <v/>
      </c>
      <c r="H1488" s="86"/>
      <c r="I1488" s="84" t="str">
        <f>IFERROR(VLOOKUP(CONCATENATE($B1488,"_",I$3),materiali!$C:$K,5,0),"")</f>
        <v/>
      </c>
      <c r="J1488" s="85" t="str">
        <f>IFERROR(VLOOKUP(CONCATENATE($B1488,"_",J$3),materiali!$C:$K,6,0),"")</f>
        <v/>
      </c>
      <c r="K1488" s="86"/>
      <c r="L1488" s="84" t="str">
        <f>IFERROR(VLOOKUP(CONCATENATE($B1488,"_",L$3),materiali!$C:$K,5,0),"")</f>
        <v/>
      </c>
      <c r="M1488" s="85" t="str">
        <f>IFERROR(VLOOKUP(CONCATENATE($B1488,"_",M$3),materiali!$C:$K,6,0),"")</f>
        <v/>
      </c>
      <c r="N1488" s="86"/>
      <c r="O1488" s="84" t="str">
        <f>IFERROR(VLOOKUP(CONCATENATE($B1488,"_",O$3),materiali!$C:$K,5,0),"")</f>
        <v/>
      </c>
      <c r="P1488" s="85" t="str">
        <f>IFERROR(VLOOKUP(CONCATENATE($B1488,"_",P$3),materiali!$C:$K,6,0),"")</f>
        <v/>
      </c>
      <c r="Q1488" s="86"/>
      <c r="R1488" s="84" t="str">
        <f>IFERROR(VLOOKUP(CONCATENATE($B1488,"_",R$3),materiali!$C:$K,5,0),"")</f>
        <v/>
      </c>
      <c r="S1488" s="85" t="str">
        <f>IFERROR(VLOOKUP(CONCATENATE($B1488,"_",S$3),materiali!$C:$K,6,0),"")</f>
        <v/>
      </c>
      <c r="T1488" s="86"/>
      <c r="U1488" s="31"/>
      <c r="AD1488" s="97"/>
    </row>
    <row r="1489" spans="1:30" ht="35.1" hidden="1" customHeight="1" x14ac:dyDescent="0.25">
      <c r="A1489" s="83"/>
      <c r="B1489" s="7"/>
      <c r="C1489" s="8"/>
      <c r="D1489" s="8"/>
      <c r="E1489" s="60"/>
      <c r="F1489" s="84" t="str">
        <f>IFERROR(VLOOKUP(CONCATENATE($B1489,"_",F$3),materiali!$C:$K,5,0),"")</f>
        <v/>
      </c>
      <c r="G1489" s="85" t="str">
        <f>IFERROR(VLOOKUP(CONCATENATE($B1489,"_",G$3),materiali!$C:$K,6,0),"")</f>
        <v/>
      </c>
      <c r="H1489" s="86"/>
      <c r="I1489" s="84" t="str">
        <f>IFERROR(VLOOKUP(CONCATENATE($B1489,"_",I$3),materiali!$C:$K,5,0),"")</f>
        <v/>
      </c>
      <c r="J1489" s="85" t="str">
        <f>IFERROR(VLOOKUP(CONCATENATE($B1489,"_",J$3),materiali!$C:$K,6,0),"")</f>
        <v/>
      </c>
      <c r="K1489" s="86"/>
      <c r="L1489" s="84" t="str">
        <f>IFERROR(VLOOKUP(CONCATENATE($B1489,"_",L$3),materiali!$C:$K,5,0),"")</f>
        <v/>
      </c>
      <c r="M1489" s="85" t="str">
        <f>IFERROR(VLOOKUP(CONCATENATE($B1489,"_",M$3),materiali!$C:$K,6,0),"")</f>
        <v/>
      </c>
      <c r="N1489" s="86"/>
      <c r="O1489" s="84" t="str">
        <f>IFERROR(VLOOKUP(CONCATENATE($B1489,"_",O$3),materiali!$C:$K,5,0),"")</f>
        <v/>
      </c>
      <c r="P1489" s="85" t="str">
        <f>IFERROR(VLOOKUP(CONCATENATE($B1489,"_",P$3),materiali!$C:$K,6,0),"")</f>
        <v/>
      </c>
      <c r="Q1489" s="86"/>
      <c r="R1489" s="84" t="str">
        <f>IFERROR(VLOOKUP(CONCATENATE($B1489,"_",R$3),materiali!$C:$K,5,0),"")</f>
        <v/>
      </c>
      <c r="S1489" s="85" t="str">
        <f>IFERROR(VLOOKUP(CONCATENATE($B1489,"_",S$3),materiali!$C:$K,6,0),"")</f>
        <v/>
      </c>
      <c r="T1489" s="86"/>
      <c r="U1489" s="31"/>
      <c r="AD1489" s="97"/>
    </row>
    <row r="1490" spans="1:30" ht="35.1" hidden="1" customHeight="1" x14ac:dyDescent="0.25">
      <c r="A1490" s="83"/>
      <c r="B1490" s="7"/>
      <c r="C1490" s="8"/>
      <c r="D1490" s="8"/>
      <c r="E1490" s="60"/>
      <c r="F1490" s="84" t="str">
        <f>IFERROR(VLOOKUP(CONCATENATE($B1490,"_",F$3),materiali!$C:$K,5,0),"")</f>
        <v/>
      </c>
      <c r="G1490" s="85" t="str">
        <f>IFERROR(VLOOKUP(CONCATENATE($B1490,"_",G$3),materiali!$C:$K,6,0),"")</f>
        <v/>
      </c>
      <c r="H1490" s="86"/>
      <c r="I1490" s="84" t="str">
        <f>IFERROR(VLOOKUP(CONCATENATE($B1490,"_",I$3),materiali!$C:$K,5,0),"")</f>
        <v/>
      </c>
      <c r="J1490" s="85" t="str">
        <f>IFERROR(VLOOKUP(CONCATENATE($B1490,"_",J$3),materiali!$C:$K,6,0),"")</f>
        <v/>
      </c>
      <c r="K1490" s="86"/>
      <c r="L1490" s="84" t="str">
        <f>IFERROR(VLOOKUP(CONCATENATE($B1490,"_",L$3),materiali!$C:$K,5,0),"")</f>
        <v/>
      </c>
      <c r="M1490" s="85" t="str">
        <f>IFERROR(VLOOKUP(CONCATENATE($B1490,"_",M$3),materiali!$C:$K,6,0),"")</f>
        <v/>
      </c>
      <c r="N1490" s="86"/>
      <c r="O1490" s="84" t="str">
        <f>IFERROR(VLOOKUP(CONCATENATE($B1490,"_",O$3),materiali!$C:$K,5,0),"")</f>
        <v/>
      </c>
      <c r="P1490" s="85" t="str">
        <f>IFERROR(VLOOKUP(CONCATENATE($B1490,"_",P$3),materiali!$C:$K,6,0),"")</f>
        <v/>
      </c>
      <c r="Q1490" s="86"/>
      <c r="R1490" s="84" t="str">
        <f>IFERROR(VLOOKUP(CONCATENATE($B1490,"_",R$3),materiali!$C:$K,5,0),"")</f>
        <v/>
      </c>
      <c r="S1490" s="85" t="str">
        <f>IFERROR(VLOOKUP(CONCATENATE($B1490,"_",S$3),materiali!$C:$K,6,0),"")</f>
        <v/>
      </c>
      <c r="T1490" s="86"/>
      <c r="U1490" s="31"/>
      <c r="AD1490" s="97"/>
    </row>
    <row r="1491" spans="1:30" ht="35.1" hidden="1" customHeight="1" x14ac:dyDescent="0.25">
      <c r="A1491" s="83"/>
      <c r="B1491" s="7"/>
      <c r="C1491" s="8"/>
      <c r="D1491" s="8"/>
      <c r="E1491" s="60"/>
      <c r="F1491" s="84" t="str">
        <f>IFERROR(VLOOKUP(CONCATENATE($B1491,"_",F$3),materiali!$C:$K,5,0),"")</f>
        <v/>
      </c>
      <c r="G1491" s="85" t="str">
        <f>IFERROR(VLOOKUP(CONCATENATE($B1491,"_",G$3),materiali!$C:$K,6,0),"")</f>
        <v/>
      </c>
      <c r="H1491" s="86"/>
      <c r="I1491" s="84" t="str">
        <f>IFERROR(VLOOKUP(CONCATENATE($B1491,"_",I$3),materiali!$C:$K,5,0),"")</f>
        <v/>
      </c>
      <c r="J1491" s="85" t="str">
        <f>IFERROR(VLOOKUP(CONCATENATE($B1491,"_",J$3),materiali!$C:$K,6,0),"")</f>
        <v/>
      </c>
      <c r="K1491" s="86"/>
      <c r="L1491" s="84" t="str">
        <f>IFERROR(VLOOKUP(CONCATENATE($B1491,"_",L$3),materiali!$C:$K,5,0),"")</f>
        <v/>
      </c>
      <c r="M1491" s="85" t="str">
        <f>IFERROR(VLOOKUP(CONCATENATE($B1491,"_",M$3),materiali!$C:$K,6,0),"")</f>
        <v/>
      </c>
      <c r="N1491" s="86"/>
      <c r="O1491" s="84" t="str">
        <f>IFERROR(VLOOKUP(CONCATENATE($B1491,"_",O$3),materiali!$C:$K,5,0),"")</f>
        <v/>
      </c>
      <c r="P1491" s="85" t="str">
        <f>IFERROR(VLOOKUP(CONCATENATE($B1491,"_",P$3),materiali!$C:$K,6,0),"")</f>
        <v/>
      </c>
      <c r="Q1491" s="86"/>
      <c r="R1491" s="84" t="str">
        <f>IFERROR(VLOOKUP(CONCATENATE($B1491,"_",R$3),materiali!$C:$K,5,0),"")</f>
        <v/>
      </c>
      <c r="S1491" s="85" t="str">
        <f>IFERROR(VLOOKUP(CONCATENATE($B1491,"_",S$3),materiali!$C:$K,6,0),"")</f>
        <v/>
      </c>
      <c r="T1491" s="86"/>
      <c r="U1491" s="31"/>
      <c r="AD1491" s="97"/>
    </row>
    <row r="1492" spans="1:30" ht="35.1" hidden="1" customHeight="1" x14ac:dyDescent="0.25">
      <c r="A1492" s="83"/>
      <c r="B1492" s="7"/>
      <c r="C1492" s="8"/>
      <c r="D1492" s="8"/>
      <c r="E1492" s="60"/>
      <c r="F1492" s="84" t="str">
        <f>IFERROR(VLOOKUP(CONCATENATE($B1492,"_",F$3),materiali!$C:$K,5,0),"")</f>
        <v/>
      </c>
      <c r="G1492" s="85" t="str">
        <f>IFERROR(VLOOKUP(CONCATENATE($B1492,"_",G$3),materiali!$C:$K,6,0),"")</f>
        <v/>
      </c>
      <c r="H1492" s="86"/>
      <c r="I1492" s="84" t="str">
        <f>IFERROR(VLOOKUP(CONCATENATE($B1492,"_",I$3),materiali!$C:$K,5,0),"")</f>
        <v/>
      </c>
      <c r="J1492" s="85" t="str">
        <f>IFERROR(VLOOKUP(CONCATENATE($B1492,"_",J$3),materiali!$C:$K,6,0),"")</f>
        <v/>
      </c>
      <c r="K1492" s="86"/>
      <c r="L1492" s="84" t="str">
        <f>IFERROR(VLOOKUP(CONCATENATE($B1492,"_",L$3),materiali!$C:$K,5,0),"")</f>
        <v/>
      </c>
      <c r="M1492" s="85" t="str">
        <f>IFERROR(VLOOKUP(CONCATENATE($B1492,"_",M$3),materiali!$C:$K,6,0),"")</f>
        <v/>
      </c>
      <c r="N1492" s="86"/>
      <c r="O1492" s="84" t="str">
        <f>IFERROR(VLOOKUP(CONCATENATE($B1492,"_",O$3),materiali!$C:$K,5,0),"")</f>
        <v/>
      </c>
      <c r="P1492" s="85" t="str">
        <f>IFERROR(VLOOKUP(CONCATENATE($B1492,"_",P$3),materiali!$C:$K,6,0),"")</f>
        <v/>
      </c>
      <c r="Q1492" s="86"/>
      <c r="R1492" s="84" t="str">
        <f>IFERROR(VLOOKUP(CONCATENATE($B1492,"_",R$3),materiali!$C:$K,5,0),"")</f>
        <v/>
      </c>
      <c r="S1492" s="85" t="str">
        <f>IFERROR(VLOOKUP(CONCATENATE($B1492,"_",S$3),materiali!$C:$K,6,0),"")</f>
        <v/>
      </c>
      <c r="T1492" s="86"/>
      <c r="U1492" s="31"/>
      <c r="AD1492" s="97"/>
    </row>
    <row r="1493" spans="1:30" ht="35.1" hidden="1" customHeight="1" x14ac:dyDescent="0.25">
      <c r="A1493" s="83"/>
      <c r="B1493" s="7"/>
      <c r="C1493" s="8"/>
      <c r="D1493" s="8"/>
      <c r="E1493" s="60"/>
      <c r="F1493" s="84" t="str">
        <f>IFERROR(VLOOKUP(CONCATENATE($B1493,"_",F$3),materiali!$C:$K,5,0),"")</f>
        <v/>
      </c>
      <c r="G1493" s="85" t="str">
        <f>IFERROR(VLOOKUP(CONCATENATE($B1493,"_",G$3),materiali!$C:$K,6,0),"")</f>
        <v/>
      </c>
      <c r="H1493" s="86"/>
      <c r="I1493" s="84" t="str">
        <f>IFERROR(VLOOKUP(CONCATENATE($B1493,"_",I$3),materiali!$C:$K,5,0),"")</f>
        <v/>
      </c>
      <c r="J1493" s="85" t="str">
        <f>IFERROR(VLOOKUP(CONCATENATE($B1493,"_",J$3),materiali!$C:$K,6,0),"")</f>
        <v/>
      </c>
      <c r="K1493" s="86"/>
      <c r="L1493" s="84" t="str">
        <f>IFERROR(VLOOKUP(CONCATENATE($B1493,"_",L$3),materiali!$C:$K,5,0),"")</f>
        <v/>
      </c>
      <c r="M1493" s="85" t="str">
        <f>IFERROR(VLOOKUP(CONCATENATE($B1493,"_",M$3),materiali!$C:$K,6,0),"")</f>
        <v/>
      </c>
      <c r="N1493" s="86"/>
      <c r="O1493" s="84" t="str">
        <f>IFERROR(VLOOKUP(CONCATENATE($B1493,"_",O$3),materiali!$C:$K,5,0),"")</f>
        <v/>
      </c>
      <c r="P1493" s="85" t="str">
        <f>IFERROR(VLOOKUP(CONCATENATE($B1493,"_",P$3),materiali!$C:$K,6,0),"")</f>
        <v/>
      </c>
      <c r="Q1493" s="86"/>
      <c r="R1493" s="84" t="str">
        <f>IFERROR(VLOOKUP(CONCATENATE($B1493,"_",R$3),materiali!$C:$K,5,0),"")</f>
        <v/>
      </c>
      <c r="S1493" s="85" t="str">
        <f>IFERROR(VLOOKUP(CONCATENATE($B1493,"_",S$3),materiali!$C:$K,6,0),"")</f>
        <v/>
      </c>
      <c r="T1493" s="86"/>
      <c r="U1493" s="31"/>
      <c r="AD1493" s="97"/>
    </row>
    <row r="1494" spans="1:30" ht="35.1" hidden="1" customHeight="1" x14ac:dyDescent="0.25">
      <c r="A1494" s="83"/>
      <c r="B1494" s="7"/>
      <c r="C1494" s="8"/>
      <c r="D1494" s="8"/>
      <c r="E1494" s="60"/>
      <c r="F1494" s="84" t="str">
        <f>IFERROR(VLOOKUP(CONCATENATE($B1494,"_",F$3),materiali!$C:$K,5,0),"")</f>
        <v/>
      </c>
      <c r="G1494" s="85" t="str">
        <f>IFERROR(VLOOKUP(CONCATENATE($B1494,"_",G$3),materiali!$C:$K,6,0),"")</f>
        <v/>
      </c>
      <c r="H1494" s="86"/>
      <c r="I1494" s="84" t="str">
        <f>IFERROR(VLOOKUP(CONCATENATE($B1494,"_",I$3),materiali!$C:$K,5,0),"")</f>
        <v/>
      </c>
      <c r="J1494" s="85" t="str">
        <f>IFERROR(VLOOKUP(CONCATENATE($B1494,"_",J$3),materiali!$C:$K,6,0),"")</f>
        <v/>
      </c>
      <c r="K1494" s="86"/>
      <c r="L1494" s="84" t="str">
        <f>IFERROR(VLOOKUP(CONCATENATE($B1494,"_",L$3),materiali!$C:$K,5,0),"")</f>
        <v/>
      </c>
      <c r="M1494" s="85" t="str">
        <f>IFERROR(VLOOKUP(CONCATENATE($B1494,"_",M$3),materiali!$C:$K,6,0),"")</f>
        <v/>
      </c>
      <c r="N1494" s="86"/>
      <c r="O1494" s="84" t="str">
        <f>IFERROR(VLOOKUP(CONCATENATE($B1494,"_",O$3),materiali!$C:$K,5,0),"")</f>
        <v/>
      </c>
      <c r="P1494" s="85" t="str">
        <f>IFERROR(VLOOKUP(CONCATENATE($B1494,"_",P$3),materiali!$C:$K,6,0),"")</f>
        <v/>
      </c>
      <c r="Q1494" s="86"/>
      <c r="R1494" s="84" t="str">
        <f>IFERROR(VLOOKUP(CONCATENATE($B1494,"_",R$3),materiali!$C:$K,5,0),"")</f>
        <v/>
      </c>
      <c r="S1494" s="85" t="str">
        <f>IFERROR(VLOOKUP(CONCATENATE($B1494,"_",S$3),materiali!$C:$K,6,0),"")</f>
        <v/>
      </c>
      <c r="T1494" s="86"/>
      <c r="U1494" s="31"/>
      <c r="AD1494" s="97"/>
    </row>
    <row r="1495" spans="1:30" ht="35.1" hidden="1" customHeight="1" x14ac:dyDescent="0.25">
      <c r="A1495" s="83"/>
      <c r="B1495" s="7"/>
      <c r="C1495" s="8"/>
      <c r="D1495" s="8"/>
      <c r="E1495" s="60"/>
      <c r="F1495" s="84" t="str">
        <f>IFERROR(VLOOKUP(CONCATENATE($B1495,"_",F$3),materiali!$C:$K,5,0),"")</f>
        <v/>
      </c>
      <c r="G1495" s="85" t="str">
        <f>IFERROR(VLOOKUP(CONCATENATE($B1495,"_",G$3),materiali!$C:$K,6,0),"")</f>
        <v/>
      </c>
      <c r="H1495" s="86"/>
      <c r="I1495" s="84" t="str">
        <f>IFERROR(VLOOKUP(CONCATENATE($B1495,"_",I$3),materiali!$C:$K,5,0),"")</f>
        <v/>
      </c>
      <c r="J1495" s="85" t="str">
        <f>IFERROR(VLOOKUP(CONCATENATE($B1495,"_",J$3),materiali!$C:$K,6,0),"")</f>
        <v/>
      </c>
      <c r="K1495" s="86"/>
      <c r="L1495" s="84" t="str">
        <f>IFERROR(VLOOKUP(CONCATENATE($B1495,"_",L$3),materiali!$C:$K,5,0),"")</f>
        <v/>
      </c>
      <c r="M1495" s="85" t="str">
        <f>IFERROR(VLOOKUP(CONCATENATE($B1495,"_",M$3),materiali!$C:$K,6,0),"")</f>
        <v/>
      </c>
      <c r="N1495" s="86"/>
      <c r="O1495" s="84" t="str">
        <f>IFERROR(VLOOKUP(CONCATENATE($B1495,"_",O$3),materiali!$C:$K,5,0),"")</f>
        <v/>
      </c>
      <c r="P1495" s="85" t="str">
        <f>IFERROR(VLOOKUP(CONCATENATE($B1495,"_",P$3),materiali!$C:$K,6,0),"")</f>
        <v/>
      </c>
      <c r="Q1495" s="86"/>
      <c r="R1495" s="84" t="str">
        <f>IFERROR(VLOOKUP(CONCATENATE($B1495,"_",R$3),materiali!$C:$K,5,0),"")</f>
        <v/>
      </c>
      <c r="S1495" s="85" t="str">
        <f>IFERROR(VLOOKUP(CONCATENATE($B1495,"_",S$3),materiali!$C:$K,6,0),"")</f>
        <v/>
      </c>
      <c r="T1495" s="86"/>
      <c r="U1495" s="31"/>
      <c r="AD1495" s="97"/>
    </row>
    <row r="1496" spans="1:30" ht="35.1" hidden="1" customHeight="1" x14ac:dyDescent="0.25">
      <c r="A1496" s="83"/>
      <c r="B1496" s="7"/>
      <c r="C1496" s="8"/>
      <c r="D1496" s="8"/>
      <c r="E1496" s="60"/>
      <c r="F1496" s="84" t="str">
        <f>IFERROR(VLOOKUP(CONCATENATE($B1496,"_",F$3),materiali!$C:$K,5,0),"")</f>
        <v/>
      </c>
      <c r="G1496" s="85" t="str">
        <f>IFERROR(VLOOKUP(CONCATENATE($B1496,"_",G$3),materiali!$C:$K,6,0),"")</f>
        <v/>
      </c>
      <c r="H1496" s="86"/>
      <c r="I1496" s="84" t="str">
        <f>IFERROR(VLOOKUP(CONCATENATE($B1496,"_",I$3),materiali!$C:$K,5,0),"")</f>
        <v/>
      </c>
      <c r="J1496" s="85" t="str">
        <f>IFERROR(VLOOKUP(CONCATENATE($B1496,"_",J$3),materiali!$C:$K,6,0),"")</f>
        <v/>
      </c>
      <c r="K1496" s="86"/>
      <c r="L1496" s="84" t="str">
        <f>IFERROR(VLOOKUP(CONCATENATE($B1496,"_",L$3),materiali!$C:$K,5,0),"")</f>
        <v/>
      </c>
      <c r="M1496" s="85" t="str">
        <f>IFERROR(VLOOKUP(CONCATENATE($B1496,"_",M$3),materiali!$C:$K,6,0),"")</f>
        <v/>
      </c>
      <c r="N1496" s="86"/>
      <c r="O1496" s="84" t="str">
        <f>IFERROR(VLOOKUP(CONCATENATE($B1496,"_",O$3),materiali!$C:$K,5,0),"")</f>
        <v/>
      </c>
      <c r="P1496" s="85" t="str">
        <f>IFERROR(VLOOKUP(CONCATENATE($B1496,"_",P$3),materiali!$C:$K,6,0),"")</f>
        <v/>
      </c>
      <c r="Q1496" s="86"/>
      <c r="R1496" s="84" t="str">
        <f>IFERROR(VLOOKUP(CONCATENATE($B1496,"_",R$3),materiali!$C:$K,5,0),"")</f>
        <v/>
      </c>
      <c r="S1496" s="85" t="str">
        <f>IFERROR(VLOOKUP(CONCATENATE($B1496,"_",S$3),materiali!$C:$K,6,0),"")</f>
        <v/>
      </c>
      <c r="T1496" s="86"/>
      <c r="U1496" s="31"/>
      <c r="AD1496" s="97"/>
    </row>
    <row r="1497" spans="1:30" ht="35.1" hidden="1" customHeight="1" x14ac:dyDescent="0.25">
      <c r="A1497" s="83"/>
      <c r="B1497" s="7"/>
      <c r="C1497" s="8"/>
      <c r="D1497" s="8"/>
      <c r="E1497" s="60"/>
      <c r="F1497" s="84" t="str">
        <f>IFERROR(VLOOKUP(CONCATENATE($B1497,"_",F$3),materiali!$C:$K,5,0),"")</f>
        <v/>
      </c>
      <c r="G1497" s="85" t="str">
        <f>IFERROR(VLOOKUP(CONCATENATE($B1497,"_",G$3),materiali!$C:$K,6,0),"")</f>
        <v/>
      </c>
      <c r="H1497" s="86"/>
      <c r="I1497" s="84" t="str">
        <f>IFERROR(VLOOKUP(CONCATENATE($B1497,"_",I$3),materiali!$C:$K,5,0),"")</f>
        <v/>
      </c>
      <c r="J1497" s="85" t="str">
        <f>IFERROR(VLOOKUP(CONCATENATE($B1497,"_",J$3),materiali!$C:$K,6,0),"")</f>
        <v/>
      </c>
      <c r="K1497" s="86"/>
      <c r="L1497" s="84" t="str">
        <f>IFERROR(VLOOKUP(CONCATENATE($B1497,"_",L$3),materiali!$C:$K,5,0),"")</f>
        <v/>
      </c>
      <c r="M1497" s="85" t="str">
        <f>IFERROR(VLOOKUP(CONCATENATE($B1497,"_",M$3),materiali!$C:$K,6,0),"")</f>
        <v/>
      </c>
      <c r="N1497" s="86"/>
      <c r="O1497" s="84" t="str">
        <f>IFERROR(VLOOKUP(CONCATENATE($B1497,"_",O$3),materiali!$C:$K,5,0),"")</f>
        <v/>
      </c>
      <c r="P1497" s="85" t="str">
        <f>IFERROR(VLOOKUP(CONCATENATE($B1497,"_",P$3),materiali!$C:$K,6,0),"")</f>
        <v/>
      </c>
      <c r="Q1497" s="86"/>
      <c r="R1497" s="84" t="str">
        <f>IFERROR(VLOOKUP(CONCATENATE($B1497,"_",R$3),materiali!$C:$K,5,0),"")</f>
        <v/>
      </c>
      <c r="S1497" s="85" t="str">
        <f>IFERROR(VLOOKUP(CONCATENATE($B1497,"_",S$3),materiali!$C:$K,6,0),"")</f>
        <v/>
      </c>
      <c r="T1497" s="86"/>
      <c r="U1497" s="31"/>
      <c r="AD1497" s="97"/>
    </row>
    <row r="1498" spans="1:30" ht="35.1" hidden="1" customHeight="1" x14ac:dyDescent="0.25">
      <c r="A1498" s="83"/>
      <c r="B1498" s="7"/>
      <c r="C1498" s="8"/>
      <c r="D1498" s="8"/>
      <c r="E1498" s="60"/>
      <c r="F1498" s="84" t="str">
        <f>IFERROR(VLOOKUP(CONCATENATE($B1498,"_",F$3),materiali!$C:$K,5,0),"")</f>
        <v/>
      </c>
      <c r="G1498" s="85" t="str">
        <f>IFERROR(VLOOKUP(CONCATENATE($B1498,"_",G$3),materiali!$C:$K,6,0),"")</f>
        <v/>
      </c>
      <c r="H1498" s="86"/>
      <c r="I1498" s="84" t="str">
        <f>IFERROR(VLOOKUP(CONCATENATE($B1498,"_",I$3),materiali!$C:$K,5,0),"")</f>
        <v/>
      </c>
      <c r="J1498" s="85" t="str">
        <f>IFERROR(VLOOKUP(CONCATENATE($B1498,"_",J$3),materiali!$C:$K,6,0),"")</f>
        <v/>
      </c>
      <c r="K1498" s="86"/>
      <c r="L1498" s="84" t="str">
        <f>IFERROR(VLOOKUP(CONCATENATE($B1498,"_",L$3),materiali!$C:$K,5,0),"")</f>
        <v/>
      </c>
      <c r="M1498" s="85" t="str">
        <f>IFERROR(VLOOKUP(CONCATENATE($B1498,"_",M$3),materiali!$C:$K,6,0),"")</f>
        <v/>
      </c>
      <c r="N1498" s="86"/>
      <c r="O1498" s="84" t="str">
        <f>IFERROR(VLOOKUP(CONCATENATE($B1498,"_",O$3),materiali!$C:$K,5,0),"")</f>
        <v/>
      </c>
      <c r="P1498" s="85" t="str">
        <f>IFERROR(VLOOKUP(CONCATENATE($B1498,"_",P$3),materiali!$C:$K,6,0),"")</f>
        <v/>
      </c>
      <c r="Q1498" s="86"/>
      <c r="R1498" s="84" t="str">
        <f>IFERROR(VLOOKUP(CONCATENATE($B1498,"_",R$3),materiali!$C:$K,5,0),"")</f>
        <v/>
      </c>
      <c r="S1498" s="85" t="str">
        <f>IFERROR(VLOOKUP(CONCATENATE($B1498,"_",S$3),materiali!$C:$K,6,0),"")</f>
        <v/>
      </c>
      <c r="T1498" s="86"/>
      <c r="U1498" s="31"/>
      <c r="AD1498" s="97"/>
    </row>
    <row r="1499" spans="1:30" ht="35.1" hidden="1" customHeight="1" x14ac:dyDescent="0.25">
      <c r="A1499" s="83"/>
      <c r="B1499" s="7"/>
      <c r="C1499" s="8"/>
      <c r="D1499" s="8"/>
      <c r="E1499" s="60"/>
      <c r="F1499" s="84" t="str">
        <f>IFERROR(VLOOKUP(CONCATENATE($B1499,"_",F$3),materiali!$C:$K,5,0),"")</f>
        <v/>
      </c>
      <c r="G1499" s="85" t="str">
        <f>IFERROR(VLOOKUP(CONCATENATE($B1499,"_",G$3),materiali!$C:$K,6,0),"")</f>
        <v/>
      </c>
      <c r="H1499" s="86"/>
      <c r="I1499" s="84" t="str">
        <f>IFERROR(VLOOKUP(CONCATENATE($B1499,"_",I$3),materiali!$C:$K,5,0),"")</f>
        <v/>
      </c>
      <c r="J1499" s="85" t="str">
        <f>IFERROR(VLOOKUP(CONCATENATE($B1499,"_",J$3),materiali!$C:$K,6,0),"")</f>
        <v/>
      </c>
      <c r="K1499" s="86"/>
      <c r="L1499" s="84" t="str">
        <f>IFERROR(VLOOKUP(CONCATENATE($B1499,"_",L$3),materiali!$C:$K,5,0),"")</f>
        <v/>
      </c>
      <c r="M1499" s="85" t="str">
        <f>IFERROR(VLOOKUP(CONCATENATE($B1499,"_",M$3),materiali!$C:$K,6,0),"")</f>
        <v/>
      </c>
      <c r="N1499" s="86"/>
      <c r="O1499" s="84" t="str">
        <f>IFERROR(VLOOKUP(CONCATENATE($B1499,"_",O$3),materiali!$C:$K,5,0),"")</f>
        <v/>
      </c>
      <c r="P1499" s="85" t="str">
        <f>IFERROR(VLOOKUP(CONCATENATE($B1499,"_",P$3),materiali!$C:$K,6,0),"")</f>
        <v/>
      </c>
      <c r="Q1499" s="86"/>
      <c r="R1499" s="84" t="str">
        <f>IFERROR(VLOOKUP(CONCATENATE($B1499,"_",R$3),materiali!$C:$K,5,0),"")</f>
        <v/>
      </c>
      <c r="S1499" s="85" t="str">
        <f>IFERROR(VLOOKUP(CONCATENATE($B1499,"_",S$3),materiali!$C:$K,6,0),"")</f>
        <v/>
      </c>
      <c r="T1499" s="86"/>
      <c r="U1499" s="31"/>
      <c r="AD1499" s="97"/>
    </row>
    <row r="1500" spans="1:30" ht="35.1" hidden="1" customHeight="1" x14ac:dyDescent="0.25">
      <c r="A1500" s="83"/>
      <c r="B1500" s="7"/>
      <c r="C1500" s="8"/>
      <c r="D1500" s="8"/>
      <c r="E1500" s="60"/>
      <c r="F1500" s="84" t="str">
        <f>IFERROR(VLOOKUP(CONCATENATE($B1500,"_",F$3),materiali!$C:$K,5,0),"")</f>
        <v/>
      </c>
      <c r="G1500" s="85" t="str">
        <f>IFERROR(VLOOKUP(CONCATENATE($B1500,"_",G$3),materiali!$C:$K,6,0),"")</f>
        <v/>
      </c>
      <c r="H1500" s="86"/>
      <c r="I1500" s="84" t="str">
        <f>IFERROR(VLOOKUP(CONCATENATE($B1500,"_",I$3),materiali!$C:$K,5,0),"")</f>
        <v/>
      </c>
      <c r="J1500" s="85" t="str">
        <f>IFERROR(VLOOKUP(CONCATENATE($B1500,"_",J$3),materiali!$C:$K,6,0),"")</f>
        <v/>
      </c>
      <c r="K1500" s="86"/>
      <c r="L1500" s="84" t="str">
        <f>IFERROR(VLOOKUP(CONCATENATE($B1500,"_",L$3),materiali!$C:$K,5,0),"")</f>
        <v/>
      </c>
      <c r="M1500" s="85" t="str">
        <f>IFERROR(VLOOKUP(CONCATENATE($B1500,"_",M$3),materiali!$C:$K,6,0),"")</f>
        <v/>
      </c>
      <c r="N1500" s="86"/>
      <c r="O1500" s="84" t="str">
        <f>IFERROR(VLOOKUP(CONCATENATE($B1500,"_",O$3),materiali!$C:$K,5,0),"")</f>
        <v/>
      </c>
      <c r="P1500" s="85" t="str">
        <f>IFERROR(VLOOKUP(CONCATENATE($B1500,"_",P$3),materiali!$C:$K,6,0),"")</f>
        <v/>
      </c>
      <c r="Q1500" s="86"/>
      <c r="R1500" s="84" t="str">
        <f>IFERROR(VLOOKUP(CONCATENATE($B1500,"_",R$3),materiali!$C:$K,5,0),"")</f>
        <v/>
      </c>
      <c r="S1500" s="85" t="str">
        <f>IFERROR(VLOOKUP(CONCATENATE($B1500,"_",S$3),materiali!$C:$K,6,0),"")</f>
        <v/>
      </c>
      <c r="T1500" s="86"/>
      <c r="U1500" s="31"/>
      <c r="AD1500" s="97"/>
    </row>
    <row r="1501" spans="1:30" ht="35.1" hidden="1" customHeight="1" x14ac:dyDescent="0.25">
      <c r="A1501" s="83"/>
      <c r="B1501" s="7"/>
      <c r="C1501" s="8"/>
      <c r="D1501" s="8"/>
      <c r="E1501" s="60"/>
      <c r="F1501" s="84" t="str">
        <f>IFERROR(VLOOKUP(CONCATENATE($B1501,"_",F$3),materiali!$C:$K,5,0),"")</f>
        <v/>
      </c>
      <c r="G1501" s="85" t="str">
        <f>IFERROR(VLOOKUP(CONCATENATE($B1501,"_",G$3),materiali!$C:$K,6,0),"")</f>
        <v/>
      </c>
      <c r="H1501" s="86"/>
      <c r="I1501" s="84" t="str">
        <f>IFERROR(VLOOKUP(CONCATENATE($B1501,"_",I$3),materiali!$C:$K,5,0),"")</f>
        <v/>
      </c>
      <c r="J1501" s="85" t="str">
        <f>IFERROR(VLOOKUP(CONCATENATE($B1501,"_",J$3),materiali!$C:$K,6,0),"")</f>
        <v/>
      </c>
      <c r="K1501" s="86"/>
      <c r="L1501" s="84" t="str">
        <f>IFERROR(VLOOKUP(CONCATENATE($B1501,"_",L$3),materiali!$C:$K,5,0),"")</f>
        <v/>
      </c>
      <c r="M1501" s="85" t="str">
        <f>IFERROR(VLOOKUP(CONCATENATE($B1501,"_",M$3),materiali!$C:$K,6,0),"")</f>
        <v/>
      </c>
      <c r="N1501" s="86"/>
      <c r="O1501" s="84" t="str">
        <f>IFERROR(VLOOKUP(CONCATENATE($B1501,"_",O$3),materiali!$C:$K,5,0),"")</f>
        <v/>
      </c>
      <c r="P1501" s="85" t="str">
        <f>IFERROR(VLOOKUP(CONCATENATE($B1501,"_",P$3),materiali!$C:$K,6,0),"")</f>
        <v/>
      </c>
      <c r="Q1501" s="86"/>
      <c r="R1501" s="84" t="str">
        <f>IFERROR(VLOOKUP(CONCATENATE($B1501,"_",R$3),materiali!$C:$K,5,0),"")</f>
        <v/>
      </c>
      <c r="S1501" s="85" t="str">
        <f>IFERROR(VLOOKUP(CONCATENATE($B1501,"_",S$3),materiali!$C:$K,6,0),"")</f>
        <v/>
      </c>
      <c r="T1501" s="86"/>
      <c r="U1501" s="31"/>
      <c r="AD1501" s="97"/>
    </row>
    <row r="1502" spans="1:30" ht="35.1" hidden="1" customHeight="1" x14ac:dyDescent="0.25">
      <c r="A1502" s="83"/>
      <c r="B1502" s="7"/>
      <c r="C1502" s="8"/>
      <c r="D1502" s="8"/>
      <c r="E1502" s="60"/>
      <c r="F1502" s="84" t="str">
        <f>IFERROR(VLOOKUP(CONCATENATE($B1502,"_",F$3),materiali!$C:$K,5,0),"")</f>
        <v/>
      </c>
      <c r="G1502" s="85" t="str">
        <f>IFERROR(VLOOKUP(CONCATENATE($B1502,"_",G$3),materiali!$C:$K,6,0),"")</f>
        <v/>
      </c>
      <c r="H1502" s="86"/>
      <c r="I1502" s="84" t="str">
        <f>IFERROR(VLOOKUP(CONCATENATE($B1502,"_",I$3),materiali!$C:$K,5,0),"")</f>
        <v/>
      </c>
      <c r="J1502" s="85" t="str">
        <f>IFERROR(VLOOKUP(CONCATENATE($B1502,"_",J$3),materiali!$C:$K,6,0),"")</f>
        <v/>
      </c>
      <c r="K1502" s="86"/>
      <c r="L1502" s="84" t="str">
        <f>IFERROR(VLOOKUP(CONCATENATE($B1502,"_",L$3),materiali!$C:$K,5,0),"")</f>
        <v/>
      </c>
      <c r="M1502" s="85" t="str">
        <f>IFERROR(VLOOKUP(CONCATENATE($B1502,"_",M$3),materiali!$C:$K,6,0),"")</f>
        <v/>
      </c>
      <c r="N1502" s="86"/>
      <c r="O1502" s="84" t="str">
        <f>IFERROR(VLOOKUP(CONCATENATE($B1502,"_",O$3),materiali!$C:$K,5,0),"")</f>
        <v/>
      </c>
      <c r="P1502" s="85" t="str">
        <f>IFERROR(VLOOKUP(CONCATENATE($B1502,"_",P$3),materiali!$C:$K,6,0),"")</f>
        <v/>
      </c>
      <c r="Q1502" s="86"/>
      <c r="R1502" s="84" t="str">
        <f>IFERROR(VLOOKUP(CONCATENATE($B1502,"_",R$3),materiali!$C:$K,5,0),"")</f>
        <v/>
      </c>
      <c r="S1502" s="85" t="str">
        <f>IFERROR(VLOOKUP(CONCATENATE($B1502,"_",S$3),materiali!$C:$K,6,0),"")</f>
        <v/>
      </c>
      <c r="T1502" s="86"/>
      <c r="U1502" s="31"/>
      <c r="AD1502" s="97"/>
    </row>
    <row r="1503" spans="1:30" ht="35.1" hidden="1" customHeight="1" x14ac:dyDescent="0.25">
      <c r="A1503" s="83"/>
      <c r="B1503" s="7"/>
      <c r="C1503" s="8"/>
      <c r="D1503" s="8"/>
      <c r="E1503" s="60"/>
      <c r="F1503" s="84" t="str">
        <f>IFERROR(VLOOKUP(CONCATENATE($B1503,"_",F$3),materiali!$C:$K,5,0),"")</f>
        <v/>
      </c>
      <c r="G1503" s="85" t="str">
        <f>IFERROR(VLOOKUP(CONCATENATE($B1503,"_",G$3),materiali!$C:$K,6,0),"")</f>
        <v/>
      </c>
      <c r="H1503" s="86"/>
      <c r="I1503" s="84" t="str">
        <f>IFERROR(VLOOKUP(CONCATENATE($B1503,"_",I$3),materiali!$C:$K,5,0),"")</f>
        <v/>
      </c>
      <c r="J1503" s="85" t="str">
        <f>IFERROR(VLOOKUP(CONCATENATE($B1503,"_",J$3),materiali!$C:$K,6,0),"")</f>
        <v/>
      </c>
      <c r="K1503" s="86"/>
      <c r="L1503" s="84" t="str">
        <f>IFERROR(VLOOKUP(CONCATENATE($B1503,"_",L$3),materiali!$C:$K,5,0),"")</f>
        <v/>
      </c>
      <c r="M1503" s="85" t="str">
        <f>IFERROR(VLOOKUP(CONCATENATE($B1503,"_",M$3),materiali!$C:$K,6,0),"")</f>
        <v/>
      </c>
      <c r="N1503" s="86"/>
      <c r="O1503" s="84" t="str">
        <f>IFERROR(VLOOKUP(CONCATENATE($B1503,"_",O$3),materiali!$C:$K,5,0),"")</f>
        <v/>
      </c>
      <c r="P1503" s="85" t="str">
        <f>IFERROR(VLOOKUP(CONCATENATE($B1503,"_",P$3),materiali!$C:$K,6,0),"")</f>
        <v/>
      </c>
      <c r="Q1503" s="86"/>
      <c r="R1503" s="84" t="str">
        <f>IFERROR(VLOOKUP(CONCATENATE($B1503,"_",R$3),materiali!$C:$K,5,0),"")</f>
        <v/>
      </c>
      <c r="S1503" s="85" t="str">
        <f>IFERROR(VLOOKUP(CONCATENATE($B1503,"_",S$3),materiali!$C:$K,6,0),"")</f>
        <v/>
      </c>
      <c r="T1503" s="86"/>
      <c r="U1503" s="31"/>
      <c r="AD1503" s="97"/>
    </row>
    <row r="1504" spans="1:30" ht="35.1" hidden="1" customHeight="1" x14ac:dyDescent="0.25">
      <c r="A1504" s="83"/>
      <c r="B1504" s="7"/>
      <c r="C1504" s="8"/>
      <c r="D1504" s="8"/>
      <c r="E1504" s="60"/>
      <c r="F1504" s="84" t="str">
        <f>IFERROR(VLOOKUP(CONCATENATE($B1504,"_",F$3),materiali!$C:$K,5,0),"")</f>
        <v/>
      </c>
      <c r="G1504" s="85" t="str">
        <f>IFERROR(VLOOKUP(CONCATENATE($B1504,"_",G$3),materiali!$C:$K,6,0),"")</f>
        <v/>
      </c>
      <c r="H1504" s="86"/>
      <c r="I1504" s="84" t="str">
        <f>IFERROR(VLOOKUP(CONCATENATE($B1504,"_",I$3),materiali!$C:$K,5,0),"")</f>
        <v/>
      </c>
      <c r="J1504" s="85" t="str">
        <f>IFERROR(VLOOKUP(CONCATENATE($B1504,"_",J$3),materiali!$C:$K,6,0),"")</f>
        <v/>
      </c>
      <c r="K1504" s="86"/>
      <c r="L1504" s="84" t="str">
        <f>IFERROR(VLOOKUP(CONCATENATE($B1504,"_",L$3),materiali!$C:$K,5,0),"")</f>
        <v/>
      </c>
      <c r="M1504" s="85" t="str">
        <f>IFERROR(VLOOKUP(CONCATENATE($B1504,"_",M$3),materiali!$C:$K,6,0),"")</f>
        <v/>
      </c>
      <c r="N1504" s="86"/>
      <c r="O1504" s="84" t="str">
        <f>IFERROR(VLOOKUP(CONCATENATE($B1504,"_",O$3),materiali!$C:$K,5,0),"")</f>
        <v/>
      </c>
      <c r="P1504" s="85" t="str">
        <f>IFERROR(VLOOKUP(CONCATENATE($B1504,"_",P$3),materiali!$C:$K,6,0),"")</f>
        <v/>
      </c>
      <c r="Q1504" s="86"/>
      <c r="R1504" s="84" t="str">
        <f>IFERROR(VLOOKUP(CONCATENATE($B1504,"_",R$3),materiali!$C:$K,5,0),"")</f>
        <v/>
      </c>
      <c r="S1504" s="85" t="str">
        <f>IFERROR(VLOOKUP(CONCATENATE($B1504,"_",S$3),materiali!$C:$K,6,0),"")</f>
        <v/>
      </c>
      <c r="T1504" s="86"/>
      <c r="U1504" s="31"/>
      <c r="AD1504" s="97"/>
    </row>
    <row r="1505" spans="1:30" ht="35.1" hidden="1" customHeight="1" x14ac:dyDescent="0.25">
      <c r="A1505" s="83"/>
      <c r="B1505" s="7"/>
      <c r="C1505" s="8"/>
      <c r="D1505" s="8"/>
      <c r="E1505" s="60"/>
      <c r="F1505" s="84" t="str">
        <f>IFERROR(VLOOKUP(CONCATENATE($B1505,"_",F$3),materiali!$C:$K,5,0),"")</f>
        <v/>
      </c>
      <c r="G1505" s="85" t="str">
        <f>IFERROR(VLOOKUP(CONCATENATE($B1505,"_",G$3),materiali!$C:$K,6,0),"")</f>
        <v/>
      </c>
      <c r="H1505" s="86"/>
      <c r="I1505" s="84" t="str">
        <f>IFERROR(VLOOKUP(CONCATENATE($B1505,"_",I$3),materiali!$C:$K,5,0),"")</f>
        <v/>
      </c>
      <c r="J1505" s="85" t="str">
        <f>IFERROR(VLOOKUP(CONCATENATE($B1505,"_",J$3),materiali!$C:$K,6,0),"")</f>
        <v/>
      </c>
      <c r="K1505" s="86"/>
      <c r="L1505" s="84" t="str">
        <f>IFERROR(VLOOKUP(CONCATENATE($B1505,"_",L$3),materiali!$C:$K,5,0),"")</f>
        <v/>
      </c>
      <c r="M1505" s="85" t="str">
        <f>IFERROR(VLOOKUP(CONCATENATE($B1505,"_",M$3),materiali!$C:$K,6,0),"")</f>
        <v/>
      </c>
      <c r="N1505" s="86"/>
      <c r="O1505" s="84" t="str">
        <f>IFERROR(VLOOKUP(CONCATENATE($B1505,"_",O$3),materiali!$C:$K,5,0),"")</f>
        <v/>
      </c>
      <c r="P1505" s="85" t="str">
        <f>IFERROR(VLOOKUP(CONCATENATE($B1505,"_",P$3),materiali!$C:$K,6,0),"")</f>
        <v/>
      </c>
      <c r="Q1505" s="86"/>
      <c r="R1505" s="84" t="str">
        <f>IFERROR(VLOOKUP(CONCATENATE($B1505,"_",R$3),materiali!$C:$K,5,0),"")</f>
        <v/>
      </c>
      <c r="S1505" s="85" t="str">
        <f>IFERROR(VLOOKUP(CONCATENATE($B1505,"_",S$3),materiali!$C:$K,6,0),"")</f>
        <v/>
      </c>
      <c r="T1505" s="86"/>
      <c r="U1505" s="31"/>
      <c r="AD1505" s="97"/>
    </row>
    <row r="1506" spans="1:30" ht="35.1" hidden="1" customHeight="1" x14ac:dyDescent="0.25">
      <c r="A1506" s="83"/>
      <c r="B1506" s="7"/>
      <c r="C1506" s="8"/>
      <c r="D1506" s="8"/>
      <c r="E1506" s="60"/>
      <c r="F1506" s="84" t="str">
        <f>IFERROR(VLOOKUP(CONCATENATE($B1506,"_",F$3),materiali!$C:$K,5,0),"")</f>
        <v/>
      </c>
      <c r="G1506" s="85" t="str">
        <f>IFERROR(VLOOKUP(CONCATENATE($B1506,"_",G$3),materiali!$C:$K,6,0),"")</f>
        <v/>
      </c>
      <c r="H1506" s="86"/>
      <c r="I1506" s="84" t="str">
        <f>IFERROR(VLOOKUP(CONCATENATE($B1506,"_",I$3),materiali!$C:$K,5,0),"")</f>
        <v/>
      </c>
      <c r="J1506" s="85" t="str">
        <f>IFERROR(VLOOKUP(CONCATENATE($B1506,"_",J$3),materiali!$C:$K,6,0),"")</f>
        <v/>
      </c>
      <c r="K1506" s="86"/>
      <c r="L1506" s="84" t="str">
        <f>IFERROR(VLOOKUP(CONCATENATE($B1506,"_",L$3),materiali!$C:$K,5,0),"")</f>
        <v/>
      </c>
      <c r="M1506" s="85" t="str">
        <f>IFERROR(VLOOKUP(CONCATENATE($B1506,"_",M$3),materiali!$C:$K,6,0),"")</f>
        <v/>
      </c>
      <c r="N1506" s="86"/>
      <c r="O1506" s="84" t="str">
        <f>IFERROR(VLOOKUP(CONCATENATE($B1506,"_",O$3),materiali!$C:$K,5,0),"")</f>
        <v/>
      </c>
      <c r="P1506" s="85" t="str">
        <f>IFERROR(VLOOKUP(CONCATENATE($B1506,"_",P$3),materiali!$C:$K,6,0),"")</f>
        <v/>
      </c>
      <c r="Q1506" s="86"/>
      <c r="R1506" s="84" t="str">
        <f>IFERROR(VLOOKUP(CONCATENATE($B1506,"_",R$3),materiali!$C:$K,5,0),"")</f>
        <v/>
      </c>
      <c r="S1506" s="85" t="str">
        <f>IFERROR(VLOOKUP(CONCATENATE($B1506,"_",S$3),materiali!$C:$K,6,0),"")</f>
        <v/>
      </c>
      <c r="T1506" s="86"/>
      <c r="U1506" s="31"/>
      <c r="AD1506" s="97"/>
    </row>
    <row r="1507" spans="1:30" ht="35.1" hidden="1" customHeight="1" x14ac:dyDescent="0.25">
      <c r="A1507" s="83"/>
      <c r="B1507" s="7"/>
      <c r="C1507" s="8"/>
      <c r="D1507" s="8"/>
      <c r="E1507" s="60"/>
      <c r="F1507" s="84" t="str">
        <f>IFERROR(VLOOKUP(CONCATENATE($B1507,"_",F$3),materiali!$C:$K,5,0),"")</f>
        <v/>
      </c>
      <c r="G1507" s="85" t="str">
        <f>IFERROR(VLOOKUP(CONCATENATE($B1507,"_",G$3),materiali!$C:$K,6,0),"")</f>
        <v/>
      </c>
      <c r="H1507" s="86"/>
      <c r="I1507" s="84" t="str">
        <f>IFERROR(VLOOKUP(CONCATENATE($B1507,"_",I$3),materiali!$C:$K,5,0),"")</f>
        <v/>
      </c>
      <c r="J1507" s="85" t="str">
        <f>IFERROR(VLOOKUP(CONCATENATE($B1507,"_",J$3),materiali!$C:$K,6,0),"")</f>
        <v/>
      </c>
      <c r="K1507" s="86"/>
      <c r="L1507" s="84" t="str">
        <f>IFERROR(VLOOKUP(CONCATENATE($B1507,"_",L$3),materiali!$C:$K,5,0),"")</f>
        <v/>
      </c>
      <c r="M1507" s="85" t="str">
        <f>IFERROR(VLOOKUP(CONCATENATE($B1507,"_",M$3),materiali!$C:$K,6,0),"")</f>
        <v/>
      </c>
      <c r="N1507" s="86"/>
      <c r="O1507" s="84" t="str">
        <f>IFERROR(VLOOKUP(CONCATENATE($B1507,"_",O$3),materiali!$C:$K,5,0),"")</f>
        <v/>
      </c>
      <c r="P1507" s="85" t="str">
        <f>IFERROR(VLOOKUP(CONCATENATE($B1507,"_",P$3),materiali!$C:$K,6,0),"")</f>
        <v/>
      </c>
      <c r="Q1507" s="86"/>
      <c r="R1507" s="84" t="str">
        <f>IFERROR(VLOOKUP(CONCATENATE($B1507,"_",R$3),materiali!$C:$K,5,0),"")</f>
        <v/>
      </c>
      <c r="S1507" s="85" t="str">
        <f>IFERROR(VLOOKUP(CONCATENATE($B1507,"_",S$3),materiali!$C:$K,6,0),"")</f>
        <v/>
      </c>
      <c r="T1507" s="86"/>
      <c r="U1507" s="31"/>
      <c r="AD1507" s="97"/>
    </row>
    <row r="1508" spans="1:30" ht="35.1" hidden="1" customHeight="1" x14ac:dyDescent="0.25">
      <c r="A1508" s="83"/>
      <c r="B1508" s="7"/>
      <c r="C1508" s="8"/>
      <c r="D1508" s="8"/>
      <c r="E1508" s="60"/>
      <c r="F1508" s="84" t="str">
        <f>IFERROR(VLOOKUP(CONCATENATE($B1508,"_",F$3),materiali!$C:$K,5,0),"")</f>
        <v/>
      </c>
      <c r="G1508" s="85" t="str">
        <f>IFERROR(VLOOKUP(CONCATENATE($B1508,"_",G$3),materiali!$C:$K,6,0),"")</f>
        <v/>
      </c>
      <c r="H1508" s="86"/>
      <c r="I1508" s="84" t="str">
        <f>IFERROR(VLOOKUP(CONCATENATE($B1508,"_",I$3),materiali!$C:$K,5,0),"")</f>
        <v/>
      </c>
      <c r="J1508" s="85" t="str">
        <f>IFERROR(VLOOKUP(CONCATENATE($B1508,"_",J$3),materiali!$C:$K,6,0),"")</f>
        <v/>
      </c>
      <c r="K1508" s="86"/>
      <c r="L1508" s="84" t="str">
        <f>IFERROR(VLOOKUP(CONCATENATE($B1508,"_",L$3),materiali!$C:$K,5,0),"")</f>
        <v/>
      </c>
      <c r="M1508" s="85" t="str">
        <f>IFERROR(VLOOKUP(CONCATENATE($B1508,"_",M$3),materiali!$C:$K,6,0),"")</f>
        <v/>
      </c>
      <c r="N1508" s="86"/>
      <c r="O1508" s="84" t="str">
        <f>IFERROR(VLOOKUP(CONCATENATE($B1508,"_",O$3),materiali!$C:$K,5,0),"")</f>
        <v/>
      </c>
      <c r="P1508" s="85" t="str">
        <f>IFERROR(VLOOKUP(CONCATENATE($B1508,"_",P$3),materiali!$C:$K,6,0),"")</f>
        <v/>
      </c>
      <c r="Q1508" s="86"/>
      <c r="R1508" s="84" t="str">
        <f>IFERROR(VLOOKUP(CONCATENATE($B1508,"_",R$3),materiali!$C:$K,5,0),"")</f>
        <v/>
      </c>
      <c r="S1508" s="85" t="str">
        <f>IFERROR(VLOOKUP(CONCATENATE($B1508,"_",S$3),materiali!$C:$K,6,0),"")</f>
        <v/>
      </c>
      <c r="T1508" s="86"/>
      <c r="U1508" s="31"/>
      <c r="AD1508" s="97"/>
    </row>
    <row r="1509" spans="1:30" ht="35.1" hidden="1" customHeight="1" x14ac:dyDescent="0.25">
      <c r="A1509" s="83"/>
      <c r="B1509" s="7"/>
      <c r="C1509" s="8"/>
      <c r="D1509" s="8"/>
      <c r="E1509" s="60"/>
      <c r="F1509" s="84" t="str">
        <f>IFERROR(VLOOKUP(CONCATENATE($B1509,"_",F$3),materiali!$C:$K,5,0),"")</f>
        <v/>
      </c>
      <c r="G1509" s="85" t="str">
        <f>IFERROR(VLOOKUP(CONCATENATE($B1509,"_",G$3),materiali!$C:$K,6,0),"")</f>
        <v/>
      </c>
      <c r="H1509" s="86"/>
      <c r="I1509" s="84" t="str">
        <f>IFERROR(VLOOKUP(CONCATENATE($B1509,"_",I$3),materiali!$C:$K,5,0),"")</f>
        <v/>
      </c>
      <c r="J1509" s="85" t="str">
        <f>IFERROR(VLOOKUP(CONCATENATE($B1509,"_",J$3),materiali!$C:$K,6,0),"")</f>
        <v/>
      </c>
      <c r="K1509" s="86"/>
      <c r="L1509" s="84" t="str">
        <f>IFERROR(VLOOKUP(CONCATENATE($B1509,"_",L$3),materiali!$C:$K,5,0),"")</f>
        <v/>
      </c>
      <c r="M1509" s="85" t="str">
        <f>IFERROR(VLOOKUP(CONCATENATE($B1509,"_",M$3),materiali!$C:$K,6,0),"")</f>
        <v/>
      </c>
      <c r="N1509" s="86"/>
      <c r="O1509" s="84" t="str">
        <f>IFERROR(VLOOKUP(CONCATENATE($B1509,"_",O$3),materiali!$C:$K,5,0),"")</f>
        <v/>
      </c>
      <c r="P1509" s="85" t="str">
        <f>IFERROR(VLOOKUP(CONCATENATE($B1509,"_",P$3),materiali!$C:$K,6,0),"")</f>
        <v/>
      </c>
      <c r="Q1509" s="86"/>
      <c r="R1509" s="84" t="str">
        <f>IFERROR(VLOOKUP(CONCATENATE($B1509,"_",R$3),materiali!$C:$K,5,0),"")</f>
        <v/>
      </c>
      <c r="S1509" s="85" t="str">
        <f>IFERROR(VLOOKUP(CONCATENATE($B1509,"_",S$3),materiali!$C:$K,6,0),"")</f>
        <v/>
      </c>
      <c r="T1509" s="86"/>
      <c r="U1509" s="31"/>
      <c r="AD1509" s="97"/>
    </row>
    <row r="1510" spans="1:30" ht="35.1" hidden="1" customHeight="1" x14ac:dyDescent="0.25">
      <c r="A1510" s="83"/>
      <c r="B1510" s="7"/>
      <c r="C1510" s="8"/>
      <c r="D1510" s="8"/>
      <c r="E1510" s="60"/>
      <c r="F1510" s="84" t="str">
        <f>IFERROR(VLOOKUP(CONCATENATE($B1510,"_",F$3),materiali!$C:$K,5,0),"")</f>
        <v/>
      </c>
      <c r="G1510" s="85" t="str">
        <f>IFERROR(VLOOKUP(CONCATENATE($B1510,"_",G$3),materiali!$C:$K,6,0),"")</f>
        <v/>
      </c>
      <c r="H1510" s="86"/>
      <c r="I1510" s="84" t="str">
        <f>IFERROR(VLOOKUP(CONCATENATE($B1510,"_",I$3),materiali!$C:$K,5,0),"")</f>
        <v/>
      </c>
      <c r="J1510" s="85" t="str">
        <f>IFERROR(VLOOKUP(CONCATENATE($B1510,"_",J$3),materiali!$C:$K,6,0),"")</f>
        <v/>
      </c>
      <c r="K1510" s="86"/>
      <c r="L1510" s="84" t="str">
        <f>IFERROR(VLOOKUP(CONCATENATE($B1510,"_",L$3),materiali!$C:$K,5,0),"")</f>
        <v/>
      </c>
      <c r="M1510" s="85" t="str">
        <f>IFERROR(VLOOKUP(CONCATENATE($B1510,"_",M$3),materiali!$C:$K,6,0),"")</f>
        <v/>
      </c>
      <c r="N1510" s="86"/>
      <c r="O1510" s="84" t="str">
        <f>IFERROR(VLOOKUP(CONCATENATE($B1510,"_",O$3),materiali!$C:$K,5,0),"")</f>
        <v/>
      </c>
      <c r="P1510" s="85" t="str">
        <f>IFERROR(VLOOKUP(CONCATENATE($B1510,"_",P$3),materiali!$C:$K,6,0),"")</f>
        <v/>
      </c>
      <c r="Q1510" s="86"/>
      <c r="R1510" s="84" t="str">
        <f>IFERROR(VLOOKUP(CONCATENATE($B1510,"_",R$3),materiali!$C:$K,5,0),"")</f>
        <v/>
      </c>
      <c r="S1510" s="85" t="str">
        <f>IFERROR(VLOOKUP(CONCATENATE($B1510,"_",S$3),materiali!$C:$K,6,0),"")</f>
        <v/>
      </c>
      <c r="T1510" s="86"/>
      <c r="U1510" s="31"/>
      <c r="AD1510" s="97"/>
    </row>
    <row r="1511" spans="1:30" ht="35.1" hidden="1" customHeight="1" x14ac:dyDescent="0.25">
      <c r="A1511" s="83"/>
      <c r="B1511" s="7"/>
      <c r="C1511" s="8"/>
      <c r="D1511" s="8"/>
      <c r="E1511" s="60"/>
      <c r="F1511" s="84" t="str">
        <f>IFERROR(VLOOKUP(CONCATENATE($B1511,"_",F$3),materiali!$C:$K,5,0),"")</f>
        <v/>
      </c>
      <c r="G1511" s="85" t="str">
        <f>IFERROR(VLOOKUP(CONCATENATE($B1511,"_",G$3),materiali!$C:$K,6,0),"")</f>
        <v/>
      </c>
      <c r="H1511" s="86"/>
      <c r="I1511" s="84" t="str">
        <f>IFERROR(VLOOKUP(CONCATENATE($B1511,"_",I$3),materiali!$C:$K,5,0),"")</f>
        <v/>
      </c>
      <c r="J1511" s="85" t="str">
        <f>IFERROR(VLOOKUP(CONCATENATE($B1511,"_",J$3),materiali!$C:$K,6,0),"")</f>
        <v/>
      </c>
      <c r="K1511" s="86"/>
      <c r="L1511" s="84" t="str">
        <f>IFERROR(VLOOKUP(CONCATENATE($B1511,"_",L$3),materiali!$C:$K,5,0),"")</f>
        <v/>
      </c>
      <c r="M1511" s="85" t="str">
        <f>IFERROR(VLOOKUP(CONCATENATE($B1511,"_",M$3),materiali!$C:$K,6,0),"")</f>
        <v/>
      </c>
      <c r="N1511" s="86"/>
      <c r="O1511" s="84" t="str">
        <f>IFERROR(VLOOKUP(CONCATENATE($B1511,"_",O$3),materiali!$C:$K,5,0),"")</f>
        <v/>
      </c>
      <c r="P1511" s="85" t="str">
        <f>IFERROR(VLOOKUP(CONCATENATE($B1511,"_",P$3),materiali!$C:$K,6,0),"")</f>
        <v/>
      </c>
      <c r="Q1511" s="86"/>
      <c r="R1511" s="84" t="str">
        <f>IFERROR(VLOOKUP(CONCATENATE($B1511,"_",R$3),materiali!$C:$K,5,0),"")</f>
        <v/>
      </c>
      <c r="S1511" s="85" t="str">
        <f>IFERROR(VLOOKUP(CONCATENATE($B1511,"_",S$3),materiali!$C:$K,6,0),"")</f>
        <v/>
      </c>
      <c r="T1511" s="86"/>
      <c r="U1511" s="31"/>
      <c r="AD1511" s="97"/>
    </row>
    <row r="1512" spans="1:30" ht="35.1" hidden="1" customHeight="1" x14ac:dyDescent="0.25">
      <c r="A1512" s="83"/>
      <c r="B1512" s="7"/>
      <c r="C1512" s="8"/>
      <c r="D1512" s="8"/>
      <c r="E1512" s="60"/>
      <c r="F1512" s="84" t="str">
        <f>IFERROR(VLOOKUP(CONCATENATE($B1512,"_",F$3),materiali!$C:$K,5,0),"")</f>
        <v/>
      </c>
      <c r="G1512" s="85" t="str">
        <f>IFERROR(VLOOKUP(CONCATENATE($B1512,"_",G$3),materiali!$C:$K,6,0),"")</f>
        <v/>
      </c>
      <c r="H1512" s="86"/>
      <c r="I1512" s="84" t="str">
        <f>IFERROR(VLOOKUP(CONCATENATE($B1512,"_",I$3),materiali!$C:$K,5,0),"")</f>
        <v/>
      </c>
      <c r="J1512" s="85" t="str">
        <f>IFERROR(VLOOKUP(CONCATENATE($B1512,"_",J$3),materiali!$C:$K,6,0),"")</f>
        <v/>
      </c>
      <c r="K1512" s="86"/>
      <c r="L1512" s="84" t="str">
        <f>IFERROR(VLOOKUP(CONCATENATE($B1512,"_",L$3),materiali!$C:$K,5,0),"")</f>
        <v/>
      </c>
      <c r="M1512" s="85" t="str">
        <f>IFERROR(VLOOKUP(CONCATENATE($B1512,"_",M$3),materiali!$C:$K,6,0),"")</f>
        <v/>
      </c>
      <c r="N1512" s="86"/>
      <c r="O1512" s="84" t="str">
        <f>IFERROR(VLOOKUP(CONCATENATE($B1512,"_",O$3),materiali!$C:$K,5,0),"")</f>
        <v/>
      </c>
      <c r="P1512" s="85" t="str">
        <f>IFERROR(VLOOKUP(CONCATENATE($B1512,"_",P$3),materiali!$C:$K,6,0),"")</f>
        <v/>
      </c>
      <c r="Q1512" s="86"/>
      <c r="R1512" s="84" t="str">
        <f>IFERROR(VLOOKUP(CONCATENATE($B1512,"_",R$3),materiali!$C:$K,5,0),"")</f>
        <v/>
      </c>
      <c r="S1512" s="85" t="str">
        <f>IFERROR(VLOOKUP(CONCATENATE($B1512,"_",S$3),materiali!$C:$K,6,0),"")</f>
        <v/>
      </c>
      <c r="T1512" s="86"/>
      <c r="U1512" s="31"/>
      <c r="AD1512" s="97"/>
    </row>
    <row r="1513" spans="1:30" ht="35.1" hidden="1" customHeight="1" x14ac:dyDescent="0.25">
      <c r="A1513" s="83"/>
      <c r="B1513" s="7"/>
      <c r="C1513" s="8"/>
      <c r="D1513" s="8"/>
      <c r="E1513" s="60"/>
      <c r="F1513" s="84" t="str">
        <f>IFERROR(VLOOKUP(CONCATENATE($B1513,"_",F$3),materiali!$C:$K,5,0),"")</f>
        <v/>
      </c>
      <c r="G1513" s="85" t="str">
        <f>IFERROR(VLOOKUP(CONCATENATE($B1513,"_",G$3),materiali!$C:$K,6,0),"")</f>
        <v/>
      </c>
      <c r="H1513" s="86"/>
      <c r="I1513" s="84" t="str">
        <f>IFERROR(VLOOKUP(CONCATENATE($B1513,"_",I$3),materiali!$C:$K,5,0),"")</f>
        <v/>
      </c>
      <c r="J1513" s="85" t="str">
        <f>IFERROR(VLOOKUP(CONCATENATE($B1513,"_",J$3),materiali!$C:$K,6,0),"")</f>
        <v/>
      </c>
      <c r="K1513" s="86"/>
      <c r="L1513" s="84" t="str">
        <f>IFERROR(VLOOKUP(CONCATENATE($B1513,"_",L$3),materiali!$C:$K,5,0),"")</f>
        <v/>
      </c>
      <c r="M1513" s="85" t="str">
        <f>IFERROR(VLOOKUP(CONCATENATE($B1513,"_",M$3),materiali!$C:$K,6,0),"")</f>
        <v/>
      </c>
      <c r="N1513" s="86"/>
      <c r="O1513" s="84" t="str">
        <f>IFERROR(VLOOKUP(CONCATENATE($B1513,"_",O$3),materiali!$C:$K,5,0),"")</f>
        <v/>
      </c>
      <c r="P1513" s="85" t="str">
        <f>IFERROR(VLOOKUP(CONCATENATE($B1513,"_",P$3),materiali!$C:$K,6,0),"")</f>
        <v/>
      </c>
      <c r="Q1513" s="86"/>
      <c r="R1513" s="84" t="str">
        <f>IFERROR(VLOOKUP(CONCATENATE($B1513,"_",R$3),materiali!$C:$K,5,0),"")</f>
        <v/>
      </c>
      <c r="S1513" s="85" t="str">
        <f>IFERROR(VLOOKUP(CONCATENATE($B1513,"_",S$3),materiali!$C:$K,6,0),"")</f>
        <v/>
      </c>
      <c r="T1513" s="86"/>
      <c r="U1513" s="31"/>
      <c r="AD1513" s="97"/>
    </row>
    <row r="1514" spans="1:30" ht="35.1" hidden="1" customHeight="1" x14ac:dyDescent="0.25">
      <c r="A1514" s="83"/>
      <c r="B1514" s="7"/>
      <c r="C1514" s="8"/>
      <c r="D1514" s="8"/>
      <c r="E1514" s="60"/>
      <c r="F1514" s="84" t="str">
        <f>IFERROR(VLOOKUP(CONCATENATE($B1514,"_",F$3),materiali!$C:$K,5,0),"")</f>
        <v/>
      </c>
      <c r="G1514" s="85" t="str">
        <f>IFERROR(VLOOKUP(CONCATENATE($B1514,"_",G$3),materiali!$C:$K,6,0),"")</f>
        <v/>
      </c>
      <c r="H1514" s="86"/>
      <c r="I1514" s="84" t="str">
        <f>IFERROR(VLOOKUP(CONCATENATE($B1514,"_",I$3),materiali!$C:$K,5,0),"")</f>
        <v/>
      </c>
      <c r="J1514" s="85" t="str">
        <f>IFERROR(VLOOKUP(CONCATENATE($B1514,"_",J$3),materiali!$C:$K,6,0),"")</f>
        <v/>
      </c>
      <c r="K1514" s="86"/>
      <c r="L1514" s="84" t="str">
        <f>IFERROR(VLOOKUP(CONCATENATE($B1514,"_",L$3),materiali!$C:$K,5,0),"")</f>
        <v/>
      </c>
      <c r="M1514" s="85" t="str">
        <f>IFERROR(VLOOKUP(CONCATENATE($B1514,"_",M$3),materiali!$C:$K,6,0),"")</f>
        <v/>
      </c>
      <c r="N1514" s="86"/>
      <c r="O1514" s="84" t="str">
        <f>IFERROR(VLOOKUP(CONCATENATE($B1514,"_",O$3),materiali!$C:$K,5,0),"")</f>
        <v/>
      </c>
      <c r="P1514" s="85" t="str">
        <f>IFERROR(VLOOKUP(CONCATENATE($B1514,"_",P$3),materiali!$C:$K,6,0),"")</f>
        <v/>
      </c>
      <c r="Q1514" s="86"/>
      <c r="R1514" s="84" t="str">
        <f>IFERROR(VLOOKUP(CONCATENATE($B1514,"_",R$3),materiali!$C:$K,5,0),"")</f>
        <v/>
      </c>
      <c r="S1514" s="85" t="str">
        <f>IFERROR(VLOOKUP(CONCATENATE($B1514,"_",S$3),materiali!$C:$K,6,0),"")</f>
        <v/>
      </c>
      <c r="T1514" s="86"/>
      <c r="U1514" s="31"/>
      <c r="AD1514" s="97"/>
    </row>
    <row r="1515" spans="1:30" ht="35.1" hidden="1" customHeight="1" x14ac:dyDescent="0.25">
      <c r="A1515" s="83"/>
      <c r="B1515" s="7"/>
      <c r="C1515" s="8"/>
      <c r="D1515" s="8"/>
      <c r="E1515" s="60"/>
      <c r="F1515" s="84" t="str">
        <f>IFERROR(VLOOKUP(CONCATENATE($B1515,"_",F$3),materiali!$C:$K,5,0),"")</f>
        <v/>
      </c>
      <c r="G1515" s="85" t="str">
        <f>IFERROR(VLOOKUP(CONCATENATE($B1515,"_",G$3),materiali!$C:$K,6,0),"")</f>
        <v/>
      </c>
      <c r="H1515" s="86"/>
      <c r="I1515" s="84" t="str">
        <f>IFERROR(VLOOKUP(CONCATENATE($B1515,"_",I$3),materiali!$C:$K,5,0),"")</f>
        <v/>
      </c>
      <c r="J1515" s="85" t="str">
        <f>IFERROR(VLOOKUP(CONCATENATE($B1515,"_",J$3),materiali!$C:$K,6,0),"")</f>
        <v/>
      </c>
      <c r="K1515" s="86"/>
      <c r="L1515" s="84" t="str">
        <f>IFERROR(VLOOKUP(CONCATENATE($B1515,"_",L$3),materiali!$C:$K,5,0),"")</f>
        <v/>
      </c>
      <c r="M1515" s="85" t="str">
        <f>IFERROR(VLOOKUP(CONCATENATE($B1515,"_",M$3),materiali!$C:$K,6,0),"")</f>
        <v/>
      </c>
      <c r="N1515" s="86"/>
      <c r="O1515" s="84" t="str">
        <f>IFERROR(VLOOKUP(CONCATENATE($B1515,"_",O$3),materiali!$C:$K,5,0),"")</f>
        <v/>
      </c>
      <c r="P1515" s="85" t="str">
        <f>IFERROR(VLOOKUP(CONCATENATE($B1515,"_",P$3),materiali!$C:$K,6,0),"")</f>
        <v/>
      </c>
      <c r="Q1515" s="86"/>
      <c r="R1515" s="84" t="str">
        <f>IFERROR(VLOOKUP(CONCATENATE($B1515,"_",R$3),materiali!$C:$K,5,0),"")</f>
        <v/>
      </c>
      <c r="S1515" s="85" t="str">
        <f>IFERROR(VLOOKUP(CONCATENATE($B1515,"_",S$3),materiali!$C:$K,6,0),"")</f>
        <v/>
      </c>
      <c r="T1515" s="86"/>
      <c r="U1515" s="31"/>
      <c r="AD1515" s="97"/>
    </row>
    <row r="1516" spans="1:30" ht="35.1" hidden="1" customHeight="1" x14ac:dyDescent="0.25">
      <c r="A1516" s="83"/>
      <c r="B1516" s="7"/>
      <c r="C1516" s="8"/>
      <c r="D1516" s="8"/>
      <c r="E1516" s="60"/>
      <c r="F1516" s="84" t="str">
        <f>IFERROR(VLOOKUP(CONCATENATE($B1516,"_",F$3),materiali!$C:$K,5,0),"")</f>
        <v/>
      </c>
      <c r="G1516" s="85" t="str">
        <f>IFERROR(VLOOKUP(CONCATENATE($B1516,"_",G$3),materiali!$C:$K,6,0),"")</f>
        <v/>
      </c>
      <c r="H1516" s="86"/>
      <c r="I1516" s="84" t="str">
        <f>IFERROR(VLOOKUP(CONCATENATE($B1516,"_",I$3),materiali!$C:$K,5,0),"")</f>
        <v/>
      </c>
      <c r="J1516" s="85" t="str">
        <f>IFERROR(VLOOKUP(CONCATENATE($B1516,"_",J$3),materiali!$C:$K,6,0),"")</f>
        <v/>
      </c>
      <c r="K1516" s="86"/>
      <c r="L1516" s="84" t="str">
        <f>IFERROR(VLOOKUP(CONCATENATE($B1516,"_",L$3),materiali!$C:$K,5,0),"")</f>
        <v/>
      </c>
      <c r="M1516" s="85" t="str">
        <f>IFERROR(VLOOKUP(CONCATENATE($B1516,"_",M$3),materiali!$C:$K,6,0),"")</f>
        <v/>
      </c>
      <c r="N1516" s="86"/>
      <c r="O1516" s="84" t="str">
        <f>IFERROR(VLOOKUP(CONCATENATE($B1516,"_",O$3),materiali!$C:$K,5,0),"")</f>
        <v/>
      </c>
      <c r="P1516" s="85" t="str">
        <f>IFERROR(VLOOKUP(CONCATENATE($B1516,"_",P$3),materiali!$C:$K,6,0),"")</f>
        <v/>
      </c>
      <c r="Q1516" s="86"/>
      <c r="R1516" s="84" t="str">
        <f>IFERROR(VLOOKUP(CONCATENATE($B1516,"_",R$3),materiali!$C:$K,5,0),"")</f>
        <v/>
      </c>
      <c r="S1516" s="85" t="str">
        <f>IFERROR(VLOOKUP(CONCATENATE($B1516,"_",S$3),materiali!$C:$K,6,0),"")</f>
        <v/>
      </c>
      <c r="T1516" s="86"/>
      <c r="U1516" s="31"/>
      <c r="AD1516" s="97"/>
    </row>
    <row r="1517" spans="1:30" ht="35.1" hidden="1" customHeight="1" x14ac:dyDescent="0.25">
      <c r="A1517" s="83"/>
      <c r="B1517" s="7"/>
      <c r="C1517" s="8"/>
      <c r="D1517" s="8"/>
      <c r="E1517" s="60"/>
      <c r="F1517" s="84" t="str">
        <f>IFERROR(VLOOKUP(CONCATENATE($B1517,"_",F$3),materiali!$C:$K,5,0),"")</f>
        <v/>
      </c>
      <c r="G1517" s="85" t="str">
        <f>IFERROR(VLOOKUP(CONCATENATE($B1517,"_",G$3),materiali!$C:$K,6,0),"")</f>
        <v/>
      </c>
      <c r="H1517" s="86"/>
      <c r="I1517" s="84" t="str">
        <f>IFERROR(VLOOKUP(CONCATENATE($B1517,"_",I$3),materiali!$C:$K,5,0),"")</f>
        <v/>
      </c>
      <c r="J1517" s="85" t="str">
        <f>IFERROR(VLOOKUP(CONCATENATE($B1517,"_",J$3),materiali!$C:$K,6,0),"")</f>
        <v/>
      </c>
      <c r="K1517" s="86"/>
      <c r="L1517" s="84" t="str">
        <f>IFERROR(VLOOKUP(CONCATENATE($B1517,"_",L$3),materiali!$C:$K,5,0),"")</f>
        <v/>
      </c>
      <c r="M1517" s="85" t="str">
        <f>IFERROR(VLOOKUP(CONCATENATE($B1517,"_",M$3),materiali!$C:$K,6,0),"")</f>
        <v/>
      </c>
      <c r="N1517" s="86"/>
      <c r="O1517" s="84" t="str">
        <f>IFERROR(VLOOKUP(CONCATENATE($B1517,"_",O$3),materiali!$C:$K,5,0),"")</f>
        <v/>
      </c>
      <c r="P1517" s="85" t="str">
        <f>IFERROR(VLOOKUP(CONCATENATE($B1517,"_",P$3),materiali!$C:$K,6,0),"")</f>
        <v/>
      </c>
      <c r="Q1517" s="86"/>
      <c r="R1517" s="84" t="str">
        <f>IFERROR(VLOOKUP(CONCATENATE($B1517,"_",R$3),materiali!$C:$K,5,0),"")</f>
        <v/>
      </c>
      <c r="S1517" s="85" t="str">
        <f>IFERROR(VLOOKUP(CONCATENATE($B1517,"_",S$3),materiali!$C:$K,6,0),"")</f>
        <v/>
      </c>
      <c r="T1517" s="86"/>
      <c r="U1517" s="31"/>
      <c r="AD1517" s="97"/>
    </row>
    <row r="1518" spans="1:30" ht="35.1" hidden="1" customHeight="1" x14ac:dyDescent="0.25">
      <c r="A1518" s="83"/>
      <c r="B1518" s="7"/>
      <c r="C1518" s="8"/>
      <c r="D1518" s="8"/>
      <c r="E1518" s="60"/>
      <c r="F1518" s="84" t="str">
        <f>IFERROR(VLOOKUP(CONCATENATE($B1518,"_",F$3),materiali!$C:$K,5,0),"")</f>
        <v/>
      </c>
      <c r="G1518" s="85" t="str">
        <f>IFERROR(VLOOKUP(CONCATENATE($B1518,"_",G$3),materiali!$C:$K,6,0),"")</f>
        <v/>
      </c>
      <c r="H1518" s="86"/>
      <c r="I1518" s="84" t="str">
        <f>IFERROR(VLOOKUP(CONCATENATE($B1518,"_",I$3),materiali!$C:$K,5,0),"")</f>
        <v/>
      </c>
      <c r="J1518" s="85" t="str">
        <f>IFERROR(VLOOKUP(CONCATENATE($B1518,"_",J$3),materiali!$C:$K,6,0),"")</f>
        <v/>
      </c>
      <c r="K1518" s="86"/>
      <c r="L1518" s="84" t="str">
        <f>IFERROR(VLOOKUP(CONCATENATE($B1518,"_",L$3),materiali!$C:$K,5,0),"")</f>
        <v/>
      </c>
      <c r="M1518" s="85" t="str">
        <f>IFERROR(VLOOKUP(CONCATENATE($B1518,"_",M$3),materiali!$C:$K,6,0),"")</f>
        <v/>
      </c>
      <c r="N1518" s="86"/>
      <c r="O1518" s="84" t="str">
        <f>IFERROR(VLOOKUP(CONCATENATE($B1518,"_",O$3),materiali!$C:$K,5,0),"")</f>
        <v/>
      </c>
      <c r="P1518" s="85" t="str">
        <f>IFERROR(VLOOKUP(CONCATENATE($B1518,"_",P$3),materiali!$C:$K,6,0),"")</f>
        <v/>
      </c>
      <c r="Q1518" s="86"/>
      <c r="R1518" s="84" t="str">
        <f>IFERROR(VLOOKUP(CONCATENATE($B1518,"_",R$3),materiali!$C:$K,5,0),"")</f>
        <v/>
      </c>
      <c r="S1518" s="85" t="str">
        <f>IFERROR(VLOOKUP(CONCATENATE($B1518,"_",S$3),materiali!$C:$K,6,0),"")</f>
        <v/>
      </c>
      <c r="T1518" s="86"/>
      <c r="U1518" s="31"/>
      <c r="AD1518" s="97"/>
    </row>
    <row r="1519" spans="1:30" ht="35.1" hidden="1" customHeight="1" x14ac:dyDescent="0.25">
      <c r="A1519" s="83"/>
      <c r="B1519" s="7"/>
      <c r="C1519" s="8"/>
      <c r="D1519" s="8"/>
      <c r="E1519" s="60"/>
      <c r="F1519" s="84" t="str">
        <f>IFERROR(VLOOKUP(CONCATENATE($B1519,"_",F$3),materiali!$C:$K,5,0),"")</f>
        <v/>
      </c>
      <c r="G1519" s="85" t="str">
        <f>IFERROR(VLOOKUP(CONCATENATE($B1519,"_",G$3),materiali!$C:$K,6,0),"")</f>
        <v/>
      </c>
      <c r="H1519" s="86"/>
      <c r="I1519" s="84" t="str">
        <f>IFERROR(VLOOKUP(CONCATENATE($B1519,"_",I$3),materiali!$C:$K,5,0),"")</f>
        <v/>
      </c>
      <c r="J1519" s="85" t="str">
        <f>IFERROR(VLOOKUP(CONCATENATE($B1519,"_",J$3),materiali!$C:$K,6,0),"")</f>
        <v/>
      </c>
      <c r="K1519" s="86"/>
      <c r="L1519" s="84" t="str">
        <f>IFERROR(VLOOKUP(CONCATENATE($B1519,"_",L$3),materiali!$C:$K,5,0),"")</f>
        <v/>
      </c>
      <c r="M1519" s="85" t="str">
        <f>IFERROR(VLOOKUP(CONCATENATE($B1519,"_",M$3),materiali!$C:$K,6,0),"")</f>
        <v/>
      </c>
      <c r="N1519" s="86"/>
      <c r="O1519" s="84" t="str">
        <f>IFERROR(VLOOKUP(CONCATENATE($B1519,"_",O$3),materiali!$C:$K,5,0),"")</f>
        <v/>
      </c>
      <c r="P1519" s="85" t="str">
        <f>IFERROR(VLOOKUP(CONCATENATE($B1519,"_",P$3),materiali!$C:$K,6,0),"")</f>
        <v/>
      </c>
      <c r="Q1519" s="86"/>
      <c r="R1519" s="84" t="str">
        <f>IFERROR(VLOOKUP(CONCATENATE($B1519,"_",R$3),materiali!$C:$K,5,0),"")</f>
        <v/>
      </c>
      <c r="S1519" s="85" t="str">
        <f>IFERROR(VLOOKUP(CONCATENATE($B1519,"_",S$3),materiali!$C:$K,6,0),"")</f>
        <v/>
      </c>
      <c r="T1519" s="86"/>
      <c r="U1519" s="31"/>
      <c r="AD1519" s="97"/>
    </row>
    <row r="1520" spans="1:30" ht="35.1" hidden="1" customHeight="1" x14ac:dyDescent="0.25">
      <c r="A1520" s="83"/>
      <c r="B1520" s="7"/>
      <c r="C1520" s="8"/>
      <c r="D1520" s="8"/>
      <c r="E1520" s="60"/>
      <c r="F1520" s="84" t="str">
        <f>IFERROR(VLOOKUP(CONCATENATE($B1520,"_",F$3),materiali!$C:$K,5,0),"")</f>
        <v/>
      </c>
      <c r="G1520" s="85" t="str">
        <f>IFERROR(VLOOKUP(CONCATENATE($B1520,"_",G$3),materiali!$C:$K,6,0),"")</f>
        <v/>
      </c>
      <c r="H1520" s="86"/>
      <c r="I1520" s="84" t="str">
        <f>IFERROR(VLOOKUP(CONCATENATE($B1520,"_",I$3),materiali!$C:$K,5,0),"")</f>
        <v/>
      </c>
      <c r="J1520" s="85" t="str">
        <f>IFERROR(VLOOKUP(CONCATENATE($B1520,"_",J$3),materiali!$C:$K,6,0),"")</f>
        <v/>
      </c>
      <c r="K1520" s="86"/>
      <c r="L1520" s="84" t="str">
        <f>IFERROR(VLOOKUP(CONCATENATE($B1520,"_",L$3),materiali!$C:$K,5,0),"")</f>
        <v/>
      </c>
      <c r="M1520" s="85" t="str">
        <f>IFERROR(VLOOKUP(CONCATENATE($B1520,"_",M$3),materiali!$C:$K,6,0),"")</f>
        <v/>
      </c>
      <c r="N1520" s="86"/>
      <c r="O1520" s="84" t="str">
        <f>IFERROR(VLOOKUP(CONCATENATE($B1520,"_",O$3),materiali!$C:$K,5,0),"")</f>
        <v/>
      </c>
      <c r="P1520" s="85" t="str">
        <f>IFERROR(VLOOKUP(CONCATENATE($B1520,"_",P$3),materiali!$C:$K,6,0),"")</f>
        <v/>
      </c>
      <c r="Q1520" s="86"/>
      <c r="R1520" s="84" t="str">
        <f>IFERROR(VLOOKUP(CONCATENATE($B1520,"_",R$3),materiali!$C:$K,5,0),"")</f>
        <v/>
      </c>
      <c r="S1520" s="85" t="str">
        <f>IFERROR(VLOOKUP(CONCATENATE($B1520,"_",S$3),materiali!$C:$K,6,0),"")</f>
        <v/>
      </c>
      <c r="T1520" s="86"/>
      <c r="U1520" s="31"/>
      <c r="AD1520" s="97"/>
    </row>
    <row r="1521" spans="1:30" ht="35.1" hidden="1" customHeight="1" x14ac:dyDescent="0.25">
      <c r="A1521" s="83"/>
      <c r="B1521" s="7"/>
      <c r="C1521" s="8"/>
      <c r="D1521" s="8"/>
      <c r="E1521" s="60"/>
      <c r="F1521" s="84" t="str">
        <f>IFERROR(VLOOKUP(CONCATENATE($B1521,"_",F$3),materiali!$C:$K,5,0),"")</f>
        <v/>
      </c>
      <c r="G1521" s="85" t="str">
        <f>IFERROR(VLOOKUP(CONCATENATE($B1521,"_",G$3),materiali!$C:$K,6,0),"")</f>
        <v/>
      </c>
      <c r="H1521" s="86"/>
      <c r="I1521" s="84" t="str">
        <f>IFERROR(VLOOKUP(CONCATENATE($B1521,"_",I$3),materiali!$C:$K,5,0),"")</f>
        <v/>
      </c>
      <c r="J1521" s="85" t="str">
        <f>IFERROR(VLOOKUP(CONCATENATE($B1521,"_",J$3),materiali!$C:$K,6,0),"")</f>
        <v/>
      </c>
      <c r="K1521" s="86"/>
      <c r="L1521" s="84" t="str">
        <f>IFERROR(VLOOKUP(CONCATENATE($B1521,"_",L$3),materiali!$C:$K,5,0),"")</f>
        <v/>
      </c>
      <c r="M1521" s="85" t="str">
        <f>IFERROR(VLOOKUP(CONCATENATE($B1521,"_",M$3),materiali!$C:$K,6,0),"")</f>
        <v/>
      </c>
      <c r="N1521" s="86"/>
      <c r="O1521" s="84" t="str">
        <f>IFERROR(VLOOKUP(CONCATENATE($B1521,"_",O$3),materiali!$C:$K,5,0),"")</f>
        <v/>
      </c>
      <c r="P1521" s="85" t="str">
        <f>IFERROR(VLOOKUP(CONCATENATE($B1521,"_",P$3),materiali!$C:$K,6,0),"")</f>
        <v/>
      </c>
      <c r="Q1521" s="86"/>
      <c r="R1521" s="84" t="str">
        <f>IFERROR(VLOOKUP(CONCATENATE($B1521,"_",R$3),materiali!$C:$K,5,0),"")</f>
        <v/>
      </c>
      <c r="S1521" s="85" t="str">
        <f>IFERROR(VLOOKUP(CONCATENATE($B1521,"_",S$3),materiali!$C:$K,6,0),"")</f>
        <v/>
      </c>
      <c r="T1521" s="86"/>
      <c r="U1521" s="31"/>
      <c r="AD1521" s="97"/>
    </row>
    <row r="1522" spans="1:30" ht="35.1" hidden="1" customHeight="1" x14ac:dyDescent="0.25">
      <c r="A1522" s="83"/>
      <c r="B1522" s="7"/>
      <c r="C1522" s="8"/>
      <c r="D1522" s="8"/>
      <c r="E1522" s="60"/>
      <c r="F1522" s="84" t="str">
        <f>IFERROR(VLOOKUP(CONCATENATE($B1522,"_",F$3),materiali!$C:$K,5,0),"")</f>
        <v/>
      </c>
      <c r="G1522" s="85" t="str">
        <f>IFERROR(VLOOKUP(CONCATENATE($B1522,"_",G$3),materiali!$C:$K,6,0),"")</f>
        <v/>
      </c>
      <c r="H1522" s="86"/>
      <c r="I1522" s="84" t="str">
        <f>IFERROR(VLOOKUP(CONCATENATE($B1522,"_",I$3),materiali!$C:$K,5,0),"")</f>
        <v/>
      </c>
      <c r="J1522" s="85" t="str">
        <f>IFERROR(VLOOKUP(CONCATENATE($B1522,"_",J$3),materiali!$C:$K,6,0),"")</f>
        <v/>
      </c>
      <c r="K1522" s="86"/>
      <c r="L1522" s="84" t="str">
        <f>IFERROR(VLOOKUP(CONCATENATE($B1522,"_",L$3),materiali!$C:$K,5,0),"")</f>
        <v/>
      </c>
      <c r="M1522" s="85" t="str">
        <f>IFERROR(VLOOKUP(CONCATENATE($B1522,"_",M$3),materiali!$C:$K,6,0),"")</f>
        <v/>
      </c>
      <c r="N1522" s="86"/>
      <c r="O1522" s="84" t="str">
        <f>IFERROR(VLOOKUP(CONCATENATE($B1522,"_",O$3),materiali!$C:$K,5,0),"")</f>
        <v/>
      </c>
      <c r="P1522" s="85" t="str">
        <f>IFERROR(VLOOKUP(CONCATENATE($B1522,"_",P$3),materiali!$C:$K,6,0),"")</f>
        <v/>
      </c>
      <c r="Q1522" s="86"/>
      <c r="R1522" s="84" t="str">
        <f>IFERROR(VLOOKUP(CONCATENATE($B1522,"_",R$3),materiali!$C:$K,5,0),"")</f>
        <v/>
      </c>
      <c r="S1522" s="85" t="str">
        <f>IFERROR(VLOOKUP(CONCATENATE($B1522,"_",S$3),materiali!$C:$K,6,0),"")</f>
        <v/>
      </c>
      <c r="T1522" s="86"/>
      <c r="U1522" s="31"/>
      <c r="AD1522" s="97"/>
    </row>
    <row r="1523" spans="1:30" ht="35.1" hidden="1" customHeight="1" x14ac:dyDescent="0.25">
      <c r="A1523" s="83"/>
      <c r="B1523" s="7"/>
      <c r="C1523" s="8"/>
      <c r="D1523" s="8"/>
      <c r="E1523" s="60"/>
      <c r="F1523" s="84" t="str">
        <f>IFERROR(VLOOKUP(CONCATENATE($B1523,"_",F$3),materiali!$C:$K,5,0),"")</f>
        <v/>
      </c>
      <c r="G1523" s="85" t="str">
        <f>IFERROR(VLOOKUP(CONCATENATE($B1523,"_",G$3),materiali!$C:$K,6,0),"")</f>
        <v/>
      </c>
      <c r="H1523" s="86"/>
      <c r="I1523" s="84" t="str">
        <f>IFERROR(VLOOKUP(CONCATENATE($B1523,"_",I$3),materiali!$C:$K,5,0),"")</f>
        <v/>
      </c>
      <c r="J1523" s="85" t="str">
        <f>IFERROR(VLOOKUP(CONCATENATE($B1523,"_",J$3),materiali!$C:$K,6,0),"")</f>
        <v/>
      </c>
      <c r="K1523" s="86"/>
      <c r="L1523" s="84" t="str">
        <f>IFERROR(VLOOKUP(CONCATENATE($B1523,"_",L$3),materiali!$C:$K,5,0),"")</f>
        <v/>
      </c>
      <c r="M1523" s="85" t="str">
        <f>IFERROR(VLOOKUP(CONCATENATE($B1523,"_",M$3),materiali!$C:$K,6,0),"")</f>
        <v/>
      </c>
      <c r="N1523" s="86"/>
      <c r="O1523" s="84" t="str">
        <f>IFERROR(VLOOKUP(CONCATENATE($B1523,"_",O$3),materiali!$C:$K,5,0),"")</f>
        <v/>
      </c>
      <c r="P1523" s="85" t="str">
        <f>IFERROR(VLOOKUP(CONCATENATE($B1523,"_",P$3),materiali!$C:$K,6,0),"")</f>
        <v/>
      </c>
      <c r="Q1523" s="86"/>
      <c r="R1523" s="84" t="str">
        <f>IFERROR(VLOOKUP(CONCATENATE($B1523,"_",R$3),materiali!$C:$K,5,0),"")</f>
        <v/>
      </c>
      <c r="S1523" s="85" t="str">
        <f>IFERROR(VLOOKUP(CONCATENATE($B1523,"_",S$3),materiali!$C:$K,6,0),"")</f>
        <v/>
      </c>
      <c r="T1523" s="86"/>
      <c r="U1523" s="31"/>
      <c r="AD1523" s="97"/>
    </row>
    <row r="1524" spans="1:30" ht="35.1" hidden="1" customHeight="1" x14ac:dyDescent="0.25">
      <c r="A1524" s="83"/>
      <c r="B1524" s="7"/>
      <c r="C1524" s="8"/>
      <c r="D1524" s="8"/>
      <c r="E1524" s="60"/>
      <c r="F1524" s="84" t="str">
        <f>IFERROR(VLOOKUP(CONCATENATE($B1524,"_",F$3),materiali!$C:$K,5,0),"")</f>
        <v/>
      </c>
      <c r="G1524" s="85" t="str">
        <f>IFERROR(VLOOKUP(CONCATENATE($B1524,"_",G$3),materiali!$C:$K,6,0),"")</f>
        <v/>
      </c>
      <c r="H1524" s="86"/>
      <c r="I1524" s="84" t="str">
        <f>IFERROR(VLOOKUP(CONCATENATE($B1524,"_",I$3),materiali!$C:$K,5,0),"")</f>
        <v/>
      </c>
      <c r="J1524" s="85" t="str">
        <f>IFERROR(VLOOKUP(CONCATENATE($B1524,"_",J$3),materiali!$C:$K,6,0),"")</f>
        <v/>
      </c>
      <c r="K1524" s="86"/>
      <c r="L1524" s="84" t="str">
        <f>IFERROR(VLOOKUP(CONCATENATE($B1524,"_",L$3),materiali!$C:$K,5,0),"")</f>
        <v/>
      </c>
      <c r="M1524" s="85" t="str">
        <f>IFERROR(VLOOKUP(CONCATENATE($B1524,"_",M$3),materiali!$C:$K,6,0),"")</f>
        <v/>
      </c>
      <c r="N1524" s="86"/>
      <c r="O1524" s="84" t="str">
        <f>IFERROR(VLOOKUP(CONCATENATE($B1524,"_",O$3),materiali!$C:$K,5,0),"")</f>
        <v/>
      </c>
      <c r="P1524" s="85" t="str">
        <f>IFERROR(VLOOKUP(CONCATENATE($B1524,"_",P$3),materiali!$C:$K,6,0),"")</f>
        <v/>
      </c>
      <c r="Q1524" s="86"/>
      <c r="R1524" s="84" t="str">
        <f>IFERROR(VLOOKUP(CONCATENATE($B1524,"_",R$3),materiali!$C:$K,5,0),"")</f>
        <v/>
      </c>
      <c r="S1524" s="85" t="str">
        <f>IFERROR(VLOOKUP(CONCATENATE($B1524,"_",S$3),materiali!$C:$K,6,0),"")</f>
        <v/>
      </c>
      <c r="T1524" s="86"/>
      <c r="U1524" s="31"/>
      <c r="AD1524" s="97"/>
    </row>
    <row r="1525" spans="1:30" ht="35.1" hidden="1" customHeight="1" x14ac:dyDescent="0.25">
      <c r="A1525" s="83"/>
      <c r="B1525" s="7"/>
      <c r="C1525" s="8"/>
      <c r="D1525" s="8"/>
      <c r="E1525" s="60"/>
      <c r="F1525" s="84" t="str">
        <f>IFERROR(VLOOKUP(CONCATENATE($B1525,"_",F$3),materiali!$C:$K,5,0),"")</f>
        <v/>
      </c>
      <c r="G1525" s="85" t="str">
        <f>IFERROR(VLOOKUP(CONCATENATE($B1525,"_",G$3),materiali!$C:$K,6,0),"")</f>
        <v/>
      </c>
      <c r="H1525" s="86"/>
      <c r="I1525" s="84" t="str">
        <f>IFERROR(VLOOKUP(CONCATENATE($B1525,"_",I$3),materiali!$C:$K,5,0),"")</f>
        <v/>
      </c>
      <c r="J1525" s="85" t="str">
        <f>IFERROR(VLOOKUP(CONCATENATE($B1525,"_",J$3),materiali!$C:$K,6,0),"")</f>
        <v/>
      </c>
      <c r="K1525" s="86"/>
      <c r="L1525" s="84" t="str">
        <f>IFERROR(VLOOKUP(CONCATENATE($B1525,"_",L$3),materiali!$C:$K,5,0),"")</f>
        <v/>
      </c>
      <c r="M1525" s="85" t="str">
        <f>IFERROR(VLOOKUP(CONCATENATE($B1525,"_",M$3),materiali!$C:$K,6,0),"")</f>
        <v/>
      </c>
      <c r="N1525" s="86"/>
      <c r="O1525" s="84" t="str">
        <f>IFERROR(VLOOKUP(CONCATENATE($B1525,"_",O$3),materiali!$C:$K,5,0),"")</f>
        <v/>
      </c>
      <c r="P1525" s="85" t="str">
        <f>IFERROR(VLOOKUP(CONCATENATE($B1525,"_",P$3),materiali!$C:$K,6,0),"")</f>
        <v/>
      </c>
      <c r="Q1525" s="86"/>
      <c r="R1525" s="84" t="str">
        <f>IFERROR(VLOOKUP(CONCATENATE($B1525,"_",R$3),materiali!$C:$K,5,0),"")</f>
        <v/>
      </c>
      <c r="S1525" s="85" t="str">
        <f>IFERROR(VLOOKUP(CONCATENATE($B1525,"_",S$3),materiali!$C:$K,6,0),"")</f>
        <v/>
      </c>
      <c r="T1525" s="86"/>
      <c r="U1525" s="31"/>
      <c r="AD1525" s="97"/>
    </row>
    <row r="1526" spans="1:30" ht="35.1" hidden="1" customHeight="1" x14ac:dyDescent="0.25">
      <c r="A1526" s="83"/>
      <c r="B1526" s="7"/>
      <c r="C1526" s="8"/>
      <c r="D1526" s="8"/>
      <c r="E1526" s="60"/>
      <c r="F1526" s="84" t="str">
        <f>IFERROR(VLOOKUP(CONCATENATE($B1526,"_",F$3),materiali!$C:$K,5,0),"")</f>
        <v/>
      </c>
      <c r="G1526" s="85" t="str">
        <f>IFERROR(VLOOKUP(CONCATENATE($B1526,"_",G$3),materiali!$C:$K,6,0),"")</f>
        <v/>
      </c>
      <c r="H1526" s="86"/>
      <c r="I1526" s="84" t="str">
        <f>IFERROR(VLOOKUP(CONCATENATE($B1526,"_",I$3),materiali!$C:$K,5,0),"")</f>
        <v/>
      </c>
      <c r="J1526" s="85" t="str">
        <f>IFERROR(VLOOKUP(CONCATENATE($B1526,"_",J$3),materiali!$C:$K,6,0),"")</f>
        <v/>
      </c>
      <c r="K1526" s="86"/>
      <c r="L1526" s="84" t="str">
        <f>IFERROR(VLOOKUP(CONCATENATE($B1526,"_",L$3),materiali!$C:$K,5,0),"")</f>
        <v/>
      </c>
      <c r="M1526" s="85" t="str">
        <f>IFERROR(VLOOKUP(CONCATENATE($B1526,"_",M$3),materiali!$C:$K,6,0),"")</f>
        <v/>
      </c>
      <c r="N1526" s="86"/>
      <c r="O1526" s="84" t="str">
        <f>IFERROR(VLOOKUP(CONCATENATE($B1526,"_",O$3),materiali!$C:$K,5,0),"")</f>
        <v/>
      </c>
      <c r="P1526" s="85" t="str">
        <f>IFERROR(VLOOKUP(CONCATENATE($B1526,"_",P$3),materiali!$C:$K,6,0),"")</f>
        <v/>
      </c>
      <c r="Q1526" s="86"/>
      <c r="R1526" s="84" t="str">
        <f>IFERROR(VLOOKUP(CONCATENATE($B1526,"_",R$3),materiali!$C:$K,5,0),"")</f>
        <v/>
      </c>
      <c r="S1526" s="85" t="str">
        <f>IFERROR(VLOOKUP(CONCATENATE($B1526,"_",S$3),materiali!$C:$K,6,0),"")</f>
        <v/>
      </c>
      <c r="T1526" s="86"/>
      <c r="U1526" s="31"/>
      <c r="AD1526" s="97"/>
    </row>
    <row r="1527" spans="1:30" ht="35.1" hidden="1" customHeight="1" x14ac:dyDescent="0.25">
      <c r="A1527" s="83"/>
      <c r="B1527" s="7"/>
      <c r="C1527" s="8"/>
      <c r="D1527" s="8"/>
      <c r="E1527" s="60"/>
      <c r="F1527" s="84" t="str">
        <f>IFERROR(VLOOKUP(CONCATENATE($B1527,"_",F$3),materiali!$C:$K,5,0),"")</f>
        <v/>
      </c>
      <c r="G1527" s="85" t="str">
        <f>IFERROR(VLOOKUP(CONCATENATE($B1527,"_",G$3),materiali!$C:$K,6,0),"")</f>
        <v/>
      </c>
      <c r="H1527" s="86"/>
      <c r="I1527" s="84" t="str">
        <f>IFERROR(VLOOKUP(CONCATENATE($B1527,"_",I$3),materiali!$C:$K,5,0),"")</f>
        <v/>
      </c>
      <c r="J1527" s="85" t="str">
        <f>IFERROR(VLOOKUP(CONCATENATE($B1527,"_",J$3),materiali!$C:$K,6,0),"")</f>
        <v/>
      </c>
      <c r="K1527" s="86"/>
      <c r="L1527" s="84" t="str">
        <f>IFERROR(VLOOKUP(CONCATENATE($B1527,"_",L$3),materiali!$C:$K,5,0),"")</f>
        <v/>
      </c>
      <c r="M1527" s="85" t="str">
        <f>IFERROR(VLOOKUP(CONCATENATE($B1527,"_",M$3),materiali!$C:$K,6,0),"")</f>
        <v/>
      </c>
      <c r="N1527" s="86"/>
      <c r="O1527" s="84" t="str">
        <f>IFERROR(VLOOKUP(CONCATENATE($B1527,"_",O$3),materiali!$C:$K,5,0),"")</f>
        <v/>
      </c>
      <c r="P1527" s="85" t="str">
        <f>IFERROR(VLOOKUP(CONCATENATE($B1527,"_",P$3),materiali!$C:$K,6,0),"")</f>
        <v/>
      </c>
      <c r="Q1527" s="86"/>
      <c r="R1527" s="84" t="str">
        <f>IFERROR(VLOOKUP(CONCATENATE($B1527,"_",R$3),materiali!$C:$K,5,0),"")</f>
        <v/>
      </c>
      <c r="S1527" s="85" t="str">
        <f>IFERROR(VLOOKUP(CONCATENATE($B1527,"_",S$3),materiali!$C:$K,6,0),"")</f>
        <v/>
      </c>
      <c r="T1527" s="86"/>
      <c r="U1527" s="31"/>
      <c r="AD1527" s="97"/>
    </row>
    <row r="1528" spans="1:30" ht="35.1" hidden="1" customHeight="1" x14ac:dyDescent="0.25">
      <c r="A1528" s="83"/>
      <c r="B1528" s="7"/>
      <c r="C1528" s="8"/>
      <c r="D1528" s="8"/>
      <c r="E1528" s="60"/>
      <c r="F1528" s="84" t="str">
        <f>IFERROR(VLOOKUP(CONCATENATE($B1528,"_",F$3),materiali!$C:$K,5,0),"")</f>
        <v/>
      </c>
      <c r="G1528" s="85" t="str">
        <f>IFERROR(VLOOKUP(CONCATENATE($B1528,"_",G$3),materiali!$C:$K,6,0),"")</f>
        <v/>
      </c>
      <c r="H1528" s="86"/>
      <c r="I1528" s="84" t="str">
        <f>IFERROR(VLOOKUP(CONCATENATE($B1528,"_",I$3),materiali!$C:$K,5,0),"")</f>
        <v/>
      </c>
      <c r="J1528" s="85" t="str">
        <f>IFERROR(VLOOKUP(CONCATENATE($B1528,"_",J$3),materiali!$C:$K,6,0),"")</f>
        <v/>
      </c>
      <c r="K1528" s="86"/>
      <c r="L1528" s="84" t="str">
        <f>IFERROR(VLOOKUP(CONCATENATE($B1528,"_",L$3),materiali!$C:$K,5,0),"")</f>
        <v/>
      </c>
      <c r="M1528" s="85" t="str">
        <f>IFERROR(VLOOKUP(CONCATENATE($B1528,"_",M$3),materiali!$C:$K,6,0),"")</f>
        <v/>
      </c>
      <c r="N1528" s="86"/>
      <c r="O1528" s="84" t="str">
        <f>IFERROR(VLOOKUP(CONCATENATE($B1528,"_",O$3),materiali!$C:$K,5,0),"")</f>
        <v/>
      </c>
      <c r="P1528" s="85" t="str">
        <f>IFERROR(VLOOKUP(CONCATENATE($B1528,"_",P$3),materiali!$C:$K,6,0),"")</f>
        <v/>
      </c>
      <c r="Q1528" s="86"/>
      <c r="R1528" s="84" t="str">
        <f>IFERROR(VLOOKUP(CONCATENATE($B1528,"_",R$3),materiali!$C:$K,5,0),"")</f>
        <v/>
      </c>
      <c r="S1528" s="85" t="str">
        <f>IFERROR(VLOOKUP(CONCATENATE($B1528,"_",S$3),materiali!$C:$K,6,0),"")</f>
        <v/>
      </c>
      <c r="T1528" s="86"/>
      <c r="U1528" s="31"/>
      <c r="AD1528" s="97"/>
    </row>
    <row r="1529" spans="1:30" ht="35.1" hidden="1" customHeight="1" x14ac:dyDescent="0.25">
      <c r="A1529" s="83"/>
      <c r="B1529" s="7"/>
      <c r="C1529" s="8"/>
      <c r="D1529" s="8"/>
      <c r="E1529" s="60"/>
      <c r="F1529" s="84" t="str">
        <f>IFERROR(VLOOKUP(CONCATENATE($B1529,"_",F$3),materiali!$C:$K,5,0),"")</f>
        <v/>
      </c>
      <c r="G1529" s="85" t="str">
        <f>IFERROR(VLOOKUP(CONCATENATE($B1529,"_",G$3),materiali!$C:$K,6,0),"")</f>
        <v/>
      </c>
      <c r="H1529" s="86"/>
      <c r="I1529" s="84" t="str">
        <f>IFERROR(VLOOKUP(CONCATENATE($B1529,"_",I$3),materiali!$C:$K,5,0),"")</f>
        <v/>
      </c>
      <c r="J1529" s="85" t="str">
        <f>IFERROR(VLOOKUP(CONCATENATE($B1529,"_",J$3),materiali!$C:$K,6,0),"")</f>
        <v/>
      </c>
      <c r="K1529" s="86"/>
      <c r="L1529" s="84" t="str">
        <f>IFERROR(VLOOKUP(CONCATENATE($B1529,"_",L$3),materiali!$C:$K,5,0),"")</f>
        <v/>
      </c>
      <c r="M1529" s="85" t="str">
        <f>IFERROR(VLOOKUP(CONCATENATE($B1529,"_",M$3),materiali!$C:$K,6,0),"")</f>
        <v/>
      </c>
      <c r="N1529" s="86"/>
      <c r="O1529" s="84" t="str">
        <f>IFERROR(VLOOKUP(CONCATENATE($B1529,"_",O$3),materiali!$C:$K,5,0),"")</f>
        <v/>
      </c>
      <c r="P1529" s="85" t="str">
        <f>IFERROR(VLOOKUP(CONCATENATE($B1529,"_",P$3),materiali!$C:$K,6,0),"")</f>
        <v/>
      </c>
      <c r="Q1529" s="86"/>
      <c r="R1529" s="84" t="str">
        <f>IFERROR(VLOOKUP(CONCATENATE($B1529,"_",R$3),materiali!$C:$K,5,0),"")</f>
        <v/>
      </c>
      <c r="S1529" s="85" t="str">
        <f>IFERROR(VLOOKUP(CONCATENATE($B1529,"_",S$3),materiali!$C:$K,6,0),"")</f>
        <v/>
      </c>
      <c r="T1529" s="86"/>
      <c r="U1529" s="31"/>
      <c r="AD1529" s="97"/>
    </row>
    <row r="1530" spans="1:30" ht="35.1" hidden="1" customHeight="1" x14ac:dyDescent="0.25">
      <c r="A1530" s="83"/>
      <c r="B1530" s="7"/>
      <c r="C1530" s="8"/>
      <c r="D1530" s="8"/>
      <c r="E1530" s="60"/>
      <c r="F1530" s="84" t="str">
        <f>IFERROR(VLOOKUP(CONCATENATE($B1530,"_",F$3),materiali!$C:$K,5,0),"")</f>
        <v/>
      </c>
      <c r="G1530" s="85" t="str">
        <f>IFERROR(VLOOKUP(CONCATENATE($B1530,"_",G$3),materiali!$C:$K,6,0),"")</f>
        <v/>
      </c>
      <c r="H1530" s="86"/>
      <c r="I1530" s="84" t="str">
        <f>IFERROR(VLOOKUP(CONCATENATE($B1530,"_",I$3),materiali!$C:$K,5,0),"")</f>
        <v/>
      </c>
      <c r="J1530" s="85" t="str">
        <f>IFERROR(VLOOKUP(CONCATENATE($B1530,"_",J$3),materiali!$C:$K,6,0),"")</f>
        <v/>
      </c>
      <c r="K1530" s="86"/>
      <c r="L1530" s="84" t="str">
        <f>IFERROR(VLOOKUP(CONCATENATE($B1530,"_",L$3),materiali!$C:$K,5,0),"")</f>
        <v/>
      </c>
      <c r="M1530" s="85" t="str">
        <f>IFERROR(VLOOKUP(CONCATENATE($B1530,"_",M$3),materiali!$C:$K,6,0),"")</f>
        <v/>
      </c>
      <c r="N1530" s="86"/>
      <c r="O1530" s="84" t="str">
        <f>IFERROR(VLOOKUP(CONCATENATE($B1530,"_",O$3),materiali!$C:$K,5,0),"")</f>
        <v/>
      </c>
      <c r="P1530" s="85" t="str">
        <f>IFERROR(VLOOKUP(CONCATENATE($B1530,"_",P$3),materiali!$C:$K,6,0),"")</f>
        <v/>
      </c>
      <c r="Q1530" s="86"/>
      <c r="R1530" s="84" t="str">
        <f>IFERROR(VLOOKUP(CONCATENATE($B1530,"_",R$3),materiali!$C:$K,5,0),"")</f>
        <v/>
      </c>
      <c r="S1530" s="85" t="str">
        <f>IFERROR(VLOOKUP(CONCATENATE($B1530,"_",S$3),materiali!$C:$K,6,0),"")</f>
        <v/>
      </c>
      <c r="T1530" s="86"/>
      <c r="U1530" s="31"/>
      <c r="AD1530" s="97"/>
    </row>
    <row r="1531" spans="1:30" ht="35.1" hidden="1" customHeight="1" x14ac:dyDescent="0.25">
      <c r="A1531" s="83"/>
      <c r="B1531" s="7"/>
      <c r="C1531" s="8"/>
      <c r="D1531" s="8"/>
      <c r="E1531" s="60"/>
      <c r="F1531" s="84" t="str">
        <f>IFERROR(VLOOKUP(CONCATENATE($B1531,"_",F$3),materiali!$C:$K,5,0),"")</f>
        <v/>
      </c>
      <c r="G1531" s="85" t="str">
        <f>IFERROR(VLOOKUP(CONCATENATE($B1531,"_",G$3),materiali!$C:$K,6,0),"")</f>
        <v/>
      </c>
      <c r="H1531" s="86"/>
      <c r="I1531" s="84" t="str">
        <f>IFERROR(VLOOKUP(CONCATENATE($B1531,"_",I$3),materiali!$C:$K,5,0),"")</f>
        <v/>
      </c>
      <c r="J1531" s="85" t="str">
        <f>IFERROR(VLOOKUP(CONCATENATE($B1531,"_",J$3),materiali!$C:$K,6,0),"")</f>
        <v/>
      </c>
      <c r="K1531" s="86"/>
      <c r="L1531" s="84" t="str">
        <f>IFERROR(VLOOKUP(CONCATENATE($B1531,"_",L$3),materiali!$C:$K,5,0),"")</f>
        <v/>
      </c>
      <c r="M1531" s="85" t="str">
        <f>IFERROR(VLOOKUP(CONCATENATE($B1531,"_",M$3),materiali!$C:$K,6,0),"")</f>
        <v/>
      </c>
      <c r="N1531" s="86"/>
      <c r="O1531" s="84" t="str">
        <f>IFERROR(VLOOKUP(CONCATENATE($B1531,"_",O$3),materiali!$C:$K,5,0),"")</f>
        <v/>
      </c>
      <c r="P1531" s="85" t="str">
        <f>IFERROR(VLOOKUP(CONCATENATE($B1531,"_",P$3),materiali!$C:$K,6,0),"")</f>
        <v/>
      </c>
      <c r="Q1531" s="86"/>
      <c r="R1531" s="84" t="str">
        <f>IFERROR(VLOOKUP(CONCATENATE($B1531,"_",R$3),materiali!$C:$K,5,0),"")</f>
        <v/>
      </c>
      <c r="S1531" s="85" t="str">
        <f>IFERROR(VLOOKUP(CONCATENATE($B1531,"_",S$3),materiali!$C:$K,6,0),"")</f>
        <v/>
      </c>
      <c r="T1531" s="86"/>
      <c r="U1531" s="31"/>
      <c r="AD1531" s="97"/>
    </row>
    <row r="1532" spans="1:30" ht="35.1" hidden="1" customHeight="1" x14ac:dyDescent="0.25">
      <c r="A1532" s="83"/>
      <c r="B1532" s="7"/>
      <c r="C1532" s="8"/>
      <c r="D1532" s="8"/>
      <c r="E1532" s="60"/>
      <c r="F1532" s="84" t="str">
        <f>IFERROR(VLOOKUP(CONCATENATE($B1532,"_",F$3),materiali!$C:$K,5,0),"")</f>
        <v/>
      </c>
      <c r="G1532" s="85" t="str">
        <f>IFERROR(VLOOKUP(CONCATENATE($B1532,"_",G$3),materiali!$C:$K,6,0),"")</f>
        <v/>
      </c>
      <c r="H1532" s="86"/>
      <c r="I1532" s="84" t="str">
        <f>IFERROR(VLOOKUP(CONCATENATE($B1532,"_",I$3),materiali!$C:$K,5,0),"")</f>
        <v/>
      </c>
      <c r="J1532" s="85" t="str">
        <f>IFERROR(VLOOKUP(CONCATENATE($B1532,"_",J$3),materiali!$C:$K,6,0),"")</f>
        <v/>
      </c>
      <c r="K1532" s="86"/>
      <c r="L1532" s="84" t="str">
        <f>IFERROR(VLOOKUP(CONCATENATE($B1532,"_",L$3),materiali!$C:$K,5,0),"")</f>
        <v/>
      </c>
      <c r="M1532" s="85" t="str">
        <f>IFERROR(VLOOKUP(CONCATENATE($B1532,"_",M$3),materiali!$C:$K,6,0),"")</f>
        <v/>
      </c>
      <c r="N1532" s="86"/>
      <c r="O1532" s="84" t="str">
        <f>IFERROR(VLOOKUP(CONCATENATE($B1532,"_",O$3),materiali!$C:$K,5,0),"")</f>
        <v/>
      </c>
      <c r="P1532" s="85" t="str">
        <f>IFERROR(VLOOKUP(CONCATENATE($B1532,"_",P$3),materiali!$C:$K,6,0),"")</f>
        <v/>
      </c>
      <c r="Q1532" s="86"/>
      <c r="R1532" s="84" t="str">
        <f>IFERROR(VLOOKUP(CONCATENATE($B1532,"_",R$3),materiali!$C:$K,5,0),"")</f>
        <v/>
      </c>
      <c r="S1532" s="85" t="str">
        <f>IFERROR(VLOOKUP(CONCATENATE($B1532,"_",S$3),materiali!$C:$K,6,0),"")</f>
        <v/>
      </c>
      <c r="T1532" s="86"/>
      <c r="U1532" s="31"/>
      <c r="AD1532" s="97"/>
    </row>
    <row r="1533" spans="1:30" ht="35.1" hidden="1" customHeight="1" x14ac:dyDescent="0.25">
      <c r="A1533" s="83"/>
      <c r="B1533" s="7"/>
      <c r="C1533" s="8"/>
      <c r="D1533" s="8"/>
      <c r="E1533" s="60"/>
      <c r="F1533" s="84" t="str">
        <f>IFERROR(VLOOKUP(CONCATENATE($B1533,"_",F$3),materiali!$C:$K,5,0),"")</f>
        <v/>
      </c>
      <c r="G1533" s="85" t="str">
        <f>IFERROR(VLOOKUP(CONCATENATE($B1533,"_",G$3),materiali!$C:$K,6,0),"")</f>
        <v/>
      </c>
      <c r="H1533" s="86"/>
      <c r="I1533" s="84" t="str">
        <f>IFERROR(VLOOKUP(CONCATENATE($B1533,"_",I$3),materiali!$C:$K,5,0),"")</f>
        <v/>
      </c>
      <c r="J1533" s="85" t="str">
        <f>IFERROR(VLOOKUP(CONCATENATE($B1533,"_",J$3),materiali!$C:$K,6,0),"")</f>
        <v/>
      </c>
      <c r="K1533" s="86"/>
      <c r="L1533" s="84" t="str">
        <f>IFERROR(VLOOKUP(CONCATENATE($B1533,"_",L$3),materiali!$C:$K,5,0),"")</f>
        <v/>
      </c>
      <c r="M1533" s="85" t="str">
        <f>IFERROR(VLOOKUP(CONCATENATE($B1533,"_",M$3),materiali!$C:$K,6,0),"")</f>
        <v/>
      </c>
      <c r="N1533" s="86"/>
      <c r="O1533" s="84" t="str">
        <f>IFERROR(VLOOKUP(CONCATENATE($B1533,"_",O$3),materiali!$C:$K,5,0),"")</f>
        <v/>
      </c>
      <c r="P1533" s="85" t="str">
        <f>IFERROR(VLOOKUP(CONCATENATE($B1533,"_",P$3),materiali!$C:$K,6,0),"")</f>
        <v/>
      </c>
      <c r="Q1533" s="86"/>
      <c r="R1533" s="84" t="str">
        <f>IFERROR(VLOOKUP(CONCATENATE($B1533,"_",R$3),materiali!$C:$K,5,0),"")</f>
        <v/>
      </c>
      <c r="S1533" s="85" t="str">
        <f>IFERROR(VLOOKUP(CONCATENATE($B1533,"_",S$3),materiali!$C:$K,6,0),"")</f>
        <v/>
      </c>
      <c r="T1533" s="86"/>
      <c r="U1533" s="31"/>
      <c r="AD1533" s="97"/>
    </row>
    <row r="1534" spans="1:30" ht="35.1" hidden="1" customHeight="1" x14ac:dyDescent="0.25">
      <c r="A1534" s="83"/>
      <c r="B1534" s="7"/>
      <c r="C1534" s="8"/>
      <c r="D1534" s="8"/>
      <c r="E1534" s="60"/>
      <c r="F1534" s="84" t="str">
        <f>IFERROR(VLOOKUP(CONCATENATE($B1534,"_",F$3),materiali!$C:$K,5,0),"")</f>
        <v/>
      </c>
      <c r="G1534" s="85" t="str">
        <f>IFERROR(VLOOKUP(CONCATENATE($B1534,"_",G$3),materiali!$C:$K,6,0),"")</f>
        <v/>
      </c>
      <c r="H1534" s="86"/>
      <c r="I1534" s="84" t="str">
        <f>IFERROR(VLOOKUP(CONCATENATE($B1534,"_",I$3),materiali!$C:$K,5,0),"")</f>
        <v/>
      </c>
      <c r="J1534" s="85" t="str">
        <f>IFERROR(VLOOKUP(CONCATENATE($B1534,"_",J$3),materiali!$C:$K,6,0),"")</f>
        <v/>
      </c>
      <c r="K1534" s="86"/>
      <c r="L1534" s="84" t="str">
        <f>IFERROR(VLOOKUP(CONCATENATE($B1534,"_",L$3),materiali!$C:$K,5,0),"")</f>
        <v/>
      </c>
      <c r="M1534" s="85" t="str">
        <f>IFERROR(VLOOKUP(CONCATENATE($B1534,"_",M$3),materiali!$C:$K,6,0),"")</f>
        <v/>
      </c>
      <c r="N1534" s="86"/>
      <c r="O1534" s="84" t="str">
        <f>IFERROR(VLOOKUP(CONCATENATE($B1534,"_",O$3),materiali!$C:$K,5,0),"")</f>
        <v/>
      </c>
      <c r="P1534" s="85" t="str">
        <f>IFERROR(VLOOKUP(CONCATENATE($B1534,"_",P$3),materiali!$C:$K,6,0),"")</f>
        <v/>
      </c>
      <c r="Q1534" s="86"/>
      <c r="R1534" s="84" t="str">
        <f>IFERROR(VLOOKUP(CONCATENATE($B1534,"_",R$3),materiali!$C:$K,5,0),"")</f>
        <v/>
      </c>
      <c r="S1534" s="85" t="str">
        <f>IFERROR(VLOOKUP(CONCATENATE($B1534,"_",S$3),materiali!$C:$K,6,0),"")</f>
        <v/>
      </c>
      <c r="T1534" s="86"/>
      <c r="U1534" s="31"/>
      <c r="AD1534" s="97"/>
    </row>
    <row r="1535" spans="1:30" ht="35.1" hidden="1" customHeight="1" x14ac:dyDescent="0.25">
      <c r="A1535" s="83"/>
      <c r="B1535" s="7"/>
      <c r="C1535" s="8"/>
      <c r="D1535" s="8"/>
      <c r="E1535" s="60"/>
      <c r="F1535" s="84" t="str">
        <f>IFERROR(VLOOKUP(CONCATENATE($B1535,"_",F$3),materiali!$C:$K,5,0),"")</f>
        <v/>
      </c>
      <c r="G1535" s="85" t="str">
        <f>IFERROR(VLOOKUP(CONCATENATE($B1535,"_",G$3),materiali!$C:$K,6,0),"")</f>
        <v/>
      </c>
      <c r="H1535" s="86"/>
      <c r="I1535" s="84" t="str">
        <f>IFERROR(VLOOKUP(CONCATENATE($B1535,"_",I$3),materiali!$C:$K,5,0),"")</f>
        <v/>
      </c>
      <c r="J1535" s="85" t="str">
        <f>IFERROR(VLOOKUP(CONCATENATE($B1535,"_",J$3),materiali!$C:$K,6,0),"")</f>
        <v/>
      </c>
      <c r="K1535" s="86"/>
      <c r="L1535" s="84" t="str">
        <f>IFERROR(VLOOKUP(CONCATENATE($B1535,"_",L$3),materiali!$C:$K,5,0),"")</f>
        <v/>
      </c>
      <c r="M1535" s="85" t="str">
        <f>IFERROR(VLOOKUP(CONCATENATE($B1535,"_",M$3),materiali!$C:$K,6,0),"")</f>
        <v/>
      </c>
      <c r="N1535" s="86"/>
      <c r="O1535" s="84" t="str">
        <f>IFERROR(VLOOKUP(CONCATENATE($B1535,"_",O$3),materiali!$C:$K,5,0),"")</f>
        <v/>
      </c>
      <c r="P1535" s="85" t="str">
        <f>IFERROR(VLOOKUP(CONCATENATE($B1535,"_",P$3),materiali!$C:$K,6,0),"")</f>
        <v/>
      </c>
      <c r="Q1535" s="86"/>
      <c r="R1535" s="84" t="str">
        <f>IFERROR(VLOOKUP(CONCATENATE($B1535,"_",R$3),materiali!$C:$K,5,0),"")</f>
        <v/>
      </c>
      <c r="S1535" s="85" t="str">
        <f>IFERROR(VLOOKUP(CONCATENATE($B1535,"_",S$3),materiali!$C:$K,6,0),"")</f>
        <v/>
      </c>
      <c r="T1535" s="86"/>
      <c r="U1535" s="31"/>
      <c r="AD1535" s="97"/>
    </row>
    <row r="1536" spans="1:30" ht="35.1" hidden="1" customHeight="1" x14ac:dyDescent="0.25">
      <c r="A1536" s="83"/>
      <c r="B1536" s="7"/>
      <c r="C1536" s="8"/>
      <c r="D1536" s="8"/>
      <c r="E1536" s="60"/>
      <c r="F1536" s="84" t="str">
        <f>IFERROR(VLOOKUP(CONCATENATE($B1536,"_",F$3),materiali!$C:$K,5,0),"")</f>
        <v/>
      </c>
      <c r="G1536" s="85" t="str">
        <f>IFERROR(VLOOKUP(CONCATENATE($B1536,"_",G$3),materiali!$C:$K,6,0),"")</f>
        <v/>
      </c>
      <c r="H1536" s="86"/>
      <c r="I1536" s="84" t="str">
        <f>IFERROR(VLOOKUP(CONCATENATE($B1536,"_",I$3),materiali!$C:$K,5,0),"")</f>
        <v/>
      </c>
      <c r="J1536" s="85" t="str">
        <f>IFERROR(VLOOKUP(CONCATENATE($B1536,"_",J$3),materiali!$C:$K,6,0),"")</f>
        <v/>
      </c>
      <c r="K1536" s="86"/>
      <c r="L1536" s="84" t="str">
        <f>IFERROR(VLOOKUP(CONCATENATE($B1536,"_",L$3),materiali!$C:$K,5,0),"")</f>
        <v/>
      </c>
      <c r="M1536" s="85" t="str">
        <f>IFERROR(VLOOKUP(CONCATENATE($B1536,"_",M$3),materiali!$C:$K,6,0),"")</f>
        <v/>
      </c>
      <c r="N1536" s="86"/>
      <c r="O1536" s="84" t="str">
        <f>IFERROR(VLOOKUP(CONCATENATE($B1536,"_",O$3),materiali!$C:$K,5,0),"")</f>
        <v/>
      </c>
      <c r="P1536" s="85" t="str">
        <f>IFERROR(VLOOKUP(CONCATENATE($B1536,"_",P$3),materiali!$C:$K,6,0),"")</f>
        <v/>
      </c>
      <c r="Q1536" s="86"/>
      <c r="R1536" s="84" t="str">
        <f>IFERROR(VLOOKUP(CONCATENATE($B1536,"_",R$3),materiali!$C:$K,5,0),"")</f>
        <v/>
      </c>
      <c r="S1536" s="85" t="str">
        <f>IFERROR(VLOOKUP(CONCATENATE($B1536,"_",S$3),materiali!$C:$K,6,0),"")</f>
        <v/>
      </c>
      <c r="T1536" s="86"/>
      <c r="U1536" s="31"/>
      <c r="AD1536" s="97"/>
    </row>
    <row r="1537" spans="1:30" ht="35.1" hidden="1" customHeight="1" x14ac:dyDescent="0.25">
      <c r="A1537" s="83"/>
      <c r="B1537" s="7"/>
      <c r="C1537" s="8"/>
      <c r="D1537" s="8"/>
      <c r="E1537" s="60"/>
      <c r="F1537" s="84" t="str">
        <f>IFERROR(VLOOKUP(CONCATENATE($B1537,"_",F$3),materiali!$C:$K,5,0),"")</f>
        <v/>
      </c>
      <c r="G1537" s="85" t="str">
        <f>IFERROR(VLOOKUP(CONCATENATE($B1537,"_",G$3),materiali!$C:$K,6,0),"")</f>
        <v/>
      </c>
      <c r="H1537" s="86"/>
      <c r="I1537" s="84" t="str">
        <f>IFERROR(VLOOKUP(CONCATENATE($B1537,"_",I$3),materiali!$C:$K,5,0),"")</f>
        <v/>
      </c>
      <c r="J1537" s="85" t="str">
        <f>IFERROR(VLOOKUP(CONCATENATE($B1537,"_",J$3),materiali!$C:$K,6,0),"")</f>
        <v/>
      </c>
      <c r="K1537" s="86"/>
      <c r="L1537" s="84" t="str">
        <f>IFERROR(VLOOKUP(CONCATENATE($B1537,"_",L$3),materiali!$C:$K,5,0),"")</f>
        <v/>
      </c>
      <c r="M1537" s="85" t="str">
        <f>IFERROR(VLOOKUP(CONCATENATE($B1537,"_",M$3),materiali!$C:$K,6,0),"")</f>
        <v/>
      </c>
      <c r="N1537" s="86"/>
      <c r="O1537" s="84" t="str">
        <f>IFERROR(VLOOKUP(CONCATENATE($B1537,"_",O$3),materiali!$C:$K,5,0),"")</f>
        <v/>
      </c>
      <c r="P1537" s="85" t="str">
        <f>IFERROR(VLOOKUP(CONCATENATE($B1537,"_",P$3),materiali!$C:$K,6,0),"")</f>
        <v/>
      </c>
      <c r="Q1537" s="86"/>
      <c r="R1537" s="84" t="str">
        <f>IFERROR(VLOOKUP(CONCATENATE($B1537,"_",R$3),materiali!$C:$K,5,0),"")</f>
        <v/>
      </c>
      <c r="S1537" s="85" t="str">
        <f>IFERROR(VLOOKUP(CONCATENATE($B1537,"_",S$3),materiali!$C:$K,6,0),"")</f>
        <v/>
      </c>
      <c r="T1537" s="86"/>
      <c r="U1537" s="31"/>
      <c r="AD1537" s="97"/>
    </row>
    <row r="1538" spans="1:30" ht="35.1" hidden="1" customHeight="1" x14ac:dyDescent="0.25">
      <c r="A1538" s="83"/>
      <c r="B1538" s="7"/>
      <c r="C1538" s="8"/>
      <c r="D1538" s="8"/>
      <c r="E1538" s="60"/>
      <c r="F1538" s="84" t="str">
        <f>IFERROR(VLOOKUP(CONCATENATE($B1538,"_",F$3),materiali!$C:$K,5,0),"")</f>
        <v/>
      </c>
      <c r="G1538" s="85" t="str">
        <f>IFERROR(VLOOKUP(CONCATENATE($B1538,"_",G$3),materiali!$C:$K,6,0),"")</f>
        <v/>
      </c>
      <c r="H1538" s="86"/>
      <c r="I1538" s="84" t="str">
        <f>IFERROR(VLOOKUP(CONCATENATE($B1538,"_",I$3),materiali!$C:$K,5,0),"")</f>
        <v/>
      </c>
      <c r="J1538" s="85" t="str">
        <f>IFERROR(VLOOKUP(CONCATENATE($B1538,"_",J$3),materiali!$C:$K,6,0),"")</f>
        <v/>
      </c>
      <c r="K1538" s="86"/>
      <c r="L1538" s="84" t="str">
        <f>IFERROR(VLOOKUP(CONCATENATE($B1538,"_",L$3),materiali!$C:$K,5,0),"")</f>
        <v/>
      </c>
      <c r="M1538" s="85" t="str">
        <f>IFERROR(VLOOKUP(CONCATENATE($B1538,"_",M$3),materiali!$C:$K,6,0),"")</f>
        <v/>
      </c>
      <c r="N1538" s="86"/>
      <c r="O1538" s="84" t="str">
        <f>IFERROR(VLOOKUP(CONCATENATE($B1538,"_",O$3),materiali!$C:$K,5,0),"")</f>
        <v/>
      </c>
      <c r="P1538" s="85" t="str">
        <f>IFERROR(VLOOKUP(CONCATENATE($B1538,"_",P$3),materiali!$C:$K,6,0),"")</f>
        <v/>
      </c>
      <c r="Q1538" s="86"/>
      <c r="R1538" s="84" t="str">
        <f>IFERROR(VLOOKUP(CONCATENATE($B1538,"_",R$3),materiali!$C:$K,5,0),"")</f>
        <v/>
      </c>
      <c r="S1538" s="85" t="str">
        <f>IFERROR(VLOOKUP(CONCATENATE($B1538,"_",S$3),materiali!$C:$K,6,0),"")</f>
        <v/>
      </c>
      <c r="T1538" s="86"/>
      <c r="U1538" s="31"/>
      <c r="AD1538" s="97"/>
    </row>
    <row r="1539" spans="1:30" ht="35.1" hidden="1" customHeight="1" x14ac:dyDescent="0.25">
      <c r="A1539" s="83"/>
      <c r="B1539" s="7"/>
      <c r="C1539" s="8"/>
      <c r="D1539" s="8"/>
      <c r="E1539" s="60"/>
      <c r="F1539" s="84" t="str">
        <f>IFERROR(VLOOKUP(CONCATENATE($B1539,"_",F$3),materiali!$C:$K,5,0),"")</f>
        <v/>
      </c>
      <c r="G1539" s="85" t="str">
        <f>IFERROR(VLOOKUP(CONCATENATE($B1539,"_",G$3),materiali!$C:$K,6,0),"")</f>
        <v/>
      </c>
      <c r="H1539" s="86"/>
      <c r="I1539" s="84" t="str">
        <f>IFERROR(VLOOKUP(CONCATENATE($B1539,"_",I$3),materiali!$C:$K,5,0),"")</f>
        <v/>
      </c>
      <c r="J1539" s="85" t="str">
        <f>IFERROR(VLOOKUP(CONCATENATE($B1539,"_",J$3),materiali!$C:$K,6,0),"")</f>
        <v/>
      </c>
      <c r="K1539" s="86"/>
      <c r="L1539" s="84" t="str">
        <f>IFERROR(VLOOKUP(CONCATENATE($B1539,"_",L$3),materiali!$C:$K,5,0),"")</f>
        <v/>
      </c>
      <c r="M1539" s="85" t="str">
        <f>IFERROR(VLOOKUP(CONCATENATE($B1539,"_",M$3),materiali!$C:$K,6,0),"")</f>
        <v/>
      </c>
      <c r="N1539" s="86"/>
      <c r="O1539" s="84" t="str">
        <f>IFERROR(VLOOKUP(CONCATENATE($B1539,"_",O$3),materiali!$C:$K,5,0),"")</f>
        <v/>
      </c>
      <c r="P1539" s="85" t="str">
        <f>IFERROR(VLOOKUP(CONCATENATE($B1539,"_",P$3),materiali!$C:$K,6,0),"")</f>
        <v/>
      </c>
      <c r="Q1539" s="86"/>
      <c r="R1539" s="84" t="str">
        <f>IFERROR(VLOOKUP(CONCATENATE($B1539,"_",R$3),materiali!$C:$K,5,0),"")</f>
        <v/>
      </c>
      <c r="S1539" s="85" t="str">
        <f>IFERROR(VLOOKUP(CONCATENATE($B1539,"_",S$3),materiali!$C:$K,6,0),"")</f>
        <v/>
      </c>
      <c r="T1539" s="86"/>
      <c r="U1539" s="31"/>
      <c r="AD1539" s="97"/>
    </row>
    <row r="1540" spans="1:30" ht="35.1" hidden="1" customHeight="1" x14ac:dyDescent="0.25">
      <c r="A1540" s="83"/>
      <c r="B1540" s="7"/>
      <c r="C1540" s="8"/>
      <c r="D1540" s="8"/>
      <c r="E1540" s="60"/>
      <c r="F1540" s="84" t="str">
        <f>IFERROR(VLOOKUP(CONCATENATE($B1540,"_",F$3),materiali!$C:$K,5,0),"")</f>
        <v/>
      </c>
      <c r="G1540" s="85" t="str">
        <f>IFERROR(VLOOKUP(CONCATENATE($B1540,"_",G$3),materiali!$C:$K,6,0),"")</f>
        <v/>
      </c>
      <c r="H1540" s="86"/>
      <c r="I1540" s="84" t="str">
        <f>IFERROR(VLOOKUP(CONCATENATE($B1540,"_",I$3),materiali!$C:$K,5,0),"")</f>
        <v/>
      </c>
      <c r="J1540" s="85" t="str">
        <f>IFERROR(VLOOKUP(CONCATENATE($B1540,"_",J$3),materiali!$C:$K,6,0),"")</f>
        <v/>
      </c>
      <c r="K1540" s="86"/>
      <c r="L1540" s="84" t="str">
        <f>IFERROR(VLOOKUP(CONCATENATE($B1540,"_",L$3),materiali!$C:$K,5,0),"")</f>
        <v/>
      </c>
      <c r="M1540" s="85" t="str">
        <f>IFERROR(VLOOKUP(CONCATENATE($B1540,"_",M$3),materiali!$C:$K,6,0),"")</f>
        <v/>
      </c>
      <c r="N1540" s="86"/>
      <c r="O1540" s="84" t="str">
        <f>IFERROR(VLOOKUP(CONCATENATE($B1540,"_",O$3),materiali!$C:$K,5,0),"")</f>
        <v/>
      </c>
      <c r="P1540" s="85" t="str">
        <f>IFERROR(VLOOKUP(CONCATENATE($B1540,"_",P$3),materiali!$C:$K,6,0),"")</f>
        <v/>
      </c>
      <c r="Q1540" s="86"/>
      <c r="R1540" s="84" t="str">
        <f>IFERROR(VLOOKUP(CONCATENATE($B1540,"_",R$3),materiali!$C:$K,5,0),"")</f>
        <v/>
      </c>
      <c r="S1540" s="85" t="str">
        <f>IFERROR(VLOOKUP(CONCATENATE($B1540,"_",S$3),materiali!$C:$K,6,0),"")</f>
        <v/>
      </c>
      <c r="T1540" s="86"/>
      <c r="U1540" s="31"/>
      <c r="AD1540" s="97"/>
    </row>
    <row r="1541" spans="1:30" ht="35.1" hidden="1" customHeight="1" x14ac:dyDescent="0.25">
      <c r="A1541" s="83"/>
      <c r="B1541" s="7"/>
      <c r="C1541" s="8"/>
      <c r="D1541" s="8"/>
      <c r="E1541" s="60"/>
      <c r="F1541" s="84" t="str">
        <f>IFERROR(VLOOKUP(CONCATENATE($B1541,"_",F$3),materiali!$C:$K,5,0),"")</f>
        <v/>
      </c>
      <c r="G1541" s="85" t="str">
        <f>IFERROR(VLOOKUP(CONCATENATE($B1541,"_",G$3),materiali!$C:$K,6,0),"")</f>
        <v/>
      </c>
      <c r="H1541" s="86"/>
      <c r="I1541" s="84" t="str">
        <f>IFERROR(VLOOKUP(CONCATENATE($B1541,"_",I$3),materiali!$C:$K,5,0),"")</f>
        <v/>
      </c>
      <c r="J1541" s="85" t="str">
        <f>IFERROR(VLOOKUP(CONCATENATE($B1541,"_",J$3),materiali!$C:$K,6,0),"")</f>
        <v/>
      </c>
      <c r="K1541" s="86"/>
      <c r="L1541" s="84" t="str">
        <f>IFERROR(VLOOKUP(CONCATENATE($B1541,"_",L$3),materiali!$C:$K,5,0),"")</f>
        <v/>
      </c>
      <c r="M1541" s="85" t="str">
        <f>IFERROR(VLOOKUP(CONCATENATE($B1541,"_",M$3),materiali!$C:$K,6,0),"")</f>
        <v/>
      </c>
      <c r="N1541" s="86"/>
      <c r="O1541" s="84" t="str">
        <f>IFERROR(VLOOKUP(CONCATENATE($B1541,"_",O$3),materiali!$C:$K,5,0),"")</f>
        <v/>
      </c>
      <c r="P1541" s="85" t="str">
        <f>IFERROR(VLOOKUP(CONCATENATE($B1541,"_",P$3),materiali!$C:$K,6,0),"")</f>
        <v/>
      </c>
      <c r="Q1541" s="86"/>
      <c r="R1541" s="84" t="str">
        <f>IFERROR(VLOOKUP(CONCATENATE($B1541,"_",R$3),materiali!$C:$K,5,0),"")</f>
        <v/>
      </c>
      <c r="S1541" s="85" t="str">
        <f>IFERROR(VLOOKUP(CONCATENATE($B1541,"_",S$3),materiali!$C:$K,6,0),"")</f>
        <v/>
      </c>
      <c r="T1541" s="86"/>
      <c r="U1541" s="31"/>
      <c r="AD1541" s="97"/>
    </row>
    <row r="1542" spans="1:30" ht="35.1" hidden="1" customHeight="1" x14ac:dyDescent="0.25">
      <c r="A1542" s="83"/>
      <c r="B1542" s="7"/>
      <c r="C1542" s="8"/>
      <c r="D1542" s="8"/>
      <c r="E1542" s="60"/>
      <c r="F1542" s="84" t="str">
        <f>IFERROR(VLOOKUP(CONCATENATE($B1542,"_",F$3),materiali!$C:$K,5,0),"")</f>
        <v/>
      </c>
      <c r="G1542" s="85" t="str">
        <f>IFERROR(VLOOKUP(CONCATENATE($B1542,"_",G$3),materiali!$C:$K,6,0),"")</f>
        <v/>
      </c>
      <c r="H1542" s="86"/>
      <c r="I1542" s="84" t="str">
        <f>IFERROR(VLOOKUP(CONCATENATE($B1542,"_",I$3),materiali!$C:$K,5,0),"")</f>
        <v/>
      </c>
      <c r="J1542" s="85" t="str">
        <f>IFERROR(VLOOKUP(CONCATENATE($B1542,"_",J$3),materiali!$C:$K,6,0),"")</f>
        <v/>
      </c>
      <c r="K1542" s="86"/>
      <c r="L1542" s="84" t="str">
        <f>IFERROR(VLOOKUP(CONCATENATE($B1542,"_",L$3),materiali!$C:$K,5,0),"")</f>
        <v/>
      </c>
      <c r="M1542" s="85" t="str">
        <f>IFERROR(VLOOKUP(CONCATENATE($B1542,"_",M$3),materiali!$C:$K,6,0),"")</f>
        <v/>
      </c>
      <c r="N1542" s="86"/>
      <c r="O1542" s="84" t="str">
        <f>IFERROR(VLOOKUP(CONCATENATE($B1542,"_",O$3),materiali!$C:$K,5,0),"")</f>
        <v/>
      </c>
      <c r="P1542" s="85" t="str">
        <f>IFERROR(VLOOKUP(CONCATENATE($B1542,"_",P$3),materiali!$C:$K,6,0),"")</f>
        <v/>
      </c>
      <c r="Q1542" s="86"/>
      <c r="R1542" s="84" t="str">
        <f>IFERROR(VLOOKUP(CONCATENATE($B1542,"_",R$3),materiali!$C:$K,5,0),"")</f>
        <v/>
      </c>
      <c r="S1542" s="85" t="str">
        <f>IFERROR(VLOOKUP(CONCATENATE($B1542,"_",S$3),materiali!$C:$K,6,0),"")</f>
        <v/>
      </c>
      <c r="T1542" s="86"/>
      <c r="U1542" s="31"/>
      <c r="AD1542" s="97"/>
    </row>
    <row r="1543" spans="1:30" ht="35.1" hidden="1" customHeight="1" x14ac:dyDescent="0.25">
      <c r="A1543" s="83"/>
      <c r="B1543" s="7"/>
      <c r="C1543" s="8"/>
      <c r="D1543" s="8"/>
      <c r="E1543" s="60"/>
      <c r="F1543" s="84" t="str">
        <f>IFERROR(VLOOKUP(CONCATENATE($B1543,"_",F$3),materiali!$C:$K,5,0),"")</f>
        <v/>
      </c>
      <c r="G1543" s="85" t="str">
        <f>IFERROR(VLOOKUP(CONCATENATE($B1543,"_",G$3),materiali!$C:$K,6,0),"")</f>
        <v/>
      </c>
      <c r="H1543" s="86"/>
      <c r="I1543" s="84" t="str">
        <f>IFERROR(VLOOKUP(CONCATENATE($B1543,"_",I$3),materiali!$C:$K,5,0),"")</f>
        <v/>
      </c>
      <c r="J1543" s="85" t="str">
        <f>IFERROR(VLOOKUP(CONCATENATE($B1543,"_",J$3),materiali!$C:$K,6,0),"")</f>
        <v/>
      </c>
      <c r="K1543" s="86"/>
      <c r="L1543" s="84" t="str">
        <f>IFERROR(VLOOKUP(CONCATENATE($B1543,"_",L$3),materiali!$C:$K,5,0),"")</f>
        <v/>
      </c>
      <c r="M1543" s="85" t="str">
        <f>IFERROR(VLOOKUP(CONCATENATE($B1543,"_",M$3),materiali!$C:$K,6,0),"")</f>
        <v/>
      </c>
      <c r="N1543" s="86"/>
      <c r="O1543" s="84" t="str">
        <f>IFERROR(VLOOKUP(CONCATENATE($B1543,"_",O$3),materiali!$C:$K,5,0),"")</f>
        <v/>
      </c>
      <c r="P1543" s="85" t="str">
        <f>IFERROR(VLOOKUP(CONCATENATE($B1543,"_",P$3),materiali!$C:$K,6,0),"")</f>
        <v/>
      </c>
      <c r="Q1543" s="86"/>
      <c r="R1543" s="84" t="str">
        <f>IFERROR(VLOOKUP(CONCATENATE($B1543,"_",R$3),materiali!$C:$K,5,0),"")</f>
        <v/>
      </c>
      <c r="S1543" s="85" t="str">
        <f>IFERROR(VLOOKUP(CONCATENATE($B1543,"_",S$3),materiali!$C:$K,6,0),"")</f>
        <v/>
      </c>
      <c r="T1543" s="86"/>
      <c r="U1543" s="31"/>
      <c r="AD1543" s="97"/>
    </row>
    <row r="1544" spans="1:30" ht="35.1" hidden="1" customHeight="1" x14ac:dyDescent="0.25">
      <c r="A1544" s="83"/>
      <c r="B1544" s="7"/>
      <c r="C1544" s="8"/>
      <c r="D1544" s="8"/>
      <c r="E1544" s="60"/>
      <c r="F1544" s="84" t="str">
        <f>IFERROR(VLOOKUP(CONCATENATE($B1544,"_",F$3),materiali!$C:$K,5,0),"")</f>
        <v/>
      </c>
      <c r="G1544" s="85" t="str">
        <f>IFERROR(VLOOKUP(CONCATENATE($B1544,"_",G$3),materiali!$C:$K,6,0),"")</f>
        <v/>
      </c>
      <c r="H1544" s="86"/>
      <c r="I1544" s="84" t="str">
        <f>IFERROR(VLOOKUP(CONCATENATE($B1544,"_",I$3),materiali!$C:$K,5,0),"")</f>
        <v/>
      </c>
      <c r="J1544" s="85" t="str">
        <f>IFERROR(VLOOKUP(CONCATENATE($B1544,"_",J$3),materiali!$C:$K,6,0),"")</f>
        <v/>
      </c>
      <c r="K1544" s="86"/>
      <c r="L1544" s="84" t="str">
        <f>IFERROR(VLOOKUP(CONCATENATE($B1544,"_",L$3),materiali!$C:$K,5,0),"")</f>
        <v/>
      </c>
      <c r="M1544" s="85" t="str">
        <f>IFERROR(VLOOKUP(CONCATENATE($B1544,"_",M$3),materiali!$C:$K,6,0),"")</f>
        <v/>
      </c>
      <c r="N1544" s="86"/>
      <c r="O1544" s="84" t="str">
        <f>IFERROR(VLOOKUP(CONCATENATE($B1544,"_",O$3),materiali!$C:$K,5,0),"")</f>
        <v/>
      </c>
      <c r="P1544" s="85" t="str">
        <f>IFERROR(VLOOKUP(CONCATENATE($B1544,"_",P$3),materiali!$C:$K,6,0),"")</f>
        <v/>
      </c>
      <c r="Q1544" s="86"/>
      <c r="R1544" s="84" t="str">
        <f>IFERROR(VLOOKUP(CONCATENATE($B1544,"_",R$3),materiali!$C:$K,5,0),"")</f>
        <v/>
      </c>
      <c r="S1544" s="85" t="str">
        <f>IFERROR(VLOOKUP(CONCATENATE($B1544,"_",S$3),materiali!$C:$K,6,0),"")</f>
        <v/>
      </c>
      <c r="T1544" s="86"/>
      <c r="U1544" s="31"/>
      <c r="AD1544" s="97"/>
    </row>
    <row r="1545" spans="1:30" ht="35.1" hidden="1" customHeight="1" x14ac:dyDescent="0.25">
      <c r="A1545" s="83"/>
      <c r="B1545" s="7"/>
      <c r="C1545" s="8"/>
      <c r="D1545" s="8"/>
      <c r="E1545" s="60"/>
      <c r="F1545" s="84" t="str">
        <f>IFERROR(VLOOKUP(CONCATENATE($B1545,"_",F$3),materiali!$C:$K,5,0),"")</f>
        <v/>
      </c>
      <c r="G1545" s="85" t="str">
        <f>IFERROR(VLOOKUP(CONCATENATE($B1545,"_",G$3),materiali!$C:$K,6,0),"")</f>
        <v/>
      </c>
      <c r="H1545" s="86"/>
      <c r="I1545" s="84" t="str">
        <f>IFERROR(VLOOKUP(CONCATENATE($B1545,"_",I$3),materiali!$C:$K,5,0),"")</f>
        <v/>
      </c>
      <c r="J1545" s="85" t="str">
        <f>IFERROR(VLOOKUP(CONCATENATE($B1545,"_",J$3),materiali!$C:$K,6,0),"")</f>
        <v/>
      </c>
      <c r="K1545" s="86"/>
      <c r="L1545" s="84" t="str">
        <f>IFERROR(VLOOKUP(CONCATENATE($B1545,"_",L$3),materiali!$C:$K,5,0),"")</f>
        <v/>
      </c>
      <c r="M1545" s="85" t="str">
        <f>IFERROR(VLOOKUP(CONCATENATE($B1545,"_",M$3),materiali!$C:$K,6,0),"")</f>
        <v/>
      </c>
      <c r="N1545" s="86"/>
      <c r="O1545" s="84" t="str">
        <f>IFERROR(VLOOKUP(CONCATENATE($B1545,"_",O$3),materiali!$C:$K,5,0),"")</f>
        <v/>
      </c>
      <c r="P1545" s="85" t="str">
        <f>IFERROR(VLOOKUP(CONCATENATE($B1545,"_",P$3),materiali!$C:$K,6,0),"")</f>
        <v/>
      </c>
      <c r="Q1545" s="86"/>
      <c r="R1545" s="84" t="str">
        <f>IFERROR(VLOOKUP(CONCATENATE($B1545,"_",R$3),materiali!$C:$K,5,0),"")</f>
        <v/>
      </c>
      <c r="S1545" s="85" t="str">
        <f>IFERROR(VLOOKUP(CONCATENATE($B1545,"_",S$3),materiali!$C:$K,6,0),"")</f>
        <v/>
      </c>
      <c r="T1545" s="86"/>
      <c r="U1545" s="31"/>
      <c r="AD1545" s="97"/>
    </row>
    <row r="1546" spans="1:30" ht="35.1" hidden="1" customHeight="1" x14ac:dyDescent="0.25">
      <c r="A1546" s="83"/>
      <c r="B1546" s="7"/>
      <c r="C1546" s="8"/>
      <c r="D1546" s="8"/>
      <c r="E1546" s="60"/>
      <c r="F1546" s="84" t="str">
        <f>IFERROR(VLOOKUP(CONCATENATE($B1546,"_",F$3),materiali!$C:$K,5,0),"")</f>
        <v/>
      </c>
      <c r="G1546" s="85" t="str">
        <f>IFERROR(VLOOKUP(CONCATENATE($B1546,"_",G$3),materiali!$C:$K,6,0),"")</f>
        <v/>
      </c>
      <c r="H1546" s="86"/>
      <c r="I1546" s="84" t="str">
        <f>IFERROR(VLOOKUP(CONCATENATE($B1546,"_",I$3),materiali!$C:$K,5,0),"")</f>
        <v/>
      </c>
      <c r="J1546" s="85" t="str">
        <f>IFERROR(VLOOKUP(CONCATENATE($B1546,"_",J$3),materiali!$C:$K,6,0),"")</f>
        <v/>
      </c>
      <c r="K1546" s="86"/>
      <c r="L1546" s="84" t="str">
        <f>IFERROR(VLOOKUP(CONCATENATE($B1546,"_",L$3),materiali!$C:$K,5,0),"")</f>
        <v/>
      </c>
      <c r="M1546" s="85" t="str">
        <f>IFERROR(VLOOKUP(CONCATENATE($B1546,"_",M$3),materiali!$C:$K,6,0),"")</f>
        <v/>
      </c>
      <c r="N1546" s="86"/>
      <c r="O1546" s="84" t="str">
        <f>IFERROR(VLOOKUP(CONCATENATE($B1546,"_",O$3),materiali!$C:$K,5,0),"")</f>
        <v/>
      </c>
      <c r="P1546" s="85" t="str">
        <f>IFERROR(VLOOKUP(CONCATENATE($B1546,"_",P$3),materiali!$C:$K,6,0),"")</f>
        <v/>
      </c>
      <c r="Q1546" s="86"/>
      <c r="R1546" s="84" t="str">
        <f>IFERROR(VLOOKUP(CONCATENATE($B1546,"_",R$3),materiali!$C:$K,5,0),"")</f>
        <v/>
      </c>
      <c r="S1546" s="85" t="str">
        <f>IFERROR(VLOOKUP(CONCATENATE($B1546,"_",S$3),materiali!$C:$K,6,0),"")</f>
        <v/>
      </c>
      <c r="T1546" s="86"/>
      <c r="U1546" s="31"/>
      <c r="AD1546" s="97"/>
    </row>
    <row r="1547" spans="1:30" ht="35.1" hidden="1" customHeight="1" x14ac:dyDescent="0.25">
      <c r="A1547" s="83"/>
      <c r="B1547" s="7"/>
      <c r="C1547" s="8"/>
      <c r="D1547" s="8"/>
      <c r="E1547" s="60"/>
      <c r="F1547" s="84" t="str">
        <f>IFERROR(VLOOKUP(CONCATENATE($B1547,"_",F$3),materiali!$C:$K,5,0),"")</f>
        <v/>
      </c>
      <c r="G1547" s="85" t="str">
        <f>IFERROR(VLOOKUP(CONCATENATE($B1547,"_",G$3),materiali!$C:$K,6,0),"")</f>
        <v/>
      </c>
      <c r="H1547" s="86"/>
      <c r="I1547" s="84" t="str">
        <f>IFERROR(VLOOKUP(CONCATENATE($B1547,"_",I$3),materiali!$C:$K,5,0),"")</f>
        <v/>
      </c>
      <c r="J1547" s="85" t="str">
        <f>IFERROR(VLOOKUP(CONCATENATE($B1547,"_",J$3),materiali!$C:$K,6,0),"")</f>
        <v/>
      </c>
      <c r="K1547" s="86"/>
      <c r="L1547" s="84" t="str">
        <f>IFERROR(VLOOKUP(CONCATENATE($B1547,"_",L$3),materiali!$C:$K,5,0),"")</f>
        <v/>
      </c>
      <c r="M1547" s="85" t="str">
        <f>IFERROR(VLOOKUP(CONCATENATE($B1547,"_",M$3),materiali!$C:$K,6,0),"")</f>
        <v/>
      </c>
      <c r="N1547" s="86"/>
      <c r="O1547" s="84" t="str">
        <f>IFERROR(VLOOKUP(CONCATENATE($B1547,"_",O$3),materiali!$C:$K,5,0),"")</f>
        <v/>
      </c>
      <c r="P1547" s="85" t="str">
        <f>IFERROR(VLOOKUP(CONCATENATE($B1547,"_",P$3),materiali!$C:$K,6,0),"")</f>
        <v/>
      </c>
      <c r="Q1547" s="86"/>
      <c r="R1547" s="84" t="str">
        <f>IFERROR(VLOOKUP(CONCATENATE($B1547,"_",R$3),materiali!$C:$K,5,0),"")</f>
        <v/>
      </c>
      <c r="S1547" s="85" t="str">
        <f>IFERROR(VLOOKUP(CONCATENATE($B1547,"_",S$3),materiali!$C:$K,6,0),"")</f>
        <v/>
      </c>
      <c r="T1547" s="86"/>
      <c r="U1547" s="31"/>
      <c r="AD1547" s="97"/>
    </row>
    <row r="1548" spans="1:30" ht="35.1" hidden="1" customHeight="1" x14ac:dyDescent="0.25">
      <c r="A1548" s="83"/>
      <c r="B1548" s="7"/>
      <c r="C1548" s="8"/>
      <c r="D1548" s="8"/>
      <c r="E1548" s="60"/>
      <c r="F1548" s="84" t="str">
        <f>IFERROR(VLOOKUP(CONCATENATE($B1548,"_",F$3),materiali!$C:$K,5,0),"")</f>
        <v/>
      </c>
      <c r="G1548" s="85" t="str">
        <f>IFERROR(VLOOKUP(CONCATENATE($B1548,"_",G$3),materiali!$C:$K,6,0),"")</f>
        <v/>
      </c>
      <c r="H1548" s="86"/>
      <c r="I1548" s="84" t="str">
        <f>IFERROR(VLOOKUP(CONCATENATE($B1548,"_",I$3),materiali!$C:$K,5,0),"")</f>
        <v/>
      </c>
      <c r="J1548" s="85" t="str">
        <f>IFERROR(VLOOKUP(CONCATENATE($B1548,"_",J$3),materiali!$C:$K,6,0),"")</f>
        <v/>
      </c>
      <c r="K1548" s="86"/>
      <c r="L1548" s="84" t="str">
        <f>IFERROR(VLOOKUP(CONCATENATE($B1548,"_",L$3),materiali!$C:$K,5,0),"")</f>
        <v/>
      </c>
      <c r="M1548" s="85" t="str">
        <f>IFERROR(VLOOKUP(CONCATENATE($B1548,"_",M$3),materiali!$C:$K,6,0),"")</f>
        <v/>
      </c>
      <c r="N1548" s="86"/>
      <c r="O1548" s="84" t="str">
        <f>IFERROR(VLOOKUP(CONCATENATE($B1548,"_",O$3),materiali!$C:$K,5,0),"")</f>
        <v/>
      </c>
      <c r="P1548" s="85" t="str">
        <f>IFERROR(VLOOKUP(CONCATENATE($B1548,"_",P$3),materiali!$C:$K,6,0),"")</f>
        <v/>
      </c>
      <c r="Q1548" s="86"/>
      <c r="R1548" s="84" t="str">
        <f>IFERROR(VLOOKUP(CONCATENATE($B1548,"_",R$3),materiali!$C:$K,5,0),"")</f>
        <v/>
      </c>
      <c r="S1548" s="85" t="str">
        <f>IFERROR(VLOOKUP(CONCATENATE($B1548,"_",S$3),materiali!$C:$K,6,0),"")</f>
        <v/>
      </c>
      <c r="T1548" s="86"/>
      <c r="U1548" s="31"/>
      <c r="AD1548" s="97"/>
    </row>
    <row r="1549" spans="1:30" ht="35.1" hidden="1" customHeight="1" x14ac:dyDescent="0.25">
      <c r="A1549" s="83"/>
      <c r="B1549" s="7"/>
      <c r="C1549" s="8"/>
      <c r="D1549" s="8"/>
      <c r="E1549" s="60"/>
      <c r="F1549" s="84" t="str">
        <f>IFERROR(VLOOKUP(CONCATENATE($B1549,"_",F$3),materiali!$C:$K,5,0),"")</f>
        <v/>
      </c>
      <c r="G1549" s="85" t="str">
        <f>IFERROR(VLOOKUP(CONCATENATE($B1549,"_",G$3),materiali!$C:$K,6,0),"")</f>
        <v/>
      </c>
      <c r="H1549" s="86"/>
      <c r="I1549" s="84" t="str">
        <f>IFERROR(VLOOKUP(CONCATENATE($B1549,"_",I$3),materiali!$C:$K,5,0),"")</f>
        <v/>
      </c>
      <c r="J1549" s="85" t="str">
        <f>IFERROR(VLOOKUP(CONCATENATE($B1549,"_",J$3),materiali!$C:$K,6,0),"")</f>
        <v/>
      </c>
      <c r="K1549" s="86"/>
      <c r="L1549" s="84" t="str">
        <f>IFERROR(VLOOKUP(CONCATENATE($B1549,"_",L$3),materiali!$C:$K,5,0),"")</f>
        <v/>
      </c>
      <c r="M1549" s="85" t="str">
        <f>IFERROR(VLOOKUP(CONCATENATE($B1549,"_",M$3),materiali!$C:$K,6,0),"")</f>
        <v/>
      </c>
      <c r="N1549" s="86"/>
      <c r="O1549" s="84" t="str">
        <f>IFERROR(VLOOKUP(CONCATENATE($B1549,"_",O$3),materiali!$C:$K,5,0),"")</f>
        <v/>
      </c>
      <c r="P1549" s="85" t="str">
        <f>IFERROR(VLOOKUP(CONCATENATE($B1549,"_",P$3),materiali!$C:$K,6,0),"")</f>
        <v/>
      </c>
      <c r="Q1549" s="86"/>
      <c r="R1549" s="84" t="str">
        <f>IFERROR(VLOOKUP(CONCATENATE($B1549,"_",R$3),materiali!$C:$K,5,0),"")</f>
        <v/>
      </c>
      <c r="S1549" s="85" t="str">
        <f>IFERROR(VLOOKUP(CONCATENATE($B1549,"_",S$3),materiali!$C:$K,6,0),"")</f>
        <v/>
      </c>
      <c r="T1549" s="86"/>
      <c r="U1549" s="31"/>
      <c r="AD1549" s="97"/>
    </row>
    <row r="1550" spans="1:30" ht="35.1" hidden="1" customHeight="1" x14ac:dyDescent="0.25">
      <c r="A1550" s="83"/>
      <c r="B1550" s="7"/>
      <c r="C1550" s="8"/>
      <c r="D1550" s="8"/>
      <c r="E1550" s="60"/>
      <c r="F1550" s="84" t="str">
        <f>IFERROR(VLOOKUP(CONCATENATE($B1550,"_",F$3),materiali!$C:$K,5,0),"")</f>
        <v/>
      </c>
      <c r="G1550" s="85" t="str">
        <f>IFERROR(VLOOKUP(CONCATENATE($B1550,"_",G$3),materiali!$C:$K,6,0),"")</f>
        <v/>
      </c>
      <c r="H1550" s="86"/>
      <c r="I1550" s="84" t="str">
        <f>IFERROR(VLOOKUP(CONCATENATE($B1550,"_",I$3),materiali!$C:$K,5,0),"")</f>
        <v/>
      </c>
      <c r="J1550" s="85" t="str">
        <f>IFERROR(VLOOKUP(CONCATENATE($B1550,"_",J$3),materiali!$C:$K,6,0),"")</f>
        <v/>
      </c>
      <c r="K1550" s="86"/>
      <c r="L1550" s="84" t="str">
        <f>IFERROR(VLOOKUP(CONCATENATE($B1550,"_",L$3),materiali!$C:$K,5,0),"")</f>
        <v/>
      </c>
      <c r="M1550" s="85" t="str">
        <f>IFERROR(VLOOKUP(CONCATENATE($B1550,"_",M$3),materiali!$C:$K,6,0),"")</f>
        <v/>
      </c>
      <c r="N1550" s="86"/>
      <c r="O1550" s="84" t="str">
        <f>IFERROR(VLOOKUP(CONCATENATE($B1550,"_",O$3),materiali!$C:$K,5,0),"")</f>
        <v/>
      </c>
      <c r="P1550" s="85" t="str">
        <f>IFERROR(VLOOKUP(CONCATENATE($B1550,"_",P$3),materiali!$C:$K,6,0),"")</f>
        <v/>
      </c>
      <c r="Q1550" s="86"/>
      <c r="R1550" s="84" t="str">
        <f>IFERROR(VLOOKUP(CONCATENATE($B1550,"_",R$3),materiali!$C:$K,5,0),"")</f>
        <v/>
      </c>
      <c r="S1550" s="85" t="str">
        <f>IFERROR(VLOOKUP(CONCATENATE($B1550,"_",S$3),materiali!$C:$K,6,0),"")</f>
        <v/>
      </c>
      <c r="T1550" s="86"/>
      <c r="U1550" s="31"/>
      <c r="AD1550" s="97"/>
    </row>
    <row r="1551" spans="1:30" ht="35.1" hidden="1" customHeight="1" x14ac:dyDescent="0.25">
      <c r="A1551" s="83"/>
      <c r="B1551" s="7"/>
      <c r="C1551" s="8"/>
      <c r="D1551" s="8"/>
      <c r="E1551" s="60"/>
      <c r="F1551" s="84" t="str">
        <f>IFERROR(VLOOKUP(CONCATENATE($B1551,"_",F$3),materiali!$C:$K,5,0),"")</f>
        <v/>
      </c>
      <c r="G1551" s="85" t="str">
        <f>IFERROR(VLOOKUP(CONCATENATE($B1551,"_",G$3),materiali!$C:$K,6,0),"")</f>
        <v/>
      </c>
      <c r="H1551" s="86"/>
      <c r="I1551" s="84" t="str">
        <f>IFERROR(VLOOKUP(CONCATENATE($B1551,"_",I$3),materiali!$C:$K,5,0),"")</f>
        <v/>
      </c>
      <c r="J1551" s="85" t="str">
        <f>IFERROR(VLOOKUP(CONCATENATE($B1551,"_",J$3),materiali!$C:$K,6,0),"")</f>
        <v/>
      </c>
      <c r="K1551" s="86"/>
      <c r="L1551" s="84" t="str">
        <f>IFERROR(VLOOKUP(CONCATENATE($B1551,"_",L$3),materiali!$C:$K,5,0),"")</f>
        <v/>
      </c>
      <c r="M1551" s="85" t="str">
        <f>IFERROR(VLOOKUP(CONCATENATE($B1551,"_",M$3),materiali!$C:$K,6,0),"")</f>
        <v/>
      </c>
      <c r="N1551" s="86"/>
      <c r="O1551" s="84" t="str">
        <f>IFERROR(VLOOKUP(CONCATENATE($B1551,"_",O$3),materiali!$C:$K,5,0),"")</f>
        <v/>
      </c>
      <c r="P1551" s="85" t="str">
        <f>IFERROR(VLOOKUP(CONCATENATE($B1551,"_",P$3),materiali!$C:$K,6,0),"")</f>
        <v/>
      </c>
      <c r="Q1551" s="86"/>
      <c r="R1551" s="84" t="str">
        <f>IFERROR(VLOOKUP(CONCATENATE($B1551,"_",R$3),materiali!$C:$K,5,0),"")</f>
        <v/>
      </c>
      <c r="S1551" s="85" t="str">
        <f>IFERROR(VLOOKUP(CONCATENATE($B1551,"_",S$3),materiali!$C:$K,6,0),"")</f>
        <v/>
      </c>
      <c r="T1551" s="86"/>
      <c r="U1551" s="31"/>
      <c r="AD1551" s="97"/>
    </row>
    <row r="1552" spans="1:30" ht="35.1" hidden="1" customHeight="1" x14ac:dyDescent="0.25">
      <c r="A1552" s="83"/>
      <c r="B1552" s="7"/>
      <c r="C1552" s="8"/>
      <c r="D1552" s="8"/>
      <c r="E1552" s="60"/>
      <c r="F1552" s="84" t="str">
        <f>IFERROR(VLOOKUP(CONCATENATE($B1552,"_",F$3),materiali!$C:$K,5,0),"")</f>
        <v/>
      </c>
      <c r="G1552" s="85" t="str">
        <f>IFERROR(VLOOKUP(CONCATENATE($B1552,"_",G$3),materiali!$C:$K,6,0),"")</f>
        <v/>
      </c>
      <c r="H1552" s="86"/>
      <c r="I1552" s="84" t="str">
        <f>IFERROR(VLOOKUP(CONCATENATE($B1552,"_",I$3),materiali!$C:$K,5,0),"")</f>
        <v/>
      </c>
      <c r="J1552" s="85" t="str">
        <f>IFERROR(VLOOKUP(CONCATENATE($B1552,"_",J$3),materiali!$C:$K,6,0),"")</f>
        <v/>
      </c>
      <c r="K1552" s="86"/>
      <c r="L1552" s="84" t="str">
        <f>IFERROR(VLOOKUP(CONCATENATE($B1552,"_",L$3),materiali!$C:$K,5,0),"")</f>
        <v/>
      </c>
      <c r="M1552" s="85" t="str">
        <f>IFERROR(VLOOKUP(CONCATENATE($B1552,"_",M$3),materiali!$C:$K,6,0),"")</f>
        <v/>
      </c>
      <c r="N1552" s="86"/>
      <c r="O1552" s="84" t="str">
        <f>IFERROR(VLOOKUP(CONCATENATE($B1552,"_",O$3),materiali!$C:$K,5,0),"")</f>
        <v/>
      </c>
      <c r="P1552" s="85" t="str">
        <f>IFERROR(VLOOKUP(CONCATENATE($B1552,"_",P$3),materiali!$C:$K,6,0),"")</f>
        <v/>
      </c>
      <c r="Q1552" s="86"/>
      <c r="R1552" s="84" t="str">
        <f>IFERROR(VLOOKUP(CONCATENATE($B1552,"_",R$3),materiali!$C:$K,5,0),"")</f>
        <v/>
      </c>
      <c r="S1552" s="85" t="str">
        <f>IFERROR(VLOOKUP(CONCATENATE($B1552,"_",S$3),materiali!$C:$K,6,0),"")</f>
        <v/>
      </c>
      <c r="T1552" s="86"/>
      <c r="U1552" s="31"/>
      <c r="AD1552" s="97"/>
    </row>
    <row r="1553" spans="1:30" ht="35.1" hidden="1" customHeight="1" x14ac:dyDescent="0.25">
      <c r="A1553" s="83"/>
      <c r="B1553" s="7"/>
      <c r="C1553" s="8"/>
      <c r="D1553" s="8"/>
      <c r="E1553" s="60"/>
      <c r="F1553" s="84" t="str">
        <f>IFERROR(VLOOKUP(CONCATENATE($B1553,"_",F$3),materiali!$C:$K,5,0),"")</f>
        <v/>
      </c>
      <c r="G1553" s="85" t="str">
        <f>IFERROR(VLOOKUP(CONCATENATE($B1553,"_",G$3),materiali!$C:$K,6,0),"")</f>
        <v/>
      </c>
      <c r="H1553" s="86"/>
      <c r="I1553" s="84" t="str">
        <f>IFERROR(VLOOKUP(CONCATENATE($B1553,"_",I$3),materiali!$C:$K,5,0),"")</f>
        <v/>
      </c>
      <c r="J1553" s="85" t="str">
        <f>IFERROR(VLOOKUP(CONCATENATE($B1553,"_",J$3),materiali!$C:$K,6,0),"")</f>
        <v/>
      </c>
      <c r="K1553" s="86"/>
      <c r="L1553" s="84" t="str">
        <f>IFERROR(VLOOKUP(CONCATENATE($B1553,"_",L$3),materiali!$C:$K,5,0),"")</f>
        <v/>
      </c>
      <c r="M1553" s="85" t="str">
        <f>IFERROR(VLOOKUP(CONCATENATE($B1553,"_",M$3),materiali!$C:$K,6,0),"")</f>
        <v/>
      </c>
      <c r="N1553" s="86"/>
      <c r="O1553" s="84" t="str">
        <f>IFERROR(VLOOKUP(CONCATENATE($B1553,"_",O$3),materiali!$C:$K,5,0),"")</f>
        <v/>
      </c>
      <c r="P1553" s="85" t="str">
        <f>IFERROR(VLOOKUP(CONCATENATE($B1553,"_",P$3),materiali!$C:$K,6,0),"")</f>
        <v/>
      </c>
      <c r="Q1553" s="86"/>
      <c r="R1553" s="84" t="str">
        <f>IFERROR(VLOOKUP(CONCATENATE($B1553,"_",R$3),materiali!$C:$K,5,0),"")</f>
        <v/>
      </c>
      <c r="S1553" s="85" t="str">
        <f>IFERROR(VLOOKUP(CONCATENATE($B1553,"_",S$3),materiali!$C:$K,6,0),"")</f>
        <v/>
      </c>
      <c r="T1553" s="86"/>
      <c r="U1553" s="31"/>
      <c r="AD1553" s="97"/>
    </row>
    <row r="1554" spans="1:30" ht="35.1" hidden="1" customHeight="1" x14ac:dyDescent="0.25">
      <c r="A1554" s="83"/>
      <c r="B1554" s="7"/>
      <c r="C1554" s="8"/>
      <c r="D1554" s="8"/>
      <c r="E1554" s="60"/>
      <c r="F1554" s="84" t="str">
        <f>IFERROR(VLOOKUP(CONCATENATE($B1554,"_",F$3),materiali!$C:$K,5,0),"")</f>
        <v/>
      </c>
      <c r="G1554" s="85" t="str">
        <f>IFERROR(VLOOKUP(CONCATENATE($B1554,"_",G$3),materiali!$C:$K,6,0),"")</f>
        <v/>
      </c>
      <c r="H1554" s="86"/>
      <c r="I1554" s="84" t="str">
        <f>IFERROR(VLOOKUP(CONCATENATE($B1554,"_",I$3),materiali!$C:$K,5,0),"")</f>
        <v/>
      </c>
      <c r="J1554" s="85" t="str">
        <f>IFERROR(VLOOKUP(CONCATENATE($B1554,"_",J$3),materiali!$C:$K,6,0),"")</f>
        <v/>
      </c>
      <c r="K1554" s="86"/>
      <c r="L1554" s="84" t="str">
        <f>IFERROR(VLOOKUP(CONCATENATE($B1554,"_",L$3),materiali!$C:$K,5,0),"")</f>
        <v/>
      </c>
      <c r="M1554" s="85" t="str">
        <f>IFERROR(VLOOKUP(CONCATENATE($B1554,"_",M$3),materiali!$C:$K,6,0),"")</f>
        <v/>
      </c>
      <c r="N1554" s="86"/>
      <c r="O1554" s="84" t="str">
        <f>IFERROR(VLOOKUP(CONCATENATE($B1554,"_",O$3),materiali!$C:$K,5,0),"")</f>
        <v/>
      </c>
      <c r="P1554" s="85" t="str">
        <f>IFERROR(VLOOKUP(CONCATENATE($B1554,"_",P$3),materiali!$C:$K,6,0),"")</f>
        <v/>
      </c>
      <c r="Q1554" s="86"/>
      <c r="R1554" s="84" t="str">
        <f>IFERROR(VLOOKUP(CONCATENATE($B1554,"_",R$3),materiali!$C:$K,5,0),"")</f>
        <v/>
      </c>
      <c r="S1554" s="85" t="str">
        <f>IFERROR(VLOOKUP(CONCATENATE($B1554,"_",S$3),materiali!$C:$K,6,0),"")</f>
        <v/>
      </c>
      <c r="T1554" s="86"/>
      <c r="U1554" s="31"/>
      <c r="AD1554" s="97"/>
    </row>
    <row r="1555" spans="1:30" ht="35.1" hidden="1" customHeight="1" x14ac:dyDescent="0.25">
      <c r="A1555" s="83"/>
      <c r="B1555" s="7"/>
      <c r="C1555" s="8"/>
      <c r="D1555" s="8"/>
      <c r="E1555" s="60"/>
      <c r="F1555" s="84" t="str">
        <f>IFERROR(VLOOKUP(CONCATENATE($B1555,"_",F$3),materiali!$C:$K,5,0),"")</f>
        <v/>
      </c>
      <c r="G1555" s="85" t="str">
        <f>IFERROR(VLOOKUP(CONCATENATE($B1555,"_",G$3),materiali!$C:$K,6,0),"")</f>
        <v/>
      </c>
      <c r="H1555" s="86"/>
      <c r="I1555" s="84" t="str">
        <f>IFERROR(VLOOKUP(CONCATENATE($B1555,"_",I$3),materiali!$C:$K,5,0),"")</f>
        <v/>
      </c>
      <c r="J1555" s="85" t="str">
        <f>IFERROR(VLOOKUP(CONCATENATE($B1555,"_",J$3),materiali!$C:$K,6,0),"")</f>
        <v/>
      </c>
      <c r="K1555" s="86"/>
      <c r="L1555" s="84" t="str">
        <f>IFERROR(VLOOKUP(CONCATENATE($B1555,"_",L$3),materiali!$C:$K,5,0),"")</f>
        <v/>
      </c>
      <c r="M1555" s="85" t="str">
        <f>IFERROR(VLOOKUP(CONCATENATE($B1555,"_",M$3),materiali!$C:$K,6,0),"")</f>
        <v/>
      </c>
      <c r="N1555" s="86"/>
      <c r="O1555" s="84" t="str">
        <f>IFERROR(VLOOKUP(CONCATENATE($B1555,"_",O$3),materiali!$C:$K,5,0),"")</f>
        <v/>
      </c>
      <c r="P1555" s="85" t="str">
        <f>IFERROR(VLOOKUP(CONCATENATE($B1555,"_",P$3),materiali!$C:$K,6,0),"")</f>
        <v/>
      </c>
      <c r="Q1555" s="86"/>
      <c r="R1555" s="84" t="str">
        <f>IFERROR(VLOOKUP(CONCATENATE($B1555,"_",R$3),materiali!$C:$K,5,0),"")</f>
        <v/>
      </c>
      <c r="S1555" s="85" t="str">
        <f>IFERROR(VLOOKUP(CONCATENATE($B1555,"_",S$3),materiali!$C:$K,6,0),"")</f>
        <v/>
      </c>
      <c r="T1555" s="86"/>
      <c r="U1555" s="31"/>
      <c r="AD1555" s="97"/>
    </row>
    <row r="1556" spans="1:30" ht="35.1" hidden="1" customHeight="1" x14ac:dyDescent="0.25">
      <c r="A1556" s="83"/>
      <c r="B1556" s="7"/>
      <c r="C1556" s="8"/>
      <c r="D1556" s="8"/>
      <c r="E1556" s="60"/>
      <c r="F1556" s="84" t="str">
        <f>IFERROR(VLOOKUP(CONCATENATE($B1556,"_",F$3),materiali!$C:$K,5,0),"")</f>
        <v/>
      </c>
      <c r="G1556" s="85" t="str">
        <f>IFERROR(VLOOKUP(CONCATENATE($B1556,"_",G$3),materiali!$C:$K,6,0),"")</f>
        <v/>
      </c>
      <c r="H1556" s="86"/>
      <c r="I1556" s="84" t="str">
        <f>IFERROR(VLOOKUP(CONCATENATE($B1556,"_",I$3),materiali!$C:$K,5,0),"")</f>
        <v/>
      </c>
      <c r="J1556" s="85" t="str">
        <f>IFERROR(VLOOKUP(CONCATENATE($B1556,"_",J$3),materiali!$C:$K,6,0),"")</f>
        <v/>
      </c>
      <c r="K1556" s="86"/>
      <c r="L1556" s="84" t="str">
        <f>IFERROR(VLOOKUP(CONCATENATE($B1556,"_",L$3),materiali!$C:$K,5,0),"")</f>
        <v/>
      </c>
      <c r="M1556" s="85" t="str">
        <f>IFERROR(VLOOKUP(CONCATENATE($B1556,"_",M$3),materiali!$C:$K,6,0),"")</f>
        <v/>
      </c>
      <c r="N1556" s="86"/>
      <c r="O1556" s="84" t="str">
        <f>IFERROR(VLOOKUP(CONCATENATE($B1556,"_",O$3),materiali!$C:$K,5,0),"")</f>
        <v/>
      </c>
      <c r="P1556" s="85" t="str">
        <f>IFERROR(VLOOKUP(CONCATENATE($B1556,"_",P$3),materiali!$C:$K,6,0),"")</f>
        <v/>
      </c>
      <c r="Q1556" s="86"/>
      <c r="R1556" s="84" t="str">
        <f>IFERROR(VLOOKUP(CONCATENATE($B1556,"_",R$3),materiali!$C:$K,5,0),"")</f>
        <v/>
      </c>
      <c r="S1556" s="85" t="str">
        <f>IFERROR(VLOOKUP(CONCATENATE($B1556,"_",S$3),materiali!$C:$K,6,0),"")</f>
        <v/>
      </c>
      <c r="T1556" s="86"/>
      <c r="U1556" s="31"/>
      <c r="AD1556" s="97"/>
    </row>
    <row r="1557" spans="1:30" ht="35.1" hidden="1" customHeight="1" x14ac:dyDescent="0.25">
      <c r="A1557" s="83"/>
      <c r="B1557" s="7"/>
      <c r="C1557" s="8"/>
      <c r="D1557" s="8"/>
      <c r="E1557" s="60"/>
      <c r="F1557" s="84" t="str">
        <f>IFERROR(VLOOKUP(CONCATENATE($B1557,"_",F$3),materiali!$C:$K,5,0),"")</f>
        <v/>
      </c>
      <c r="G1557" s="85" t="str">
        <f>IFERROR(VLOOKUP(CONCATENATE($B1557,"_",G$3),materiali!$C:$K,6,0),"")</f>
        <v/>
      </c>
      <c r="H1557" s="86"/>
      <c r="I1557" s="84" t="str">
        <f>IFERROR(VLOOKUP(CONCATENATE($B1557,"_",I$3),materiali!$C:$K,5,0),"")</f>
        <v/>
      </c>
      <c r="J1557" s="85" t="str">
        <f>IFERROR(VLOOKUP(CONCATENATE($B1557,"_",J$3),materiali!$C:$K,6,0),"")</f>
        <v/>
      </c>
      <c r="K1557" s="86"/>
      <c r="L1557" s="84" t="str">
        <f>IFERROR(VLOOKUP(CONCATENATE($B1557,"_",L$3),materiali!$C:$K,5,0),"")</f>
        <v/>
      </c>
      <c r="M1557" s="85" t="str">
        <f>IFERROR(VLOOKUP(CONCATENATE($B1557,"_",M$3),materiali!$C:$K,6,0),"")</f>
        <v/>
      </c>
      <c r="N1557" s="86"/>
      <c r="O1557" s="84" t="str">
        <f>IFERROR(VLOOKUP(CONCATENATE($B1557,"_",O$3),materiali!$C:$K,5,0),"")</f>
        <v/>
      </c>
      <c r="P1557" s="85" t="str">
        <f>IFERROR(VLOOKUP(CONCATENATE($B1557,"_",P$3),materiali!$C:$K,6,0),"")</f>
        <v/>
      </c>
      <c r="Q1557" s="86"/>
      <c r="R1557" s="84" t="str">
        <f>IFERROR(VLOOKUP(CONCATENATE($B1557,"_",R$3),materiali!$C:$K,5,0),"")</f>
        <v/>
      </c>
      <c r="S1557" s="85" t="str">
        <f>IFERROR(VLOOKUP(CONCATENATE($B1557,"_",S$3),materiali!$C:$K,6,0),"")</f>
        <v/>
      </c>
      <c r="T1557" s="86"/>
      <c r="U1557" s="31"/>
      <c r="AD1557" s="97"/>
    </row>
    <row r="1558" spans="1:30" ht="35.1" hidden="1" customHeight="1" x14ac:dyDescent="0.25">
      <c r="A1558" s="83"/>
      <c r="B1558" s="7"/>
      <c r="C1558" s="8"/>
      <c r="D1558" s="8"/>
      <c r="E1558" s="60"/>
      <c r="F1558" s="84" t="str">
        <f>IFERROR(VLOOKUP(CONCATENATE($B1558,"_",F$3),materiali!$C:$K,5,0),"")</f>
        <v/>
      </c>
      <c r="G1558" s="85" t="str">
        <f>IFERROR(VLOOKUP(CONCATENATE($B1558,"_",G$3),materiali!$C:$K,6,0),"")</f>
        <v/>
      </c>
      <c r="H1558" s="86"/>
      <c r="I1558" s="84" t="str">
        <f>IFERROR(VLOOKUP(CONCATENATE($B1558,"_",I$3),materiali!$C:$K,5,0),"")</f>
        <v/>
      </c>
      <c r="J1558" s="85" t="str">
        <f>IFERROR(VLOOKUP(CONCATENATE($B1558,"_",J$3),materiali!$C:$K,6,0),"")</f>
        <v/>
      </c>
      <c r="K1558" s="86"/>
      <c r="L1558" s="84" t="str">
        <f>IFERROR(VLOOKUP(CONCATENATE($B1558,"_",L$3),materiali!$C:$K,5,0),"")</f>
        <v/>
      </c>
      <c r="M1558" s="85" t="str">
        <f>IFERROR(VLOOKUP(CONCATENATE($B1558,"_",M$3),materiali!$C:$K,6,0),"")</f>
        <v/>
      </c>
      <c r="N1558" s="86"/>
      <c r="O1558" s="84" t="str">
        <f>IFERROR(VLOOKUP(CONCATENATE($B1558,"_",O$3),materiali!$C:$K,5,0),"")</f>
        <v/>
      </c>
      <c r="P1558" s="85" t="str">
        <f>IFERROR(VLOOKUP(CONCATENATE($B1558,"_",P$3),materiali!$C:$K,6,0),"")</f>
        <v/>
      </c>
      <c r="Q1558" s="86"/>
      <c r="R1558" s="84" t="str">
        <f>IFERROR(VLOOKUP(CONCATENATE($B1558,"_",R$3),materiali!$C:$K,5,0),"")</f>
        <v/>
      </c>
      <c r="S1558" s="85" t="str">
        <f>IFERROR(VLOOKUP(CONCATENATE($B1558,"_",S$3),materiali!$C:$K,6,0),"")</f>
        <v/>
      </c>
      <c r="T1558" s="86"/>
      <c r="U1558" s="31"/>
      <c r="AD1558" s="97"/>
    </row>
    <row r="1559" spans="1:30" ht="35.1" hidden="1" customHeight="1" x14ac:dyDescent="0.25">
      <c r="A1559" s="83"/>
      <c r="B1559" s="7"/>
      <c r="C1559" s="8"/>
      <c r="D1559" s="8"/>
      <c r="E1559" s="60"/>
      <c r="F1559" s="84" t="str">
        <f>IFERROR(VLOOKUP(CONCATENATE($B1559,"_",F$3),materiali!$C:$K,5,0),"")</f>
        <v/>
      </c>
      <c r="G1559" s="85" t="str">
        <f>IFERROR(VLOOKUP(CONCATENATE($B1559,"_",G$3),materiali!$C:$K,6,0),"")</f>
        <v/>
      </c>
      <c r="H1559" s="86"/>
      <c r="I1559" s="84" t="str">
        <f>IFERROR(VLOOKUP(CONCATENATE($B1559,"_",I$3),materiali!$C:$K,5,0),"")</f>
        <v/>
      </c>
      <c r="J1559" s="85" t="str">
        <f>IFERROR(VLOOKUP(CONCATENATE($B1559,"_",J$3),materiali!$C:$K,6,0),"")</f>
        <v/>
      </c>
      <c r="K1559" s="86"/>
      <c r="L1559" s="84" t="str">
        <f>IFERROR(VLOOKUP(CONCATENATE($B1559,"_",L$3),materiali!$C:$K,5,0),"")</f>
        <v/>
      </c>
      <c r="M1559" s="85" t="str">
        <f>IFERROR(VLOOKUP(CONCATENATE($B1559,"_",M$3),materiali!$C:$K,6,0),"")</f>
        <v/>
      </c>
      <c r="N1559" s="86"/>
      <c r="O1559" s="84" t="str">
        <f>IFERROR(VLOOKUP(CONCATENATE($B1559,"_",O$3),materiali!$C:$K,5,0),"")</f>
        <v/>
      </c>
      <c r="P1559" s="85" t="str">
        <f>IFERROR(VLOOKUP(CONCATENATE($B1559,"_",P$3),materiali!$C:$K,6,0),"")</f>
        <v/>
      </c>
      <c r="Q1559" s="86"/>
      <c r="R1559" s="84" t="str">
        <f>IFERROR(VLOOKUP(CONCATENATE($B1559,"_",R$3),materiali!$C:$K,5,0),"")</f>
        <v/>
      </c>
      <c r="S1559" s="85" t="str">
        <f>IFERROR(VLOOKUP(CONCATENATE($B1559,"_",S$3),materiali!$C:$K,6,0),"")</f>
        <v/>
      </c>
      <c r="T1559" s="86"/>
      <c r="U1559" s="31"/>
      <c r="AD1559" s="97"/>
    </row>
    <row r="1560" spans="1:30" ht="35.1" hidden="1" customHeight="1" x14ac:dyDescent="0.25">
      <c r="A1560" s="83"/>
      <c r="B1560" s="7"/>
      <c r="C1560" s="8"/>
      <c r="D1560" s="8"/>
      <c r="E1560" s="60"/>
      <c r="F1560" s="84" t="str">
        <f>IFERROR(VLOOKUP(CONCATENATE($B1560,"_",F$3),materiali!$C:$K,5,0),"")</f>
        <v/>
      </c>
      <c r="G1560" s="85" t="str">
        <f>IFERROR(VLOOKUP(CONCATENATE($B1560,"_",G$3),materiali!$C:$K,6,0),"")</f>
        <v/>
      </c>
      <c r="H1560" s="86"/>
      <c r="I1560" s="84" t="str">
        <f>IFERROR(VLOOKUP(CONCATENATE($B1560,"_",I$3),materiali!$C:$K,5,0),"")</f>
        <v/>
      </c>
      <c r="J1560" s="85" t="str">
        <f>IFERROR(VLOOKUP(CONCATENATE($B1560,"_",J$3),materiali!$C:$K,6,0),"")</f>
        <v/>
      </c>
      <c r="K1560" s="86"/>
      <c r="L1560" s="84" t="str">
        <f>IFERROR(VLOOKUP(CONCATENATE($B1560,"_",L$3),materiali!$C:$K,5,0),"")</f>
        <v/>
      </c>
      <c r="M1560" s="85" t="str">
        <f>IFERROR(VLOOKUP(CONCATENATE($B1560,"_",M$3),materiali!$C:$K,6,0),"")</f>
        <v/>
      </c>
      <c r="N1560" s="86"/>
      <c r="O1560" s="84" t="str">
        <f>IFERROR(VLOOKUP(CONCATENATE($B1560,"_",O$3),materiali!$C:$K,5,0),"")</f>
        <v/>
      </c>
      <c r="P1560" s="85" t="str">
        <f>IFERROR(VLOOKUP(CONCATENATE($B1560,"_",P$3),materiali!$C:$K,6,0),"")</f>
        <v/>
      </c>
      <c r="Q1560" s="86"/>
      <c r="R1560" s="84" t="str">
        <f>IFERROR(VLOOKUP(CONCATENATE($B1560,"_",R$3),materiali!$C:$K,5,0),"")</f>
        <v/>
      </c>
      <c r="S1560" s="85" t="str">
        <f>IFERROR(VLOOKUP(CONCATENATE($B1560,"_",S$3),materiali!$C:$K,6,0),"")</f>
        <v/>
      </c>
      <c r="T1560" s="86"/>
      <c r="U1560" s="31"/>
      <c r="AD1560" s="97"/>
    </row>
    <row r="1561" spans="1:30" ht="35.1" hidden="1" customHeight="1" x14ac:dyDescent="0.25">
      <c r="A1561" s="83"/>
      <c r="B1561" s="7"/>
      <c r="C1561" s="8"/>
      <c r="D1561" s="8"/>
      <c r="E1561" s="60"/>
      <c r="F1561" s="84" t="str">
        <f>IFERROR(VLOOKUP(CONCATENATE($B1561,"_",F$3),materiali!$C:$K,5,0),"")</f>
        <v/>
      </c>
      <c r="G1561" s="85" t="str">
        <f>IFERROR(VLOOKUP(CONCATENATE($B1561,"_",G$3),materiali!$C:$K,6,0),"")</f>
        <v/>
      </c>
      <c r="H1561" s="86"/>
      <c r="I1561" s="84" t="str">
        <f>IFERROR(VLOOKUP(CONCATENATE($B1561,"_",I$3),materiali!$C:$K,5,0),"")</f>
        <v/>
      </c>
      <c r="J1561" s="85" t="str">
        <f>IFERROR(VLOOKUP(CONCATENATE($B1561,"_",J$3),materiali!$C:$K,6,0),"")</f>
        <v/>
      </c>
      <c r="K1561" s="86"/>
      <c r="L1561" s="84" t="str">
        <f>IFERROR(VLOOKUP(CONCATENATE($B1561,"_",L$3),materiali!$C:$K,5,0),"")</f>
        <v/>
      </c>
      <c r="M1561" s="85" t="str">
        <f>IFERROR(VLOOKUP(CONCATENATE($B1561,"_",M$3),materiali!$C:$K,6,0),"")</f>
        <v/>
      </c>
      <c r="N1561" s="86"/>
      <c r="O1561" s="84" t="str">
        <f>IFERROR(VLOOKUP(CONCATENATE($B1561,"_",O$3),materiali!$C:$K,5,0),"")</f>
        <v/>
      </c>
      <c r="P1561" s="85" t="str">
        <f>IFERROR(VLOOKUP(CONCATENATE($B1561,"_",P$3),materiali!$C:$K,6,0),"")</f>
        <v/>
      </c>
      <c r="Q1561" s="86"/>
      <c r="R1561" s="84" t="str">
        <f>IFERROR(VLOOKUP(CONCATENATE($B1561,"_",R$3),materiali!$C:$K,5,0),"")</f>
        <v/>
      </c>
      <c r="S1561" s="85" t="str">
        <f>IFERROR(VLOOKUP(CONCATENATE($B1561,"_",S$3),materiali!$C:$K,6,0),"")</f>
        <v/>
      </c>
      <c r="T1561" s="86"/>
      <c r="U1561" s="31"/>
      <c r="AD1561" s="97"/>
    </row>
    <row r="1562" spans="1:30" ht="35.1" hidden="1" customHeight="1" x14ac:dyDescent="0.25">
      <c r="A1562" s="83"/>
      <c r="B1562" s="7"/>
      <c r="C1562" s="8"/>
      <c r="D1562" s="8"/>
      <c r="E1562" s="60"/>
      <c r="F1562" s="84" t="str">
        <f>IFERROR(VLOOKUP(CONCATENATE($B1562,"_",F$3),materiali!$C:$K,5,0),"")</f>
        <v/>
      </c>
      <c r="G1562" s="85" t="str">
        <f>IFERROR(VLOOKUP(CONCATENATE($B1562,"_",G$3),materiali!$C:$K,6,0),"")</f>
        <v/>
      </c>
      <c r="H1562" s="86"/>
      <c r="I1562" s="84" t="str">
        <f>IFERROR(VLOOKUP(CONCATENATE($B1562,"_",I$3),materiali!$C:$K,5,0),"")</f>
        <v/>
      </c>
      <c r="J1562" s="85" t="str">
        <f>IFERROR(VLOOKUP(CONCATENATE($B1562,"_",J$3),materiali!$C:$K,6,0),"")</f>
        <v/>
      </c>
      <c r="K1562" s="86"/>
      <c r="L1562" s="84" t="str">
        <f>IFERROR(VLOOKUP(CONCATENATE($B1562,"_",L$3),materiali!$C:$K,5,0),"")</f>
        <v/>
      </c>
      <c r="M1562" s="85" t="str">
        <f>IFERROR(VLOOKUP(CONCATENATE($B1562,"_",M$3),materiali!$C:$K,6,0),"")</f>
        <v/>
      </c>
      <c r="N1562" s="86"/>
      <c r="O1562" s="84" t="str">
        <f>IFERROR(VLOOKUP(CONCATENATE($B1562,"_",O$3),materiali!$C:$K,5,0),"")</f>
        <v/>
      </c>
      <c r="P1562" s="85" t="str">
        <f>IFERROR(VLOOKUP(CONCATENATE($B1562,"_",P$3),materiali!$C:$K,6,0),"")</f>
        <v/>
      </c>
      <c r="Q1562" s="86"/>
      <c r="R1562" s="84" t="str">
        <f>IFERROR(VLOOKUP(CONCATENATE($B1562,"_",R$3),materiali!$C:$K,5,0),"")</f>
        <v/>
      </c>
      <c r="S1562" s="85" t="str">
        <f>IFERROR(VLOOKUP(CONCATENATE($B1562,"_",S$3),materiali!$C:$K,6,0),"")</f>
        <v/>
      </c>
      <c r="T1562" s="86"/>
      <c r="U1562" s="31"/>
      <c r="AD1562" s="97"/>
    </row>
    <row r="1563" spans="1:30" ht="35.1" hidden="1" customHeight="1" x14ac:dyDescent="0.25">
      <c r="A1563" s="83"/>
      <c r="B1563" s="7"/>
      <c r="C1563" s="8"/>
      <c r="D1563" s="8"/>
      <c r="E1563" s="60"/>
      <c r="F1563" s="84" t="str">
        <f>IFERROR(VLOOKUP(CONCATENATE($B1563,"_",F$3),materiali!$C:$K,5,0),"")</f>
        <v/>
      </c>
      <c r="G1563" s="85" t="str">
        <f>IFERROR(VLOOKUP(CONCATENATE($B1563,"_",G$3),materiali!$C:$K,6,0),"")</f>
        <v/>
      </c>
      <c r="H1563" s="86"/>
      <c r="I1563" s="84" t="str">
        <f>IFERROR(VLOOKUP(CONCATENATE($B1563,"_",I$3),materiali!$C:$K,5,0),"")</f>
        <v/>
      </c>
      <c r="J1563" s="85" t="str">
        <f>IFERROR(VLOOKUP(CONCATENATE($B1563,"_",J$3),materiali!$C:$K,6,0),"")</f>
        <v/>
      </c>
      <c r="K1563" s="86"/>
      <c r="L1563" s="84" t="str">
        <f>IFERROR(VLOOKUP(CONCATENATE($B1563,"_",L$3),materiali!$C:$K,5,0),"")</f>
        <v/>
      </c>
      <c r="M1563" s="85" t="str">
        <f>IFERROR(VLOOKUP(CONCATENATE($B1563,"_",M$3),materiali!$C:$K,6,0),"")</f>
        <v/>
      </c>
      <c r="N1563" s="86"/>
      <c r="O1563" s="84" t="str">
        <f>IFERROR(VLOOKUP(CONCATENATE($B1563,"_",O$3),materiali!$C:$K,5,0),"")</f>
        <v/>
      </c>
      <c r="P1563" s="85" t="str">
        <f>IFERROR(VLOOKUP(CONCATENATE($B1563,"_",P$3),materiali!$C:$K,6,0),"")</f>
        <v/>
      </c>
      <c r="Q1563" s="86"/>
      <c r="R1563" s="84" t="str">
        <f>IFERROR(VLOOKUP(CONCATENATE($B1563,"_",R$3),materiali!$C:$K,5,0),"")</f>
        <v/>
      </c>
      <c r="S1563" s="85" t="str">
        <f>IFERROR(VLOOKUP(CONCATENATE($B1563,"_",S$3),materiali!$C:$K,6,0),"")</f>
        <v/>
      </c>
      <c r="T1563" s="86"/>
      <c r="U1563" s="31"/>
      <c r="AD1563" s="97"/>
    </row>
    <row r="1564" spans="1:30" ht="35.1" hidden="1" customHeight="1" x14ac:dyDescent="0.25">
      <c r="A1564" s="83"/>
      <c r="B1564" s="7"/>
      <c r="C1564" s="8"/>
      <c r="D1564" s="8"/>
      <c r="E1564" s="60"/>
      <c r="F1564" s="84" t="str">
        <f>IFERROR(VLOOKUP(CONCATENATE($B1564,"_",F$3),materiali!$C:$K,5,0),"")</f>
        <v/>
      </c>
      <c r="G1564" s="85" t="str">
        <f>IFERROR(VLOOKUP(CONCATENATE($B1564,"_",G$3),materiali!$C:$K,6,0),"")</f>
        <v/>
      </c>
      <c r="H1564" s="86"/>
      <c r="I1564" s="84" t="str">
        <f>IFERROR(VLOOKUP(CONCATENATE($B1564,"_",I$3),materiali!$C:$K,5,0),"")</f>
        <v/>
      </c>
      <c r="J1564" s="85" t="str">
        <f>IFERROR(VLOOKUP(CONCATENATE($B1564,"_",J$3),materiali!$C:$K,6,0),"")</f>
        <v/>
      </c>
      <c r="K1564" s="86"/>
      <c r="L1564" s="84" t="str">
        <f>IFERROR(VLOOKUP(CONCATENATE($B1564,"_",L$3),materiali!$C:$K,5,0),"")</f>
        <v/>
      </c>
      <c r="M1564" s="85" t="str">
        <f>IFERROR(VLOOKUP(CONCATENATE($B1564,"_",M$3),materiali!$C:$K,6,0),"")</f>
        <v/>
      </c>
      <c r="N1564" s="86"/>
      <c r="O1564" s="84" t="str">
        <f>IFERROR(VLOOKUP(CONCATENATE($B1564,"_",O$3),materiali!$C:$K,5,0),"")</f>
        <v/>
      </c>
      <c r="P1564" s="85" t="str">
        <f>IFERROR(VLOOKUP(CONCATENATE($B1564,"_",P$3),materiali!$C:$K,6,0),"")</f>
        <v/>
      </c>
      <c r="Q1564" s="86"/>
      <c r="R1564" s="84" t="str">
        <f>IFERROR(VLOOKUP(CONCATENATE($B1564,"_",R$3),materiali!$C:$K,5,0),"")</f>
        <v/>
      </c>
      <c r="S1564" s="85" t="str">
        <f>IFERROR(VLOOKUP(CONCATENATE($B1564,"_",S$3),materiali!$C:$K,6,0),"")</f>
        <v/>
      </c>
      <c r="T1564" s="86"/>
      <c r="U1564" s="31"/>
      <c r="AD1564" s="97"/>
    </row>
    <row r="1565" spans="1:30" ht="35.1" hidden="1" customHeight="1" x14ac:dyDescent="0.25">
      <c r="A1565" s="83"/>
      <c r="B1565" s="7"/>
      <c r="C1565" s="8"/>
      <c r="D1565" s="8"/>
      <c r="E1565" s="60"/>
      <c r="F1565" s="84" t="str">
        <f>IFERROR(VLOOKUP(CONCATENATE($B1565,"_",F$3),materiali!$C:$K,5,0),"")</f>
        <v/>
      </c>
      <c r="G1565" s="85" t="str">
        <f>IFERROR(VLOOKUP(CONCATENATE($B1565,"_",G$3),materiali!$C:$K,6,0),"")</f>
        <v/>
      </c>
      <c r="H1565" s="86"/>
      <c r="I1565" s="84" t="str">
        <f>IFERROR(VLOOKUP(CONCATENATE($B1565,"_",I$3),materiali!$C:$K,5,0),"")</f>
        <v/>
      </c>
      <c r="J1565" s="85" t="str">
        <f>IFERROR(VLOOKUP(CONCATENATE($B1565,"_",J$3),materiali!$C:$K,6,0),"")</f>
        <v/>
      </c>
      <c r="K1565" s="86"/>
      <c r="L1565" s="84" t="str">
        <f>IFERROR(VLOOKUP(CONCATENATE($B1565,"_",L$3),materiali!$C:$K,5,0),"")</f>
        <v/>
      </c>
      <c r="M1565" s="85" t="str">
        <f>IFERROR(VLOOKUP(CONCATENATE($B1565,"_",M$3),materiali!$C:$K,6,0),"")</f>
        <v/>
      </c>
      <c r="N1565" s="86"/>
      <c r="O1565" s="84" t="str">
        <f>IFERROR(VLOOKUP(CONCATENATE($B1565,"_",O$3),materiali!$C:$K,5,0),"")</f>
        <v/>
      </c>
      <c r="P1565" s="85" t="str">
        <f>IFERROR(VLOOKUP(CONCATENATE($B1565,"_",P$3),materiali!$C:$K,6,0),"")</f>
        <v/>
      </c>
      <c r="Q1565" s="86"/>
      <c r="R1565" s="84" t="str">
        <f>IFERROR(VLOOKUP(CONCATENATE($B1565,"_",R$3),materiali!$C:$K,5,0),"")</f>
        <v/>
      </c>
      <c r="S1565" s="85" t="str">
        <f>IFERROR(VLOOKUP(CONCATENATE($B1565,"_",S$3),materiali!$C:$K,6,0),"")</f>
        <v/>
      </c>
      <c r="T1565" s="86"/>
      <c r="U1565" s="31"/>
      <c r="AD1565" s="97"/>
    </row>
    <row r="1566" spans="1:30" ht="35.1" hidden="1" customHeight="1" x14ac:dyDescent="0.25">
      <c r="A1566" s="83"/>
      <c r="B1566" s="7"/>
      <c r="C1566" s="8"/>
      <c r="D1566" s="8"/>
      <c r="E1566" s="60"/>
      <c r="F1566" s="84" t="str">
        <f>IFERROR(VLOOKUP(CONCATENATE($B1566,"_",F$3),materiali!$C:$K,5,0),"")</f>
        <v/>
      </c>
      <c r="G1566" s="85" t="str">
        <f>IFERROR(VLOOKUP(CONCATENATE($B1566,"_",G$3),materiali!$C:$K,6,0),"")</f>
        <v/>
      </c>
      <c r="H1566" s="86"/>
      <c r="I1566" s="84" t="str">
        <f>IFERROR(VLOOKUP(CONCATENATE($B1566,"_",I$3),materiali!$C:$K,5,0),"")</f>
        <v/>
      </c>
      <c r="J1566" s="85" t="str">
        <f>IFERROR(VLOOKUP(CONCATENATE($B1566,"_",J$3),materiali!$C:$K,6,0),"")</f>
        <v/>
      </c>
      <c r="K1566" s="86"/>
      <c r="L1566" s="84" t="str">
        <f>IFERROR(VLOOKUP(CONCATENATE($B1566,"_",L$3),materiali!$C:$K,5,0),"")</f>
        <v/>
      </c>
      <c r="M1566" s="85" t="str">
        <f>IFERROR(VLOOKUP(CONCATENATE($B1566,"_",M$3),materiali!$C:$K,6,0),"")</f>
        <v/>
      </c>
      <c r="N1566" s="86"/>
      <c r="O1566" s="84" t="str">
        <f>IFERROR(VLOOKUP(CONCATENATE($B1566,"_",O$3),materiali!$C:$K,5,0),"")</f>
        <v/>
      </c>
      <c r="P1566" s="85" t="str">
        <f>IFERROR(VLOOKUP(CONCATENATE($B1566,"_",P$3),materiali!$C:$K,6,0),"")</f>
        <v/>
      </c>
      <c r="Q1566" s="86"/>
      <c r="R1566" s="84" t="str">
        <f>IFERROR(VLOOKUP(CONCATENATE($B1566,"_",R$3),materiali!$C:$K,5,0),"")</f>
        <v/>
      </c>
      <c r="S1566" s="85" t="str">
        <f>IFERROR(VLOOKUP(CONCATENATE($B1566,"_",S$3),materiali!$C:$K,6,0),"")</f>
        <v/>
      </c>
      <c r="T1566" s="86"/>
      <c r="U1566" s="31"/>
      <c r="AD1566" s="97"/>
    </row>
    <row r="1567" spans="1:30" ht="35.1" hidden="1" customHeight="1" x14ac:dyDescent="0.25">
      <c r="A1567" s="83"/>
      <c r="B1567" s="7"/>
      <c r="C1567" s="8"/>
      <c r="D1567" s="8"/>
      <c r="E1567" s="60"/>
      <c r="F1567" s="84" t="str">
        <f>IFERROR(VLOOKUP(CONCATENATE($B1567,"_",F$3),materiali!$C:$K,5,0),"")</f>
        <v/>
      </c>
      <c r="G1567" s="85" t="str">
        <f>IFERROR(VLOOKUP(CONCATENATE($B1567,"_",G$3),materiali!$C:$K,6,0),"")</f>
        <v/>
      </c>
      <c r="H1567" s="86"/>
      <c r="I1567" s="84" t="str">
        <f>IFERROR(VLOOKUP(CONCATENATE($B1567,"_",I$3),materiali!$C:$K,5,0),"")</f>
        <v/>
      </c>
      <c r="J1567" s="85" t="str">
        <f>IFERROR(VLOOKUP(CONCATENATE($B1567,"_",J$3),materiali!$C:$K,6,0),"")</f>
        <v/>
      </c>
      <c r="K1567" s="86"/>
      <c r="L1567" s="84" t="str">
        <f>IFERROR(VLOOKUP(CONCATENATE($B1567,"_",L$3),materiali!$C:$K,5,0),"")</f>
        <v/>
      </c>
      <c r="M1567" s="85" t="str">
        <f>IFERROR(VLOOKUP(CONCATENATE($B1567,"_",M$3),materiali!$C:$K,6,0),"")</f>
        <v/>
      </c>
      <c r="N1567" s="86"/>
      <c r="O1567" s="84" t="str">
        <f>IFERROR(VLOOKUP(CONCATENATE($B1567,"_",O$3),materiali!$C:$K,5,0),"")</f>
        <v/>
      </c>
      <c r="P1567" s="85" t="str">
        <f>IFERROR(VLOOKUP(CONCATENATE($B1567,"_",P$3),materiali!$C:$K,6,0),"")</f>
        <v/>
      </c>
      <c r="Q1567" s="86"/>
      <c r="R1567" s="84" t="str">
        <f>IFERROR(VLOOKUP(CONCATENATE($B1567,"_",R$3),materiali!$C:$K,5,0),"")</f>
        <v/>
      </c>
      <c r="S1567" s="85" t="str">
        <f>IFERROR(VLOOKUP(CONCATENATE($B1567,"_",S$3),materiali!$C:$K,6,0),"")</f>
        <v/>
      </c>
      <c r="T1567" s="86"/>
      <c r="U1567" s="31"/>
      <c r="AD1567" s="97"/>
    </row>
    <row r="1568" spans="1:30" ht="35.1" hidden="1" customHeight="1" x14ac:dyDescent="0.25">
      <c r="A1568" s="83"/>
      <c r="B1568" s="7"/>
      <c r="C1568" s="8"/>
      <c r="D1568" s="8"/>
      <c r="E1568" s="60"/>
      <c r="F1568" s="84" t="str">
        <f>IFERROR(VLOOKUP(CONCATENATE($B1568,"_",F$3),materiali!$C:$K,5,0),"")</f>
        <v/>
      </c>
      <c r="G1568" s="85" t="str">
        <f>IFERROR(VLOOKUP(CONCATENATE($B1568,"_",G$3),materiali!$C:$K,6,0),"")</f>
        <v/>
      </c>
      <c r="H1568" s="86"/>
      <c r="I1568" s="84" t="str">
        <f>IFERROR(VLOOKUP(CONCATENATE($B1568,"_",I$3),materiali!$C:$K,5,0),"")</f>
        <v/>
      </c>
      <c r="J1568" s="85" t="str">
        <f>IFERROR(VLOOKUP(CONCATENATE($B1568,"_",J$3),materiali!$C:$K,6,0),"")</f>
        <v/>
      </c>
      <c r="K1568" s="86"/>
      <c r="L1568" s="84" t="str">
        <f>IFERROR(VLOOKUP(CONCATENATE($B1568,"_",L$3),materiali!$C:$K,5,0),"")</f>
        <v/>
      </c>
      <c r="M1568" s="85" t="str">
        <f>IFERROR(VLOOKUP(CONCATENATE($B1568,"_",M$3),materiali!$C:$K,6,0),"")</f>
        <v/>
      </c>
      <c r="N1568" s="86"/>
      <c r="O1568" s="84" t="str">
        <f>IFERROR(VLOOKUP(CONCATENATE($B1568,"_",O$3),materiali!$C:$K,5,0),"")</f>
        <v/>
      </c>
      <c r="P1568" s="85" t="str">
        <f>IFERROR(VLOOKUP(CONCATENATE($B1568,"_",P$3),materiali!$C:$K,6,0),"")</f>
        <v/>
      </c>
      <c r="Q1568" s="86"/>
      <c r="R1568" s="84" t="str">
        <f>IFERROR(VLOOKUP(CONCATENATE($B1568,"_",R$3),materiali!$C:$K,5,0),"")</f>
        <v/>
      </c>
      <c r="S1568" s="85" t="str">
        <f>IFERROR(VLOOKUP(CONCATENATE($B1568,"_",S$3),materiali!$C:$K,6,0),"")</f>
        <v/>
      </c>
      <c r="T1568" s="86"/>
      <c r="U1568" s="31"/>
      <c r="AD1568" s="97"/>
    </row>
    <row r="1569" spans="1:30" ht="35.1" hidden="1" customHeight="1" x14ac:dyDescent="0.25">
      <c r="A1569" s="83"/>
      <c r="B1569" s="7"/>
      <c r="C1569" s="8"/>
      <c r="D1569" s="8"/>
      <c r="E1569" s="60"/>
      <c r="F1569" s="84" t="str">
        <f>IFERROR(VLOOKUP(CONCATENATE($B1569,"_",F$3),materiali!$C:$K,5,0),"")</f>
        <v/>
      </c>
      <c r="G1569" s="85" t="str">
        <f>IFERROR(VLOOKUP(CONCATENATE($B1569,"_",G$3),materiali!$C:$K,6,0),"")</f>
        <v/>
      </c>
      <c r="H1569" s="86"/>
      <c r="I1569" s="84" t="str">
        <f>IFERROR(VLOOKUP(CONCATENATE($B1569,"_",I$3),materiali!$C:$K,5,0),"")</f>
        <v/>
      </c>
      <c r="J1569" s="85" t="str">
        <f>IFERROR(VLOOKUP(CONCATENATE($B1569,"_",J$3),materiali!$C:$K,6,0),"")</f>
        <v/>
      </c>
      <c r="K1569" s="86"/>
      <c r="L1569" s="84" t="str">
        <f>IFERROR(VLOOKUP(CONCATENATE($B1569,"_",L$3),materiali!$C:$K,5,0),"")</f>
        <v/>
      </c>
      <c r="M1569" s="85" t="str">
        <f>IFERROR(VLOOKUP(CONCATENATE($B1569,"_",M$3),materiali!$C:$K,6,0),"")</f>
        <v/>
      </c>
      <c r="N1569" s="86"/>
      <c r="O1569" s="84" t="str">
        <f>IFERROR(VLOOKUP(CONCATENATE($B1569,"_",O$3),materiali!$C:$K,5,0),"")</f>
        <v/>
      </c>
      <c r="P1569" s="85" t="str">
        <f>IFERROR(VLOOKUP(CONCATENATE($B1569,"_",P$3),materiali!$C:$K,6,0),"")</f>
        <v/>
      </c>
      <c r="Q1569" s="86"/>
      <c r="R1569" s="84" t="str">
        <f>IFERROR(VLOOKUP(CONCATENATE($B1569,"_",R$3),materiali!$C:$K,5,0),"")</f>
        <v/>
      </c>
      <c r="S1569" s="85" t="str">
        <f>IFERROR(VLOOKUP(CONCATENATE($B1569,"_",S$3),materiali!$C:$K,6,0),"")</f>
        <v/>
      </c>
      <c r="T1569" s="86"/>
      <c r="U1569" s="31"/>
      <c r="AD1569" s="97"/>
    </row>
    <row r="1570" spans="1:30" ht="35.1" hidden="1" customHeight="1" x14ac:dyDescent="0.25">
      <c r="A1570" s="83"/>
      <c r="B1570" s="7"/>
      <c r="C1570" s="8"/>
      <c r="D1570" s="8"/>
      <c r="E1570" s="60"/>
      <c r="F1570" s="84" t="str">
        <f>IFERROR(VLOOKUP(CONCATENATE($B1570,"_",F$3),materiali!$C:$K,5,0),"")</f>
        <v/>
      </c>
      <c r="G1570" s="85" t="str">
        <f>IFERROR(VLOOKUP(CONCATENATE($B1570,"_",G$3),materiali!$C:$K,6,0),"")</f>
        <v/>
      </c>
      <c r="H1570" s="86"/>
      <c r="I1570" s="84" t="str">
        <f>IFERROR(VLOOKUP(CONCATENATE($B1570,"_",I$3),materiali!$C:$K,5,0),"")</f>
        <v/>
      </c>
      <c r="J1570" s="85" t="str">
        <f>IFERROR(VLOOKUP(CONCATENATE($B1570,"_",J$3),materiali!$C:$K,6,0),"")</f>
        <v/>
      </c>
      <c r="K1570" s="86"/>
      <c r="L1570" s="84" t="str">
        <f>IFERROR(VLOOKUP(CONCATENATE($B1570,"_",L$3),materiali!$C:$K,5,0),"")</f>
        <v/>
      </c>
      <c r="M1570" s="85" t="str">
        <f>IFERROR(VLOOKUP(CONCATENATE($B1570,"_",M$3),materiali!$C:$K,6,0),"")</f>
        <v/>
      </c>
      <c r="N1570" s="86"/>
      <c r="O1570" s="84" t="str">
        <f>IFERROR(VLOOKUP(CONCATENATE($B1570,"_",O$3),materiali!$C:$K,5,0),"")</f>
        <v/>
      </c>
      <c r="P1570" s="85" t="str">
        <f>IFERROR(VLOOKUP(CONCATENATE($B1570,"_",P$3),materiali!$C:$K,6,0),"")</f>
        <v/>
      </c>
      <c r="Q1570" s="86"/>
      <c r="R1570" s="84" t="str">
        <f>IFERROR(VLOOKUP(CONCATENATE($B1570,"_",R$3),materiali!$C:$K,5,0),"")</f>
        <v/>
      </c>
      <c r="S1570" s="85" t="str">
        <f>IFERROR(VLOOKUP(CONCATENATE($B1570,"_",S$3),materiali!$C:$K,6,0),"")</f>
        <v/>
      </c>
      <c r="T1570" s="86"/>
      <c r="U1570" s="31"/>
      <c r="AD1570" s="97"/>
    </row>
    <row r="1571" spans="1:30" ht="35.1" hidden="1" customHeight="1" x14ac:dyDescent="0.25">
      <c r="A1571" s="83"/>
      <c r="B1571" s="7"/>
      <c r="C1571" s="8"/>
      <c r="D1571" s="8"/>
      <c r="E1571" s="60"/>
      <c r="F1571" s="84" t="str">
        <f>IFERROR(VLOOKUP(CONCATENATE($B1571,"_",F$3),materiali!$C:$K,5,0),"")</f>
        <v/>
      </c>
      <c r="G1571" s="85" t="str">
        <f>IFERROR(VLOOKUP(CONCATENATE($B1571,"_",G$3),materiali!$C:$K,6,0),"")</f>
        <v/>
      </c>
      <c r="H1571" s="86"/>
      <c r="I1571" s="84" t="str">
        <f>IFERROR(VLOOKUP(CONCATENATE($B1571,"_",I$3),materiali!$C:$K,5,0),"")</f>
        <v/>
      </c>
      <c r="J1571" s="85" t="str">
        <f>IFERROR(VLOOKUP(CONCATENATE($B1571,"_",J$3),materiali!$C:$K,6,0),"")</f>
        <v/>
      </c>
      <c r="K1571" s="86"/>
      <c r="L1571" s="84" t="str">
        <f>IFERROR(VLOOKUP(CONCATENATE($B1571,"_",L$3),materiali!$C:$K,5,0),"")</f>
        <v/>
      </c>
      <c r="M1571" s="85" t="str">
        <f>IFERROR(VLOOKUP(CONCATENATE($B1571,"_",M$3),materiali!$C:$K,6,0),"")</f>
        <v/>
      </c>
      <c r="N1571" s="86"/>
      <c r="O1571" s="84" t="str">
        <f>IFERROR(VLOOKUP(CONCATENATE($B1571,"_",O$3),materiali!$C:$K,5,0),"")</f>
        <v/>
      </c>
      <c r="P1571" s="85" t="str">
        <f>IFERROR(VLOOKUP(CONCATENATE($B1571,"_",P$3),materiali!$C:$K,6,0),"")</f>
        <v/>
      </c>
      <c r="Q1571" s="86"/>
      <c r="R1571" s="84" t="str">
        <f>IFERROR(VLOOKUP(CONCATENATE($B1571,"_",R$3),materiali!$C:$K,5,0),"")</f>
        <v/>
      </c>
      <c r="S1571" s="85" t="str">
        <f>IFERROR(VLOOKUP(CONCATENATE($B1571,"_",S$3),materiali!$C:$K,6,0),"")</f>
        <v/>
      </c>
      <c r="T1571" s="86"/>
      <c r="U1571" s="31"/>
      <c r="AD1571" s="97"/>
    </row>
    <row r="1572" spans="1:30" ht="35.1" hidden="1" customHeight="1" x14ac:dyDescent="0.25">
      <c r="A1572" s="83"/>
      <c r="B1572" s="7"/>
      <c r="C1572" s="8"/>
      <c r="D1572" s="8"/>
      <c r="E1572" s="60"/>
      <c r="F1572" s="84" t="str">
        <f>IFERROR(VLOOKUP(CONCATENATE($B1572,"_",F$3),materiali!$C:$K,5,0),"")</f>
        <v/>
      </c>
      <c r="G1572" s="85" t="str">
        <f>IFERROR(VLOOKUP(CONCATENATE($B1572,"_",G$3),materiali!$C:$K,6,0),"")</f>
        <v/>
      </c>
      <c r="H1572" s="86"/>
      <c r="I1572" s="84" t="str">
        <f>IFERROR(VLOOKUP(CONCATENATE($B1572,"_",I$3),materiali!$C:$K,5,0),"")</f>
        <v/>
      </c>
      <c r="J1572" s="85" t="str">
        <f>IFERROR(VLOOKUP(CONCATENATE($B1572,"_",J$3),materiali!$C:$K,6,0),"")</f>
        <v/>
      </c>
      <c r="K1572" s="86"/>
      <c r="L1572" s="84" t="str">
        <f>IFERROR(VLOOKUP(CONCATENATE($B1572,"_",L$3),materiali!$C:$K,5,0),"")</f>
        <v/>
      </c>
      <c r="M1572" s="85" t="str">
        <f>IFERROR(VLOOKUP(CONCATENATE($B1572,"_",M$3),materiali!$C:$K,6,0),"")</f>
        <v/>
      </c>
      <c r="N1572" s="86"/>
      <c r="O1572" s="84" t="str">
        <f>IFERROR(VLOOKUP(CONCATENATE($B1572,"_",O$3),materiali!$C:$K,5,0),"")</f>
        <v/>
      </c>
      <c r="P1572" s="85" t="str">
        <f>IFERROR(VLOOKUP(CONCATENATE($B1572,"_",P$3),materiali!$C:$K,6,0),"")</f>
        <v/>
      </c>
      <c r="Q1572" s="86"/>
      <c r="R1572" s="84" t="str">
        <f>IFERROR(VLOOKUP(CONCATENATE($B1572,"_",R$3),materiali!$C:$K,5,0),"")</f>
        <v/>
      </c>
      <c r="S1572" s="85" t="str">
        <f>IFERROR(VLOOKUP(CONCATENATE($B1572,"_",S$3),materiali!$C:$K,6,0),"")</f>
        <v/>
      </c>
      <c r="T1572" s="86"/>
      <c r="U1572" s="31"/>
      <c r="AD1572" s="97"/>
    </row>
    <row r="1573" spans="1:30" ht="35.1" hidden="1" customHeight="1" x14ac:dyDescent="0.25">
      <c r="A1573" s="83"/>
      <c r="B1573" s="7"/>
      <c r="C1573" s="8"/>
      <c r="D1573" s="8"/>
      <c r="E1573" s="60"/>
      <c r="F1573" s="84" t="str">
        <f>IFERROR(VLOOKUP(CONCATENATE($B1573,"_",F$3),materiali!$C:$K,5,0),"")</f>
        <v/>
      </c>
      <c r="G1573" s="85" t="str">
        <f>IFERROR(VLOOKUP(CONCATENATE($B1573,"_",G$3),materiali!$C:$K,6,0),"")</f>
        <v/>
      </c>
      <c r="H1573" s="86"/>
      <c r="I1573" s="84" t="str">
        <f>IFERROR(VLOOKUP(CONCATENATE($B1573,"_",I$3),materiali!$C:$K,5,0),"")</f>
        <v/>
      </c>
      <c r="J1573" s="85" t="str">
        <f>IFERROR(VLOOKUP(CONCATENATE($B1573,"_",J$3),materiali!$C:$K,6,0),"")</f>
        <v/>
      </c>
      <c r="K1573" s="86"/>
      <c r="L1573" s="84" t="str">
        <f>IFERROR(VLOOKUP(CONCATENATE($B1573,"_",L$3),materiali!$C:$K,5,0),"")</f>
        <v/>
      </c>
      <c r="M1573" s="85" t="str">
        <f>IFERROR(VLOOKUP(CONCATENATE($B1573,"_",M$3),materiali!$C:$K,6,0),"")</f>
        <v/>
      </c>
      <c r="N1573" s="86"/>
      <c r="O1573" s="84" t="str">
        <f>IFERROR(VLOOKUP(CONCATENATE($B1573,"_",O$3),materiali!$C:$K,5,0),"")</f>
        <v/>
      </c>
      <c r="P1573" s="85" t="str">
        <f>IFERROR(VLOOKUP(CONCATENATE($B1573,"_",P$3),materiali!$C:$K,6,0),"")</f>
        <v/>
      </c>
      <c r="Q1573" s="86"/>
      <c r="R1573" s="84" t="str">
        <f>IFERROR(VLOOKUP(CONCATENATE($B1573,"_",R$3),materiali!$C:$K,5,0),"")</f>
        <v/>
      </c>
      <c r="S1573" s="85" t="str">
        <f>IFERROR(VLOOKUP(CONCATENATE($B1573,"_",S$3),materiali!$C:$K,6,0),"")</f>
        <v/>
      </c>
      <c r="T1573" s="86"/>
      <c r="U1573" s="31"/>
      <c r="AD1573" s="97"/>
    </row>
    <row r="1574" spans="1:30" ht="35.1" hidden="1" customHeight="1" x14ac:dyDescent="0.25">
      <c r="A1574" s="83"/>
      <c r="B1574" s="7"/>
      <c r="C1574" s="8"/>
      <c r="D1574" s="8"/>
      <c r="E1574" s="60"/>
      <c r="F1574" s="84" t="str">
        <f>IFERROR(VLOOKUP(CONCATENATE($B1574,"_",F$3),materiali!$C:$K,5,0),"")</f>
        <v/>
      </c>
      <c r="G1574" s="85" t="str">
        <f>IFERROR(VLOOKUP(CONCATENATE($B1574,"_",G$3),materiali!$C:$K,6,0),"")</f>
        <v/>
      </c>
      <c r="H1574" s="86"/>
      <c r="I1574" s="84" t="str">
        <f>IFERROR(VLOOKUP(CONCATENATE($B1574,"_",I$3),materiali!$C:$K,5,0),"")</f>
        <v/>
      </c>
      <c r="J1574" s="85" t="str">
        <f>IFERROR(VLOOKUP(CONCATENATE($B1574,"_",J$3),materiali!$C:$K,6,0),"")</f>
        <v/>
      </c>
      <c r="K1574" s="86"/>
      <c r="L1574" s="84" t="str">
        <f>IFERROR(VLOOKUP(CONCATENATE($B1574,"_",L$3),materiali!$C:$K,5,0),"")</f>
        <v/>
      </c>
      <c r="M1574" s="85" t="str">
        <f>IFERROR(VLOOKUP(CONCATENATE($B1574,"_",M$3),materiali!$C:$K,6,0),"")</f>
        <v/>
      </c>
      <c r="N1574" s="86"/>
      <c r="O1574" s="84" t="str">
        <f>IFERROR(VLOOKUP(CONCATENATE($B1574,"_",O$3),materiali!$C:$K,5,0),"")</f>
        <v/>
      </c>
      <c r="P1574" s="85" t="str">
        <f>IFERROR(VLOOKUP(CONCATENATE($B1574,"_",P$3),materiali!$C:$K,6,0),"")</f>
        <v/>
      </c>
      <c r="Q1574" s="86"/>
      <c r="R1574" s="84" t="str">
        <f>IFERROR(VLOOKUP(CONCATENATE($B1574,"_",R$3),materiali!$C:$K,5,0),"")</f>
        <v/>
      </c>
      <c r="S1574" s="85" t="str">
        <f>IFERROR(VLOOKUP(CONCATENATE($B1574,"_",S$3),materiali!$C:$K,6,0),"")</f>
        <v/>
      </c>
      <c r="T1574" s="86"/>
      <c r="U1574" s="31"/>
      <c r="AD1574" s="97"/>
    </row>
    <row r="1575" spans="1:30" ht="35.1" hidden="1" customHeight="1" x14ac:dyDescent="0.25">
      <c r="A1575" s="83"/>
      <c r="B1575" s="7"/>
      <c r="C1575" s="8"/>
      <c r="D1575" s="8"/>
      <c r="E1575" s="60"/>
      <c r="F1575" s="84" t="str">
        <f>IFERROR(VLOOKUP(CONCATENATE($B1575,"_",F$3),materiali!$C:$K,5,0),"")</f>
        <v/>
      </c>
      <c r="G1575" s="85" t="str">
        <f>IFERROR(VLOOKUP(CONCATENATE($B1575,"_",G$3),materiali!$C:$K,6,0),"")</f>
        <v/>
      </c>
      <c r="H1575" s="86"/>
      <c r="I1575" s="84" t="str">
        <f>IFERROR(VLOOKUP(CONCATENATE($B1575,"_",I$3),materiali!$C:$K,5,0),"")</f>
        <v/>
      </c>
      <c r="J1575" s="85" t="str">
        <f>IFERROR(VLOOKUP(CONCATENATE($B1575,"_",J$3),materiali!$C:$K,6,0),"")</f>
        <v/>
      </c>
      <c r="K1575" s="86"/>
      <c r="L1575" s="84" t="str">
        <f>IFERROR(VLOOKUP(CONCATENATE($B1575,"_",L$3),materiali!$C:$K,5,0),"")</f>
        <v/>
      </c>
      <c r="M1575" s="85" t="str">
        <f>IFERROR(VLOOKUP(CONCATENATE($B1575,"_",M$3),materiali!$C:$K,6,0),"")</f>
        <v/>
      </c>
      <c r="N1575" s="86"/>
      <c r="O1575" s="84" t="str">
        <f>IFERROR(VLOOKUP(CONCATENATE($B1575,"_",O$3),materiali!$C:$K,5,0),"")</f>
        <v/>
      </c>
      <c r="P1575" s="85" t="str">
        <f>IFERROR(VLOOKUP(CONCATENATE($B1575,"_",P$3),materiali!$C:$K,6,0),"")</f>
        <v/>
      </c>
      <c r="Q1575" s="86"/>
      <c r="R1575" s="84" t="str">
        <f>IFERROR(VLOOKUP(CONCATENATE($B1575,"_",R$3),materiali!$C:$K,5,0),"")</f>
        <v/>
      </c>
      <c r="S1575" s="85" t="str">
        <f>IFERROR(VLOOKUP(CONCATENATE($B1575,"_",S$3),materiali!$C:$K,6,0),"")</f>
        <v/>
      </c>
      <c r="T1575" s="86"/>
      <c r="U1575" s="31"/>
      <c r="AD1575" s="97"/>
    </row>
    <row r="1576" spans="1:30" ht="35.1" hidden="1" customHeight="1" x14ac:dyDescent="0.25">
      <c r="A1576" s="83"/>
      <c r="B1576" s="7"/>
      <c r="C1576" s="8"/>
      <c r="D1576" s="8"/>
      <c r="E1576" s="60"/>
      <c r="F1576" s="84" t="str">
        <f>IFERROR(VLOOKUP(CONCATENATE($B1576,"_",F$3),materiali!$C:$K,5,0),"")</f>
        <v/>
      </c>
      <c r="G1576" s="85" t="str">
        <f>IFERROR(VLOOKUP(CONCATENATE($B1576,"_",G$3),materiali!$C:$K,6,0),"")</f>
        <v/>
      </c>
      <c r="H1576" s="86"/>
      <c r="I1576" s="84" t="str">
        <f>IFERROR(VLOOKUP(CONCATENATE($B1576,"_",I$3),materiali!$C:$K,5,0),"")</f>
        <v/>
      </c>
      <c r="J1576" s="85" t="str">
        <f>IFERROR(VLOOKUP(CONCATENATE($B1576,"_",J$3),materiali!$C:$K,6,0),"")</f>
        <v/>
      </c>
      <c r="K1576" s="86"/>
      <c r="L1576" s="84" t="str">
        <f>IFERROR(VLOOKUP(CONCATENATE($B1576,"_",L$3),materiali!$C:$K,5,0),"")</f>
        <v/>
      </c>
      <c r="M1576" s="85" t="str">
        <f>IFERROR(VLOOKUP(CONCATENATE($B1576,"_",M$3),materiali!$C:$K,6,0),"")</f>
        <v/>
      </c>
      <c r="N1576" s="86"/>
      <c r="O1576" s="84" t="str">
        <f>IFERROR(VLOOKUP(CONCATENATE($B1576,"_",O$3),materiali!$C:$K,5,0),"")</f>
        <v/>
      </c>
      <c r="P1576" s="85" t="str">
        <f>IFERROR(VLOOKUP(CONCATENATE($B1576,"_",P$3),materiali!$C:$K,6,0),"")</f>
        <v/>
      </c>
      <c r="Q1576" s="86"/>
      <c r="R1576" s="84" t="str">
        <f>IFERROR(VLOOKUP(CONCATENATE($B1576,"_",R$3),materiali!$C:$K,5,0),"")</f>
        <v/>
      </c>
      <c r="S1576" s="85" t="str">
        <f>IFERROR(VLOOKUP(CONCATENATE($B1576,"_",S$3),materiali!$C:$K,6,0),"")</f>
        <v/>
      </c>
      <c r="T1576" s="86"/>
      <c r="U1576" s="31"/>
      <c r="AD1576" s="97"/>
    </row>
    <row r="1577" spans="1:30" ht="35.1" hidden="1" customHeight="1" x14ac:dyDescent="0.25">
      <c r="A1577" s="83"/>
      <c r="B1577" s="7"/>
      <c r="C1577" s="8"/>
      <c r="D1577" s="8"/>
      <c r="E1577" s="60"/>
      <c r="F1577" s="84" t="str">
        <f>IFERROR(VLOOKUP(CONCATENATE($B1577,"_",F$3),materiali!$C:$K,5,0),"")</f>
        <v/>
      </c>
      <c r="G1577" s="85" t="str">
        <f>IFERROR(VLOOKUP(CONCATENATE($B1577,"_",G$3),materiali!$C:$K,6,0),"")</f>
        <v/>
      </c>
      <c r="H1577" s="86"/>
      <c r="I1577" s="84" t="str">
        <f>IFERROR(VLOOKUP(CONCATENATE($B1577,"_",I$3),materiali!$C:$K,5,0),"")</f>
        <v/>
      </c>
      <c r="J1577" s="85" t="str">
        <f>IFERROR(VLOOKUP(CONCATENATE($B1577,"_",J$3),materiali!$C:$K,6,0),"")</f>
        <v/>
      </c>
      <c r="K1577" s="86"/>
      <c r="L1577" s="84" t="str">
        <f>IFERROR(VLOOKUP(CONCATENATE($B1577,"_",L$3),materiali!$C:$K,5,0),"")</f>
        <v/>
      </c>
      <c r="M1577" s="85" t="str">
        <f>IFERROR(VLOOKUP(CONCATENATE($B1577,"_",M$3),materiali!$C:$K,6,0),"")</f>
        <v/>
      </c>
      <c r="N1577" s="86"/>
      <c r="O1577" s="84" t="str">
        <f>IFERROR(VLOOKUP(CONCATENATE($B1577,"_",O$3),materiali!$C:$K,5,0),"")</f>
        <v/>
      </c>
      <c r="P1577" s="85" t="str">
        <f>IFERROR(VLOOKUP(CONCATENATE($B1577,"_",P$3),materiali!$C:$K,6,0),"")</f>
        <v/>
      </c>
      <c r="Q1577" s="86"/>
      <c r="R1577" s="84" t="str">
        <f>IFERROR(VLOOKUP(CONCATENATE($B1577,"_",R$3),materiali!$C:$K,5,0),"")</f>
        <v/>
      </c>
      <c r="S1577" s="85" t="str">
        <f>IFERROR(VLOOKUP(CONCATENATE($B1577,"_",S$3),materiali!$C:$K,6,0),"")</f>
        <v/>
      </c>
      <c r="T1577" s="86"/>
      <c r="U1577" s="31"/>
      <c r="AD1577" s="97"/>
    </row>
    <row r="1578" spans="1:30" ht="35.1" hidden="1" customHeight="1" x14ac:dyDescent="0.25">
      <c r="A1578" s="83"/>
      <c r="B1578" s="7"/>
      <c r="C1578" s="8"/>
      <c r="D1578" s="8"/>
      <c r="E1578" s="60"/>
      <c r="F1578" s="84" t="str">
        <f>IFERROR(VLOOKUP(CONCATENATE($B1578,"_",F$3),materiali!$C:$K,5,0),"")</f>
        <v/>
      </c>
      <c r="G1578" s="85" t="str">
        <f>IFERROR(VLOOKUP(CONCATENATE($B1578,"_",G$3),materiali!$C:$K,6,0),"")</f>
        <v/>
      </c>
      <c r="H1578" s="86"/>
      <c r="I1578" s="84" t="str">
        <f>IFERROR(VLOOKUP(CONCATENATE($B1578,"_",I$3),materiali!$C:$K,5,0),"")</f>
        <v/>
      </c>
      <c r="J1578" s="85" t="str">
        <f>IFERROR(VLOOKUP(CONCATENATE($B1578,"_",J$3),materiali!$C:$K,6,0),"")</f>
        <v/>
      </c>
      <c r="K1578" s="86"/>
      <c r="L1578" s="84" t="str">
        <f>IFERROR(VLOOKUP(CONCATENATE($B1578,"_",L$3),materiali!$C:$K,5,0),"")</f>
        <v/>
      </c>
      <c r="M1578" s="85" t="str">
        <f>IFERROR(VLOOKUP(CONCATENATE($B1578,"_",M$3),materiali!$C:$K,6,0),"")</f>
        <v/>
      </c>
      <c r="N1578" s="86"/>
      <c r="O1578" s="84" t="str">
        <f>IFERROR(VLOOKUP(CONCATENATE($B1578,"_",O$3),materiali!$C:$K,5,0),"")</f>
        <v/>
      </c>
      <c r="P1578" s="85" t="str">
        <f>IFERROR(VLOOKUP(CONCATENATE($B1578,"_",P$3),materiali!$C:$K,6,0),"")</f>
        <v/>
      </c>
      <c r="Q1578" s="86"/>
      <c r="R1578" s="84" t="str">
        <f>IFERROR(VLOOKUP(CONCATENATE($B1578,"_",R$3),materiali!$C:$K,5,0),"")</f>
        <v/>
      </c>
      <c r="S1578" s="85" t="str">
        <f>IFERROR(VLOOKUP(CONCATENATE($B1578,"_",S$3),materiali!$C:$K,6,0),"")</f>
        <v/>
      </c>
      <c r="T1578" s="86"/>
      <c r="U1578" s="31"/>
      <c r="AD1578" s="97"/>
    </row>
    <row r="1579" spans="1:30" ht="35.1" hidden="1" customHeight="1" x14ac:dyDescent="0.25">
      <c r="A1579" s="83"/>
      <c r="B1579" s="7"/>
      <c r="C1579" s="8"/>
      <c r="D1579" s="8"/>
      <c r="E1579" s="60"/>
      <c r="F1579" s="84" t="str">
        <f>IFERROR(VLOOKUP(CONCATENATE($B1579,"_",F$3),materiali!$C:$K,5,0),"")</f>
        <v/>
      </c>
      <c r="G1579" s="85" t="str">
        <f>IFERROR(VLOOKUP(CONCATENATE($B1579,"_",G$3),materiali!$C:$K,6,0),"")</f>
        <v/>
      </c>
      <c r="H1579" s="86"/>
      <c r="I1579" s="84" t="str">
        <f>IFERROR(VLOOKUP(CONCATENATE($B1579,"_",I$3),materiali!$C:$K,5,0),"")</f>
        <v/>
      </c>
      <c r="J1579" s="85" t="str">
        <f>IFERROR(VLOOKUP(CONCATENATE($B1579,"_",J$3),materiali!$C:$K,6,0),"")</f>
        <v/>
      </c>
      <c r="K1579" s="86"/>
      <c r="L1579" s="84" t="str">
        <f>IFERROR(VLOOKUP(CONCATENATE($B1579,"_",L$3),materiali!$C:$K,5,0),"")</f>
        <v/>
      </c>
      <c r="M1579" s="85" t="str">
        <f>IFERROR(VLOOKUP(CONCATENATE($B1579,"_",M$3),materiali!$C:$K,6,0),"")</f>
        <v/>
      </c>
      <c r="N1579" s="86"/>
      <c r="O1579" s="84" t="str">
        <f>IFERROR(VLOOKUP(CONCATENATE($B1579,"_",O$3),materiali!$C:$K,5,0),"")</f>
        <v/>
      </c>
      <c r="P1579" s="85" t="str">
        <f>IFERROR(VLOOKUP(CONCATENATE($B1579,"_",P$3),materiali!$C:$K,6,0),"")</f>
        <v/>
      </c>
      <c r="Q1579" s="86"/>
      <c r="R1579" s="84" t="str">
        <f>IFERROR(VLOOKUP(CONCATENATE($B1579,"_",R$3),materiali!$C:$K,5,0),"")</f>
        <v/>
      </c>
      <c r="S1579" s="85" t="str">
        <f>IFERROR(VLOOKUP(CONCATENATE($B1579,"_",S$3),materiali!$C:$K,6,0),"")</f>
        <v/>
      </c>
      <c r="T1579" s="86"/>
      <c r="U1579" s="31"/>
      <c r="AD1579" s="97"/>
    </row>
    <row r="1580" spans="1:30" ht="35.1" hidden="1" customHeight="1" x14ac:dyDescent="0.25">
      <c r="A1580" s="83"/>
      <c r="B1580" s="7"/>
      <c r="C1580" s="8"/>
      <c r="D1580" s="8"/>
      <c r="E1580" s="60"/>
      <c r="F1580" s="84" t="str">
        <f>IFERROR(VLOOKUP(CONCATENATE($B1580,"_",F$3),materiali!$C:$K,5,0),"")</f>
        <v/>
      </c>
      <c r="G1580" s="85" t="str">
        <f>IFERROR(VLOOKUP(CONCATENATE($B1580,"_",G$3),materiali!$C:$K,6,0),"")</f>
        <v/>
      </c>
      <c r="H1580" s="86"/>
      <c r="I1580" s="84" t="str">
        <f>IFERROR(VLOOKUP(CONCATENATE($B1580,"_",I$3),materiali!$C:$K,5,0),"")</f>
        <v/>
      </c>
      <c r="J1580" s="85" t="str">
        <f>IFERROR(VLOOKUP(CONCATENATE($B1580,"_",J$3),materiali!$C:$K,6,0),"")</f>
        <v/>
      </c>
      <c r="K1580" s="86"/>
      <c r="L1580" s="84" t="str">
        <f>IFERROR(VLOOKUP(CONCATENATE($B1580,"_",L$3),materiali!$C:$K,5,0),"")</f>
        <v/>
      </c>
      <c r="M1580" s="85" t="str">
        <f>IFERROR(VLOOKUP(CONCATENATE($B1580,"_",M$3),materiali!$C:$K,6,0),"")</f>
        <v/>
      </c>
      <c r="N1580" s="86"/>
      <c r="O1580" s="84" t="str">
        <f>IFERROR(VLOOKUP(CONCATENATE($B1580,"_",O$3),materiali!$C:$K,5,0),"")</f>
        <v/>
      </c>
      <c r="P1580" s="85" t="str">
        <f>IFERROR(VLOOKUP(CONCATENATE($B1580,"_",P$3),materiali!$C:$K,6,0),"")</f>
        <v/>
      </c>
      <c r="Q1580" s="86"/>
      <c r="R1580" s="84" t="str">
        <f>IFERROR(VLOOKUP(CONCATENATE($B1580,"_",R$3),materiali!$C:$K,5,0),"")</f>
        <v/>
      </c>
      <c r="S1580" s="85" t="str">
        <f>IFERROR(VLOOKUP(CONCATENATE($B1580,"_",S$3),materiali!$C:$K,6,0),"")</f>
        <v/>
      </c>
      <c r="T1580" s="86"/>
      <c r="U1580" s="31"/>
      <c r="AD1580" s="97"/>
    </row>
    <row r="1581" spans="1:30" ht="35.1" hidden="1" customHeight="1" x14ac:dyDescent="0.25">
      <c r="A1581" s="83"/>
      <c r="B1581" s="7"/>
      <c r="C1581" s="8"/>
      <c r="D1581" s="8"/>
      <c r="E1581" s="60"/>
      <c r="F1581" s="84" t="str">
        <f>IFERROR(VLOOKUP(CONCATENATE($B1581,"_",F$3),materiali!$C:$K,5,0),"")</f>
        <v/>
      </c>
      <c r="G1581" s="85" t="str">
        <f>IFERROR(VLOOKUP(CONCATENATE($B1581,"_",G$3),materiali!$C:$K,6,0),"")</f>
        <v/>
      </c>
      <c r="H1581" s="86"/>
      <c r="I1581" s="84" t="str">
        <f>IFERROR(VLOOKUP(CONCATENATE($B1581,"_",I$3),materiali!$C:$K,5,0),"")</f>
        <v/>
      </c>
      <c r="J1581" s="85" t="str">
        <f>IFERROR(VLOOKUP(CONCATENATE($B1581,"_",J$3),materiali!$C:$K,6,0),"")</f>
        <v/>
      </c>
      <c r="K1581" s="86"/>
      <c r="L1581" s="84" t="str">
        <f>IFERROR(VLOOKUP(CONCATENATE($B1581,"_",L$3),materiali!$C:$K,5,0),"")</f>
        <v/>
      </c>
      <c r="M1581" s="85" t="str">
        <f>IFERROR(VLOOKUP(CONCATENATE($B1581,"_",M$3),materiali!$C:$K,6,0),"")</f>
        <v/>
      </c>
      <c r="N1581" s="86"/>
      <c r="O1581" s="84" t="str">
        <f>IFERROR(VLOOKUP(CONCATENATE($B1581,"_",O$3),materiali!$C:$K,5,0),"")</f>
        <v/>
      </c>
      <c r="P1581" s="85" t="str">
        <f>IFERROR(VLOOKUP(CONCATENATE($B1581,"_",P$3),materiali!$C:$K,6,0),"")</f>
        <v/>
      </c>
      <c r="Q1581" s="86"/>
      <c r="R1581" s="84" t="str">
        <f>IFERROR(VLOOKUP(CONCATENATE($B1581,"_",R$3),materiali!$C:$K,5,0),"")</f>
        <v/>
      </c>
      <c r="S1581" s="85" t="str">
        <f>IFERROR(VLOOKUP(CONCATENATE($B1581,"_",S$3),materiali!$C:$K,6,0),"")</f>
        <v/>
      </c>
      <c r="T1581" s="86"/>
      <c r="U1581" s="31"/>
      <c r="AD1581" s="97"/>
    </row>
    <row r="1582" spans="1:30" ht="35.1" hidden="1" customHeight="1" x14ac:dyDescent="0.25">
      <c r="A1582" s="83"/>
      <c r="B1582" s="7"/>
      <c r="C1582" s="8"/>
      <c r="D1582" s="8"/>
      <c r="E1582" s="60"/>
      <c r="F1582" s="84" t="str">
        <f>IFERROR(VLOOKUP(CONCATENATE($B1582,"_",F$3),materiali!$C:$K,5,0),"")</f>
        <v/>
      </c>
      <c r="G1582" s="85" t="str">
        <f>IFERROR(VLOOKUP(CONCATENATE($B1582,"_",G$3),materiali!$C:$K,6,0),"")</f>
        <v/>
      </c>
      <c r="H1582" s="86"/>
      <c r="I1582" s="84" t="str">
        <f>IFERROR(VLOOKUP(CONCATENATE($B1582,"_",I$3),materiali!$C:$K,5,0),"")</f>
        <v/>
      </c>
      <c r="J1582" s="85" t="str">
        <f>IFERROR(VLOOKUP(CONCATENATE($B1582,"_",J$3),materiali!$C:$K,6,0),"")</f>
        <v/>
      </c>
      <c r="K1582" s="86"/>
      <c r="L1582" s="84" t="str">
        <f>IFERROR(VLOOKUP(CONCATENATE($B1582,"_",L$3),materiali!$C:$K,5,0),"")</f>
        <v/>
      </c>
      <c r="M1582" s="85" t="str">
        <f>IFERROR(VLOOKUP(CONCATENATE($B1582,"_",M$3),materiali!$C:$K,6,0),"")</f>
        <v/>
      </c>
      <c r="N1582" s="86"/>
      <c r="O1582" s="84" t="str">
        <f>IFERROR(VLOOKUP(CONCATENATE($B1582,"_",O$3),materiali!$C:$K,5,0),"")</f>
        <v/>
      </c>
      <c r="P1582" s="85" t="str">
        <f>IFERROR(VLOOKUP(CONCATENATE($B1582,"_",P$3),materiali!$C:$K,6,0),"")</f>
        <v/>
      </c>
      <c r="Q1582" s="86"/>
      <c r="R1582" s="84" t="str">
        <f>IFERROR(VLOOKUP(CONCATENATE($B1582,"_",R$3),materiali!$C:$K,5,0),"")</f>
        <v/>
      </c>
      <c r="S1582" s="85" t="str">
        <f>IFERROR(VLOOKUP(CONCATENATE($B1582,"_",S$3),materiali!$C:$K,6,0),"")</f>
        <v/>
      </c>
      <c r="T1582" s="86"/>
      <c r="U1582" s="31"/>
      <c r="AD1582" s="97"/>
    </row>
    <row r="1583" spans="1:30" ht="35.1" hidden="1" customHeight="1" x14ac:dyDescent="0.25">
      <c r="A1583" s="83"/>
      <c r="B1583" s="7"/>
      <c r="C1583" s="8"/>
      <c r="D1583" s="8"/>
      <c r="E1583" s="60"/>
      <c r="F1583" s="84" t="str">
        <f>IFERROR(VLOOKUP(CONCATENATE($B1583,"_",F$3),materiali!$C:$K,5,0),"")</f>
        <v/>
      </c>
      <c r="G1583" s="85" t="str">
        <f>IFERROR(VLOOKUP(CONCATENATE($B1583,"_",G$3),materiali!$C:$K,6,0),"")</f>
        <v/>
      </c>
      <c r="H1583" s="86"/>
      <c r="I1583" s="84" t="str">
        <f>IFERROR(VLOOKUP(CONCATENATE($B1583,"_",I$3),materiali!$C:$K,5,0),"")</f>
        <v/>
      </c>
      <c r="J1583" s="85" t="str">
        <f>IFERROR(VLOOKUP(CONCATENATE($B1583,"_",J$3),materiali!$C:$K,6,0),"")</f>
        <v/>
      </c>
      <c r="K1583" s="86"/>
      <c r="L1583" s="84" t="str">
        <f>IFERROR(VLOOKUP(CONCATENATE($B1583,"_",L$3),materiali!$C:$K,5,0),"")</f>
        <v/>
      </c>
      <c r="M1583" s="85" t="str">
        <f>IFERROR(VLOOKUP(CONCATENATE($B1583,"_",M$3),materiali!$C:$K,6,0),"")</f>
        <v/>
      </c>
      <c r="N1583" s="86"/>
      <c r="O1583" s="84" t="str">
        <f>IFERROR(VLOOKUP(CONCATENATE($B1583,"_",O$3),materiali!$C:$K,5,0),"")</f>
        <v/>
      </c>
      <c r="P1583" s="85" t="str">
        <f>IFERROR(VLOOKUP(CONCATENATE($B1583,"_",P$3),materiali!$C:$K,6,0),"")</f>
        <v/>
      </c>
      <c r="Q1583" s="86"/>
      <c r="R1583" s="84" t="str">
        <f>IFERROR(VLOOKUP(CONCATENATE($B1583,"_",R$3),materiali!$C:$K,5,0),"")</f>
        <v/>
      </c>
      <c r="S1583" s="85" t="str">
        <f>IFERROR(VLOOKUP(CONCATENATE($B1583,"_",S$3),materiali!$C:$K,6,0),"")</f>
        <v/>
      </c>
      <c r="T1583" s="86"/>
      <c r="U1583" s="31"/>
      <c r="AD1583" s="97"/>
    </row>
    <row r="1584" spans="1:30" ht="35.1" hidden="1" customHeight="1" x14ac:dyDescent="0.25">
      <c r="A1584" s="83"/>
      <c r="B1584" s="7"/>
      <c r="C1584" s="8"/>
      <c r="D1584" s="8"/>
      <c r="E1584" s="60"/>
      <c r="F1584" s="84" t="str">
        <f>IFERROR(VLOOKUP(CONCATENATE($B1584,"_",F$3),materiali!$C:$K,5,0),"")</f>
        <v/>
      </c>
      <c r="G1584" s="85" t="str">
        <f>IFERROR(VLOOKUP(CONCATENATE($B1584,"_",G$3),materiali!$C:$K,6,0),"")</f>
        <v/>
      </c>
      <c r="H1584" s="86"/>
      <c r="I1584" s="84" t="str">
        <f>IFERROR(VLOOKUP(CONCATENATE($B1584,"_",I$3),materiali!$C:$K,5,0),"")</f>
        <v/>
      </c>
      <c r="J1584" s="85" t="str">
        <f>IFERROR(VLOOKUP(CONCATENATE($B1584,"_",J$3),materiali!$C:$K,6,0),"")</f>
        <v/>
      </c>
      <c r="K1584" s="86"/>
      <c r="L1584" s="84" t="str">
        <f>IFERROR(VLOOKUP(CONCATENATE($B1584,"_",L$3),materiali!$C:$K,5,0),"")</f>
        <v/>
      </c>
      <c r="M1584" s="85" t="str">
        <f>IFERROR(VLOOKUP(CONCATENATE($B1584,"_",M$3),materiali!$C:$K,6,0),"")</f>
        <v/>
      </c>
      <c r="N1584" s="86"/>
      <c r="O1584" s="84" t="str">
        <f>IFERROR(VLOOKUP(CONCATENATE($B1584,"_",O$3),materiali!$C:$K,5,0),"")</f>
        <v/>
      </c>
      <c r="P1584" s="85" t="str">
        <f>IFERROR(VLOOKUP(CONCATENATE($B1584,"_",P$3),materiali!$C:$K,6,0),"")</f>
        <v/>
      </c>
      <c r="Q1584" s="86"/>
      <c r="R1584" s="84" t="str">
        <f>IFERROR(VLOOKUP(CONCATENATE($B1584,"_",R$3),materiali!$C:$K,5,0),"")</f>
        <v/>
      </c>
      <c r="S1584" s="85" t="str">
        <f>IFERROR(VLOOKUP(CONCATENATE($B1584,"_",S$3),materiali!$C:$K,6,0),"")</f>
        <v/>
      </c>
      <c r="T1584" s="86"/>
      <c r="U1584" s="31"/>
      <c r="AD1584" s="97"/>
    </row>
    <row r="1585" spans="1:30" ht="35.1" hidden="1" customHeight="1" x14ac:dyDescent="0.25">
      <c r="A1585" s="83"/>
      <c r="B1585" s="7"/>
      <c r="C1585" s="8"/>
      <c r="D1585" s="8"/>
      <c r="E1585" s="60"/>
      <c r="F1585" s="84" t="str">
        <f>IFERROR(VLOOKUP(CONCATENATE($B1585,"_",F$3),materiali!$C:$K,5,0),"")</f>
        <v/>
      </c>
      <c r="G1585" s="85" t="str">
        <f>IFERROR(VLOOKUP(CONCATENATE($B1585,"_",G$3),materiali!$C:$K,6,0),"")</f>
        <v/>
      </c>
      <c r="H1585" s="86"/>
      <c r="I1585" s="84" t="str">
        <f>IFERROR(VLOOKUP(CONCATENATE($B1585,"_",I$3),materiali!$C:$K,5,0),"")</f>
        <v/>
      </c>
      <c r="J1585" s="85" t="str">
        <f>IFERROR(VLOOKUP(CONCATENATE($B1585,"_",J$3),materiali!$C:$K,6,0),"")</f>
        <v/>
      </c>
      <c r="K1585" s="86"/>
      <c r="L1585" s="84" t="str">
        <f>IFERROR(VLOOKUP(CONCATENATE($B1585,"_",L$3),materiali!$C:$K,5,0),"")</f>
        <v/>
      </c>
      <c r="M1585" s="85" t="str">
        <f>IFERROR(VLOOKUP(CONCATENATE($B1585,"_",M$3),materiali!$C:$K,6,0),"")</f>
        <v/>
      </c>
      <c r="N1585" s="86"/>
      <c r="O1585" s="84" t="str">
        <f>IFERROR(VLOOKUP(CONCATENATE($B1585,"_",O$3),materiali!$C:$K,5,0),"")</f>
        <v/>
      </c>
      <c r="P1585" s="85" t="str">
        <f>IFERROR(VLOOKUP(CONCATENATE($B1585,"_",P$3),materiali!$C:$K,6,0),"")</f>
        <v/>
      </c>
      <c r="Q1585" s="86"/>
      <c r="R1585" s="84" t="str">
        <f>IFERROR(VLOOKUP(CONCATENATE($B1585,"_",R$3),materiali!$C:$K,5,0),"")</f>
        <v/>
      </c>
      <c r="S1585" s="85" t="str">
        <f>IFERROR(VLOOKUP(CONCATENATE($B1585,"_",S$3),materiali!$C:$K,6,0),"")</f>
        <v/>
      </c>
      <c r="T1585" s="86"/>
      <c r="U1585" s="31"/>
      <c r="AD1585" s="97"/>
    </row>
    <row r="1586" spans="1:30" ht="35.1" hidden="1" customHeight="1" x14ac:dyDescent="0.25">
      <c r="A1586" s="83"/>
      <c r="B1586" s="7"/>
      <c r="C1586" s="8"/>
      <c r="D1586" s="8"/>
      <c r="E1586" s="60"/>
      <c r="F1586" s="84" t="str">
        <f>IFERROR(VLOOKUP(CONCATENATE($B1586,"_",F$3),materiali!$C:$K,5,0),"")</f>
        <v/>
      </c>
      <c r="G1586" s="85" t="str">
        <f>IFERROR(VLOOKUP(CONCATENATE($B1586,"_",G$3),materiali!$C:$K,6,0),"")</f>
        <v/>
      </c>
      <c r="H1586" s="86"/>
      <c r="I1586" s="84" t="str">
        <f>IFERROR(VLOOKUP(CONCATENATE($B1586,"_",I$3),materiali!$C:$K,5,0),"")</f>
        <v/>
      </c>
      <c r="J1586" s="85" t="str">
        <f>IFERROR(VLOOKUP(CONCATENATE($B1586,"_",J$3),materiali!$C:$K,6,0),"")</f>
        <v/>
      </c>
      <c r="K1586" s="86"/>
      <c r="L1586" s="84" t="str">
        <f>IFERROR(VLOOKUP(CONCATENATE($B1586,"_",L$3),materiali!$C:$K,5,0),"")</f>
        <v/>
      </c>
      <c r="M1586" s="85" t="str">
        <f>IFERROR(VLOOKUP(CONCATENATE($B1586,"_",M$3),materiali!$C:$K,6,0),"")</f>
        <v/>
      </c>
      <c r="N1586" s="86"/>
      <c r="O1586" s="84" t="str">
        <f>IFERROR(VLOOKUP(CONCATENATE($B1586,"_",O$3),materiali!$C:$K,5,0),"")</f>
        <v/>
      </c>
      <c r="P1586" s="85" t="str">
        <f>IFERROR(VLOOKUP(CONCATENATE($B1586,"_",P$3),materiali!$C:$K,6,0),"")</f>
        <v/>
      </c>
      <c r="Q1586" s="86"/>
      <c r="R1586" s="84" t="str">
        <f>IFERROR(VLOOKUP(CONCATENATE($B1586,"_",R$3),materiali!$C:$K,5,0),"")</f>
        <v/>
      </c>
      <c r="S1586" s="85" t="str">
        <f>IFERROR(VLOOKUP(CONCATENATE($B1586,"_",S$3),materiali!$C:$K,6,0),"")</f>
        <v/>
      </c>
      <c r="T1586" s="86"/>
      <c r="U1586" s="31"/>
      <c r="AD1586" s="97"/>
    </row>
    <row r="1587" spans="1:30" ht="35.1" hidden="1" customHeight="1" x14ac:dyDescent="0.25">
      <c r="A1587" s="83"/>
      <c r="B1587" s="7"/>
      <c r="C1587" s="8"/>
      <c r="D1587" s="8"/>
      <c r="E1587" s="60"/>
      <c r="F1587" s="84" t="str">
        <f>IFERROR(VLOOKUP(CONCATENATE($B1587,"_",F$3),materiali!$C:$K,5,0),"")</f>
        <v/>
      </c>
      <c r="G1587" s="85" t="str">
        <f>IFERROR(VLOOKUP(CONCATENATE($B1587,"_",G$3),materiali!$C:$K,6,0),"")</f>
        <v/>
      </c>
      <c r="H1587" s="86"/>
      <c r="I1587" s="84" t="str">
        <f>IFERROR(VLOOKUP(CONCATENATE($B1587,"_",I$3),materiali!$C:$K,5,0),"")</f>
        <v/>
      </c>
      <c r="J1587" s="85" t="str">
        <f>IFERROR(VLOOKUP(CONCATENATE($B1587,"_",J$3),materiali!$C:$K,6,0),"")</f>
        <v/>
      </c>
      <c r="K1587" s="86"/>
      <c r="L1587" s="84" t="str">
        <f>IFERROR(VLOOKUP(CONCATENATE($B1587,"_",L$3),materiali!$C:$K,5,0),"")</f>
        <v/>
      </c>
      <c r="M1587" s="85" t="str">
        <f>IFERROR(VLOOKUP(CONCATENATE($B1587,"_",M$3),materiali!$C:$K,6,0),"")</f>
        <v/>
      </c>
      <c r="N1587" s="86"/>
      <c r="O1587" s="84" t="str">
        <f>IFERROR(VLOOKUP(CONCATENATE($B1587,"_",O$3),materiali!$C:$K,5,0),"")</f>
        <v/>
      </c>
      <c r="P1587" s="85" t="str">
        <f>IFERROR(VLOOKUP(CONCATENATE($B1587,"_",P$3),materiali!$C:$K,6,0),"")</f>
        <v/>
      </c>
      <c r="Q1587" s="86"/>
      <c r="R1587" s="84" t="str">
        <f>IFERROR(VLOOKUP(CONCATENATE($B1587,"_",R$3),materiali!$C:$K,5,0),"")</f>
        <v/>
      </c>
      <c r="S1587" s="85" t="str">
        <f>IFERROR(VLOOKUP(CONCATENATE($B1587,"_",S$3),materiali!$C:$K,6,0),"")</f>
        <v/>
      </c>
      <c r="T1587" s="86"/>
      <c r="U1587" s="31"/>
      <c r="AD1587" s="97"/>
    </row>
    <row r="1588" spans="1:30" ht="35.1" hidden="1" customHeight="1" x14ac:dyDescent="0.25">
      <c r="A1588" s="83"/>
      <c r="B1588" s="7"/>
      <c r="C1588" s="8"/>
      <c r="D1588" s="8"/>
      <c r="E1588" s="60"/>
      <c r="F1588" s="84" t="str">
        <f>IFERROR(VLOOKUP(CONCATENATE($B1588,"_",F$3),materiali!$C:$K,5,0),"")</f>
        <v/>
      </c>
      <c r="G1588" s="85" t="str">
        <f>IFERROR(VLOOKUP(CONCATENATE($B1588,"_",G$3),materiali!$C:$K,6,0),"")</f>
        <v/>
      </c>
      <c r="H1588" s="86"/>
      <c r="I1588" s="84" t="str">
        <f>IFERROR(VLOOKUP(CONCATENATE($B1588,"_",I$3),materiali!$C:$K,5,0),"")</f>
        <v/>
      </c>
      <c r="J1588" s="85" t="str">
        <f>IFERROR(VLOOKUP(CONCATENATE($B1588,"_",J$3),materiali!$C:$K,6,0),"")</f>
        <v/>
      </c>
      <c r="K1588" s="86"/>
      <c r="L1588" s="84" t="str">
        <f>IFERROR(VLOOKUP(CONCATENATE($B1588,"_",L$3),materiali!$C:$K,5,0),"")</f>
        <v/>
      </c>
      <c r="M1588" s="85" t="str">
        <f>IFERROR(VLOOKUP(CONCATENATE($B1588,"_",M$3),materiali!$C:$K,6,0),"")</f>
        <v/>
      </c>
      <c r="N1588" s="86"/>
      <c r="O1588" s="84" t="str">
        <f>IFERROR(VLOOKUP(CONCATENATE($B1588,"_",O$3),materiali!$C:$K,5,0),"")</f>
        <v/>
      </c>
      <c r="P1588" s="85" t="str">
        <f>IFERROR(VLOOKUP(CONCATENATE($B1588,"_",P$3),materiali!$C:$K,6,0),"")</f>
        <v/>
      </c>
      <c r="Q1588" s="86"/>
      <c r="R1588" s="84" t="str">
        <f>IFERROR(VLOOKUP(CONCATENATE($B1588,"_",R$3),materiali!$C:$K,5,0),"")</f>
        <v/>
      </c>
      <c r="S1588" s="85" t="str">
        <f>IFERROR(VLOOKUP(CONCATENATE($B1588,"_",S$3),materiali!$C:$K,6,0),"")</f>
        <v/>
      </c>
      <c r="T1588" s="86"/>
      <c r="U1588" s="31"/>
      <c r="AD1588" s="97"/>
    </row>
    <row r="1589" spans="1:30" ht="35.1" hidden="1" customHeight="1" x14ac:dyDescent="0.25">
      <c r="A1589" s="83"/>
      <c r="B1589" s="7"/>
      <c r="C1589" s="8"/>
      <c r="D1589" s="8"/>
      <c r="E1589" s="60"/>
      <c r="F1589" s="84" t="str">
        <f>IFERROR(VLOOKUP(CONCATENATE($B1589,"_",F$3),materiali!$C:$K,5,0),"")</f>
        <v/>
      </c>
      <c r="G1589" s="85" t="str">
        <f>IFERROR(VLOOKUP(CONCATENATE($B1589,"_",G$3),materiali!$C:$K,6,0),"")</f>
        <v/>
      </c>
      <c r="H1589" s="86"/>
      <c r="I1589" s="84" t="str">
        <f>IFERROR(VLOOKUP(CONCATENATE($B1589,"_",I$3),materiali!$C:$K,5,0),"")</f>
        <v/>
      </c>
      <c r="J1589" s="85" t="str">
        <f>IFERROR(VLOOKUP(CONCATENATE($B1589,"_",J$3),materiali!$C:$K,6,0),"")</f>
        <v/>
      </c>
      <c r="K1589" s="86"/>
      <c r="L1589" s="84" t="str">
        <f>IFERROR(VLOOKUP(CONCATENATE($B1589,"_",L$3),materiali!$C:$K,5,0),"")</f>
        <v/>
      </c>
      <c r="M1589" s="85" t="str">
        <f>IFERROR(VLOOKUP(CONCATENATE($B1589,"_",M$3),materiali!$C:$K,6,0),"")</f>
        <v/>
      </c>
      <c r="N1589" s="86"/>
      <c r="O1589" s="84" t="str">
        <f>IFERROR(VLOOKUP(CONCATENATE($B1589,"_",O$3),materiali!$C:$K,5,0),"")</f>
        <v/>
      </c>
      <c r="P1589" s="85" t="str">
        <f>IFERROR(VLOOKUP(CONCATENATE($B1589,"_",P$3),materiali!$C:$K,6,0),"")</f>
        <v/>
      </c>
      <c r="Q1589" s="86"/>
      <c r="R1589" s="84" t="str">
        <f>IFERROR(VLOOKUP(CONCATENATE($B1589,"_",R$3),materiali!$C:$K,5,0),"")</f>
        <v/>
      </c>
      <c r="S1589" s="85" t="str">
        <f>IFERROR(VLOOKUP(CONCATENATE($B1589,"_",S$3),materiali!$C:$K,6,0),"")</f>
        <v/>
      </c>
      <c r="T1589" s="86"/>
      <c r="U1589" s="31"/>
      <c r="AD1589" s="97"/>
    </row>
    <row r="1590" spans="1:30" ht="35.1" hidden="1" customHeight="1" x14ac:dyDescent="0.25">
      <c r="A1590" s="83"/>
      <c r="B1590" s="7"/>
      <c r="C1590" s="8"/>
      <c r="D1590" s="8"/>
      <c r="E1590" s="60"/>
      <c r="F1590" s="84" t="str">
        <f>IFERROR(VLOOKUP(CONCATENATE($B1590,"_",F$3),materiali!$C:$K,5,0),"")</f>
        <v/>
      </c>
      <c r="G1590" s="85" t="str">
        <f>IFERROR(VLOOKUP(CONCATENATE($B1590,"_",G$3),materiali!$C:$K,6,0),"")</f>
        <v/>
      </c>
      <c r="H1590" s="86"/>
      <c r="I1590" s="84" t="str">
        <f>IFERROR(VLOOKUP(CONCATENATE($B1590,"_",I$3),materiali!$C:$K,5,0),"")</f>
        <v/>
      </c>
      <c r="J1590" s="85" t="str">
        <f>IFERROR(VLOOKUP(CONCATENATE($B1590,"_",J$3),materiali!$C:$K,6,0),"")</f>
        <v/>
      </c>
      <c r="K1590" s="86"/>
      <c r="L1590" s="84" t="str">
        <f>IFERROR(VLOOKUP(CONCATENATE($B1590,"_",L$3),materiali!$C:$K,5,0),"")</f>
        <v/>
      </c>
      <c r="M1590" s="85" t="str">
        <f>IFERROR(VLOOKUP(CONCATENATE($B1590,"_",M$3),materiali!$C:$K,6,0),"")</f>
        <v/>
      </c>
      <c r="N1590" s="86"/>
      <c r="O1590" s="84" t="str">
        <f>IFERROR(VLOOKUP(CONCATENATE($B1590,"_",O$3),materiali!$C:$K,5,0),"")</f>
        <v/>
      </c>
      <c r="P1590" s="85" t="str">
        <f>IFERROR(VLOOKUP(CONCATENATE($B1590,"_",P$3),materiali!$C:$K,6,0),"")</f>
        <v/>
      </c>
      <c r="Q1590" s="86"/>
      <c r="R1590" s="84" t="str">
        <f>IFERROR(VLOOKUP(CONCATENATE($B1590,"_",R$3),materiali!$C:$K,5,0),"")</f>
        <v/>
      </c>
      <c r="S1590" s="85" t="str">
        <f>IFERROR(VLOOKUP(CONCATENATE($B1590,"_",S$3),materiali!$C:$K,6,0),"")</f>
        <v/>
      </c>
      <c r="T1590" s="86"/>
      <c r="U1590" s="31"/>
      <c r="AD1590" s="97"/>
    </row>
    <row r="1591" spans="1:30" ht="35.1" hidden="1" customHeight="1" x14ac:dyDescent="0.25">
      <c r="A1591" s="83"/>
      <c r="B1591" s="7"/>
      <c r="C1591" s="8"/>
      <c r="D1591" s="8"/>
      <c r="E1591" s="60"/>
      <c r="F1591" s="84" t="str">
        <f>IFERROR(VLOOKUP(CONCATENATE($B1591,"_",F$3),materiali!$C:$K,5,0),"")</f>
        <v/>
      </c>
      <c r="G1591" s="85" t="str">
        <f>IFERROR(VLOOKUP(CONCATENATE($B1591,"_",G$3),materiali!$C:$K,6,0),"")</f>
        <v/>
      </c>
      <c r="H1591" s="86"/>
      <c r="I1591" s="84" t="str">
        <f>IFERROR(VLOOKUP(CONCATENATE($B1591,"_",I$3),materiali!$C:$K,5,0),"")</f>
        <v/>
      </c>
      <c r="J1591" s="85" t="str">
        <f>IFERROR(VLOOKUP(CONCATENATE($B1591,"_",J$3),materiali!$C:$K,6,0),"")</f>
        <v/>
      </c>
      <c r="K1591" s="86"/>
      <c r="L1591" s="84" t="str">
        <f>IFERROR(VLOOKUP(CONCATENATE($B1591,"_",L$3),materiali!$C:$K,5,0),"")</f>
        <v/>
      </c>
      <c r="M1591" s="85" t="str">
        <f>IFERROR(VLOOKUP(CONCATENATE($B1591,"_",M$3),materiali!$C:$K,6,0),"")</f>
        <v/>
      </c>
      <c r="N1591" s="86"/>
      <c r="O1591" s="84" t="str">
        <f>IFERROR(VLOOKUP(CONCATENATE($B1591,"_",O$3),materiali!$C:$K,5,0),"")</f>
        <v/>
      </c>
      <c r="P1591" s="85" t="str">
        <f>IFERROR(VLOOKUP(CONCATENATE($B1591,"_",P$3),materiali!$C:$K,6,0),"")</f>
        <v/>
      </c>
      <c r="Q1591" s="86"/>
      <c r="R1591" s="84" t="str">
        <f>IFERROR(VLOOKUP(CONCATENATE($B1591,"_",R$3),materiali!$C:$K,5,0),"")</f>
        <v/>
      </c>
      <c r="S1591" s="85" t="str">
        <f>IFERROR(VLOOKUP(CONCATENATE($B1591,"_",S$3),materiali!$C:$K,6,0),"")</f>
        <v/>
      </c>
      <c r="T1591" s="86"/>
      <c r="U1591" s="31"/>
      <c r="AD1591" s="97"/>
    </row>
    <row r="1592" spans="1:30" ht="35.1" hidden="1" customHeight="1" x14ac:dyDescent="0.25">
      <c r="A1592" s="83"/>
      <c r="B1592" s="7"/>
      <c r="C1592" s="8"/>
      <c r="D1592" s="8"/>
      <c r="E1592" s="60"/>
      <c r="F1592" s="84" t="str">
        <f>IFERROR(VLOOKUP(CONCATENATE($B1592,"_",F$3),materiali!$C:$K,5,0),"")</f>
        <v/>
      </c>
      <c r="G1592" s="85" t="str">
        <f>IFERROR(VLOOKUP(CONCATENATE($B1592,"_",G$3),materiali!$C:$K,6,0),"")</f>
        <v/>
      </c>
      <c r="H1592" s="86"/>
      <c r="I1592" s="84" t="str">
        <f>IFERROR(VLOOKUP(CONCATENATE($B1592,"_",I$3),materiali!$C:$K,5,0),"")</f>
        <v/>
      </c>
      <c r="J1592" s="85" t="str">
        <f>IFERROR(VLOOKUP(CONCATENATE($B1592,"_",J$3),materiali!$C:$K,6,0),"")</f>
        <v/>
      </c>
      <c r="K1592" s="86"/>
      <c r="L1592" s="84" t="str">
        <f>IFERROR(VLOOKUP(CONCATENATE($B1592,"_",L$3),materiali!$C:$K,5,0),"")</f>
        <v/>
      </c>
      <c r="M1592" s="85" t="str">
        <f>IFERROR(VLOOKUP(CONCATENATE($B1592,"_",M$3),materiali!$C:$K,6,0),"")</f>
        <v/>
      </c>
      <c r="N1592" s="86"/>
      <c r="O1592" s="84" t="str">
        <f>IFERROR(VLOOKUP(CONCATENATE($B1592,"_",O$3),materiali!$C:$K,5,0),"")</f>
        <v/>
      </c>
      <c r="P1592" s="85" t="str">
        <f>IFERROR(VLOOKUP(CONCATENATE($B1592,"_",P$3),materiali!$C:$K,6,0),"")</f>
        <v/>
      </c>
      <c r="Q1592" s="86"/>
      <c r="R1592" s="84" t="str">
        <f>IFERROR(VLOOKUP(CONCATENATE($B1592,"_",R$3),materiali!$C:$K,5,0),"")</f>
        <v/>
      </c>
      <c r="S1592" s="85" t="str">
        <f>IFERROR(VLOOKUP(CONCATENATE($B1592,"_",S$3),materiali!$C:$K,6,0),"")</f>
        <v/>
      </c>
      <c r="T1592" s="86"/>
      <c r="U1592" s="31"/>
      <c r="AD1592" s="97"/>
    </row>
    <row r="1593" spans="1:30" ht="35.1" hidden="1" customHeight="1" x14ac:dyDescent="0.25">
      <c r="A1593" s="83"/>
      <c r="B1593" s="7"/>
      <c r="C1593" s="8"/>
      <c r="D1593" s="8"/>
      <c r="E1593" s="60"/>
      <c r="F1593" s="84" t="str">
        <f>IFERROR(VLOOKUP(CONCATENATE($B1593,"_",F$3),materiali!$C:$K,5,0),"")</f>
        <v/>
      </c>
      <c r="G1593" s="85" t="str">
        <f>IFERROR(VLOOKUP(CONCATENATE($B1593,"_",G$3),materiali!$C:$K,6,0),"")</f>
        <v/>
      </c>
      <c r="H1593" s="86"/>
      <c r="I1593" s="84" t="str">
        <f>IFERROR(VLOOKUP(CONCATENATE($B1593,"_",I$3),materiali!$C:$K,5,0),"")</f>
        <v/>
      </c>
      <c r="J1593" s="85" t="str">
        <f>IFERROR(VLOOKUP(CONCATENATE($B1593,"_",J$3),materiali!$C:$K,6,0),"")</f>
        <v/>
      </c>
      <c r="K1593" s="86"/>
      <c r="L1593" s="84" t="str">
        <f>IFERROR(VLOOKUP(CONCATENATE($B1593,"_",L$3),materiali!$C:$K,5,0),"")</f>
        <v/>
      </c>
      <c r="M1593" s="85" t="str">
        <f>IFERROR(VLOOKUP(CONCATENATE($B1593,"_",M$3),materiali!$C:$K,6,0),"")</f>
        <v/>
      </c>
      <c r="N1593" s="86"/>
      <c r="O1593" s="84" t="str">
        <f>IFERROR(VLOOKUP(CONCATENATE($B1593,"_",O$3),materiali!$C:$K,5,0),"")</f>
        <v/>
      </c>
      <c r="P1593" s="85" t="str">
        <f>IFERROR(VLOOKUP(CONCATENATE($B1593,"_",P$3),materiali!$C:$K,6,0),"")</f>
        <v/>
      </c>
      <c r="Q1593" s="86"/>
      <c r="R1593" s="84" t="str">
        <f>IFERROR(VLOOKUP(CONCATENATE($B1593,"_",R$3),materiali!$C:$K,5,0),"")</f>
        <v/>
      </c>
      <c r="S1593" s="85" t="str">
        <f>IFERROR(VLOOKUP(CONCATENATE($B1593,"_",S$3),materiali!$C:$K,6,0),"")</f>
        <v/>
      </c>
      <c r="T1593" s="86"/>
      <c r="U1593" s="31"/>
      <c r="AD1593" s="97"/>
    </row>
    <row r="1594" spans="1:30" ht="35.1" hidden="1" customHeight="1" x14ac:dyDescent="0.25">
      <c r="A1594" s="83"/>
      <c r="B1594" s="7"/>
      <c r="C1594" s="8"/>
      <c r="D1594" s="8"/>
      <c r="E1594" s="60"/>
      <c r="F1594" s="84" t="str">
        <f>IFERROR(VLOOKUP(CONCATENATE($B1594,"_",F$3),materiali!$C:$K,5,0),"")</f>
        <v/>
      </c>
      <c r="G1594" s="85" t="str">
        <f>IFERROR(VLOOKUP(CONCATENATE($B1594,"_",G$3),materiali!$C:$K,6,0),"")</f>
        <v/>
      </c>
      <c r="H1594" s="86"/>
      <c r="I1594" s="84" t="str">
        <f>IFERROR(VLOOKUP(CONCATENATE($B1594,"_",I$3),materiali!$C:$K,5,0),"")</f>
        <v/>
      </c>
      <c r="J1594" s="85" t="str">
        <f>IFERROR(VLOOKUP(CONCATENATE($B1594,"_",J$3),materiali!$C:$K,6,0),"")</f>
        <v/>
      </c>
      <c r="K1594" s="86"/>
      <c r="L1594" s="84" t="str">
        <f>IFERROR(VLOOKUP(CONCATENATE($B1594,"_",L$3),materiali!$C:$K,5,0),"")</f>
        <v/>
      </c>
      <c r="M1594" s="85" t="str">
        <f>IFERROR(VLOOKUP(CONCATENATE($B1594,"_",M$3),materiali!$C:$K,6,0),"")</f>
        <v/>
      </c>
      <c r="N1594" s="86"/>
      <c r="O1594" s="84" t="str">
        <f>IFERROR(VLOOKUP(CONCATENATE($B1594,"_",O$3),materiali!$C:$K,5,0),"")</f>
        <v/>
      </c>
      <c r="P1594" s="85" t="str">
        <f>IFERROR(VLOOKUP(CONCATENATE($B1594,"_",P$3),materiali!$C:$K,6,0),"")</f>
        <v/>
      </c>
      <c r="Q1594" s="86"/>
      <c r="R1594" s="84" t="str">
        <f>IFERROR(VLOOKUP(CONCATENATE($B1594,"_",R$3),materiali!$C:$K,5,0),"")</f>
        <v/>
      </c>
      <c r="S1594" s="85" t="str">
        <f>IFERROR(VLOOKUP(CONCATENATE($B1594,"_",S$3),materiali!$C:$K,6,0),"")</f>
        <v/>
      </c>
      <c r="T1594" s="86"/>
      <c r="U1594" s="31"/>
      <c r="AD1594" s="97"/>
    </row>
    <row r="1595" spans="1:30" ht="35.1" hidden="1" customHeight="1" x14ac:dyDescent="0.25">
      <c r="A1595" s="83"/>
      <c r="B1595" s="7"/>
      <c r="C1595" s="8"/>
      <c r="D1595" s="8"/>
      <c r="E1595" s="60"/>
      <c r="F1595" s="84" t="str">
        <f>IFERROR(VLOOKUP(CONCATENATE($B1595,"_",F$3),materiali!$C:$K,5,0),"")</f>
        <v/>
      </c>
      <c r="G1595" s="85" t="str">
        <f>IFERROR(VLOOKUP(CONCATENATE($B1595,"_",G$3),materiali!$C:$K,6,0),"")</f>
        <v/>
      </c>
      <c r="H1595" s="86"/>
      <c r="I1595" s="84" t="str">
        <f>IFERROR(VLOOKUP(CONCATENATE($B1595,"_",I$3),materiali!$C:$K,5,0),"")</f>
        <v/>
      </c>
      <c r="J1595" s="85" t="str">
        <f>IFERROR(VLOOKUP(CONCATENATE($B1595,"_",J$3),materiali!$C:$K,6,0),"")</f>
        <v/>
      </c>
      <c r="K1595" s="86"/>
      <c r="L1595" s="84" t="str">
        <f>IFERROR(VLOOKUP(CONCATENATE($B1595,"_",L$3),materiali!$C:$K,5,0),"")</f>
        <v/>
      </c>
      <c r="M1595" s="85" t="str">
        <f>IFERROR(VLOOKUP(CONCATENATE($B1595,"_",M$3),materiali!$C:$K,6,0),"")</f>
        <v/>
      </c>
      <c r="N1595" s="86"/>
      <c r="O1595" s="84" t="str">
        <f>IFERROR(VLOOKUP(CONCATENATE($B1595,"_",O$3),materiali!$C:$K,5,0),"")</f>
        <v/>
      </c>
      <c r="P1595" s="85" t="str">
        <f>IFERROR(VLOOKUP(CONCATENATE($B1595,"_",P$3),materiali!$C:$K,6,0),"")</f>
        <v/>
      </c>
      <c r="Q1595" s="86"/>
      <c r="R1595" s="84" t="str">
        <f>IFERROR(VLOOKUP(CONCATENATE($B1595,"_",R$3),materiali!$C:$K,5,0),"")</f>
        <v/>
      </c>
      <c r="S1595" s="85" t="str">
        <f>IFERROR(VLOOKUP(CONCATENATE($B1595,"_",S$3),materiali!$C:$K,6,0),"")</f>
        <v/>
      </c>
      <c r="T1595" s="86"/>
      <c r="U1595" s="31"/>
      <c r="AD1595" s="97"/>
    </row>
    <row r="1596" spans="1:30" ht="35.1" hidden="1" customHeight="1" x14ac:dyDescent="0.25">
      <c r="A1596" s="83"/>
      <c r="B1596" s="7"/>
      <c r="C1596" s="8"/>
      <c r="D1596" s="8"/>
      <c r="E1596" s="60"/>
      <c r="F1596" s="84" t="str">
        <f>IFERROR(VLOOKUP(CONCATENATE($B1596,"_",F$3),materiali!$C:$K,5,0),"")</f>
        <v/>
      </c>
      <c r="G1596" s="85" t="str">
        <f>IFERROR(VLOOKUP(CONCATENATE($B1596,"_",G$3),materiali!$C:$K,6,0),"")</f>
        <v/>
      </c>
      <c r="H1596" s="86"/>
      <c r="I1596" s="84" t="str">
        <f>IFERROR(VLOOKUP(CONCATENATE($B1596,"_",I$3),materiali!$C:$K,5,0),"")</f>
        <v/>
      </c>
      <c r="J1596" s="85" t="str">
        <f>IFERROR(VLOOKUP(CONCATENATE($B1596,"_",J$3),materiali!$C:$K,6,0),"")</f>
        <v/>
      </c>
      <c r="K1596" s="86"/>
      <c r="L1596" s="84" t="str">
        <f>IFERROR(VLOOKUP(CONCATENATE($B1596,"_",L$3),materiali!$C:$K,5,0),"")</f>
        <v/>
      </c>
      <c r="M1596" s="85" t="str">
        <f>IFERROR(VLOOKUP(CONCATENATE($B1596,"_",M$3),materiali!$C:$K,6,0),"")</f>
        <v/>
      </c>
      <c r="N1596" s="86"/>
      <c r="O1596" s="84" t="str">
        <f>IFERROR(VLOOKUP(CONCATENATE($B1596,"_",O$3),materiali!$C:$K,5,0),"")</f>
        <v/>
      </c>
      <c r="P1596" s="85" t="str">
        <f>IFERROR(VLOOKUP(CONCATENATE($B1596,"_",P$3),materiali!$C:$K,6,0),"")</f>
        <v/>
      </c>
      <c r="Q1596" s="86"/>
      <c r="R1596" s="84" t="str">
        <f>IFERROR(VLOOKUP(CONCATENATE($B1596,"_",R$3),materiali!$C:$K,5,0),"")</f>
        <v/>
      </c>
      <c r="S1596" s="85" t="str">
        <f>IFERROR(VLOOKUP(CONCATENATE($B1596,"_",S$3),materiali!$C:$K,6,0),"")</f>
        <v/>
      </c>
      <c r="T1596" s="86"/>
      <c r="U1596" s="31"/>
      <c r="AD1596" s="97"/>
    </row>
    <row r="1597" spans="1:30" ht="35.1" hidden="1" customHeight="1" x14ac:dyDescent="0.25">
      <c r="A1597" s="83"/>
      <c r="B1597" s="7"/>
      <c r="C1597" s="8"/>
      <c r="D1597" s="8"/>
      <c r="E1597" s="60"/>
      <c r="F1597" s="84" t="str">
        <f>IFERROR(VLOOKUP(CONCATENATE($B1597,"_",F$3),materiali!$C:$K,5,0),"")</f>
        <v/>
      </c>
      <c r="G1597" s="85" t="str">
        <f>IFERROR(VLOOKUP(CONCATENATE($B1597,"_",G$3),materiali!$C:$K,6,0),"")</f>
        <v/>
      </c>
      <c r="H1597" s="86"/>
      <c r="I1597" s="84" t="str">
        <f>IFERROR(VLOOKUP(CONCATENATE($B1597,"_",I$3),materiali!$C:$K,5,0),"")</f>
        <v/>
      </c>
      <c r="J1597" s="85" t="str">
        <f>IFERROR(VLOOKUP(CONCATENATE($B1597,"_",J$3),materiali!$C:$K,6,0),"")</f>
        <v/>
      </c>
      <c r="K1597" s="86"/>
      <c r="L1597" s="84" t="str">
        <f>IFERROR(VLOOKUP(CONCATENATE($B1597,"_",L$3),materiali!$C:$K,5,0),"")</f>
        <v/>
      </c>
      <c r="M1597" s="85" t="str">
        <f>IFERROR(VLOOKUP(CONCATENATE($B1597,"_",M$3),materiali!$C:$K,6,0),"")</f>
        <v/>
      </c>
      <c r="N1597" s="86"/>
      <c r="O1597" s="84" t="str">
        <f>IFERROR(VLOOKUP(CONCATENATE($B1597,"_",O$3),materiali!$C:$K,5,0),"")</f>
        <v/>
      </c>
      <c r="P1597" s="85" t="str">
        <f>IFERROR(VLOOKUP(CONCATENATE($B1597,"_",P$3),materiali!$C:$K,6,0),"")</f>
        <v/>
      </c>
      <c r="Q1597" s="86"/>
      <c r="R1597" s="84" t="str">
        <f>IFERROR(VLOOKUP(CONCATENATE($B1597,"_",R$3),materiali!$C:$K,5,0),"")</f>
        <v/>
      </c>
      <c r="S1597" s="85" t="str">
        <f>IFERROR(VLOOKUP(CONCATENATE($B1597,"_",S$3),materiali!$C:$K,6,0),"")</f>
        <v/>
      </c>
      <c r="T1597" s="86"/>
      <c r="U1597" s="31"/>
      <c r="AD1597" s="97"/>
    </row>
    <row r="1598" spans="1:30" ht="35.1" hidden="1" customHeight="1" x14ac:dyDescent="0.25">
      <c r="A1598" s="83"/>
      <c r="B1598" s="7"/>
      <c r="C1598" s="8"/>
      <c r="D1598" s="8"/>
      <c r="E1598" s="60"/>
      <c r="F1598" s="84" t="str">
        <f>IFERROR(VLOOKUP(CONCATENATE($B1598,"_",F$3),materiali!$C:$K,5,0),"")</f>
        <v/>
      </c>
      <c r="G1598" s="85" t="str">
        <f>IFERROR(VLOOKUP(CONCATENATE($B1598,"_",G$3),materiali!$C:$K,6,0),"")</f>
        <v/>
      </c>
      <c r="H1598" s="86"/>
      <c r="I1598" s="84" t="str">
        <f>IFERROR(VLOOKUP(CONCATENATE($B1598,"_",I$3),materiali!$C:$K,5,0),"")</f>
        <v/>
      </c>
      <c r="J1598" s="85" t="str">
        <f>IFERROR(VLOOKUP(CONCATENATE($B1598,"_",J$3),materiali!$C:$K,6,0),"")</f>
        <v/>
      </c>
      <c r="K1598" s="86"/>
      <c r="L1598" s="84" t="str">
        <f>IFERROR(VLOOKUP(CONCATENATE($B1598,"_",L$3),materiali!$C:$K,5,0),"")</f>
        <v/>
      </c>
      <c r="M1598" s="85" t="str">
        <f>IFERROR(VLOOKUP(CONCATENATE($B1598,"_",M$3),materiali!$C:$K,6,0),"")</f>
        <v/>
      </c>
      <c r="N1598" s="86"/>
      <c r="O1598" s="84" t="str">
        <f>IFERROR(VLOOKUP(CONCATENATE($B1598,"_",O$3),materiali!$C:$K,5,0),"")</f>
        <v/>
      </c>
      <c r="P1598" s="85" t="str">
        <f>IFERROR(VLOOKUP(CONCATENATE($B1598,"_",P$3),materiali!$C:$K,6,0),"")</f>
        <v/>
      </c>
      <c r="Q1598" s="86"/>
      <c r="R1598" s="84" t="str">
        <f>IFERROR(VLOOKUP(CONCATENATE($B1598,"_",R$3),materiali!$C:$K,5,0),"")</f>
        <v/>
      </c>
      <c r="S1598" s="85" t="str">
        <f>IFERROR(VLOOKUP(CONCATENATE($B1598,"_",S$3),materiali!$C:$K,6,0),"")</f>
        <v/>
      </c>
      <c r="T1598" s="86"/>
      <c r="U1598" s="31"/>
      <c r="AD1598" s="97"/>
    </row>
    <row r="1599" spans="1:30" ht="35.1" hidden="1" customHeight="1" x14ac:dyDescent="0.25">
      <c r="A1599" s="83"/>
      <c r="B1599" s="7"/>
      <c r="C1599" s="8"/>
      <c r="D1599" s="8"/>
      <c r="E1599" s="60"/>
      <c r="F1599" s="84" t="str">
        <f>IFERROR(VLOOKUP(CONCATENATE($B1599,"_",F$3),materiali!$C:$K,5,0),"")</f>
        <v/>
      </c>
      <c r="G1599" s="85" t="str">
        <f>IFERROR(VLOOKUP(CONCATENATE($B1599,"_",G$3),materiali!$C:$K,6,0),"")</f>
        <v/>
      </c>
      <c r="H1599" s="86"/>
      <c r="I1599" s="84" t="str">
        <f>IFERROR(VLOOKUP(CONCATENATE($B1599,"_",I$3),materiali!$C:$K,5,0),"")</f>
        <v/>
      </c>
      <c r="J1599" s="85" t="str">
        <f>IFERROR(VLOOKUP(CONCATENATE($B1599,"_",J$3),materiali!$C:$K,6,0),"")</f>
        <v/>
      </c>
      <c r="K1599" s="86"/>
      <c r="L1599" s="84" t="str">
        <f>IFERROR(VLOOKUP(CONCATENATE($B1599,"_",L$3),materiali!$C:$K,5,0),"")</f>
        <v/>
      </c>
      <c r="M1599" s="85" t="str">
        <f>IFERROR(VLOOKUP(CONCATENATE($B1599,"_",M$3),materiali!$C:$K,6,0),"")</f>
        <v/>
      </c>
      <c r="N1599" s="86"/>
      <c r="O1599" s="84" t="str">
        <f>IFERROR(VLOOKUP(CONCATENATE($B1599,"_",O$3),materiali!$C:$K,5,0),"")</f>
        <v/>
      </c>
      <c r="P1599" s="85" t="str">
        <f>IFERROR(VLOOKUP(CONCATENATE($B1599,"_",P$3),materiali!$C:$K,6,0),"")</f>
        <v/>
      </c>
      <c r="Q1599" s="86"/>
      <c r="R1599" s="84" t="str">
        <f>IFERROR(VLOOKUP(CONCATENATE($B1599,"_",R$3),materiali!$C:$K,5,0),"")</f>
        <v/>
      </c>
      <c r="S1599" s="85" t="str">
        <f>IFERROR(VLOOKUP(CONCATENATE($B1599,"_",S$3),materiali!$C:$K,6,0),"")</f>
        <v/>
      </c>
      <c r="T1599" s="86"/>
      <c r="U1599" s="31"/>
      <c r="AD1599" s="97"/>
    </row>
    <row r="1600" spans="1:30" ht="35.1" hidden="1" customHeight="1" x14ac:dyDescent="0.25">
      <c r="A1600" s="83"/>
      <c r="B1600" s="7"/>
      <c r="C1600" s="8"/>
      <c r="D1600" s="8"/>
      <c r="E1600" s="60"/>
      <c r="F1600" s="84" t="str">
        <f>IFERROR(VLOOKUP(CONCATENATE($B1600,"_",F$3),materiali!$C:$K,5,0),"")</f>
        <v/>
      </c>
      <c r="G1600" s="85" t="str">
        <f>IFERROR(VLOOKUP(CONCATENATE($B1600,"_",G$3),materiali!$C:$K,6,0),"")</f>
        <v/>
      </c>
      <c r="H1600" s="86"/>
      <c r="I1600" s="84" t="str">
        <f>IFERROR(VLOOKUP(CONCATENATE($B1600,"_",I$3),materiali!$C:$K,5,0),"")</f>
        <v/>
      </c>
      <c r="J1600" s="85" t="str">
        <f>IFERROR(VLOOKUP(CONCATENATE($B1600,"_",J$3),materiali!$C:$K,6,0),"")</f>
        <v/>
      </c>
      <c r="K1600" s="86"/>
      <c r="L1600" s="84" t="str">
        <f>IFERROR(VLOOKUP(CONCATENATE($B1600,"_",L$3),materiali!$C:$K,5,0),"")</f>
        <v/>
      </c>
      <c r="M1600" s="85" t="str">
        <f>IFERROR(VLOOKUP(CONCATENATE($B1600,"_",M$3),materiali!$C:$K,6,0),"")</f>
        <v/>
      </c>
      <c r="N1600" s="86"/>
      <c r="O1600" s="84" t="str">
        <f>IFERROR(VLOOKUP(CONCATENATE($B1600,"_",O$3),materiali!$C:$K,5,0),"")</f>
        <v/>
      </c>
      <c r="P1600" s="85" t="str">
        <f>IFERROR(VLOOKUP(CONCATENATE($B1600,"_",P$3),materiali!$C:$K,6,0),"")</f>
        <v/>
      </c>
      <c r="Q1600" s="86"/>
      <c r="R1600" s="84" t="str">
        <f>IFERROR(VLOOKUP(CONCATENATE($B1600,"_",R$3),materiali!$C:$K,5,0),"")</f>
        <v/>
      </c>
      <c r="S1600" s="85" t="str">
        <f>IFERROR(VLOOKUP(CONCATENATE($B1600,"_",S$3),materiali!$C:$K,6,0),"")</f>
        <v/>
      </c>
      <c r="T1600" s="86"/>
      <c r="U1600" s="31"/>
      <c r="AD1600" s="97"/>
    </row>
    <row r="1601" spans="1:30" ht="35.1" hidden="1" customHeight="1" x14ac:dyDescent="0.25">
      <c r="A1601" s="83"/>
      <c r="B1601" s="7"/>
      <c r="C1601" s="8"/>
      <c r="D1601" s="8"/>
      <c r="E1601" s="60"/>
      <c r="F1601" s="84" t="str">
        <f>IFERROR(VLOOKUP(CONCATENATE($B1601,"_",F$3),materiali!$C:$K,5,0),"")</f>
        <v/>
      </c>
      <c r="G1601" s="85" t="str">
        <f>IFERROR(VLOOKUP(CONCATENATE($B1601,"_",G$3),materiali!$C:$K,6,0),"")</f>
        <v/>
      </c>
      <c r="H1601" s="86"/>
      <c r="I1601" s="84" t="str">
        <f>IFERROR(VLOOKUP(CONCATENATE($B1601,"_",I$3),materiali!$C:$K,5,0),"")</f>
        <v/>
      </c>
      <c r="J1601" s="85" t="str">
        <f>IFERROR(VLOOKUP(CONCATENATE($B1601,"_",J$3),materiali!$C:$K,6,0),"")</f>
        <v/>
      </c>
      <c r="K1601" s="86"/>
      <c r="L1601" s="84" t="str">
        <f>IFERROR(VLOOKUP(CONCATENATE($B1601,"_",L$3),materiali!$C:$K,5,0),"")</f>
        <v/>
      </c>
      <c r="M1601" s="85" t="str">
        <f>IFERROR(VLOOKUP(CONCATENATE($B1601,"_",M$3),materiali!$C:$K,6,0),"")</f>
        <v/>
      </c>
      <c r="N1601" s="86"/>
      <c r="O1601" s="84" t="str">
        <f>IFERROR(VLOOKUP(CONCATENATE($B1601,"_",O$3),materiali!$C:$K,5,0),"")</f>
        <v/>
      </c>
      <c r="P1601" s="85" t="str">
        <f>IFERROR(VLOOKUP(CONCATENATE($B1601,"_",P$3),materiali!$C:$K,6,0),"")</f>
        <v/>
      </c>
      <c r="Q1601" s="86"/>
      <c r="R1601" s="84" t="str">
        <f>IFERROR(VLOOKUP(CONCATENATE($B1601,"_",R$3),materiali!$C:$K,5,0),"")</f>
        <v/>
      </c>
      <c r="S1601" s="85" t="str">
        <f>IFERROR(VLOOKUP(CONCATENATE($B1601,"_",S$3),materiali!$C:$K,6,0),"")</f>
        <v/>
      </c>
      <c r="T1601" s="86"/>
      <c r="U1601" s="31"/>
      <c r="AD1601" s="97"/>
    </row>
    <row r="1602" spans="1:30" ht="35.1" hidden="1" customHeight="1" x14ac:dyDescent="0.25">
      <c r="A1602" s="83"/>
      <c r="B1602" s="7"/>
      <c r="C1602" s="8"/>
      <c r="D1602" s="8"/>
      <c r="E1602" s="60"/>
      <c r="F1602" s="84" t="str">
        <f>IFERROR(VLOOKUP(CONCATENATE($B1602,"_",F$3),materiali!$C:$K,5,0),"")</f>
        <v/>
      </c>
      <c r="G1602" s="85" t="str">
        <f>IFERROR(VLOOKUP(CONCATENATE($B1602,"_",G$3),materiali!$C:$K,6,0),"")</f>
        <v/>
      </c>
      <c r="H1602" s="86"/>
      <c r="I1602" s="84" t="str">
        <f>IFERROR(VLOOKUP(CONCATENATE($B1602,"_",I$3),materiali!$C:$K,5,0),"")</f>
        <v/>
      </c>
      <c r="J1602" s="85" t="str">
        <f>IFERROR(VLOOKUP(CONCATENATE($B1602,"_",J$3),materiali!$C:$K,6,0),"")</f>
        <v/>
      </c>
      <c r="K1602" s="86"/>
      <c r="L1602" s="84" t="str">
        <f>IFERROR(VLOOKUP(CONCATENATE($B1602,"_",L$3),materiali!$C:$K,5,0),"")</f>
        <v/>
      </c>
      <c r="M1602" s="85" t="str">
        <f>IFERROR(VLOOKUP(CONCATENATE($B1602,"_",M$3),materiali!$C:$K,6,0),"")</f>
        <v/>
      </c>
      <c r="N1602" s="86"/>
      <c r="O1602" s="84" t="str">
        <f>IFERROR(VLOOKUP(CONCATENATE($B1602,"_",O$3),materiali!$C:$K,5,0),"")</f>
        <v/>
      </c>
      <c r="P1602" s="85" t="str">
        <f>IFERROR(VLOOKUP(CONCATENATE($B1602,"_",P$3),materiali!$C:$K,6,0),"")</f>
        <v/>
      </c>
      <c r="Q1602" s="86"/>
      <c r="R1602" s="84" t="str">
        <f>IFERROR(VLOOKUP(CONCATENATE($B1602,"_",R$3),materiali!$C:$K,5,0),"")</f>
        <v/>
      </c>
      <c r="S1602" s="85" t="str">
        <f>IFERROR(VLOOKUP(CONCATENATE($B1602,"_",S$3),materiali!$C:$K,6,0),"")</f>
        <v/>
      </c>
      <c r="T1602" s="86"/>
      <c r="U1602" s="31"/>
      <c r="AD1602" s="97"/>
    </row>
    <row r="1603" spans="1:30" ht="35.1" hidden="1" customHeight="1" x14ac:dyDescent="0.25">
      <c r="A1603" s="83"/>
      <c r="B1603" s="7"/>
      <c r="C1603" s="8"/>
      <c r="D1603" s="8"/>
      <c r="E1603" s="60"/>
      <c r="F1603" s="84" t="str">
        <f>IFERROR(VLOOKUP(CONCATENATE($B1603,"_",F$3),materiali!$C:$K,5,0),"")</f>
        <v/>
      </c>
      <c r="G1603" s="85" t="str">
        <f>IFERROR(VLOOKUP(CONCATENATE($B1603,"_",G$3),materiali!$C:$K,6,0),"")</f>
        <v/>
      </c>
      <c r="H1603" s="86"/>
      <c r="I1603" s="84" t="str">
        <f>IFERROR(VLOOKUP(CONCATENATE($B1603,"_",I$3),materiali!$C:$K,5,0),"")</f>
        <v/>
      </c>
      <c r="J1603" s="85" t="str">
        <f>IFERROR(VLOOKUP(CONCATENATE($B1603,"_",J$3),materiali!$C:$K,6,0),"")</f>
        <v/>
      </c>
      <c r="K1603" s="86"/>
      <c r="L1603" s="84" t="str">
        <f>IFERROR(VLOOKUP(CONCATENATE($B1603,"_",L$3),materiali!$C:$K,5,0),"")</f>
        <v/>
      </c>
      <c r="M1603" s="85" t="str">
        <f>IFERROR(VLOOKUP(CONCATENATE($B1603,"_",M$3),materiali!$C:$K,6,0),"")</f>
        <v/>
      </c>
      <c r="N1603" s="86"/>
      <c r="O1603" s="84" t="str">
        <f>IFERROR(VLOOKUP(CONCATENATE($B1603,"_",O$3),materiali!$C:$K,5,0),"")</f>
        <v/>
      </c>
      <c r="P1603" s="85" t="str">
        <f>IFERROR(VLOOKUP(CONCATENATE($B1603,"_",P$3),materiali!$C:$K,6,0),"")</f>
        <v/>
      </c>
      <c r="Q1603" s="86"/>
      <c r="R1603" s="84" t="str">
        <f>IFERROR(VLOOKUP(CONCATENATE($B1603,"_",R$3),materiali!$C:$K,5,0),"")</f>
        <v/>
      </c>
      <c r="S1603" s="85" t="str">
        <f>IFERROR(VLOOKUP(CONCATENATE($B1603,"_",S$3),materiali!$C:$K,6,0),"")</f>
        <v/>
      </c>
      <c r="T1603" s="86"/>
      <c r="U1603" s="31"/>
      <c r="AD1603" s="97"/>
    </row>
    <row r="1604" spans="1:30" ht="35.1" hidden="1" customHeight="1" x14ac:dyDescent="0.25">
      <c r="A1604" s="83"/>
      <c r="B1604" s="7"/>
      <c r="C1604" s="8"/>
      <c r="D1604" s="8"/>
      <c r="E1604" s="60"/>
      <c r="F1604" s="84" t="str">
        <f>IFERROR(VLOOKUP(CONCATENATE($B1604,"_",F$3),materiali!$C:$K,5,0),"")</f>
        <v/>
      </c>
      <c r="G1604" s="85" t="str">
        <f>IFERROR(VLOOKUP(CONCATENATE($B1604,"_",G$3),materiali!$C:$K,6,0),"")</f>
        <v/>
      </c>
      <c r="H1604" s="86"/>
      <c r="I1604" s="84" t="str">
        <f>IFERROR(VLOOKUP(CONCATENATE($B1604,"_",I$3),materiali!$C:$K,5,0),"")</f>
        <v/>
      </c>
      <c r="J1604" s="85" t="str">
        <f>IFERROR(VLOOKUP(CONCATENATE($B1604,"_",J$3),materiali!$C:$K,6,0),"")</f>
        <v/>
      </c>
      <c r="K1604" s="86"/>
      <c r="L1604" s="84" t="str">
        <f>IFERROR(VLOOKUP(CONCATENATE($B1604,"_",L$3),materiali!$C:$K,5,0),"")</f>
        <v/>
      </c>
      <c r="M1604" s="85" t="str">
        <f>IFERROR(VLOOKUP(CONCATENATE($B1604,"_",M$3),materiali!$C:$K,6,0),"")</f>
        <v/>
      </c>
      <c r="N1604" s="86"/>
      <c r="O1604" s="84" t="str">
        <f>IFERROR(VLOOKUP(CONCATENATE($B1604,"_",O$3),materiali!$C:$K,5,0),"")</f>
        <v/>
      </c>
      <c r="P1604" s="85" t="str">
        <f>IFERROR(VLOOKUP(CONCATENATE($B1604,"_",P$3),materiali!$C:$K,6,0),"")</f>
        <v/>
      </c>
      <c r="Q1604" s="86"/>
      <c r="R1604" s="84" t="str">
        <f>IFERROR(VLOOKUP(CONCATENATE($B1604,"_",R$3),materiali!$C:$K,5,0),"")</f>
        <v/>
      </c>
      <c r="S1604" s="85" t="str">
        <f>IFERROR(VLOOKUP(CONCATENATE($B1604,"_",S$3),materiali!$C:$K,6,0),"")</f>
        <v/>
      </c>
      <c r="T1604" s="86"/>
      <c r="U1604" s="31"/>
      <c r="AD1604" s="97"/>
    </row>
    <row r="1605" spans="1:30" ht="35.1" hidden="1" customHeight="1" x14ac:dyDescent="0.25">
      <c r="A1605" s="83"/>
      <c r="B1605" s="7"/>
      <c r="C1605" s="8"/>
      <c r="D1605" s="8"/>
      <c r="E1605" s="60"/>
      <c r="F1605" s="84" t="str">
        <f>IFERROR(VLOOKUP(CONCATENATE($B1605,"_",F$3),materiali!$C:$K,5,0),"")</f>
        <v/>
      </c>
      <c r="G1605" s="85" t="str">
        <f>IFERROR(VLOOKUP(CONCATENATE($B1605,"_",G$3),materiali!$C:$K,6,0),"")</f>
        <v/>
      </c>
      <c r="H1605" s="86"/>
      <c r="I1605" s="84" t="str">
        <f>IFERROR(VLOOKUP(CONCATENATE($B1605,"_",I$3),materiali!$C:$K,5,0),"")</f>
        <v/>
      </c>
      <c r="J1605" s="85" t="str">
        <f>IFERROR(VLOOKUP(CONCATENATE($B1605,"_",J$3),materiali!$C:$K,6,0),"")</f>
        <v/>
      </c>
      <c r="K1605" s="86"/>
      <c r="L1605" s="84" t="str">
        <f>IFERROR(VLOOKUP(CONCATENATE($B1605,"_",L$3),materiali!$C:$K,5,0),"")</f>
        <v/>
      </c>
      <c r="M1605" s="85" t="str">
        <f>IFERROR(VLOOKUP(CONCATENATE($B1605,"_",M$3),materiali!$C:$K,6,0),"")</f>
        <v/>
      </c>
      <c r="N1605" s="86"/>
      <c r="O1605" s="84" t="str">
        <f>IFERROR(VLOOKUP(CONCATENATE($B1605,"_",O$3),materiali!$C:$K,5,0),"")</f>
        <v/>
      </c>
      <c r="P1605" s="85" t="str">
        <f>IFERROR(VLOOKUP(CONCATENATE($B1605,"_",P$3),materiali!$C:$K,6,0),"")</f>
        <v/>
      </c>
      <c r="Q1605" s="86"/>
      <c r="R1605" s="84" t="str">
        <f>IFERROR(VLOOKUP(CONCATENATE($B1605,"_",R$3),materiali!$C:$K,5,0),"")</f>
        <v/>
      </c>
      <c r="S1605" s="85" t="str">
        <f>IFERROR(VLOOKUP(CONCATENATE($B1605,"_",S$3),materiali!$C:$K,6,0),"")</f>
        <v/>
      </c>
      <c r="T1605" s="86"/>
      <c r="U1605" s="31"/>
      <c r="AD1605" s="97"/>
    </row>
    <row r="1606" spans="1:30" ht="35.1" hidden="1" customHeight="1" x14ac:dyDescent="0.25">
      <c r="A1606" s="83"/>
      <c r="B1606" s="7"/>
      <c r="C1606" s="8"/>
      <c r="D1606" s="8"/>
      <c r="E1606" s="60"/>
      <c r="F1606" s="84" t="str">
        <f>IFERROR(VLOOKUP(CONCATENATE($B1606,"_",F$3),materiali!$C:$K,5,0),"")</f>
        <v/>
      </c>
      <c r="G1606" s="85" t="str">
        <f>IFERROR(VLOOKUP(CONCATENATE($B1606,"_",G$3),materiali!$C:$K,6,0),"")</f>
        <v/>
      </c>
      <c r="H1606" s="86"/>
      <c r="I1606" s="84" t="str">
        <f>IFERROR(VLOOKUP(CONCATENATE($B1606,"_",I$3),materiali!$C:$K,5,0),"")</f>
        <v/>
      </c>
      <c r="J1606" s="85" t="str">
        <f>IFERROR(VLOOKUP(CONCATENATE($B1606,"_",J$3),materiali!$C:$K,6,0),"")</f>
        <v/>
      </c>
      <c r="K1606" s="86"/>
      <c r="L1606" s="84" t="str">
        <f>IFERROR(VLOOKUP(CONCATENATE($B1606,"_",L$3),materiali!$C:$K,5,0),"")</f>
        <v/>
      </c>
      <c r="M1606" s="85" t="str">
        <f>IFERROR(VLOOKUP(CONCATENATE($B1606,"_",M$3),materiali!$C:$K,6,0),"")</f>
        <v/>
      </c>
      <c r="N1606" s="86"/>
      <c r="O1606" s="84" t="str">
        <f>IFERROR(VLOOKUP(CONCATENATE($B1606,"_",O$3),materiali!$C:$K,5,0),"")</f>
        <v/>
      </c>
      <c r="P1606" s="85" t="str">
        <f>IFERROR(VLOOKUP(CONCATENATE($B1606,"_",P$3),materiali!$C:$K,6,0),"")</f>
        <v/>
      </c>
      <c r="Q1606" s="86"/>
      <c r="R1606" s="84" t="str">
        <f>IFERROR(VLOOKUP(CONCATENATE($B1606,"_",R$3),materiali!$C:$K,5,0),"")</f>
        <v/>
      </c>
      <c r="S1606" s="85" t="str">
        <f>IFERROR(VLOOKUP(CONCATENATE($B1606,"_",S$3),materiali!$C:$K,6,0),"")</f>
        <v/>
      </c>
      <c r="T1606" s="86"/>
      <c r="U1606" s="31"/>
      <c r="AD1606" s="97"/>
    </row>
    <row r="1607" spans="1:30" ht="35.1" hidden="1" customHeight="1" x14ac:dyDescent="0.25">
      <c r="A1607" s="83"/>
      <c r="B1607" s="7"/>
      <c r="C1607" s="8"/>
      <c r="D1607" s="8"/>
      <c r="E1607" s="60"/>
      <c r="F1607" s="84" t="str">
        <f>IFERROR(VLOOKUP(CONCATENATE($B1607,"_",F$3),materiali!$C:$K,5,0),"")</f>
        <v/>
      </c>
      <c r="G1607" s="85" t="str">
        <f>IFERROR(VLOOKUP(CONCATENATE($B1607,"_",G$3),materiali!$C:$K,6,0),"")</f>
        <v/>
      </c>
      <c r="H1607" s="86"/>
      <c r="I1607" s="84" t="str">
        <f>IFERROR(VLOOKUP(CONCATENATE($B1607,"_",I$3),materiali!$C:$K,5,0),"")</f>
        <v/>
      </c>
      <c r="J1607" s="85" t="str">
        <f>IFERROR(VLOOKUP(CONCATENATE($B1607,"_",J$3),materiali!$C:$K,6,0),"")</f>
        <v/>
      </c>
      <c r="K1607" s="86"/>
      <c r="L1607" s="84" t="str">
        <f>IFERROR(VLOOKUP(CONCATENATE($B1607,"_",L$3),materiali!$C:$K,5,0),"")</f>
        <v/>
      </c>
      <c r="M1607" s="85" t="str">
        <f>IFERROR(VLOOKUP(CONCATENATE($B1607,"_",M$3),materiali!$C:$K,6,0),"")</f>
        <v/>
      </c>
      <c r="N1607" s="86"/>
      <c r="O1607" s="84" t="str">
        <f>IFERROR(VLOOKUP(CONCATENATE($B1607,"_",O$3),materiali!$C:$K,5,0),"")</f>
        <v/>
      </c>
      <c r="P1607" s="85" t="str">
        <f>IFERROR(VLOOKUP(CONCATENATE($B1607,"_",P$3),materiali!$C:$K,6,0),"")</f>
        <v/>
      </c>
      <c r="Q1607" s="86"/>
      <c r="R1607" s="84" t="str">
        <f>IFERROR(VLOOKUP(CONCATENATE($B1607,"_",R$3),materiali!$C:$K,5,0),"")</f>
        <v/>
      </c>
      <c r="S1607" s="85" t="str">
        <f>IFERROR(VLOOKUP(CONCATENATE($B1607,"_",S$3),materiali!$C:$K,6,0),"")</f>
        <v/>
      </c>
      <c r="T1607" s="86"/>
      <c r="U1607" s="31"/>
      <c r="AD1607" s="97"/>
    </row>
    <row r="1608" spans="1:30" ht="35.1" hidden="1" customHeight="1" x14ac:dyDescent="0.25">
      <c r="A1608" s="83"/>
      <c r="B1608" s="7"/>
      <c r="C1608" s="8"/>
      <c r="D1608" s="8"/>
      <c r="E1608" s="60"/>
      <c r="F1608" s="84" t="str">
        <f>IFERROR(VLOOKUP(CONCATENATE($B1608,"_",F$3),materiali!$C:$K,5,0),"")</f>
        <v/>
      </c>
      <c r="G1608" s="85" t="str">
        <f>IFERROR(VLOOKUP(CONCATENATE($B1608,"_",G$3),materiali!$C:$K,6,0),"")</f>
        <v/>
      </c>
      <c r="H1608" s="86"/>
      <c r="I1608" s="84" t="str">
        <f>IFERROR(VLOOKUP(CONCATENATE($B1608,"_",I$3),materiali!$C:$K,5,0),"")</f>
        <v/>
      </c>
      <c r="J1608" s="85" t="str">
        <f>IFERROR(VLOOKUP(CONCATENATE($B1608,"_",J$3),materiali!$C:$K,6,0),"")</f>
        <v/>
      </c>
      <c r="K1608" s="86"/>
      <c r="L1608" s="84" t="str">
        <f>IFERROR(VLOOKUP(CONCATENATE($B1608,"_",L$3),materiali!$C:$K,5,0),"")</f>
        <v/>
      </c>
      <c r="M1608" s="85" t="str">
        <f>IFERROR(VLOOKUP(CONCATENATE($B1608,"_",M$3),materiali!$C:$K,6,0),"")</f>
        <v/>
      </c>
      <c r="N1608" s="86"/>
      <c r="O1608" s="84" t="str">
        <f>IFERROR(VLOOKUP(CONCATENATE($B1608,"_",O$3),materiali!$C:$K,5,0),"")</f>
        <v/>
      </c>
      <c r="P1608" s="85" t="str">
        <f>IFERROR(VLOOKUP(CONCATENATE($B1608,"_",P$3),materiali!$C:$K,6,0),"")</f>
        <v/>
      </c>
      <c r="Q1608" s="86"/>
      <c r="R1608" s="84" t="str">
        <f>IFERROR(VLOOKUP(CONCATENATE($B1608,"_",R$3),materiali!$C:$K,5,0),"")</f>
        <v/>
      </c>
      <c r="S1608" s="85" t="str">
        <f>IFERROR(VLOOKUP(CONCATENATE($B1608,"_",S$3),materiali!$C:$K,6,0),"")</f>
        <v/>
      </c>
      <c r="T1608" s="86"/>
      <c r="U1608" s="31"/>
      <c r="AD1608" s="97"/>
    </row>
    <row r="1609" spans="1:30" ht="35.1" hidden="1" customHeight="1" x14ac:dyDescent="0.25">
      <c r="A1609" s="83"/>
      <c r="B1609" s="7"/>
      <c r="C1609" s="8"/>
      <c r="D1609" s="8"/>
      <c r="E1609" s="60"/>
      <c r="F1609" s="84" t="str">
        <f>IFERROR(VLOOKUP(CONCATENATE($B1609,"_",F$3),materiali!$C:$K,5,0),"")</f>
        <v/>
      </c>
      <c r="G1609" s="85" t="str">
        <f>IFERROR(VLOOKUP(CONCATENATE($B1609,"_",G$3),materiali!$C:$K,6,0),"")</f>
        <v/>
      </c>
      <c r="H1609" s="86"/>
      <c r="I1609" s="84" t="str">
        <f>IFERROR(VLOOKUP(CONCATENATE($B1609,"_",I$3),materiali!$C:$K,5,0),"")</f>
        <v/>
      </c>
      <c r="J1609" s="85" t="str">
        <f>IFERROR(VLOOKUP(CONCATENATE($B1609,"_",J$3),materiali!$C:$K,6,0),"")</f>
        <v/>
      </c>
      <c r="K1609" s="86"/>
      <c r="L1609" s="84" t="str">
        <f>IFERROR(VLOOKUP(CONCATENATE($B1609,"_",L$3),materiali!$C:$K,5,0),"")</f>
        <v/>
      </c>
      <c r="M1609" s="85" t="str">
        <f>IFERROR(VLOOKUP(CONCATENATE($B1609,"_",M$3),materiali!$C:$K,6,0),"")</f>
        <v/>
      </c>
      <c r="N1609" s="86"/>
      <c r="O1609" s="84" t="str">
        <f>IFERROR(VLOOKUP(CONCATENATE($B1609,"_",O$3),materiali!$C:$K,5,0),"")</f>
        <v/>
      </c>
      <c r="P1609" s="85" t="str">
        <f>IFERROR(VLOOKUP(CONCATENATE($B1609,"_",P$3),materiali!$C:$K,6,0),"")</f>
        <v/>
      </c>
      <c r="Q1609" s="86"/>
      <c r="R1609" s="84" t="str">
        <f>IFERROR(VLOOKUP(CONCATENATE($B1609,"_",R$3),materiali!$C:$K,5,0),"")</f>
        <v/>
      </c>
      <c r="S1609" s="85" t="str">
        <f>IFERROR(VLOOKUP(CONCATENATE($B1609,"_",S$3),materiali!$C:$K,6,0),"")</f>
        <v/>
      </c>
      <c r="T1609" s="86"/>
      <c r="U1609" s="31"/>
      <c r="AD1609" s="97"/>
    </row>
    <row r="1610" spans="1:30" ht="35.1" hidden="1" customHeight="1" x14ac:dyDescent="0.25">
      <c r="A1610" s="83"/>
      <c r="B1610" s="7"/>
      <c r="C1610" s="8"/>
      <c r="D1610" s="8"/>
      <c r="E1610" s="60"/>
      <c r="F1610" s="84" t="str">
        <f>IFERROR(VLOOKUP(CONCATENATE($B1610,"_",F$3),materiali!$C:$K,5,0),"")</f>
        <v/>
      </c>
      <c r="G1610" s="85" t="str">
        <f>IFERROR(VLOOKUP(CONCATENATE($B1610,"_",G$3),materiali!$C:$K,6,0),"")</f>
        <v/>
      </c>
      <c r="H1610" s="86"/>
      <c r="I1610" s="84" t="str">
        <f>IFERROR(VLOOKUP(CONCATENATE($B1610,"_",I$3),materiali!$C:$K,5,0),"")</f>
        <v/>
      </c>
      <c r="J1610" s="85" t="str">
        <f>IFERROR(VLOOKUP(CONCATENATE($B1610,"_",J$3),materiali!$C:$K,6,0),"")</f>
        <v/>
      </c>
      <c r="K1610" s="86"/>
      <c r="L1610" s="84" t="str">
        <f>IFERROR(VLOOKUP(CONCATENATE($B1610,"_",L$3),materiali!$C:$K,5,0),"")</f>
        <v/>
      </c>
      <c r="M1610" s="85" t="str">
        <f>IFERROR(VLOOKUP(CONCATENATE($B1610,"_",M$3),materiali!$C:$K,6,0),"")</f>
        <v/>
      </c>
      <c r="N1610" s="86"/>
      <c r="O1610" s="84" t="str">
        <f>IFERROR(VLOOKUP(CONCATENATE($B1610,"_",O$3),materiali!$C:$K,5,0),"")</f>
        <v/>
      </c>
      <c r="P1610" s="85" t="str">
        <f>IFERROR(VLOOKUP(CONCATENATE($B1610,"_",P$3),materiali!$C:$K,6,0),"")</f>
        <v/>
      </c>
      <c r="Q1610" s="86"/>
      <c r="R1610" s="84" t="str">
        <f>IFERROR(VLOOKUP(CONCATENATE($B1610,"_",R$3),materiali!$C:$K,5,0),"")</f>
        <v/>
      </c>
      <c r="S1610" s="85" t="str">
        <f>IFERROR(VLOOKUP(CONCATENATE($B1610,"_",S$3),materiali!$C:$K,6,0),"")</f>
        <v/>
      </c>
      <c r="T1610" s="86"/>
      <c r="U1610" s="31"/>
      <c r="AD1610" s="97"/>
    </row>
    <row r="1611" spans="1:30" ht="35.1" hidden="1" customHeight="1" x14ac:dyDescent="0.25">
      <c r="A1611" s="83"/>
      <c r="B1611" s="7"/>
      <c r="C1611" s="8"/>
      <c r="D1611" s="8"/>
      <c r="E1611" s="60"/>
      <c r="F1611" s="84" t="str">
        <f>IFERROR(VLOOKUP(CONCATENATE($B1611,"_",F$3),materiali!$C:$K,5,0),"")</f>
        <v/>
      </c>
      <c r="G1611" s="85" t="str">
        <f>IFERROR(VLOOKUP(CONCATENATE($B1611,"_",G$3),materiali!$C:$K,6,0),"")</f>
        <v/>
      </c>
      <c r="H1611" s="86"/>
      <c r="I1611" s="84" t="str">
        <f>IFERROR(VLOOKUP(CONCATENATE($B1611,"_",I$3),materiali!$C:$K,5,0),"")</f>
        <v/>
      </c>
      <c r="J1611" s="85" t="str">
        <f>IFERROR(VLOOKUP(CONCATENATE($B1611,"_",J$3),materiali!$C:$K,6,0),"")</f>
        <v/>
      </c>
      <c r="K1611" s="86"/>
      <c r="L1611" s="84" t="str">
        <f>IFERROR(VLOOKUP(CONCATENATE($B1611,"_",L$3),materiali!$C:$K,5,0),"")</f>
        <v/>
      </c>
      <c r="M1611" s="85" t="str">
        <f>IFERROR(VLOOKUP(CONCATENATE($B1611,"_",M$3),materiali!$C:$K,6,0),"")</f>
        <v/>
      </c>
      <c r="N1611" s="86"/>
      <c r="O1611" s="84" t="str">
        <f>IFERROR(VLOOKUP(CONCATENATE($B1611,"_",O$3),materiali!$C:$K,5,0),"")</f>
        <v/>
      </c>
      <c r="P1611" s="85" t="str">
        <f>IFERROR(VLOOKUP(CONCATENATE($B1611,"_",P$3),materiali!$C:$K,6,0),"")</f>
        <v/>
      </c>
      <c r="Q1611" s="86"/>
      <c r="R1611" s="84" t="str">
        <f>IFERROR(VLOOKUP(CONCATENATE($B1611,"_",R$3),materiali!$C:$K,5,0),"")</f>
        <v/>
      </c>
      <c r="S1611" s="85" t="str">
        <f>IFERROR(VLOOKUP(CONCATENATE($B1611,"_",S$3),materiali!$C:$K,6,0),"")</f>
        <v/>
      </c>
      <c r="T1611" s="86"/>
      <c r="U1611" s="31"/>
      <c r="AD1611" s="97"/>
    </row>
    <row r="1612" spans="1:30" ht="35.1" hidden="1" customHeight="1" x14ac:dyDescent="0.25">
      <c r="A1612" s="83"/>
      <c r="B1612" s="7"/>
      <c r="C1612" s="8"/>
      <c r="D1612" s="8"/>
      <c r="E1612" s="60"/>
      <c r="F1612" s="84" t="str">
        <f>IFERROR(VLOOKUP(CONCATENATE($B1612,"_",F$3),materiali!$C:$K,5,0),"")</f>
        <v/>
      </c>
      <c r="G1612" s="85" t="str">
        <f>IFERROR(VLOOKUP(CONCATENATE($B1612,"_",G$3),materiali!$C:$K,6,0),"")</f>
        <v/>
      </c>
      <c r="H1612" s="86"/>
      <c r="I1612" s="84" t="str">
        <f>IFERROR(VLOOKUP(CONCATENATE($B1612,"_",I$3),materiali!$C:$K,5,0),"")</f>
        <v/>
      </c>
      <c r="J1612" s="85" t="str">
        <f>IFERROR(VLOOKUP(CONCATENATE($B1612,"_",J$3),materiali!$C:$K,6,0),"")</f>
        <v/>
      </c>
      <c r="K1612" s="86"/>
      <c r="L1612" s="84" t="str">
        <f>IFERROR(VLOOKUP(CONCATENATE($B1612,"_",L$3),materiali!$C:$K,5,0),"")</f>
        <v/>
      </c>
      <c r="M1612" s="85" t="str">
        <f>IFERROR(VLOOKUP(CONCATENATE($B1612,"_",M$3),materiali!$C:$K,6,0),"")</f>
        <v/>
      </c>
      <c r="N1612" s="86"/>
      <c r="O1612" s="84" t="str">
        <f>IFERROR(VLOOKUP(CONCATENATE($B1612,"_",O$3),materiali!$C:$K,5,0),"")</f>
        <v/>
      </c>
      <c r="P1612" s="85" t="str">
        <f>IFERROR(VLOOKUP(CONCATENATE($B1612,"_",P$3),materiali!$C:$K,6,0),"")</f>
        <v/>
      </c>
      <c r="Q1612" s="86"/>
      <c r="R1612" s="84" t="str">
        <f>IFERROR(VLOOKUP(CONCATENATE($B1612,"_",R$3),materiali!$C:$K,5,0),"")</f>
        <v/>
      </c>
      <c r="S1612" s="85" t="str">
        <f>IFERROR(VLOOKUP(CONCATENATE($B1612,"_",S$3),materiali!$C:$K,6,0),"")</f>
        <v/>
      </c>
      <c r="T1612" s="86"/>
      <c r="U1612" s="31"/>
      <c r="AD1612" s="97"/>
    </row>
    <row r="1613" spans="1:30" ht="35.1" hidden="1" customHeight="1" x14ac:dyDescent="0.25">
      <c r="A1613" s="83"/>
      <c r="B1613" s="7"/>
      <c r="C1613" s="8"/>
      <c r="D1613" s="8"/>
      <c r="E1613" s="60"/>
      <c r="F1613" s="84" t="str">
        <f>IFERROR(VLOOKUP(CONCATENATE($B1613,"_",F$3),materiali!$C:$K,5,0),"")</f>
        <v/>
      </c>
      <c r="G1613" s="85" t="str">
        <f>IFERROR(VLOOKUP(CONCATENATE($B1613,"_",G$3),materiali!$C:$K,6,0),"")</f>
        <v/>
      </c>
      <c r="H1613" s="86"/>
      <c r="I1613" s="84" t="str">
        <f>IFERROR(VLOOKUP(CONCATENATE($B1613,"_",I$3),materiali!$C:$K,5,0),"")</f>
        <v/>
      </c>
      <c r="J1613" s="85" t="str">
        <f>IFERROR(VLOOKUP(CONCATENATE($B1613,"_",J$3),materiali!$C:$K,6,0),"")</f>
        <v/>
      </c>
      <c r="K1613" s="86"/>
      <c r="L1613" s="84" t="str">
        <f>IFERROR(VLOOKUP(CONCATENATE($B1613,"_",L$3),materiali!$C:$K,5,0),"")</f>
        <v/>
      </c>
      <c r="M1613" s="85" t="str">
        <f>IFERROR(VLOOKUP(CONCATENATE($B1613,"_",M$3),materiali!$C:$K,6,0),"")</f>
        <v/>
      </c>
      <c r="N1613" s="86"/>
      <c r="O1613" s="84" t="str">
        <f>IFERROR(VLOOKUP(CONCATENATE($B1613,"_",O$3),materiali!$C:$K,5,0),"")</f>
        <v/>
      </c>
      <c r="P1613" s="85" t="str">
        <f>IFERROR(VLOOKUP(CONCATENATE($B1613,"_",P$3),materiali!$C:$K,6,0),"")</f>
        <v/>
      </c>
      <c r="Q1613" s="86"/>
      <c r="R1613" s="84" t="str">
        <f>IFERROR(VLOOKUP(CONCATENATE($B1613,"_",R$3),materiali!$C:$K,5,0),"")</f>
        <v/>
      </c>
      <c r="S1613" s="85" t="str">
        <f>IFERROR(VLOOKUP(CONCATENATE($B1613,"_",S$3),materiali!$C:$K,6,0),"")</f>
        <v/>
      </c>
      <c r="T1613" s="86"/>
      <c r="U1613" s="31"/>
      <c r="AD1613" s="97"/>
    </row>
    <row r="1614" spans="1:30" ht="35.1" hidden="1" customHeight="1" x14ac:dyDescent="0.25">
      <c r="A1614" s="83"/>
      <c r="B1614" s="7"/>
      <c r="C1614" s="8"/>
      <c r="D1614" s="8"/>
      <c r="E1614" s="60"/>
      <c r="F1614" s="84" t="str">
        <f>IFERROR(VLOOKUP(CONCATENATE($B1614,"_",F$3),materiali!$C:$K,5,0),"")</f>
        <v/>
      </c>
      <c r="G1614" s="85" t="str">
        <f>IFERROR(VLOOKUP(CONCATENATE($B1614,"_",G$3),materiali!$C:$K,6,0),"")</f>
        <v/>
      </c>
      <c r="H1614" s="86"/>
      <c r="I1614" s="84" t="str">
        <f>IFERROR(VLOOKUP(CONCATENATE($B1614,"_",I$3),materiali!$C:$K,5,0),"")</f>
        <v/>
      </c>
      <c r="J1614" s="85" t="str">
        <f>IFERROR(VLOOKUP(CONCATENATE($B1614,"_",J$3),materiali!$C:$K,6,0),"")</f>
        <v/>
      </c>
      <c r="K1614" s="86"/>
      <c r="L1614" s="84" t="str">
        <f>IFERROR(VLOOKUP(CONCATENATE($B1614,"_",L$3),materiali!$C:$K,5,0),"")</f>
        <v/>
      </c>
      <c r="M1614" s="85" t="str">
        <f>IFERROR(VLOOKUP(CONCATENATE($B1614,"_",M$3),materiali!$C:$K,6,0),"")</f>
        <v/>
      </c>
      <c r="N1614" s="86"/>
      <c r="O1614" s="84" t="str">
        <f>IFERROR(VLOOKUP(CONCATENATE($B1614,"_",O$3),materiali!$C:$K,5,0),"")</f>
        <v/>
      </c>
      <c r="P1614" s="85" t="str">
        <f>IFERROR(VLOOKUP(CONCATENATE($B1614,"_",P$3),materiali!$C:$K,6,0),"")</f>
        <v/>
      </c>
      <c r="Q1614" s="86"/>
      <c r="R1614" s="84" t="str">
        <f>IFERROR(VLOOKUP(CONCATENATE($B1614,"_",R$3),materiali!$C:$K,5,0),"")</f>
        <v/>
      </c>
      <c r="S1614" s="85" t="str">
        <f>IFERROR(VLOOKUP(CONCATENATE($B1614,"_",S$3),materiali!$C:$K,6,0),"")</f>
        <v/>
      </c>
      <c r="T1614" s="86"/>
      <c r="U1614" s="31"/>
      <c r="AD1614" s="97"/>
    </row>
    <row r="1615" spans="1:30" ht="35.1" hidden="1" customHeight="1" x14ac:dyDescent="0.25">
      <c r="A1615" s="83"/>
      <c r="B1615" s="7"/>
      <c r="C1615" s="8"/>
      <c r="D1615" s="8"/>
      <c r="E1615" s="60"/>
      <c r="F1615" s="84" t="str">
        <f>IFERROR(VLOOKUP(CONCATENATE($B1615,"_",F$3),materiali!$C:$K,5,0),"")</f>
        <v/>
      </c>
      <c r="G1615" s="85" t="str">
        <f>IFERROR(VLOOKUP(CONCATENATE($B1615,"_",G$3),materiali!$C:$K,6,0),"")</f>
        <v/>
      </c>
      <c r="H1615" s="86"/>
      <c r="I1615" s="84" t="str">
        <f>IFERROR(VLOOKUP(CONCATENATE($B1615,"_",I$3),materiali!$C:$K,5,0),"")</f>
        <v/>
      </c>
      <c r="J1615" s="85" t="str">
        <f>IFERROR(VLOOKUP(CONCATENATE($B1615,"_",J$3),materiali!$C:$K,6,0),"")</f>
        <v/>
      </c>
      <c r="K1615" s="86"/>
      <c r="L1615" s="84" t="str">
        <f>IFERROR(VLOOKUP(CONCATENATE($B1615,"_",L$3),materiali!$C:$K,5,0),"")</f>
        <v/>
      </c>
      <c r="M1615" s="85" t="str">
        <f>IFERROR(VLOOKUP(CONCATENATE($B1615,"_",M$3),materiali!$C:$K,6,0),"")</f>
        <v/>
      </c>
      <c r="N1615" s="86"/>
      <c r="O1615" s="84" t="str">
        <f>IFERROR(VLOOKUP(CONCATENATE($B1615,"_",O$3),materiali!$C:$K,5,0),"")</f>
        <v/>
      </c>
      <c r="P1615" s="85" t="str">
        <f>IFERROR(VLOOKUP(CONCATENATE($B1615,"_",P$3),materiali!$C:$K,6,0),"")</f>
        <v/>
      </c>
      <c r="Q1615" s="86"/>
      <c r="R1615" s="84" t="str">
        <f>IFERROR(VLOOKUP(CONCATENATE($B1615,"_",R$3),materiali!$C:$K,5,0),"")</f>
        <v/>
      </c>
      <c r="S1615" s="85" t="str">
        <f>IFERROR(VLOOKUP(CONCATENATE($B1615,"_",S$3),materiali!$C:$K,6,0),"")</f>
        <v/>
      </c>
      <c r="T1615" s="86"/>
      <c r="U1615" s="31"/>
      <c r="AD1615" s="97"/>
    </row>
    <row r="1616" spans="1:30" ht="35.1" hidden="1" customHeight="1" x14ac:dyDescent="0.25">
      <c r="A1616" s="83"/>
      <c r="B1616" s="7"/>
      <c r="C1616" s="8"/>
      <c r="D1616" s="8"/>
      <c r="E1616" s="60"/>
      <c r="F1616" s="84" t="str">
        <f>IFERROR(VLOOKUP(CONCATENATE($B1616,"_",F$3),materiali!$C:$K,5,0),"")</f>
        <v/>
      </c>
      <c r="G1616" s="85" t="str">
        <f>IFERROR(VLOOKUP(CONCATENATE($B1616,"_",G$3),materiali!$C:$K,6,0),"")</f>
        <v/>
      </c>
      <c r="H1616" s="86"/>
      <c r="I1616" s="84" t="str">
        <f>IFERROR(VLOOKUP(CONCATENATE($B1616,"_",I$3),materiali!$C:$K,5,0),"")</f>
        <v/>
      </c>
      <c r="J1616" s="85" t="str">
        <f>IFERROR(VLOOKUP(CONCATENATE($B1616,"_",J$3),materiali!$C:$K,6,0),"")</f>
        <v/>
      </c>
      <c r="K1616" s="86"/>
      <c r="L1616" s="84" t="str">
        <f>IFERROR(VLOOKUP(CONCATENATE($B1616,"_",L$3),materiali!$C:$K,5,0),"")</f>
        <v/>
      </c>
      <c r="M1616" s="85" t="str">
        <f>IFERROR(VLOOKUP(CONCATENATE($B1616,"_",M$3),materiali!$C:$K,6,0),"")</f>
        <v/>
      </c>
      <c r="N1616" s="86"/>
      <c r="O1616" s="84" t="str">
        <f>IFERROR(VLOOKUP(CONCATENATE($B1616,"_",O$3),materiali!$C:$K,5,0),"")</f>
        <v/>
      </c>
      <c r="P1616" s="85" t="str">
        <f>IFERROR(VLOOKUP(CONCATENATE($B1616,"_",P$3),materiali!$C:$K,6,0),"")</f>
        <v/>
      </c>
      <c r="Q1616" s="86"/>
      <c r="R1616" s="84" t="str">
        <f>IFERROR(VLOOKUP(CONCATENATE($B1616,"_",R$3),materiali!$C:$K,5,0),"")</f>
        <v/>
      </c>
      <c r="S1616" s="85" t="str">
        <f>IFERROR(VLOOKUP(CONCATENATE($B1616,"_",S$3),materiali!$C:$K,6,0),"")</f>
        <v/>
      </c>
      <c r="T1616" s="86"/>
      <c r="U1616" s="31"/>
      <c r="AD1616" s="97"/>
    </row>
    <row r="1617" spans="1:30" ht="35.1" hidden="1" customHeight="1" x14ac:dyDescent="0.25">
      <c r="A1617" s="83"/>
      <c r="B1617" s="7"/>
      <c r="C1617" s="8"/>
      <c r="D1617" s="8"/>
      <c r="E1617" s="60"/>
      <c r="F1617" s="84" t="str">
        <f>IFERROR(VLOOKUP(CONCATENATE($B1617,"_",F$3),materiali!$C:$K,5,0),"")</f>
        <v/>
      </c>
      <c r="G1617" s="85" t="str">
        <f>IFERROR(VLOOKUP(CONCATENATE($B1617,"_",G$3),materiali!$C:$K,6,0),"")</f>
        <v/>
      </c>
      <c r="H1617" s="86"/>
      <c r="I1617" s="84" t="str">
        <f>IFERROR(VLOOKUP(CONCATENATE($B1617,"_",I$3),materiali!$C:$K,5,0),"")</f>
        <v/>
      </c>
      <c r="J1617" s="85" t="str">
        <f>IFERROR(VLOOKUP(CONCATENATE($B1617,"_",J$3),materiali!$C:$K,6,0),"")</f>
        <v/>
      </c>
      <c r="K1617" s="86"/>
      <c r="L1617" s="84" t="str">
        <f>IFERROR(VLOOKUP(CONCATENATE($B1617,"_",L$3),materiali!$C:$K,5,0),"")</f>
        <v/>
      </c>
      <c r="M1617" s="85" t="str">
        <f>IFERROR(VLOOKUP(CONCATENATE($B1617,"_",M$3),materiali!$C:$K,6,0),"")</f>
        <v/>
      </c>
      <c r="N1617" s="86"/>
      <c r="O1617" s="84" t="str">
        <f>IFERROR(VLOOKUP(CONCATENATE($B1617,"_",O$3),materiali!$C:$K,5,0),"")</f>
        <v/>
      </c>
      <c r="P1617" s="85" t="str">
        <f>IFERROR(VLOOKUP(CONCATENATE($B1617,"_",P$3),materiali!$C:$K,6,0),"")</f>
        <v/>
      </c>
      <c r="Q1617" s="86"/>
      <c r="R1617" s="84" t="str">
        <f>IFERROR(VLOOKUP(CONCATENATE($B1617,"_",R$3),materiali!$C:$K,5,0),"")</f>
        <v/>
      </c>
      <c r="S1617" s="85" t="str">
        <f>IFERROR(VLOOKUP(CONCATENATE($B1617,"_",S$3),materiali!$C:$K,6,0),"")</f>
        <v/>
      </c>
      <c r="T1617" s="86"/>
      <c r="U1617" s="31"/>
      <c r="AD1617" s="97"/>
    </row>
    <row r="1618" spans="1:30" ht="35.1" hidden="1" customHeight="1" x14ac:dyDescent="0.25">
      <c r="A1618" s="83"/>
      <c r="B1618" s="7"/>
      <c r="C1618" s="8"/>
      <c r="D1618" s="8"/>
      <c r="E1618" s="60"/>
      <c r="F1618" s="84" t="str">
        <f>IFERROR(VLOOKUP(CONCATENATE($B1618,"_",F$3),materiali!$C:$K,5,0),"")</f>
        <v/>
      </c>
      <c r="G1618" s="85" t="str">
        <f>IFERROR(VLOOKUP(CONCATENATE($B1618,"_",G$3),materiali!$C:$K,6,0),"")</f>
        <v/>
      </c>
      <c r="H1618" s="86"/>
      <c r="I1618" s="84" t="str">
        <f>IFERROR(VLOOKUP(CONCATENATE($B1618,"_",I$3),materiali!$C:$K,5,0),"")</f>
        <v/>
      </c>
      <c r="J1618" s="85" t="str">
        <f>IFERROR(VLOOKUP(CONCATENATE($B1618,"_",J$3),materiali!$C:$K,6,0),"")</f>
        <v/>
      </c>
      <c r="K1618" s="86"/>
      <c r="L1618" s="84" t="str">
        <f>IFERROR(VLOOKUP(CONCATENATE($B1618,"_",L$3),materiali!$C:$K,5,0),"")</f>
        <v/>
      </c>
      <c r="M1618" s="85" t="str">
        <f>IFERROR(VLOOKUP(CONCATENATE($B1618,"_",M$3),materiali!$C:$K,6,0),"")</f>
        <v/>
      </c>
      <c r="N1618" s="86"/>
      <c r="O1618" s="84" t="str">
        <f>IFERROR(VLOOKUP(CONCATENATE($B1618,"_",O$3),materiali!$C:$K,5,0),"")</f>
        <v/>
      </c>
      <c r="P1618" s="85" t="str">
        <f>IFERROR(VLOOKUP(CONCATENATE($B1618,"_",P$3),materiali!$C:$K,6,0),"")</f>
        <v/>
      </c>
      <c r="Q1618" s="86"/>
      <c r="R1618" s="84" t="str">
        <f>IFERROR(VLOOKUP(CONCATENATE($B1618,"_",R$3),materiali!$C:$K,5,0),"")</f>
        <v/>
      </c>
      <c r="S1618" s="85" t="str">
        <f>IFERROR(VLOOKUP(CONCATENATE($B1618,"_",S$3),materiali!$C:$K,6,0),"")</f>
        <v/>
      </c>
      <c r="T1618" s="86"/>
      <c r="U1618" s="31"/>
      <c r="AD1618" s="97"/>
    </row>
    <row r="1619" spans="1:30" ht="35.1" hidden="1" customHeight="1" x14ac:dyDescent="0.25">
      <c r="A1619" s="83"/>
      <c r="B1619" s="7"/>
      <c r="C1619" s="8"/>
      <c r="D1619" s="8"/>
      <c r="E1619" s="60"/>
      <c r="F1619" s="84" t="str">
        <f>IFERROR(VLOOKUP(CONCATENATE($B1619,"_",F$3),materiali!$C:$K,5,0),"")</f>
        <v/>
      </c>
      <c r="G1619" s="85" t="str">
        <f>IFERROR(VLOOKUP(CONCATENATE($B1619,"_",G$3),materiali!$C:$K,6,0),"")</f>
        <v/>
      </c>
      <c r="H1619" s="86"/>
      <c r="I1619" s="84" t="str">
        <f>IFERROR(VLOOKUP(CONCATENATE($B1619,"_",I$3),materiali!$C:$K,5,0),"")</f>
        <v/>
      </c>
      <c r="J1619" s="85" t="str">
        <f>IFERROR(VLOOKUP(CONCATENATE($B1619,"_",J$3),materiali!$C:$K,6,0),"")</f>
        <v/>
      </c>
      <c r="K1619" s="86"/>
      <c r="L1619" s="84" t="str">
        <f>IFERROR(VLOOKUP(CONCATENATE($B1619,"_",L$3),materiali!$C:$K,5,0),"")</f>
        <v/>
      </c>
      <c r="M1619" s="85" t="str">
        <f>IFERROR(VLOOKUP(CONCATENATE($B1619,"_",M$3),materiali!$C:$K,6,0),"")</f>
        <v/>
      </c>
      <c r="N1619" s="86"/>
      <c r="O1619" s="84" t="str">
        <f>IFERROR(VLOOKUP(CONCATENATE($B1619,"_",O$3),materiali!$C:$K,5,0),"")</f>
        <v/>
      </c>
      <c r="P1619" s="85" t="str">
        <f>IFERROR(VLOOKUP(CONCATENATE($B1619,"_",P$3),materiali!$C:$K,6,0),"")</f>
        <v/>
      </c>
      <c r="Q1619" s="86"/>
      <c r="R1619" s="84" t="str">
        <f>IFERROR(VLOOKUP(CONCATENATE($B1619,"_",R$3),materiali!$C:$K,5,0),"")</f>
        <v/>
      </c>
      <c r="S1619" s="85" t="str">
        <f>IFERROR(VLOOKUP(CONCATENATE($B1619,"_",S$3),materiali!$C:$K,6,0),"")</f>
        <v/>
      </c>
      <c r="T1619" s="86"/>
      <c r="U1619" s="31"/>
      <c r="AD1619" s="97"/>
    </row>
    <row r="1620" spans="1:30" ht="35.1" hidden="1" customHeight="1" x14ac:dyDescent="0.25">
      <c r="A1620" s="83"/>
      <c r="B1620" s="7"/>
      <c r="C1620" s="8"/>
      <c r="D1620" s="8"/>
      <c r="E1620" s="60"/>
      <c r="F1620" s="84" t="str">
        <f>IFERROR(VLOOKUP(CONCATENATE($B1620,"_",F$3),materiali!$C:$K,5,0),"")</f>
        <v/>
      </c>
      <c r="G1620" s="85" t="str">
        <f>IFERROR(VLOOKUP(CONCATENATE($B1620,"_",G$3),materiali!$C:$K,6,0),"")</f>
        <v/>
      </c>
      <c r="H1620" s="86"/>
      <c r="I1620" s="84" t="str">
        <f>IFERROR(VLOOKUP(CONCATENATE($B1620,"_",I$3),materiali!$C:$K,5,0),"")</f>
        <v/>
      </c>
      <c r="J1620" s="85" t="str">
        <f>IFERROR(VLOOKUP(CONCATENATE($B1620,"_",J$3),materiali!$C:$K,6,0),"")</f>
        <v/>
      </c>
      <c r="K1620" s="86"/>
      <c r="L1620" s="84" t="str">
        <f>IFERROR(VLOOKUP(CONCATENATE($B1620,"_",L$3),materiali!$C:$K,5,0),"")</f>
        <v/>
      </c>
      <c r="M1620" s="85" t="str">
        <f>IFERROR(VLOOKUP(CONCATENATE($B1620,"_",M$3),materiali!$C:$K,6,0),"")</f>
        <v/>
      </c>
      <c r="N1620" s="86"/>
      <c r="O1620" s="84" t="str">
        <f>IFERROR(VLOOKUP(CONCATENATE($B1620,"_",O$3),materiali!$C:$K,5,0),"")</f>
        <v/>
      </c>
      <c r="P1620" s="85" t="str">
        <f>IFERROR(VLOOKUP(CONCATENATE($B1620,"_",P$3),materiali!$C:$K,6,0),"")</f>
        <v/>
      </c>
      <c r="Q1620" s="86"/>
      <c r="R1620" s="84" t="str">
        <f>IFERROR(VLOOKUP(CONCATENATE($B1620,"_",R$3),materiali!$C:$K,5,0),"")</f>
        <v/>
      </c>
      <c r="S1620" s="85" t="str">
        <f>IFERROR(VLOOKUP(CONCATENATE($B1620,"_",S$3),materiali!$C:$K,6,0),"")</f>
        <v/>
      </c>
      <c r="T1620" s="86"/>
      <c r="U1620" s="31"/>
      <c r="AD1620" s="97"/>
    </row>
    <row r="1621" spans="1:30" ht="35.1" hidden="1" customHeight="1" x14ac:dyDescent="0.25">
      <c r="A1621" s="83"/>
      <c r="B1621" s="7"/>
      <c r="C1621" s="8"/>
      <c r="D1621" s="8"/>
      <c r="E1621" s="60"/>
      <c r="F1621" s="84" t="str">
        <f>IFERROR(VLOOKUP(CONCATENATE($B1621,"_",F$3),materiali!$C:$K,5,0),"")</f>
        <v/>
      </c>
      <c r="G1621" s="85" t="str">
        <f>IFERROR(VLOOKUP(CONCATENATE($B1621,"_",G$3),materiali!$C:$K,6,0),"")</f>
        <v/>
      </c>
      <c r="H1621" s="86"/>
      <c r="I1621" s="84" t="str">
        <f>IFERROR(VLOOKUP(CONCATENATE($B1621,"_",I$3),materiali!$C:$K,5,0),"")</f>
        <v/>
      </c>
      <c r="J1621" s="85" t="str">
        <f>IFERROR(VLOOKUP(CONCATENATE($B1621,"_",J$3),materiali!$C:$K,6,0),"")</f>
        <v/>
      </c>
      <c r="K1621" s="86"/>
      <c r="L1621" s="84" t="str">
        <f>IFERROR(VLOOKUP(CONCATENATE($B1621,"_",L$3),materiali!$C:$K,5,0),"")</f>
        <v/>
      </c>
      <c r="M1621" s="85" t="str">
        <f>IFERROR(VLOOKUP(CONCATENATE($B1621,"_",M$3),materiali!$C:$K,6,0),"")</f>
        <v/>
      </c>
      <c r="N1621" s="86"/>
      <c r="O1621" s="84" t="str">
        <f>IFERROR(VLOOKUP(CONCATENATE($B1621,"_",O$3),materiali!$C:$K,5,0),"")</f>
        <v/>
      </c>
      <c r="P1621" s="85" t="str">
        <f>IFERROR(VLOOKUP(CONCATENATE($B1621,"_",P$3),materiali!$C:$K,6,0),"")</f>
        <v/>
      </c>
      <c r="Q1621" s="86"/>
      <c r="R1621" s="84" t="str">
        <f>IFERROR(VLOOKUP(CONCATENATE($B1621,"_",R$3),materiali!$C:$K,5,0),"")</f>
        <v/>
      </c>
      <c r="S1621" s="85" t="str">
        <f>IFERROR(VLOOKUP(CONCATENATE($B1621,"_",S$3),materiali!$C:$K,6,0),"")</f>
        <v/>
      </c>
      <c r="T1621" s="86"/>
      <c r="U1621" s="31"/>
      <c r="AD1621" s="97"/>
    </row>
    <row r="1622" spans="1:30" ht="35.1" hidden="1" customHeight="1" x14ac:dyDescent="0.25">
      <c r="A1622" s="83"/>
      <c r="B1622" s="7"/>
      <c r="C1622" s="8"/>
      <c r="D1622" s="8"/>
      <c r="E1622" s="60"/>
      <c r="F1622" s="84" t="str">
        <f>IFERROR(VLOOKUP(CONCATENATE($B1622,"_",F$3),materiali!$C:$K,5,0),"")</f>
        <v/>
      </c>
      <c r="G1622" s="85" t="str">
        <f>IFERROR(VLOOKUP(CONCATENATE($B1622,"_",G$3),materiali!$C:$K,6,0),"")</f>
        <v/>
      </c>
      <c r="H1622" s="86"/>
      <c r="I1622" s="84" t="str">
        <f>IFERROR(VLOOKUP(CONCATENATE($B1622,"_",I$3),materiali!$C:$K,5,0),"")</f>
        <v/>
      </c>
      <c r="J1622" s="85" t="str">
        <f>IFERROR(VLOOKUP(CONCATENATE($B1622,"_",J$3),materiali!$C:$K,6,0),"")</f>
        <v/>
      </c>
      <c r="K1622" s="86"/>
      <c r="L1622" s="84" t="str">
        <f>IFERROR(VLOOKUP(CONCATENATE($B1622,"_",L$3),materiali!$C:$K,5,0),"")</f>
        <v/>
      </c>
      <c r="M1622" s="85" t="str">
        <f>IFERROR(VLOOKUP(CONCATENATE($B1622,"_",M$3),materiali!$C:$K,6,0),"")</f>
        <v/>
      </c>
      <c r="N1622" s="86"/>
      <c r="O1622" s="84" t="str">
        <f>IFERROR(VLOOKUP(CONCATENATE($B1622,"_",O$3),materiali!$C:$K,5,0),"")</f>
        <v/>
      </c>
      <c r="P1622" s="85" t="str">
        <f>IFERROR(VLOOKUP(CONCATENATE($B1622,"_",P$3),materiali!$C:$K,6,0),"")</f>
        <v/>
      </c>
      <c r="Q1622" s="86"/>
      <c r="R1622" s="84" t="str">
        <f>IFERROR(VLOOKUP(CONCATENATE($B1622,"_",R$3),materiali!$C:$K,5,0),"")</f>
        <v/>
      </c>
      <c r="S1622" s="85" t="str">
        <f>IFERROR(VLOOKUP(CONCATENATE($B1622,"_",S$3),materiali!$C:$K,6,0),"")</f>
        <v/>
      </c>
      <c r="T1622" s="86"/>
      <c r="U1622" s="31"/>
      <c r="AD1622" s="97"/>
    </row>
    <row r="1623" spans="1:30" ht="35.1" hidden="1" customHeight="1" x14ac:dyDescent="0.25">
      <c r="A1623" s="83"/>
      <c r="B1623" s="7"/>
      <c r="C1623" s="8"/>
      <c r="D1623" s="8"/>
      <c r="E1623" s="60"/>
      <c r="F1623" s="84" t="str">
        <f>IFERROR(VLOOKUP(CONCATENATE($B1623,"_",F$3),materiali!$C:$K,5,0),"")</f>
        <v/>
      </c>
      <c r="G1623" s="85" t="str">
        <f>IFERROR(VLOOKUP(CONCATENATE($B1623,"_",G$3),materiali!$C:$K,6,0),"")</f>
        <v/>
      </c>
      <c r="H1623" s="86"/>
      <c r="I1623" s="84" t="str">
        <f>IFERROR(VLOOKUP(CONCATENATE($B1623,"_",I$3),materiali!$C:$K,5,0),"")</f>
        <v/>
      </c>
      <c r="J1623" s="85" t="str">
        <f>IFERROR(VLOOKUP(CONCATENATE($B1623,"_",J$3),materiali!$C:$K,6,0),"")</f>
        <v/>
      </c>
      <c r="K1623" s="86"/>
      <c r="L1623" s="84" t="str">
        <f>IFERROR(VLOOKUP(CONCATENATE($B1623,"_",L$3),materiali!$C:$K,5,0),"")</f>
        <v/>
      </c>
      <c r="M1623" s="85" t="str">
        <f>IFERROR(VLOOKUP(CONCATENATE($B1623,"_",M$3),materiali!$C:$K,6,0),"")</f>
        <v/>
      </c>
      <c r="N1623" s="86"/>
      <c r="O1623" s="84" t="str">
        <f>IFERROR(VLOOKUP(CONCATENATE($B1623,"_",O$3),materiali!$C:$K,5,0),"")</f>
        <v/>
      </c>
      <c r="P1623" s="85" t="str">
        <f>IFERROR(VLOOKUP(CONCATENATE($B1623,"_",P$3),materiali!$C:$K,6,0),"")</f>
        <v/>
      </c>
      <c r="Q1623" s="86"/>
      <c r="R1623" s="84" t="str">
        <f>IFERROR(VLOOKUP(CONCATENATE($B1623,"_",R$3),materiali!$C:$K,5,0),"")</f>
        <v/>
      </c>
      <c r="S1623" s="85" t="str">
        <f>IFERROR(VLOOKUP(CONCATENATE($B1623,"_",S$3),materiali!$C:$K,6,0),"")</f>
        <v/>
      </c>
      <c r="T1623" s="86"/>
      <c r="U1623" s="31"/>
      <c r="AD1623" s="97"/>
    </row>
    <row r="1624" spans="1:30" ht="35.1" hidden="1" customHeight="1" x14ac:dyDescent="0.25">
      <c r="A1624" s="83"/>
      <c r="B1624" s="7"/>
      <c r="C1624" s="8"/>
      <c r="D1624" s="8"/>
      <c r="E1624" s="60"/>
      <c r="F1624" s="84" t="str">
        <f>IFERROR(VLOOKUP(CONCATENATE($B1624,"_",F$3),materiali!$C:$K,5,0),"")</f>
        <v/>
      </c>
      <c r="G1624" s="85" t="str">
        <f>IFERROR(VLOOKUP(CONCATENATE($B1624,"_",G$3),materiali!$C:$K,6,0),"")</f>
        <v/>
      </c>
      <c r="H1624" s="86"/>
      <c r="I1624" s="84" t="str">
        <f>IFERROR(VLOOKUP(CONCATENATE($B1624,"_",I$3),materiali!$C:$K,5,0),"")</f>
        <v/>
      </c>
      <c r="J1624" s="85" t="str">
        <f>IFERROR(VLOOKUP(CONCATENATE($B1624,"_",J$3),materiali!$C:$K,6,0),"")</f>
        <v/>
      </c>
      <c r="K1624" s="86"/>
      <c r="L1624" s="84" t="str">
        <f>IFERROR(VLOOKUP(CONCATENATE($B1624,"_",L$3),materiali!$C:$K,5,0),"")</f>
        <v/>
      </c>
      <c r="M1624" s="85" t="str">
        <f>IFERROR(VLOOKUP(CONCATENATE($B1624,"_",M$3),materiali!$C:$K,6,0),"")</f>
        <v/>
      </c>
      <c r="N1624" s="86"/>
      <c r="O1624" s="84" t="str">
        <f>IFERROR(VLOOKUP(CONCATENATE($B1624,"_",O$3),materiali!$C:$K,5,0),"")</f>
        <v/>
      </c>
      <c r="P1624" s="85" t="str">
        <f>IFERROR(VLOOKUP(CONCATENATE($B1624,"_",P$3),materiali!$C:$K,6,0),"")</f>
        <v/>
      </c>
      <c r="Q1624" s="86"/>
      <c r="R1624" s="84" t="str">
        <f>IFERROR(VLOOKUP(CONCATENATE($B1624,"_",R$3),materiali!$C:$K,5,0),"")</f>
        <v/>
      </c>
      <c r="S1624" s="85" t="str">
        <f>IFERROR(VLOOKUP(CONCATENATE($B1624,"_",S$3),materiali!$C:$K,6,0),"")</f>
        <v/>
      </c>
      <c r="T1624" s="86"/>
      <c r="U1624" s="31"/>
      <c r="AD1624" s="97"/>
    </row>
    <row r="1625" spans="1:30" ht="35.1" hidden="1" customHeight="1" x14ac:dyDescent="0.25">
      <c r="A1625" s="83"/>
      <c r="B1625" s="7"/>
      <c r="C1625" s="8"/>
      <c r="D1625" s="8"/>
      <c r="E1625" s="60"/>
      <c r="F1625" s="84" t="str">
        <f>IFERROR(VLOOKUP(CONCATENATE($B1625,"_",F$3),materiali!$C:$K,5,0),"")</f>
        <v/>
      </c>
      <c r="G1625" s="85" t="str">
        <f>IFERROR(VLOOKUP(CONCATENATE($B1625,"_",G$3),materiali!$C:$K,6,0),"")</f>
        <v/>
      </c>
      <c r="H1625" s="86"/>
      <c r="I1625" s="84" t="str">
        <f>IFERROR(VLOOKUP(CONCATENATE($B1625,"_",I$3),materiali!$C:$K,5,0),"")</f>
        <v/>
      </c>
      <c r="J1625" s="85" t="str">
        <f>IFERROR(VLOOKUP(CONCATENATE($B1625,"_",J$3),materiali!$C:$K,6,0),"")</f>
        <v/>
      </c>
      <c r="K1625" s="86"/>
      <c r="L1625" s="84" t="str">
        <f>IFERROR(VLOOKUP(CONCATENATE($B1625,"_",L$3),materiali!$C:$K,5,0),"")</f>
        <v/>
      </c>
      <c r="M1625" s="85" t="str">
        <f>IFERROR(VLOOKUP(CONCATENATE($B1625,"_",M$3),materiali!$C:$K,6,0),"")</f>
        <v/>
      </c>
      <c r="N1625" s="86"/>
      <c r="O1625" s="84" t="str">
        <f>IFERROR(VLOOKUP(CONCATENATE($B1625,"_",O$3),materiali!$C:$K,5,0),"")</f>
        <v/>
      </c>
      <c r="P1625" s="85" t="str">
        <f>IFERROR(VLOOKUP(CONCATENATE($B1625,"_",P$3),materiali!$C:$K,6,0),"")</f>
        <v/>
      </c>
      <c r="Q1625" s="86"/>
      <c r="R1625" s="84" t="str">
        <f>IFERROR(VLOOKUP(CONCATENATE($B1625,"_",R$3),materiali!$C:$K,5,0),"")</f>
        <v/>
      </c>
      <c r="S1625" s="85" t="str">
        <f>IFERROR(VLOOKUP(CONCATENATE($B1625,"_",S$3),materiali!$C:$K,6,0),"")</f>
        <v/>
      </c>
      <c r="T1625" s="86"/>
      <c r="U1625" s="31"/>
      <c r="AD1625" s="97"/>
    </row>
    <row r="1626" spans="1:30" ht="35.1" hidden="1" customHeight="1" x14ac:dyDescent="0.25">
      <c r="A1626" s="83"/>
      <c r="B1626" s="7"/>
      <c r="C1626" s="8"/>
      <c r="D1626" s="8"/>
      <c r="E1626" s="60"/>
      <c r="F1626" s="84" t="str">
        <f>IFERROR(VLOOKUP(CONCATENATE($B1626,"_",F$3),materiali!$C:$K,5,0),"")</f>
        <v/>
      </c>
      <c r="G1626" s="85" t="str">
        <f>IFERROR(VLOOKUP(CONCATENATE($B1626,"_",G$3),materiali!$C:$K,6,0),"")</f>
        <v/>
      </c>
      <c r="H1626" s="86"/>
      <c r="I1626" s="84" t="str">
        <f>IFERROR(VLOOKUP(CONCATENATE($B1626,"_",I$3),materiali!$C:$K,5,0),"")</f>
        <v/>
      </c>
      <c r="J1626" s="85" t="str">
        <f>IFERROR(VLOOKUP(CONCATENATE($B1626,"_",J$3),materiali!$C:$K,6,0),"")</f>
        <v/>
      </c>
      <c r="K1626" s="86"/>
      <c r="L1626" s="84" t="str">
        <f>IFERROR(VLOOKUP(CONCATENATE($B1626,"_",L$3),materiali!$C:$K,5,0),"")</f>
        <v/>
      </c>
      <c r="M1626" s="85" t="str">
        <f>IFERROR(VLOOKUP(CONCATENATE($B1626,"_",M$3),materiali!$C:$K,6,0),"")</f>
        <v/>
      </c>
      <c r="N1626" s="86"/>
      <c r="O1626" s="84" t="str">
        <f>IFERROR(VLOOKUP(CONCATENATE($B1626,"_",O$3),materiali!$C:$K,5,0),"")</f>
        <v/>
      </c>
      <c r="P1626" s="85" t="str">
        <f>IFERROR(VLOOKUP(CONCATENATE($B1626,"_",P$3),materiali!$C:$K,6,0),"")</f>
        <v/>
      </c>
      <c r="Q1626" s="86"/>
      <c r="R1626" s="84" t="str">
        <f>IFERROR(VLOOKUP(CONCATENATE($B1626,"_",R$3),materiali!$C:$K,5,0),"")</f>
        <v/>
      </c>
      <c r="S1626" s="85" t="str">
        <f>IFERROR(VLOOKUP(CONCATENATE($B1626,"_",S$3),materiali!$C:$K,6,0),"")</f>
        <v/>
      </c>
      <c r="T1626" s="86"/>
      <c r="U1626" s="31"/>
      <c r="AD1626" s="97"/>
    </row>
    <row r="1627" spans="1:30" ht="35.1" hidden="1" customHeight="1" x14ac:dyDescent="0.25">
      <c r="A1627" s="83"/>
      <c r="B1627" s="7"/>
      <c r="C1627" s="8"/>
      <c r="D1627" s="8"/>
      <c r="E1627" s="60"/>
      <c r="F1627" s="84" t="str">
        <f>IFERROR(VLOOKUP(CONCATENATE($B1627,"_",F$3),materiali!$C:$K,5,0),"")</f>
        <v/>
      </c>
      <c r="G1627" s="85" t="str">
        <f>IFERROR(VLOOKUP(CONCATENATE($B1627,"_",G$3),materiali!$C:$K,6,0),"")</f>
        <v/>
      </c>
      <c r="H1627" s="86"/>
      <c r="I1627" s="84" t="str">
        <f>IFERROR(VLOOKUP(CONCATENATE($B1627,"_",I$3),materiali!$C:$K,5,0),"")</f>
        <v/>
      </c>
      <c r="J1627" s="85" t="str">
        <f>IFERROR(VLOOKUP(CONCATENATE($B1627,"_",J$3),materiali!$C:$K,6,0),"")</f>
        <v/>
      </c>
      <c r="K1627" s="86"/>
      <c r="L1627" s="84" t="str">
        <f>IFERROR(VLOOKUP(CONCATENATE($B1627,"_",L$3),materiali!$C:$K,5,0),"")</f>
        <v/>
      </c>
      <c r="M1627" s="85" t="str">
        <f>IFERROR(VLOOKUP(CONCATENATE($B1627,"_",M$3),materiali!$C:$K,6,0),"")</f>
        <v/>
      </c>
      <c r="N1627" s="86"/>
      <c r="O1627" s="84" t="str">
        <f>IFERROR(VLOOKUP(CONCATENATE($B1627,"_",O$3),materiali!$C:$K,5,0),"")</f>
        <v/>
      </c>
      <c r="P1627" s="85" t="str">
        <f>IFERROR(VLOOKUP(CONCATENATE($B1627,"_",P$3),materiali!$C:$K,6,0),"")</f>
        <v/>
      </c>
      <c r="Q1627" s="86"/>
      <c r="R1627" s="84" t="str">
        <f>IFERROR(VLOOKUP(CONCATENATE($B1627,"_",R$3),materiali!$C:$K,5,0),"")</f>
        <v/>
      </c>
      <c r="S1627" s="85" t="str">
        <f>IFERROR(VLOOKUP(CONCATENATE($B1627,"_",S$3),materiali!$C:$K,6,0),"")</f>
        <v/>
      </c>
      <c r="T1627" s="86"/>
      <c r="U1627" s="31"/>
      <c r="AD1627" s="97"/>
    </row>
    <row r="1628" spans="1:30" ht="35.1" hidden="1" customHeight="1" x14ac:dyDescent="0.25">
      <c r="A1628" s="83"/>
      <c r="B1628" s="7"/>
      <c r="C1628" s="8"/>
      <c r="D1628" s="8"/>
      <c r="E1628" s="60"/>
      <c r="F1628" s="84" t="str">
        <f>IFERROR(VLOOKUP(CONCATENATE($B1628,"_",F$3),materiali!$C:$K,5,0),"")</f>
        <v/>
      </c>
      <c r="G1628" s="85" t="str">
        <f>IFERROR(VLOOKUP(CONCATENATE($B1628,"_",G$3),materiali!$C:$K,6,0),"")</f>
        <v/>
      </c>
      <c r="H1628" s="86"/>
      <c r="I1628" s="84" t="str">
        <f>IFERROR(VLOOKUP(CONCATENATE($B1628,"_",I$3),materiali!$C:$K,5,0),"")</f>
        <v/>
      </c>
      <c r="J1628" s="85" t="str">
        <f>IFERROR(VLOOKUP(CONCATENATE($B1628,"_",J$3),materiali!$C:$K,6,0),"")</f>
        <v/>
      </c>
      <c r="K1628" s="86"/>
      <c r="L1628" s="84" t="str">
        <f>IFERROR(VLOOKUP(CONCATENATE($B1628,"_",L$3),materiali!$C:$K,5,0),"")</f>
        <v/>
      </c>
      <c r="M1628" s="85" t="str">
        <f>IFERROR(VLOOKUP(CONCATENATE($B1628,"_",M$3),materiali!$C:$K,6,0),"")</f>
        <v/>
      </c>
      <c r="N1628" s="86"/>
      <c r="O1628" s="84" t="str">
        <f>IFERROR(VLOOKUP(CONCATENATE($B1628,"_",O$3),materiali!$C:$K,5,0),"")</f>
        <v/>
      </c>
      <c r="P1628" s="85" t="str">
        <f>IFERROR(VLOOKUP(CONCATENATE($B1628,"_",P$3),materiali!$C:$K,6,0),"")</f>
        <v/>
      </c>
      <c r="Q1628" s="86"/>
      <c r="R1628" s="84" t="str">
        <f>IFERROR(VLOOKUP(CONCATENATE($B1628,"_",R$3),materiali!$C:$K,5,0),"")</f>
        <v/>
      </c>
      <c r="S1628" s="85" t="str">
        <f>IFERROR(VLOOKUP(CONCATENATE($B1628,"_",S$3),materiali!$C:$K,6,0),"")</f>
        <v/>
      </c>
      <c r="T1628" s="86"/>
      <c r="U1628" s="31"/>
      <c r="AD1628" s="97"/>
    </row>
    <row r="1629" spans="1:30" ht="35.1" hidden="1" customHeight="1" x14ac:dyDescent="0.25">
      <c r="A1629" s="83"/>
      <c r="B1629" s="7"/>
      <c r="C1629" s="8"/>
      <c r="D1629" s="8"/>
      <c r="E1629" s="60"/>
      <c r="F1629" s="84" t="str">
        <f>IFERROR(VLOOKUP(CONCATENATE($B1629,"_",F$3),materiali!$C:$K,5,0),"")</f>
        <v/>
      </c>
      <c r="G1629" s="85" t="str">
        <f>IFERROR(VLOOKUP(CONCATENATE($B1629,"_",G$3),materiali!$C:$K,6,0),"")</f>
        <v/>
      </c>
      <c r="H1629" s="86"/>
      <c r="I1629" s="84" t="str">
        <f>IFERROR(VLOOKUP(CONCATENATE($B1629,"_",I$3),materiali!$C:$K,5,0),"")</f>
        <v/>
      </c>
      <c r="J1629" s="85" t="str">
        <f>IFERROR(VLOOKUP(CONCATENATE($B1629,"_",J$3),materiali!$C:$K,6,0),"")</f>
        <v/>
      </c>
      <c r="K1629" s="86"/>
      <c r="L1629" s="84" t="str">
        <f>IFERROR(VLOOKUP(CONCATENATE($B1629,"_",L$3),materiali!$C:$K,5,0),"")</f>
        <v/>
      </c>
      <c r="M1629" s="85" t="str">
        <f>IFERROR(VLOOKUP(CONCATENATE($B1629,"_",M$3),materiali!$C:$K,6,0),"")</f>
        <v/>
      </c>
      <c r="N1629" s="86"/>
      <c r="O1629" s="84" t="str">
        <f>IFERROR(VLOOKUP(CONCATENATE($B1629,"_",O$3),materiali!$C:$K,5,0),"")</f>
        <v/>
      </c>
      <c r="P1629" s="85" t="str">
        <f>IFERROR(VLOOKUP(CONCATENATE($B1629,"_",P$3),materiali!$C:$K,6,0),"")</f>
        <v/>
      </c>
      <c r="Q1629" s="86"/>
      <c r="R1629" s="84" t="str">
        <f>IFERROR(VLOOKUP(CONCATENATE($B1629,"_",R$3),materiali!$C:$K,5,0),"")</f>
        <v/>
      </c>
      <c r="S1629" s="85" t="str">
        <f>IFERROR(VLOOKUP(CONCATENATE($B1629,"_",S$3),materiali!$C:$K,6,0),"")</f>
        <v/>
      </c>
      <c r="T1629" s="86"/>
      <c r="U1629" s="31"/>
      <c r="AD1629" s="97"/>
    </row>
    <row r="1630" spans="1:30" ht="35.1" hidden="1" customHeight="1" x14ac:dyDescent="0.25">
      <c r="A1630" s="83"/>
      <c r="B1630" s="7"/>
      <c r="C1630" s="8"/>
      <c r="D1630" s="8"/>
      <c r="E1630" s="60"/>
      <c r="F1630" s="84" t="str">
        <f>IFERROR(VLOOKUP(CONCATENATE($B1630,"_",F$3),materiali!$C:$K,5,0),"")</f>
        <v/>
      </c>
      <c r="G1630" s="85" t="str">
        <f>IFERROR(VLOOKUP(CONCATENATE($B1630,"_",G$3),materiali!$C:$K,6,0),"")</f>
        <v/>
      </c>
      <c r="H1630" s="86"/>
      <c r="I1630" s="84" t="str">
        <f>IFERROR(VLOOKUP(CONCATENATE($B1630,"_",I$3),materiali!$C:$K,5,0),"")</f>
        <v/>
      </c>
      <c r="J1630" s="85" t="str">
        <f>IFERROR(VLOOKUP(CONCATENATE($B1630,"_",J$3),materiali!$C:$K,6,0),"")</f>
        <v/>
      </c>
      <c r="K1630" s="86"/>
      <c r="L1630" s="84" t="str">
        <f>IFERROR(VLOOKUP(CONCATENATE($B1630,"_",L$3),materiali!$C:$K,5,0),"")</f>
        <v/>
      </c>
      <c r="M1630" s="85" t="str">
        <f>IFERROR(VLOOKUP(CONCATENATE($B1630,"_",M$3),materiali!$C:$K,6,0),"")</f>
        <v/>
      </c>
      <c r="N1630" s="86"/>
      <c r="O1630" s="84" t="str">
        <f>IFERROR(VLOOKUP(CONCATENATE($B1630,"_",O$3),materiali!$C:$K,5,0),"")</f>
        <v/>
      </c>
      <c r="P1630" s="85" t="str">
        <f>IFERROR(VLOOKUP(CONCATENATE($B1630,"_",P$3),materiali!$C:$K,6,0),"")</f>
        <v/>
      </c>
      <c r="Q1630" s="86"/>
      <c r="R1630" s="84" t="str">
        <f>IFERROR(VLOOKUP(CONCATENATE($B1630,"_",R$3),materiali!$C:$K,5,0),"")</f>
        <v/>
      </c>
      <c r="S1630" s="85" t="str">
        <f>IFERROR(VLOOKUP(CONCATENATE($B1630,"_",S$3),materiali!$C:$K,6,0),"")</f>
        <v/>
      </c>
      <c r="T1630" s="86"/>
      <c r="U1630" s="31"/>
      <c r="AD1630" s="97"/>
    </row>
    <row r="1631" spans="1:30" ht="35.1" hidden="1" customHeight="1" x14ac:dyDescent="0.25">
      <c r="A1631" s="83"/>
      <c r="B1631" s="7"/>
      <c r="C1631" s="8"/>
      <c r="D1631" s="8"/>
      <c r="E1631" s="60"/>
      <c r="F1631" s="84" t="str">
        <f>IFERROR(VLOOKUP(CONCATENATE($B1631,"_",F$3),materiali!$C:$K,5,0),"")</f>
        <v/>
      </c>
      <c r="G1631" s="85" t="str">
        <f>IFERROR(VLOOKUP(CONCATENATE($B1631,"_",G$3),materiali!$C:$K,6,0),"")</f>
        <v/>
      </c>
      <c r="H1631" s="86"/>
      <c r="I1631" s="84" t="str">
        <f>IFERROR(VLOOKUP(CONCATENATE($B1631,"_",I$3),materiali!$C:$K,5,0),"")</f>
        <v/>
      </c>
      <c r="J1631" s="85" t="str">
        <f>IFERROR(VLOOKUP(CONCATENATE($B1631,"_",J$3),materiali!$C:$K,6,0),"")</f>
        <v/>
      </c>
      <c r="K1631" s="86"/>
      <c r="L1631" s="84" t="str">
        <f>IFERROR(VLOOKUP(CONCATENATE($B1631,"_",L$3),materiali!$C:$K,5,0),"")</f>
        <v/>
      </c>
      <c r="M1631" s="85" t="str">
        <f>IFERROR(VLOOKUP(CONCATENATE($B1631,"_",M$3),materiali!$C:$K,6,0),"")</f>
        <v/>
      </c>
      <c r="N1631" s="86"/>
      <c r="O1631" s="84" t="str">
        <f>IFERROR(VLOOKUP(CONCATENATE($B1631,"_",O$3),materiali!$C:$K,5,0),"")</f>
        <v/>
      </c>
      <c r="P1631" s="85" t="str">
        <f>IFERROR(VLOOKUP(CONCATENATE($B1631,"_",P$3),materiali!$C:$K,6,0),"")</f>
        <v/>
      </c>
      <c r="Q1631" s="86"/>
      <c r="R1631" s="84" t="str">
        <f>IFERROR(VLOOKUP(CONCATENATE($B1631,"_",R$3),materiali!$C:$K,5,0),"")</f>
        <v/>
      </c>
      <c r="S1631" s="85" t="str">
        <f>IFERROR(VLOOKUP(CONCATENATE($B1631,"_",S$3),materiali!$C:$K,6,0),"")</f>
        <v/>
      </c>
      <c r="T1631" s="86"/>
      <c r="U1631" s="31"/>
      <c r="AD1631" s="97"/>
    </row>
    <row r="1632" spans="1:30" ht="35.1" hidden="1" customHeight="1" x14ac:dyDescent="0.25">
      <c r="A1632" s="83"/>
      <c r="B1632" s="7"/>
      <c r="C1632" s="8"/>
      <c r="D1632" s="8"/>
      <c r="E1632" s="60"/>
      <c r="F1632" s="84" t="str">
        <f>IFERROR(VLOOKUP(CONCATENATE($B1632,"_",F$3),materiali!$C:$K,5,0),"")</f>
        <v/>
      </c>
      <c r="G1632" s="85" t="str">
        <f>IFERROR(VLOOKUP(CONCATENATE($B1632,"_",G$3),materiali!$C:$K,6,0),"")</f>
        <v/>
      </c>
      <c r="H1632" s="86"/>
      <c r="I1632" s="84" t="str">
        <f>IFERROR(VLOOKUP(CONCATENATE($B1632,"_",I$3),materiali!$C:$K,5,0),"")</f>
        <v/>
      </c>
      <c r="J1632" s="85" t="str">
        <f>IFERROR(VLOOKUP(CONCATENATE($B1632,"_",J$3),materiali!$C:$K,6,0),"")</f>
        <v/>
      </c>
      <c r="K1632" s="86"/>
      <c r="L1632" s="84" t="str">
        <f>IFERROR(VLOOKUP(CONCATENATE($B1632,"_",L$3),materiali!$C:$K,5,0),"")</f>
        <v/>
      </c>
      <c r="M1632" s="85" t="str">
        <f>IFERROR(VLOOKUP(CONCATENATE($B1632,"_",M$3),materiali!$C:$K,6,0),"")</f>
        <v/>
      </c>
      <c r="N1632" s="86"/>
      <c r="O1632" s="84" t="str">
        <f>IFERROR(VLOOKUP(CONCATENATE($B1632,"_",O$3),materiali!$C:$K,5,0),"")</f>
        <v/>
      </c>
      <c r="P1632" s="85" t="str">
        <f>IFERROR(VLOOKUP(CONCATENATE($B1632,"_",P$3),materiali!$C:$K,6,0),"")</f>
        <v/>
      </c>
      <c r="Q1632" s="86"/>
      <c r="R1632" s="84" t="str">
        <f>IFERROR(VLOOKUP(CONCATENATE($B1632,"_",R$3),materiali!$C:$K,5,0),"")</f>
        <v/>
      </c>
      <c r="S1632" s="85" t="str">
        <f>IFERROR(VLOOKUP(CONCATENATE($B1632,"_",S$3),materiali!$C:$K,6,0),"")</f>
        <v/>
      </c>
      <c r="T1632" s="86"/>
      <c r="U1632" s="31"/>
      <c r="AD1632" s="97"/>
    </row>
    <row r="1633" spans="1:30" ht="35.1" hidden="1" customHeight="1" x14ac:dyDescent="0.25">
      <c r="A1633" s="83"/>
      <c r="B1633" s="7"/>
      <c r="C1633" s="8"/>
      <c r="D1633" s="8"/>
      <c r="E1633" s="60"/>
      <c r="F1633" s="84" t="str">
        <f>IFERROR(VLOOKUP(CONCATENATE($B1633,"_",F$3),materiali!$C:$K,5,0),"")</f>
        <v/>
      </c>
      <c r="G1633" s="85" t="str">
        <f>IFERROR(VLOOKUP(CONCATENATE($B1633,"_",G$3),materiali!$C:$K,6,0),"")</f>
        <v/>
      </c>
      <c r="H1633" s="86"/>
      <c r="I1633" s="84" t="str">
        <f>IFERROR(VLOOKUP(CONCATENATE($B1633,"_",I$3),materiali!$C:$K,5,0),"")</f>
        <v/>
      </c>
      <c r="J1633" s="85" t="str">
        <f>IFERROR(VLOOKUP(CONCATENATE($B1633,"_",J$3),materiali!$C:$K,6,0),"")</f>
        <v/>
      </c>
      <c r="K1633" s="86"/>
      <c r="L1633" s="84" t="str">
        <f>IFERROR(VLOOKUP(CONCATENATE($B1633,"_",L$3),materiali!$C:$K,5,0),"")</f>
        <v/>
      </c>
      <c r="M1633" s="85" t="str">
        <f>IFERROR(VLOOKUP(CONCATENATE($B1633,"_",M$3),materiali!$C:$K,6,0),"")</f>
        <v/>
      </c>
      <c r="N1633" s="86"/>
      <c r="O1633" s="84" t="str">
        <f>IFERROR(VLOOKUP(CONCATENATE($B1633,"_",O$3),materiali!$C:$K,5,0),"")</f>
        <v/>
      </c>
      <c r="P1633" s="85" t="str">
        <f>IFERROR(VLOOKUP(CONCATENATE($B1633,"_",P$3),materiali!$C:$K,6,0),"")</f>
        <v/>
      </c>
      <c r="Q1633" s="86"/>
      <c r="R1633" s="84" t="str">
        <f>IFERROR(VLOOKUP(CONCATENATE($B1633,"_",R$3),materiali!$C:$K,5,0),"")</f>
        <v/>
      </c>
      <c r="S1633" s="85" t="str">
        <f>IFERROR(VLOOKUP(CONCATENATE($B1633,"_",S$3),materiali!$C:$K,6,0),"")</f>
        <v/>
      </c>
      <c r="T1633" s="86"/>
      <c r="U1633" s="31"/>
      <c r="AD1633" s="97"/>
    </row>
    <row r="1634" spans="1:30" ht="35.1" hidden="1" customHeight="1" x14ac:dyDescent="0.25">
      <c r="A1634" s="83"/>
      <c r="B1634" s="7"/>
      <c r="C1634" s="8"/>
      <c r="D1634" s="8"/>
      <c r="E1634" s="60"/>
      <c r="F1634" s="84" t="str">
        <f>IFERROR(VLOOKUP(CONCATENATE($B1634,"_",F$3),materiali!$C:$K,5,0),"")</f>
        <v/>
      </c>
      <c r="G1634" s="85" t="str">
        <f>IFERROR(VLOOKUP(CONCATENATE($B1634,"_",G$3),materiali!$C:$K,6,0),"")</f>
        <v/>
      </c>
      <c r="H1634" s="86"/>
      <c r="I1634" s="84" t="str">
        <f>IFERROR(VLOOKUP(CONCATENATE($B1634,"_",I$3),materiali!$C:$K,5,0),"")</f>
        <v/>
      </c>
      <c r="J1634" s="85" t="str">
        <f>IFERROR(VLOOKUP(CONCATENATE($B1634,"_",J$3),materiali!$C:$K,6,0),"")</f>
        <v/>
      </c>
      <c r="K1634" s="86"/>
      <c r="L1634" s="84" t="str">
        <f>IFERROR(VLOOKUP(CONCATENATE($B1634,"_",L$3),materiali!$C:$K,5,0),"")</f>
        <v/>
      </c>
      <c r="M1634" s="85" t="str">
        <f>IFERROR(VLOOKUP(CONCATENATE($B1634,"_",M$3),materiali!$C:$K,6,0),"")</f>
        <v/>
      </c>
      <c r="N1634" s="86"/>
      <c r="O1634" s="84" t="str">
        <f>IFERROR(VLOOKUP(CONCATENATE($B1634,"_",O$3),materiali!$C:$K,5,0),"")</f>
        <v/>
      </c>
      <c r="P1634" s="85" t="str">
        <f>IFERROR(VLOOKUP(CONCATENATE($B1634,"_",P$3),materiali!$C:$K,6,0),"")</f>
        <v/>
      </c>
      <c r="Q1634" s="86"/>
      <c r="R1634" s="84" t="str">
        <f>IFERROR(VLOOKUP(CONCATENATE($B1634,"_",R$3),materiali!$C:$K,5,0),"")</f>
        <v/>
      </c>
      <c r="S1634" s="85" t="str">
        <f>IFERROR(VLOOKUP(CONCATENATE($B1634,"_",S$3),materiali!$C:$K,6,0),"")</f>
        <v/>
      </c>
      <c r="T1634" s="86"/>
      <c r="U1634" s="31"/>
      <c r="AD1634" s="97"/>
    </row>
    <row r="1635" spans="1:30" ht="35.1" hidden="1" customHeight="1" x14ac:dyDescent="0.25">
      <c r="A1635" s="83"/>
      <c r="B1635" s="7"/>
      <c r="C1635" s="8"/>
      <c r="D1635" s="8"/>
      <c r="E1635" s="60"/>
      <c r="F1635" s="84" t="str">
        <f>IFERROR(VLOOKUP(CONCATENATE($B1635,"_",F$3),materiali!$C:$K,5,0),"")</f>
        <v/>
      </c>
      <c r="G1635" s="85" t="str">
        <f>IFERROR(VLOOKUP(CONCATENATE($B1635,"_",G$3),materiali!$C:$K,6,0),"")</f>
        <v/>
      </c>
      <c r="H1635" s="86"/>
      <c r="I1635" s="84" t="str">
        <f>IFERROR(VLOOKUP(CONCATENATE($B1635,"_",I$3),materiali!$C:$K,5,0),"")</f>
        <v/>
      </c>
      <c r="J1635" s="85" t="str">
        <f>IFERROR(VLOOKUP(CONCATENATE($B1635,"_",J$3),materiali!$C:$K,6,0),"")</f>
        <v/>
      </c>
      <c r="K1635" s="86"/>
      <c r="L1635" s="84" t="str">
        <f>IFERROR(VLOOKUP(CONCATENATE($B1635,"_",L$3),materiali!$C:$K,5,0),"")</f>
        <v/>
      </c>
      <c r="M1635" s="85" t="str">
        <f>IFERROR(VLOOKUP(CONCATENATE($B1635,"_",M$3),materiali!$C:$K,6,0),"")</f>
        <v/>
      </c>
      <c r="N1635" s="86"/>
      <c r="O1635" s="84" t="str">
        <f>IFERROR(VLOOKUP(CONCATENATE($B1635,"_",O$3),materiali!$C:$K,5,0),"")</f>
        <v/>
      </c>
      <c r="P1635" s="85" t="str">
        <f>IFERROR(VLOOKUP(CONCATENATE($B1635,"_",P$3),materiali!$C:$K,6,0),"")</f>
        <v/>
      </c>
      <c r="Q1635" s="86"/>
      <c r="R1635" s="84" t="str">
        <f>IFERROR(VLOOKUP(CONCATENATE($B1635,"_",R$3),materiali!$C:$K,5,0),"")</f>
        <v/>
      </c>
      <c r="S1635" s="85" t="str">
        <f>IFERROR(VLOOKUP(CONCATENATE($B1635,"_",S$3),materiali!$C:$K,6,0),"")</f>
        <v/>
      </c>
      <c r="T1635" s="86"/>
      <c r="U1635" s="31"/>
      <c r="AD1635" s="97"/>
    </row>
    <row r="1636" spans="1:30" ht="35.1" hidden="1" customHeight="1" x14ac:dyDescent="0.25">
      <c r="A1636" s="83"/>
      <c r="B1636" s="7"/>
      <c r="C1636" s="8"/>
      <c r="D1636" s="8"/>
      <c r="E1636" s="60"/>
      <c r="F1636" s="84" t="str">
        <f>IFERROR(VLOOKUP(CONCATENATE($B1636,"_",F$3),materiali!$C:$K,5,0),"")</f>
        <v/>
      </c>
      <c r="G1636" s="85" t="str">
        <f>IFERROR(VLOOKUP(CONCATENATE($B1636,"_",G$3),materiali!$C:$K,6,0),"")</f>
        <v/>
      </c>
      <c r="H1636" s="86"/>
      <c r="I1636" s="84" t="str">
        <f>IFERROR(VLOOKUP(CONCATENATE($B1636,"_",I$3),materiali!$C:$K,5,0),"")</f>
        <v/>
      </c>
      <c r="J1636" s="85" t="str">
        <f>IFERROR(VLOOKUP(CONCATENATE($B1636,"_",J$3),materiali!$C:$K,6,0),"")</f>
        <v/>
      </c>
      <c r="K1636" s="86"/>
      <c r="L1636" s="84" t="str">
        <f>IFERROR(VLOOKUP(CONCATENATE($B1636,"_",L$3),materiali!$C:$K,5,0),"")</f>
        <v/>
      </c>
      <c r="M1636" s="85" t="str">
        <f>IFERROR(VLOOKUP(CONCATENATE($B1636,"_",M$3),materiali!$C:$K,6,0),"")</f>
        <v/>
      </c>
      <c r="N1636" s="86"/>
      <c r="O1636" s="84" t="str">
        <f>IFERROR(VLOOKUP(CONCATENATE($B1636,"_",O$3),materiali!$C:$K,5,0),"")</f>
        <v/>
      </c>
      <c r="P1636" s="85" t="str">
        <f>IFERROR(VLOOKUP(CONCATENATE($B1636,"_",P$3),materiali!$C:$K,6,0),"")</f>
        <v/>
      </c>
      <c r="Q1636" s="86"/>
      <c r="R1636" s="84" t="str">
        <f>IFERROR(VLOOKUP(CONCATENATE($B1636,"_",R$3),materiali!$C:$K,5,0),"")</f>
        <v/>
      </c>
      <c r="S1636" s="85" t="str">
        <f>IFERROR(VLOOKUP(CONCATENATE($B1636,"_",S$3),materiali!$C:$K,6,0),"")</f>
        <v/>
      </c>
      <c r="T1636" s="86"/>
      <c r="U1636" s="31"/>
      <c r="AD1636" s="97"/>
    </row>
    <row r="1637" spans="1:30" ht="35.1" hidden="1" customHeight="1" x14ac:dyDescent="0.25">
      <c r="A1637" s="83"/>
      <c r="B1637" s="7"/>
      <c r="C1637" s="8"/>
      <c r="D1637" s="8"/>
      <c r="E1637" s="60"/>
      <c r="F1637" s="84" t="str">
        <f>IFERROR(VLOOKUP(CONCATENATE($B1637,"_",F$3),materiali!$C:$K,5,0),"")</f>
        <v/>
      </c>
      <c r="G1637" s="85" t="str">
        <f>IFERROR(VLOOKUP(CONCATENATE($B1637,"_",G$3),materiali!$C:$K,6,0),"")</f>
        <v/>
      </c>
      <c r="H1637" s="86"/>
      <c r="I1637" s="84" t="str">
        <f>IFERROR(VLOOKUP(CONCATENATE($B1637,"_",I$3),materiali!$C:$K,5,0),"")</f>
        <v/>
      </c>
      <c r="J1637" s="85" t="str">
        <f>IFERROR(VLOOKUP(CONCATENATE($B1637,"_",J$3),materiali!$C:$K,6,0),"")</f>
        <v/>
      </c>
      <c r="K1637" s="86"/>
      <c r="L1637" s="84" t="str">
        <f>IFERROR(VLOOKUP(CONCATENATE($B1637,"_",L$3),materiali!$C:$K,5,0),"")</f>
        <v/>
      </c>
      <c r="M1637" s="85" t="str">
        <f>IFERROR(VLOOKUP(CONCATENATE($B1637,"_",M$3),materiali!$C:$K,6,0),"")</f>
        <v/>
      </c>
      <c r="N1637" s="86"/>
      <c r="O1637" s="84" t="str">
        <f>IFERROR(VLOOKUP(CONCATENATE($B1637,"_",O$3),materiali!$C:$K,5,0),"")</f>
        <v/>
      </c>
      <c r="P1637" s="85" t="str">
        <f>IFERROR(VLOOKUP(CONCATENATE($B1637,"_",P$3),materiali!$C:$K,6,0),"")</f>
        <v/>
      </c>
      <c r="Q1637" s="86"/>
      <c r="R1637" s="84" t="str">
        <f>IFERROR(VLOOKUP(CONCATENATE($B1637,"_",R$3),materiali!$C:$K,5,0),"")</f>
        <v/>
      </c>
      <c r="S1637" s="85" t="str">
        <f>IFERROR(VLOOKUP(CONCATENATE($B1637,"_",S$3),materiali!$C:$K,6,0),"")</f>
        <v/>
      </c>
      <c r="T1637" s="86"/>
      <c r="U1637" s="31"/>
      <c r="AD1637" s="97"/>
    </row>
    <row r="1638" spans="1:30" ht="35.1" hidden="1" customHeight="1" x14ac:dyDescent="0.25">
      <c r="A1638" s="83"/>
      <c r="B1638" s="7"/>
      <c r="C1638" s="8"/>
      <c r="D1638" s="8"/>
      <c r="E1638" s="60"/>
      <c r="F1638" s="84" t="str">
        <f>IFERROR(VLOOKUP(CONCATENATE($B1638,"_",F$3),materiali!$C:$K,5,0),"")</f>
        <v/>
      </c>
      <c r="G1638" s="85" t="str">
        <f>IFERROR(VLOOKUP(CONCATENATE($B1638,"_",G$3),materiali!$C:$K,6,0),"")</f>
        <v/>
      </c>
      <c r="H1638" s="86"/>
      <c r="I1638" s="84" t="str">
        <f>IFERROR(VLOOKUP(CONCATENATE($B1638,"_",I$3),materiali!$C:$K,5,0),"")</f>
        <v/>
      </c>
      <c r="J1638" s="85" t="str">
        <f>IFERROR(VLOOKUP(CONCATENATE($B1638,"_",J$3),materiali!$C:$K,6,0),"")</f>
        <v/>
      </c>
      <c r="K1638" s="86"/>
      <c r="L1638" s="84" t="str">
        <f>IFERROR(VLOOKUP(CONCATENATE($B1638,"_",L$3),materiali!$C:$K,5,0),"")</f>
        <v/>
      </c>
      <c r="M1638" s="85" t="str">
        <f>IFERROR(VLOOKUP(CONCATENATE($B1638,"_",M$3),materiali!$C:$K,6,0),"")</f>
        <v/>
      </c>
      <c r="N1638" s="86"/>
      <c r="O1638" s="84" t="str">
        <f>IFERROR(VLOOKUP(CONCATENATE($B1638,"_",O$3),materiali!$C:$K,5,0),"")</f>
        <v/>
      </c>
      <c r="P1638" s="85" t="str">
        <f>IFERROR(VLOOKUP(CONCATENATE($B1638,"_",P$3),materiali!$C:$K,6,0),"")</f>
        <v/>
      </c>
      <c r="Q1638" s="86"/>
      <c r="R1638" s="84" t="str">
        <f>IFERROR(VLOOKUP(CONCATENATE($B1638,"_",R$3),materiali!$C:$K,5,0),"")</f>
        <v/>
      </c>
      <c r="S1638" s="85" t="str">
        <f>IFERROR(VLOOKUP(CONCATENATE($B1638,"_",S$3),materiali!$C:$K,6,0),"")</f>
        <v/>
      </c>
      <c r="T1638" s="86"/>
      <c r="U1638" s="31"/>
      <c r="AD1638" s="97"/>
    </row>
    <row r="1639" spans="1:30" ht="35.1" hidden="1" customHeight="1" x14ac:dyDescent="0.25">
      <c r="A1639" s="83"/>
      <c r="B1639" s="7"/>
      <c r="C1639" s="8"/>
      <c r="D1639" s="8"/>
      <c r="E1639" s="60"/>
      <c r="F1639" s="84" t="str">
        <f>IFERROR(VLOOKUP(CONCATENATE($B1639,"_",F$3),materiali!$C:$K,5,0),"")</f>
        <v/>
      </c>
      <c r="G1639" s="85" t="str">
        <f>IFERROR(VLOOKUP(CONCATENATE($B1639,"_",G$3),materiali!$C:$K,6,0),"")</f>
        <v/>
      </c>
      <c r="H1639" s="86"/>
      <c r="I1639" s="84" t="str">
        <f>IFERROR(VLOOKUP(CONCATENATE($B1639,"_",I$3),materiali!$C:$K,5,0),"")</f>
        <v/>
      </c>
      <c r="J1639" s="85" t="str">
        <f>IFERROR(VLOOKUP(CONCATENATE($B1639,"_",J$3),materiali!$C:$K,6,0),"")</f>
        <v/>
      </c>
      <c r="K1639" s="86"/>
      <c r="L1639" s="84" t="str">
        <f>IFERROR(VLOOKUP(CONCATENATE($B1639,"_",L$3),materiali!$C:$K,5,0),"")</f>
        <v/>
      </c>
      <c r="M1639" s="85" t="str">
        <f>IFERROR(VLOOKUP(CONCATENATE($B1639,"_",M$3),materiali!$C:$K,6,0),"")</f>
        <v/>
      </c>
      <c r="N1639" s="86"/>
      <c r="O1639" s="84" t="str">
        <f>IFERROR(VLOOKUP(CONCATENATE($B1639,"_",O$3),materiali!$C:$K,5,0),"")</f>
        <v/>
      </c>
      <c r="P1639" s="85" t="str">
        <f>IFERROR(VLOOKUP(CONCATENATE($B1639,"_",P$3),materiali!$C:$K,6,0),"")</f>
        <v/>
      </c>
      <c r="Q1639" s="86"/>
      <c r="R1639" s="84" t="str">
        <f>IFERROR(VLOOKUP(CONCATENATE($B1639,"_",R$3),materiali!$C:$K,5,0),"")</f>
        <v/>
      </c>
      <c r="S1639" s="85" t="str">
        <f>IFERROR(VLOOKUP(CONCATENATE($B1639,"_",S$3),materiali!$C:$K,6,0),"")</f>
        <v/>
      </c>
      <c r="T1639" s="86"/>
      <c r="U1639" s="31"/>
      <c r="AD1639" s="97"/>
    </row>
    <row r="1640" spans="1:30" ht="35.1" hidden="1" customHeight="1" x14ac:dyDescent="0.25">
      <c r="A1640" s="83"/>
      <c r="B1640" s="7"/>
      <c r="C1640" s="8"/>
      <c r="D1640" s="8"/>
      <c r="E1640" s="60"/>
      <c r="F1640" s="84" t="str">
        <f>IFERROR(VLOOKUP(CONCATENATE($B1640,"_",F$3),materiali!$C:$K,5,0),"")</f>
        <v/>
      </c>
      <c r="G1640" s="85" t="str">
        <f>IFERROR(VLOOKUP(CONCATENATE($B1640,"_",G$3),materiali!$C:$K,6,0),"")</f>
        <v/>
      </c>
      <c r="H1640" s="86"/>
      <c r="I1640" s="84" t="str">
        <f>IFERROR(VLOOKUP(CONCATENATE($B1640,"_",I$3),materiali!$C:$K,5,0),"")</f>
        <v/>
      </c>
      <c r="J1640" s="85" t="str">
        <f>IFERROR(VLOOKUP(CONCATENATE($B1640,"_",J$3),materiali!$C:$K,6,0),"")</f>
        <v/>
      </c>
      <c r="K1640" s="86"/>
      <c r="L1640" s="84" t="str">
        <f>IFERROR(VLOOKUP(CONCATENATE($B1640,"_",L$3),materiali!$C:$K,5,0),"")</f>
        <v/>
      </c>
      <c r="M1640" s="85" t="str">
        <f>IFERROR(VLOOKUP(CONCATENATE($B1640,"_",M$3),materiali!$C:$K,6,0),"")</f>
        <v/>
      </c>
      <c r="N1640" s="86"/>
      <c r="O1640" s="84" t="str">
        <f>IFERROR(VLOOKUP(CONCATENATE($B1640,"_",O$3),materiali!$C:$K,5,0),"")</f>
        <v/>
      </c>
      <c r="P1640" s="85" t="str">
        <f>IFERROR(VLOOKUP(CONCATENATE($B1640,"_",P$3),materiali!$C:$K,6,0),"")</f>
        <v/>
      </c>
      <c r="Q1640" s="86"/>
      <c r="R1640" s="84" t="str">
        <f>IFERROR(VLOOKUP(CONCATENATE($B1640,"_",R$3),materiali!$C:$K,5,0),"")</f>
        <v/>
      </c>
      <c r="S1640" s="85" t="str">
        <f>IFERROR(VLOOKUP(CONCATENATE($B1640,"_",S$3),materiali!$C:$K,6,0),"")</f>
        <v/>
      </c>
      <c r="T1640" s="86"/>
      <c r="U1640" s="31"/>
      <c r="AD1640" s="97"/>
    </row>
    <row r="1641" spans="1:30" ht="35.1" hidden="1" customHeight="1" x14ac:dyDescent="0.25">
      <c r="A1641" s="83"/>
      <c r="B1641" s="7"/>
      <c r="C1641" s="8"/>
      <c r="D1641" s="8"/>
      <c r="E1641" s="60"/>
      <c r="F1641" s="84" t="str">
        <f>IFERROR(VLOOKUP(CONCATENATE($B1641,"_",F$3),materiali!$C:$K,5,0),"")</f>
        <v/>
      </c>
      <c r="G1641" s="85" t="str">
        <f>IFERROR(VLOOKUP(CONCATENATE($B1641,"_",G$3),materiali!$C:$K,6,0),"")</f>
        <v/>
      </c>
      <c r="H1641" s="86"/>
      <c r="I1641" s="84" t="str">
        <f>IFERROR(VLOOKUP(CONCATENATE($B1641,"_",I$3),materiali!$C:$K,5,0),"")</f>
        <v/>
      </c>
      <c r="J1641" s="85" t="str">
        <f>IFERROR(VLOOKUP(CONCATENATE($B1641,"_",J$3),materiali!$C:$K,6,0),"")</f>
        <v/>
      </c>
      <c r="K1641" s="86"/>
      <c r="L1641" s="84" t="str">
        <f>IFERROR(VLOOKUP(CONCATENATE($B1641,"_",L$3),materiali!$C:$K,5,0),"")</f>
        <v/>
      </c>
      <c r="M1641" s="85" t="str">
        <f>IFERROR(VLOOKUP(CONCATENATE($B1641,"_",M$3),materiali!$C:$K,6,0),"")</f>
        <v/>
      </c>
      <c r="N1641" s="86"/>
      <c r="O1641" s="84" t="str">
        <f>IFERROR(VLOOKUP(CONCATENATE($B1641,"_",O$3),materiali!$C:$K,5,0),"")</f>
        <v/>
      </c>
      <c r="P1641" s="85" t="str">
        <f>IFERROR(VLOOKUP(CONCATENATE($B1641,"_",P$3),materiali!$C:$K,6,0),"")</f>
        <v/>
      </c>
      <c r="Q1641" s="86"/>
      <c r="R1641" s="84" t="str">
        <f>IFERROR(VLOOKUP(CONCATENATE($B1641,"_",R$3),materiali!$C:$K,5,0),"")</f>
        <v/>
      </c>
      <c r="S1641" s="85" t="str">
        <f>IFERROR(VLOOKUP(CONCATENATE($B1641,"_",S$3),materiali!$C:$K,6,0),"")</f>
        <v/>
      </c>
      <c r="T1641" s="86"/>
      <c r="U1641" s="31"/>
      <c r="AD1641" s="97"/>
    </row>
    <row r="1642" spans="1:30" ht="35.1" hidden="1" customHeight="1" x14ac:dyDescent="0.25">
      <c r="A1642" s="83"/>
      <c r="B1642" s="7"/>
      <c r="C1642" s="8"/>
      <c r="D1642" s="8"/>
      <c r="E1642" s="60"/>
      <c r="F1642" s="84" t="str">
        <f>IFERROR(VLOOKUP(CONCATENATE($B1642,"_",F$3),materiali!$C:$K,5,0),"")</f>
        <v/>
      </c>
      <c r="G1642" s="85" t="str">
        <f>IFERROR(VLOOKUP(CONCATENATE($B1642,"_",G$3),materiali!$C:$K,6,0),"")</f>
        <v/>
      </c>
      <c r="H1642" s="86"/>
      <c r="I1642" s="84" t="str">
        <f>IFERROR(VLOOKUP(CONCATENATE($B1642,"_",I$3),materiali!$C:$K,5,0),"")</f>
        <v/>
      </c>
      <c r="J1642" s="85" t="str">
        <f>IFERROR(VLOOKUP(CONCATENATE($B1642,"_",J$3),materiali!$C:$K,6,0),"")</f>
        <v/>
      </c>
      <c r="K1642" s="86"/>
      <c r="L1642" s="84" t="str">
        <f>IFERROR(VLOOKUP(CONCATENATE($B1642,"_",L$3),materiali!$C:$K,5,0),"")</f>
        <v/>
      </c>
      <c r="M1642" s="85" t="str">
        <f>IFERROR(VLOOKUP(CONCATENATE($B1642,"_",M$3),materiali!$C:$K,6,0),"")</f>
        <v/>
      </c>
      <c r="N1642" s="86"/>
      <c r="O1642" s="84" t="str">
        <f>IFERROR(VLOOKUP(CONCATENATE($B1642,"_",O$3),materiali!$C:$K,5,0),"")</f>
        <v/>
      </c>
      <c r="P1642" s="85" t="str">
        <f>IFERROR(VLOOKUP(CONCATENATE($B1642,"_",P$3),materiali!$C:$K,6,0),"")</f>
        <v/>
      </c>
      <c r="Q1642" s="86"/>
      <c r="R1642" s="84" t="str">
        <f>IFERROR(VLOOKUP(CONCATENATE($B1642,"_",R$3),materiali!$C:$K,5,0),"")</f>
        <v/>
      </c>
      <c r="S1642" s="85" t="str">
        <f>IFERROR(VLOOKUP(CONCATENATE($B1642,"_",S$3),materiali!$C:$K,6,0),"")</f>
        <v/>
      </c>
      <c r="T1642" s="86"/>
      <c r="U1642" s="31"/>
      <c r="AD1642" s="97"/>
    </row>
    <row r="1643" spans="1:30" ht="35.1" hidden="1" customHeight="1" x14ac:dyDescent="0.25">
      <c r="A1643" s="83"/>
      <c r="B1643" s="7"/>
      <c r="C1643" s="8"/>
      <c r="D1643" s="8"/>
      <c r="E1643" s="60"/>
      <c r="F1643" s="84" t="str">
        <f>IFERROR(VLOOKUP(CONCATENATE($B1643,"_",F$3),materiali!$C:$K,5,0),"")</f>
        <v/>
      </c>
      <c r="G1643" s="85" t="str">
        <f>IFERROR(VLOOKUP(CONCATENATE($B1643,"_",G$3),materiali!$C:$K,6,0),"")</f>
        <v/>
      </c>
      <c r="H1643" s="86"/>
      <c r="I1643" s="84" t="str">
        <f>IFERROR(VLOOKUP(CONCATENATE($B1643,"_",I$3),materiali!$C:$K,5,0),"")</f>
        <v/>
      </c>
      <c r="J1643" s="85" t="str">
        <f>IFERROR(VLOOKUP(CONCATENATE($B1643,"_",J$3),materiali!$C:$K,6,0),"")</f>
        <v/>
      </c>
      <c r="K1643" s="86"/>
      <c r="L1643" s="84" t="str">
        <f>IFERROR(VLOOKUP(CONCATENATE($B1643,"_",L$3),materiali!$C:$K,5,0),"")</f>
        <v/>
      </c>
      <c r="M1643" s="85" t="str">
        <f>IFERROR(VLOOKUP(CONCATENATE($B1643,"_",M$3),materiali!$C:$K,6,0),"")</f>
        <v/>
      </c>
      <c r="N1643" s="86"/>
      <c r="O1643" s="84" t="str">
        <f>IFERROR(VLOOKUP(CONCATENATE($B1643,"_",O$3),materiali!$C:$K,5,0),"")</f>
        <v/>
      </c>
      <c r="P1643" s="85" t="str">
        <f>IFERROR(VLOOKUP(CONCATENATE($B1643,"_",P$3),materiali!$C:$K,6,0),"")</f>
        <v/>
      </c>
      <c r="Q1643" s="86"/>
      <c r="R1643" s="84" t="str">
        <f>IFERROR(VLOOKUP(CONCATENATE($B1643,"_",R$3),materiali!$C:$K,5,0),"")</f>
        <v/>
      </c>
      <c r="S1643" s="85" t="str">
        <f>IFERROR(VLOOKUP(CONCATENATE($B1643,"_",S$3),materiali!$C:$K,6,0),"")</f>
        <v/>
      </c>
      <c r="T1643" s="86"/>
      <c r="U1643" s="31"/>
      <c r="AD1643" s="97"/>
    </row>
    <row r="1644" spans="1:30" ht="35.1" hidden="1" customHeight="1" x14ac:dyDescent="0.25">
      <c r="A1644" s="83"/>
      <c r="B1644" s="7"/>
      <c r="C1644" s="8"/>
      <c r="D1644" s="8"/>
      <c r="E1644" s="60"/>
      <c r="F1644" s="84" t="str">
        <f>IFERROR(VLOOKUP(CONCATENATE($B1644,"_",F$3),materiali!$C:$K,5,0),"")</f>
        <v/>
      </c>
      <c r="G1644" s="85" t="str">
        <f>IFERROR(VLOOKUP(CONCATENATE($B1644,"_",G$3),materiali!$C:$K,6,0),"")</f>
        <v/>
      </c>
      <c r="H1644" s="86"/>
      <c r="I1644" s="84" t="str">
        <f>IFERROR(VLOOKUP(CONCATENATE($B1644,"_",I$3),materiali!$C:$K,5,0),"")</f>
        <v/>
      </c>
      <c r="J1644" s="85" t="str">
        <f>IFERROR(VLOOKUP(CONCATENATE($B1644,"_",J$3),materiali!$C:$K,6,0),"")</f>
        <v/>
      </c>
      <c r="K1644" s="86"/>
      <c r="L1644" s="84" t="str">
        <f>IFERROR(VLOOKUP(CONCATENATE($B1644,"_",L$3),materiali!$C:$K,5,0),"")</f>
        <v/>
      </c>
      <c r="M1644" s="85" t="str">
        <f>IFERROR(VLOOKUP(CONCATENATE($B1644,"_",M$3),materiali!$C:$K,6,0),"")</f>
        <v/>
      </c>
      <c r="N1644" s="86"/>
      <c r="O1644" s="84" t="str">
        <f>IFERROR(VLOOKUP(CONCATENATE($B1644,"_",O$3),materiali!$C:$K,5,0),"")</f>
        <v/>
      </c>
      <c r="P1644" s="85" t="str">
        <f>IFERROR(VLOOKUP(CONCATENATE($B1644,"_",P$3),materiali!$C:$K,6,0),"")</f>
        <v/>
      </c>
      <c r="Q1644" s="86"/>
      <c r="R1644" s="84" t="str">
        <f>IFERROR(VLOOKUP(CONCATENATE($B1644,"_",R$3),materiali!$C:$K,5,0),"")</f>
        <v/>
      </c>
      <c r="S1644" s="85" t="str">
        <f>IFERROR(VLOOKUP(CONCATENATE($B1644,"_",S$3),materiali!$C:$K,6,0),"")</f>
        <v/>
      </c>
      <c r="T1644" s="86"/>
      <c r="U1644" s="31"/>
      <c r="AD1644" s="97"/>
    </row>
    <row r="1645" spans="1:30" ht="35.1" hidden="1" customHeight="1" x14ac:dyDescent="0.25">
      <c r="A1645" s="83"/>
      <c r="B1645" s="7"/>
      <c r="C1645" s="8"/>
      <c r="D1645" s="8"/>
      <c r="E1645" s="60"/>
      <c r="F1645" s="84" t="str">
        <f>IFERROR(VLOOKUP(CONCATENATE($B1645,"_",F$3),materiali!$C:$K,5,0),"")</f>
        <v/>
      </c>
      <c r="G1645" s="85" t="str">
        <f>IFERROR(VLOOKUP(CONCATENATE($B1645,"_",G$3),materiali!$C:$K,6,0),"")</f>
        <v/>
      </c>
      <c r="H1645" s="86"/>
      <c r="I1645" s="84" t="str">
        <f>IFERROR(VLOOKUP(CONCATENATE($B1645,"_",I$3),materiali!$C:$K,5,0),"")</f>
        <v/>
      </c>
      <c r="J1645" s="85" t="str">
        <f>IFERROR(VLOOKUP(CONCATENATE($B1645,"_",J$3),materiali!$C:$K,6,0),"")</f>
        <v/>
      </c>
      <c r="K1645" s="86"/>
      <c r="L1645" s="84" t="str">
        <f>IFERROR(VLOOKUP(CONCATENATE($B1645,"_",L$3),materiali!$C:$K,5,0),"")</f>
        <v/>
      </c>
      <c r="M1645" s="85" t="str">
        <f>IFERROR(VLOOKUP(CONCATENATE($B1645,"_",M$3),materiali!$C:$K,6,0),"")</f>
        <v/>
      </c>
      <c r="N1645" s="86"/>
      <c r="O1645" s="84" t="str">
        <f>IFERROR(VLOOKUP(CONCATENATE($B1645,"_",O$3),materiali!$C:$K,5,0),"")</f>
        <v/>
      </c>
      <c r="P1645" s="85" t="str">
        <f>IFERROR(VLOOKUP(CONCATENATE($B1645,"_",P$3),materiali!$C:$K,6,0),"")</f>
        <v/>
      </c>
      <c r="Q1645" s="86"/>
      <c r="R1645" s="84" t="str">
        <f>IFERROR(VLOOKUP(CONCATENATE($B1645,"_",R$3),materiali!$C:$K,5,0),"")</f>
        <v/>
      </c>
      <c r="S1645" s="85" t="str">
        <f>IFERROR(VLOOKUP(CONCATENATE($B1645,"_",S$3),materiali!$C:$K,6,0),"")</f>
        <v/>
      </c>
      <c r="T1645" s="86"/>
      <c r="U1645" s="31"/>
      <c r="AD1645" s="97"/>
    </row>
    <row r="1646" spans="1:30" ht="35.1" hidden="1" customHeight="1" x14ac:dyDescent="0.25">
      <c r="A1646" s="83"/>
      <c r="B1646" s="7"/>
      <c r="C1646" s="8"/>
      <c r="D1646" s="8"/>
      <c r="E1646" s="60"/>
      <c r="F1646" s="84" t="str">
        <f>IFERROR(VLOOKUP(CONCATENATE($B1646,"_",F$3),materiali!$C:$K,5,0),"")</f>
        <v/>
      </c>
      <c r="G1646" s="85" t="str">
        <f>IFERROR(VLOOKUP(CONCATENATE($B1646,"_",G$3),materiali!$C:$K,6,0),"")</f>
        <v/>
      </c>
      <c r="H1646" s="86"/>
      <c r="I1646" s="84" t="str">
        <f>IFERROR(VLOOKUP(CONCATENATE($B1646,"_",I$3),materiali!$C:$K,5,0),"")</f>
        <v/>
      </c>
      <c r="J1646" s="85" t="str">
        <f>IFERROR(VLOOKUP(CONCATENATE($B1646,"_",J$3),materiali!$C:$K,6,0),"")</f>
        <v/>
      </c>
      <c r="K1646" s="86"/>
      <c r="L1646" s="84" t="str">
        <f>IFERROR(VLOOKUP(CONCATENATE($B1646,"_",L$3),materiali!$C:$K,5,0),"")</f>
        <v/>
      </c>
      <c r="M1646" s="85" t="str">
        <f>IFERROR(VLOOKUP(CONCATENATE($B1646,"_",M$3),materiali!$C:$K,6,0),"")</f>
        <v/>
      </c>
      <c r="N1646" s="86"/>
      <c r="O1646" s="84" t="str">
        <f>IFERROR(VLOOKUP(CONCATENATE($B1646,"_",O$3),materiali!$C:$K,5,0),"")</f>
        <v/>
      </c>
      <c r="P1646" s="85" t="str">
        <f>IFERROR(VLOOKUP(CONCATENATE($B1646,"_",P$3),materiali!$C:$K,6,0),"")</f>
        <v/>
      </c>
      <c r="Q1646" s="86"/>
      <c r="R1646" s="84" t="str">
        <f>IFERROR(VLOOKUP(CONCATENATE($B1646,"_",R$3),materiali!$C:$K,5,0),"")</f>
        <v/>
      </c>
      <c r="S1646" s="85" t="str">
        <f>IFERROR(VLOOKUP(CONCATENATE($B1646,"_",S$3),materiali!$C:$K,6,0),"")</f>
        <v/>
      </c>
      <c r="T1646" s="86"/>
      <c r="U1646" s="31"/>
      <c r="AD1646" s="97"/>
    </row>
    <row r="1647" spans="1:30" ht="35.1" hidden="1" customHeight="1" x14ac:dyDescent="0.25">
      <c r="A1647" s="83"/>
      <c r="B1647" s="7"/>
      <c r="C1647" s="8"/>
      <c r="D1647" s="8"/>
      <c r="E1647" s="60"/>
      <c r="F1647" s="84" t="str">
        <f>IFERROR(VLOOKUP(CONCATENATE($B1647,"_",F$3),materiali!$C:$K,5,0),"")</f>
        <v/>
      </c>
      <c r="G1647" s="85" t="str">
        <f>IFERROR(VLOOKUP(CONCATENATE($B1647,"_",G$3),materiali!$C:$K,6,0),"")</f>
        <v/>
      </c>
      <c r="H1647" s="86"/>
      <c r="I1647" s="84" t="str">
        <f>IFERROR(VLOOKUP(CONCATENATE($B1647,"_",I$3),materiali!$C:$K,5,0),"")</f>
        <v/>
      </c>
      <c r="J1647" s="85" t="str">
        <f>IFERROR(VLOOKUP(CONCATENATE($B1647,"_",J$3),materiali!$C:$K,6,0),"")</f>
        <v/>
      </c>
      <c r="K1647" s="86"/>
      <c r="L1647" s="84" t="str">
        <f>IFERROR(VLOOKUP(CONCATENATE($B1647,"_",L$3),materiali!$C:$K,5,0),"")</f>
        <v/>
      </c>
      <c r="M1647" s="85" t="str">
        <f>IFERROR(VLOOKUP(CONCATENATE($B1647,"_",M$3),materiali!$C:$K,6,0),"")</f>
        <v/>
      </c>
      <c r="N1647" s="86"/>
      <c r="O1647" s="84" t="str">
        <f>IFERROR(VLOOKUP(CONCATENATE($B1647,"_",O$3),materiali!$C:$K,5,0),"")</f>
        <v/>
      </c>
      <c r="P1647" s="85" t="str">
        <f>IFERROR(VLOOKUP(CONCATENATE($B1647,"_",P$3),materiali!$C:$K,6,0),"")</f>
        <v/>
      </c>
      <c r="Q1647" s="86"/>
      <c r="R1647" s="84" t="str">
        <f>IFERROR(VLOOKUP(CONCATENATE($B1647,"_",R$3),materiali!$C:$K,5,0),"")</f>
        <v/>
      </c>
      <c r="S1647" s="85" t="str">
        <f>IFERROR(VLOOKUP(CONCATENATE($B1647,"_",S$3),materiali!$C:$K,6,0),"")</f>
        <v/>
      </c>
      <c r="T1647" s="86"/>
      <c r="U1647" s="31"/>
      <c r="AD1647" s="97"/>
    </row>
    <row r="1648" spans="1:30" ht="35.1" hidden="1" customHeight="1" x14ac:dyDescent="0.25">
      <c r="A1648" s="83"/>
      <c r="B1648" s="7"/>
      <c r="C1648" s="8"/>
      <c r="D1648" s="8"/>
      <c r="E1648" s="60"/>
      <c r="F1648" s="84" t="str">
        <f>IFERROR(VLOOKUP(CONCATENATE($B1648,"_",F$3),materiali!$C:$K,5,0),"")</f>
        <v/>
      </c>
      <c r="G1648" s="85" t="str">
        <f>IFERROR(VLOOKUP(CONCATENATE($B1648,"_",G$3),materiali!$C:$K,6,0),"")</f>
        <v/>
      </c>
      <c r="H1648" s="86"/>
      <c r="I1648" s="84" t="str">
        <f>IFERROR(VLOOKUP(CONCATENATE($B1648,"_",I$3),materiali!$C:$K,5,0),"")</f>
        <v/>
      </c>
      <c r="J1648" s="85" t="str">
        <f>IFERROR(VLOOKUP(CONCATENATE($B1648,"_",J$3),materiali!$C:$K,6,0),"")</f>
        <v/>
      </c>
      <c r="K1648" s="86"/>
      <c r="L1648" s="84" t="str">
        <f>IFERROR(VLOOKUP(CONCATENATE($B1648,"_",L$3),materiali!$C:$K,5,0),"")</f>
        <v/>
      </c>
      <c r="M1648" s="85" t="str">
        <f>IFERROR(VLOOKUP(CONCATENATE($B1648,"_",M$3),materiali!$C:$K,6,0),"")</f>
        <v/>
      </c>
      <c r="N1648" s="86"/>
      <c r="O1648" s="84" t="str">
        <f>IFERROR(VLOOKUP(CONCATENATE($B1648,"_",O$3),materiali!$C:$K,5,0),"")</f>
        <v/>
      </c>
      <c r="P1648" s="85" t="str">
        <f>IFERROR(VLOOKUP(CONCATENATE($B1648,"_",P$3),materiali!$C:$K,6,0),"")</f>
        <v/>
      </c>
      <c r="Q1648" s="86"/>
      <c r="R1648" s="84" t="str">
        <f>IFERROR(VLOOKUP(CONCATENATE($B1648,"_",R$3),materiali!$C:$K,5,0),"")</f>
        <v/>
      </c>
      <c r="S1648" s="85" t="str">
        <f>IFERROR(VLOOKUP(CONCATENATE($B1648,"_",S$3),materiali!$C:$K,6,0),"")</f>
        <v/>
      </c>
      <c r="T1648" s="86"/>
      <c r="U1648" s="31"/>
      <c r="AD1648" s="97"/>
    </row>
    <row r="1649" spans="1:30" ht="35.1" hidden="1" customHeight="1" x14ac:dyDescent="0.25">
      <c r="A1649" s="83"/>
      <c r="B1649" s="7"/>
      <c r="C1649" s="8"/>
      <c r="D1649" s="8"/>
      <c r="E1649" s="60"/>
      <c r="F1649" s="84" t="str">
        <f>IFERROR(VLOOKUP(CONCATENATE($B1649,"_",F$3),materiali!$C:$K,5,0),"")</f>
        <v/>
      </c>
      <c r="G1649" s="85" t="str">
        <f>IFERROR(VLOOKUP(CONCATENATE($B1649,"_",G$3),materiali!$C:$K,6,0),"")</f>
        <v/>
      </c>
      <c r="H1649" s="86"/>
      <c r="I1649" s="84" t="str">
        <f>IFERROR(VLOOKUP(CONCATENATE($B1649,"_",I$3),materiali!$C:$K,5,0),"")</f>
        <v/>
      </c>
      <c r="J1649" s="85" t="str">
        <f>IFERROR(VLOOKUP(CONCATENATE($B1649,"_",J$3),materiali!$C:$K,6,0),"")</f>
        <v/>
      </c>
      <c r="K1649" s="86"/>
      <c r="L1649" s="84" t="str">
        <f>IFERROR(VLOOKUP(CONCATENATE($B1649,"_",L$3),materiali!$C:$K,5,0),"")</f>
        <v/>
      </c>
      <c r="M1649" s="85" t="str">
        <f>IFERROR(VLOOKUP(CONCATENATE($B1649,"_",M$3),materiali!$C:$K,6,0),"")</f>
        <v/>
      </c>
      <c r="N1649" s="86"/>
      <c r="O1649" s="84" t="str">
        <f>IFERROR(VLOOKUP(CONCATENATE($B1649,"_",O$3),materiali!$C:$K,5,0),"")</f>
        <v/>
      </c>
      <c r="P1649" s="85" t="str">
        <f>IFERROR(VLOOKUP(CONCATENATE($B1649,"_",P$3),materiali!$C:$K,6,0),"")</f>
        <v/>
      </c>
      <c r="Q1649" s="86"/>
      <c r="R1649" s="84" t="str">
        <f>IFERROR(VLOOKUP(CONCATENATE($B1649,"_",R$3),materiali!$C:$K,5,0),"")</f>
        <v/>
      </c>
      <c r="S1649" s="85" t="str">
        <f>IFERROR(VLOOKUP(CONCATENATE($B1649,"_",S$3),materiali!$C:$K,6,0),"")</f>
        <v/>
      </c>
      <c r="T1649" s="86"/>
      <c r="U1649" s="31"/>
      <c r="AD1649" s="97"/>
    </row>
    <row r="1650" spans="1:30" ht="35.1" hidden="1" customHeight="1" x14ac:dyDescent="0.25">
      <c r="A1650" s="83"/>
      <c r="B1650" s="7"/>
      <c r="C1650" s="8"/>
      <c r="D1650" s="8"/>
      <c r="E1650" s="60"/>
      <c r="F1650" s="84" t="str">
        <f>IFERROR(VLOOKUP(CONCATENATE($B1650,"_",F$3),materiali!$C:$K,5,0),"")</f>
        <v/>
      </c>
      <c r="G1650" s="85" t="str">
        <f>IFERROR(VLOOKUP(CONCATENATE($B1650,"_",G$3),materiali!$C:$K,6,0),"")</f>
        <v/>
      </c>
      <c r="H1650" s="86"/>
      <c r="I1650" s="84" t="str">
        <f>IFERROR(VLOOKUP(CONCATENATE($B1650,"_",I$3),materiali!$C:$K,5,0),"")</f>
        <v/>
      </c>
      <c r="J1650" s="85" t="str">
        <f>IFERROR(VLOOKUP(CONCATENATE($B1650,"_",J$3),materiali!$C:$K,6,0),"")</f>
        <v/>
      </c>
      <c r="K1650" s="86"/>
      <c r="L1650" s="84" t="str">
        <f>IFERROR(VLOOKUP(CONCATENATE($B1650,"_",L$3),materiali!$C:$K,5,0),"")</f>
        <v/>
      </c>
      <c r="M1650" s="85" t="str">
        <f>IFERROR(VLOOKUP(CONCATENATE($B1650,"_",M$3),materiali!$C:$K,6,0),"")</f>
        <v/>
      </c>
      <c r="N1650" s="86"/>
      <c r="O1650" s="84" t="str">
        <f>IFERROR(VLOOKUP(CONCATENATE($B1650,"_",O$3),materiali!$C:$K,5,0),"")</f>
        <v/>
      </c>
      <c r="P1650" s="85" t="str">
        <f>IFERROR(VLOOKUP(CONCATENATE($B1650,"_",P$3),materiali!$C:$K,6,0),"")</f>
        <v/>
      </c>
      <c r="Q1650" s="86"/>
      <c r="R1650" s="84" t="str">
        <f>IFERROR(VLOOKUP(CONCATENATE($B1650,"_",R$3),materiali!$C:$K,5,0),"")</f>
        <v/>
      </c>
      <c r="S1650" s="85" t="str">
        <f>IFERROR(VLOOKUP(CONCATENATE($B1650,"_",S$3),materiali!$C:$K,6,0),"")</f>
        <v/>
      </c>
      <c r="T1650" s="86"/>
      <c r="U1650" s="31"/>
      <c r="AD1650" s="97"/>
    </row>
    <row r="1651" spans="1:30" ht="35.1" hidden="1" customHeight="1" x14ac:dyDescent="0.25">
      <c r="A1651" s="83"/>
      <c r="B1651" s="7"/>
      <c r="C1651" s="8"/>
      <c r="D1651" s="8"/>
      <c r="E1651" s="60"/>
      <c r="F1651" s="84" t="str">
        <f>IFERROR(VLOOKUP(CONCATENATE($B1651,"_",F$3),materiali!$C:$K,5,0),"")</f>
        <v/>
      </c>
      <c r="G1651" s="85" t="str">
        <f>IFERROR(VLOOKUP(CONCATENATE($B1651,"_",G$3),materiali!$C:$K,6,0),"")</f>
        <v/>
      </c>
      <c r="H1651" s="86"/>
      <c r="I1651" s="84" t="str">
        <f>IFERROR(VLOOKUP(CONCATENATE($B1651,"_",I$3),materiali!$C:$K,5,0),"")</f>
        <v/>
      </c>
      <c r="J1651" s="85" t="str">
        <f>IFERROR(VLOOKUP(CONCATENATE($B1651,"_",J$3),materiali!$C:$K,6,0),"")</f>
        <v/>
      </c>
      <c r="K1651" s="86"/>
      <c r="L1651" s="84" t="str">
        <f>IFERROR(VLOOKUP(CONCATENATE($B1651,"_",L$3),materiali!$C:$K,5,0),"")</f>
        <v/>
      </c>
      <c r="M1651" s="85" t="str">
        <f>IFERROR(VLOOKUP(CONCATENATE($B1651,"_",M$3),materiali!$C:$K,6,0),"")</f>
        <v/>
      </c>
      <c r="N1651" s="86"/>
      <c r="O1651" s="84" t="str">
        <f>IFERROR(VLOOKUP(CONCATENATE($B1651,"_",O$3),materiali!$C:$K,5,0),"")</f>
        <v/>
      </c>
      <c r="P1651" s="85" t="str">
        <f>IFERROR(VLOOKUP(CONCATENATE($B1651,"_",P$3),materiali!$C:$K,6,0),"")</f>
        <v/>
      </c>
      <c r="Q1651" s="86"/>
      <c r="R1651" s="84" t="str">
        <f>IFERROR(VLOOKUP(CONCATENATE($B1651,"_",R$3),materiali!$C:$K,5,0),"")</f>
        <v/>
      </c>
      <c r="S1651" s="85" t="str">
        <f>IFERROR(VLOOKUP(CONCATENATE($B1651,"_",S$3),materiali!$C:$K,6,0),"")</f>
        <v/>
      </c>
      <c r="T1651" s="86"/>
      <c r="U1651" s="31"/>
      <c r="AD1651" s="97"/>
    </row>
    <row r="1652" spans="1:30" ht="35.1" hidden="1" customHeight="1" x14ac:dyDescent="0.25">
      <c r="A1652" s="83"/>
      <c r="B1652" s="7"/>
      <c r="C1652" s="8"/>
      <c r="D1652" s="8"/>
      <c r="E1652" s="60"/>
      <c r="F1652" s="84" t="str">
        <f>IFERROR(VLOOKUP(CONCATENATE($B1652,"_",F$3),materiali!$C:$K,5,0),"")</f>
        <v/>
      </c>
      <c r="G1652" s="85" t="str">
        <f>IFERROR(VLOOKUP(CONCATENATE($B1652,"_",G$3),materiali!$C:$K,6,0),"")</f>
        <v/>
      </c>
      <c r="H1652" s="86"/>
      <c r="I1652" s="84" t="str">
        <f>IFERROR(VLOOKUP(CONCATENATE($B1652,"_",I$3),materiali!$C:$K,5,0),"")</f>
        <v/>
      </c>
      <c r="J1652" s="85" t="str">
        <f>IFERROR(VLOOKUP(CONCATENATE($B1652,"_",J$3),materiali!$C:$K,6,0),"")</f>
        <v/>
      </c>
      <c r="K1652" s="86"/>
      <c r="L1652" s="84" t="str">
        <f>IFERROR(VLOOKUP(CONCATENATE($B1652,"_",L$3),materiali!$C:$K,5,0),"")</f>
        <v/>
      </c>
      <c r="M1652" s="85" t="str">
        <f>IFERROR(VLOOKUP(CONCATENATE($B1652,"_",M$3),materiali!$C:$K,6,0),"")</f>
        <v/>
      </c>
      <c r="N1652" s="86"/>
      <c r="O1652" s="84" t="str">
        <f>IFERROR(VLOOKUP(CONCATENATE($B1652,"_",O$3),materiali!$C:$K,5,0),"")</f>
        <v/>
      </c>
      <c r="P1652" s="85" t="str">
        <f>IFERROR(VLOOKUP(CONCATENATE($B1652,"_",P$3),materiali!$C:$K,6,0),"")</f>
        <v/>
      </c>
      <c r="Q1652" s="86"/>
      <c r="R1652" s="84" t="str">
        <f>IFERROR(VLOOKUP(CONCATENATE($B1652,"_",R$3),materiali!$C:$K,5,0),"")</f>
        <v/>
      </c>
      <c r="S1652" s="85" t="str">
        <f>IFERROR(VLOOKUP(CONCATENATE($B1652,"_",S$3),materiali!$C:$K,6,0),"")</f>
        <v/>
      </c>
      <c r="T1652" s="86"/>
      <c r="U1652" s="31"/>
      <c r="AD1652" s="97"/>
    </row>
    <row r="1653" spans="1:30" ht="35.1" hidden="1" customHeight="1" x14ac:dyDescent="0.25">
      <c r="A1653" s="83"/>
      <c r="B1653" s="7"/>
      <c r="C1653" s="8"/>
      <c r="D1653" s="8"/>
      <c r="E1653" s="60"/>
      <c r="F1653" s="84" t="str">
        <f>IFERROR(VLOOKUP(CONCATENATE($B1653,"_",F$3),materiali!$C:$K,5,0),"")</f>
        <v/>
      </c>
      <c r="G1653" s="85" t="str">
        <f>IFERROR(VLOOKUP(CONCATENATE($B1653,"_",G$3),materiali!$C:$K,6,0),"")</f>
        <v/>
      </c>
      <c r="H1653" s="86"/>
      <c r="I1653" s="84" t="str">
        <f>IFERROR(VLOOKUP(CONCATENATE($B1653,"_",I$3),materiali!$C:$K,5,0),"")</f>
        <v/>
      </c>
      <c r="J1653" s="85" t="str">
        <f>IFERROR(VLOOKUP(CONCATENATE($B1653,"_",J$3),materiali!$C:$K,6,0),"")</f>
        <v/>
      </c>
      <c r="K1653" s="86"/>
      <c r="L1653" s="84" t="str">
        <f>IFERROR(VLOOKUP(CONCATENATE($B1653,"_",L$3),materiali!$C:$K,5,0),"")</f>
        <v/>
      </c>
      <c r="M1653" s="85" t="str">
        <f>IFERROR(VLOOKUP(CONCATENATE($B1653,"_",M$3),materiali!$C:$K,6,0),"")</f>
        <v/>
      </c>
      <c r="N1653" s="86"/>
      <c r="O1653" s="84" t="str">
        <f>IFERROR(VLOOKUP(CONCATENATE($B1653,"_",O$3),materiali!$C:$K,5,0),"")</f>
        <v/>
      </c>
      <c r="P1653" s="85" t="str">
        <f>IFERROR(VLOOKUP(CONCATENATE($B1653,"_",P$3),materiali!$C:$K,6,0),"")</f>
        <v/>
      </c>
      <c r="Q1653" s="86"/>
      <c r="R1653" s="84" t="str">
        <f>IFERROR(VLOOKUP(CONCATENATE($B1653,"_",R$3),materiali!$C:$K,5,0),"")</f>
        <v/>
      </c>
      <c r="S1653" s="85" t="str">
        <f>IFERROR(VLOOKUP(CONCATENATE($B1653,"_",S$3),materiali!$C:$K,6,0),"")</f>
        <v/>
      </c>
      <c r="T1653" s="86"/>
      <c r="U1653" s="31"/>
      <c r="AD1653" s="97"/>
    </row>
    <row r="1654" spans="1:30" ht="35.1" hidden="1" customHeight="1" x14ac:dyDescent="0.25">
      <c r="A1654" s="83"/>
      <c r="B1654" s="7"/>
      <c r="C1654" s="8"/>
      <c r="D1654" s="8"/>
      <c r="E1654" s="60"/>
      <c r="F1654" s="84" t="str">
        <f>IFERROR(VLOOKUP(CONCATENATE($B1654,"_",F$3),materiali!$C:$K,5,0),"")</f>
        <v/>
      </c>
      <c r="G1654" s="85" t="str">
        <f>IFERROR(VLOOKUP(CONCATENATE($B1654,"_",G$3),materiali!$C:$K,6,0),"")</f>
        <v/>
      </c>
      <c r="H1654" s="86"/>
      <c r="I1654" s="84" t="str">
        <f>IFERROR(VLOOKUP(CONCATENATE($B1654,"_",I$3),materiali!$C:$K,5,0),"")</f>
        <v/>
      </c>
      <c r="J1654" s="85" t="str">
        <f>IFERROR(VLOOKUP(CONCATENATE($B1654,"_",J$3),materiali!$C:$K,6,0),"")</f>
        <v/>
      </c>
      <c r="K1654" s="86"/>
      <c r="L1654" s="84" t="str">
        <f>IFERROR(VLOOKUP(CONCATENATE($B1654,"_",L$3),materiali!$C:$K,5,0),"")</f>
        <v/>
      </c>
      <c r="M1654" s="85" t="str">
        <f>IFERROR(VLOOKUP(CONCATENATE($B1654,"_",M$3),materiali!$C:$K,6,0),"")</f>
        <v/>
      </c>
      <c r="N1654" s="86"/>
      <c r="O1654" s="84" t="str">
        <f>IFERROR(VLOOKUP(CONCATENATE($B1654,"_",O$3),materiali!$C:$K,5,0),"")</f>
        <v/>
      </c>
      <c r="P1654" s="85" t="str">
        <f>IFERROR(VLOOKUP(CONCATENATE($B1654,"_",P$3),materiali!$C:$K,6,0),"")</f>
        <v/>
      </c>
      <c r="Q1654" s="86"/>
      <c r="R1654" s="84" t="str">
        <f>IFERROR(VLOOKUP(CONCATENATE($B1654,"_",R$3),materiali!$C:$K,5,0),"")</f>
        <v/>
      </c>
      <c r="S1654" s="85" t="str">
        <f>IFERROR(VLOOKUP(CONCATENATE($B1654,"_",S$3),materiali!$C:$K,6,0),"")</f>
        <v/>
      </c>
      <c r="T1654" s="86"/>
      <c r="U1654" s="31"/>
      <c r="AD1654" s="97"/>
    </row>
    <row r="1655" spans="1:30" ht="35.1" hidden="1" customHeight="1" x14ac:dyDescent="0.25">
      <c r="A1655" s="83"/>
      <c r="B1655" s="7"/>
      <c r="C1655" s="8"/>
      <c r="D1655" s="8"/>
      <c r="E1655" s="60"/>
      <c r="F1655" s="84" t="str">
        <f>IFERROR(VLOOKUP(CONCATENATE($B1655,"_",F$3),materiali!$C:$K,5,0),"")</f>
        <v/>
      </c>
      <c r="G1655" s="85" t="str">
        <f>IFERROR(VLOOKUP(CONCATENATE($B1655,"_",G$3),materiali!$C:$K,6,0),"")</f>
        <v/>
      </c>
      <c r="H1655" s="86"/>
      <c r="I1655" s="84" t="str">
        <f>IFERROR(VLOOKUP(CONCATENATE($B1655,"_",I$3),materiali!$C:$K,5,0),"")</f>
        <v/>
      </c>
      <c r="J1655" s="85" t="str">
        <f>IFERROR(VLOOKUP(CONCATENATE($B1655,"_",J$3),materiali!$C:$K,6,0),"")</f>
        <v/>
      </c>
      <c r="K1655" s="86"/>
      <c r="L1655" s="84" t="str">
        <f>IFERROR(VLOOKUP(CONCATENATE($B1655,"_",L$3),materiali!$C:$K,5,0),"")</f>
        <v/>
      </c>
      <c r="M1655" s="85" t="str">
        <f>IFERROR(VLOOKUP(CONCATENATE($B1655,"_",M$3),materiali!$C:$K,6,0),"")</f>
        <v/>
      </c>
      <c r="N1655" s="86"/>
      <c r="O1655" s="84" t="str">
        <f>IFERROR(VLOOKUP(CONCATENATE($B1655,"_",O$3),materiali!$C:$K,5,0),"")</f>
        <v/>
      </c>
      <c r="P1655" s="85" t="str">
        <f>IFERROR(VLOOKUP(CONCATENATE($B1655,"_",P$3),materiali!$C:$K,6,0),"")</f>
        <v/>
      </c>
      <c r="Q1655" s="86"/>
      <c r="R1655" s="84" t="str">
        <f>IFERROR(VLOOKUP(CONCATENATE($B1655,"_",R$3),materiali!$C:$K,5,0),"")</f>
        <v/>
      </c>
      <c r="S1655" s="85" t="str">
        <f>IFERROR(VLOOKUP(CONCATENATE($B1655,"_",S$3),materiali!$C:$K,6,0),"")</f>
        <v/>
      </c>
      <c r="T1655" s="86"/>
      <c r="U1655" s="31"/>
      <c r="AD1655" s="97"/>
    </row>
    <row r="1656" spans="1:30" ht="35.1" hidden="1" customHeight="1" x14ac:dyDescent="0.25">
      <c r="A1656" s="83"/>
      <c r="B1656" s="7"/>
      <c r="C1656" s="8"/>
      <c r="D1656" s="8"/>
      <c r="E1656" s="60"/>
      <c r="F1656" s="84" t="str">
        <f>IFERROR(VLOOKUP(CONCATENATE($B1656,"_",F$3),materiali!$C:$K,5,0),"")</f>
        <v/>
      </c>
      <c r="G1656" s="85" t="str">
        <f>IFERROR(VLOOKUP(CONCATENATE($B1656,"_",G$3),materiali!$C:$K,6,0),"")</f>
        <v/>
      </c>
      <c r="H1656" s="86"/>
      <c r="I1656" s="84" t="str">
        <f>IFERROR(VLOOKUP(CONCATENATE($B1656,"_",I$3),materiali!$C:$K,5,0),"")</f>
        <v/>
      </c>
      <c r="J1656" s="85" t="str">
        <f>IFERROR(VLOOKUP(CONCATENATE($B1656,"_",J$3),materiali!$C:$K,6,0),"")</f>
        <v/>
      </c>
      <c r="K1656" s="86"/>
      <c r="L1656" s="84" t="str">
        <f>IFERROR(VLOOKUP(CONCATENATE($B1656,"_",L$3),materiali!$C:$K,5,0),"")</f>
        <v/>
      </c>
      <c r="M1656" s="85" t="str">
        <f>IFERROR(VLOOKUP(CONCATENATE($B1656,"_",M$3),materiali!$C:$K,6,0),"")</f>
        <v/>
      </c>
      <c r="N1656" s="86"/>
      <c r="O1656" s="84" t="str">
        <f>IFERROR(VLOOKUP(CONCATENATE($B1656,"_",O$3),materiali!$C:$K,5,0),"")</f>
        <v/>
      </c>
      <c r="P1656" s="85" t="str">
        <f>IFERROR(VLOOKUP(CONCATENATE($B1656,"_",P$3),materiali!$C:$K,6,0),"")</f>
        <v/>
      </c>
      <c r="Q1656" s="86"/>
      <c r="R1656" s="84" t="str">
        <f>IFERROR(VLOOKUP(CONCATENATE($B1656,"_",R$3),materiali!$C:$K,5,0),"")</f>
        <v/>
      </c>
      <c r="S1656" s="85" t="str">
        <f>IFERROR(VLOOKUP(CONCATENATE($B1656,"_",S$3),materiali!$C:$K,6,0),"")</f>
        <v/>
      </c>
      <c r="T1656" s="86"/>
      <c r="U1656" s="31"/>
      <c r="AD1656" s="97"/>
    </row>
    <row r="1657" spans="1:30" ht="35.1" hidden="1" customHeight="1" x14ac:dyDescent="0.25">
      <c r="A1657" s="83"/>
      <c r="B1657" s="7"/>
      <c r="C1657" s="8"/>
      <c r="D1657" s="8"/>
      <c r="E1657" s="60"/>
      <c r="F1657" s="84" t="str">
        <f>IFERROR(VLOOKUP(CONCATENATE($B1657,"_",F$3),materiali!$C:$K,5,0),"")</f>
        <v/>
      </c>
      <c r="G1657" s="85" t="str">
        <f>IFERROR(VLOOKUP(CONCATENATE($B1657,"_",G$3),materiali!$C:$K,6,0),"")</f>
        <v/>
      </c>
      <c r="H1657" s="86"/>
      <c r="I1657" s="84" t="str">
        <f>IFERROR(VLOOKUP(CONCATENATE($B1657,"_",I$3),materiali!$C:$K,5,0),"")</f>
        <v/>
      </c>
      <c r="J1657" s="85" t="str">
        <f>IFERROR(VLOOKUP(CONCATENATE($B1657,"_",J$3),materiali!$C:$K,6,0),"")</f>
        <v/>
      </c>
      <c r="K1657" s="86"/>
      <c r="L1657" s="84" t="str">
        <f>IFERROR(VLOOKUP(CONCATENATE($B1657,"_",L$3),materiali!$C:$K,5,0),"")</f>
        <v/>
      </c>
      <c r="M1657" s="85" t="str">
        <f>IFERROR(VLOOKUP(CONCATENATE($B1657,"_",M$3),materiali!$C:$K,6,0),"")</f>
        <v/>
      </c>
      <c r="N1657" s="86"/>
      <c r="O1657" s="84" t="str">
        <f>IFERROR(VLOOKUP(CONCATENATE($B1657,"_",O$3),materiali!$C:$K,5,0),"")</f>
        <v/>
      </c>
      <c r="P1657" s="85" t="str">
        <f>IFERROR(VLOOKUP(CONCATENATE($B1657,"_",P$3),materiali!$C:$K,6,0),"")</f>
        <v/>
      </c>
      <c r="Q1657" s="86"/>
      <c r="R1657" s="84" t="str">
        <f>IFERROR(VLOOKUP(CONCATENATE($B1657,"_",R$3),materiali!$C:$K,5,0),"")</f>
        <v/>
      </c>
      <c r="S1657" s="85" t="str">
        <f>IFERROR(VLOOKUP(CONCATENATE($B1657,"_",S$3),materiali!$C:$K,6,0),"")</f>
        <v/>
      </c>
      <c r="T1657" s="86"/>
      <c r="U1657" s="31"/>
      <c r="AD1657" s="97"/>
    </row>
    <row r="1658" spans="1:30" ht="35.1" hidden="1" customHeight="1" x14ac:dyDescent="0.25">
      <c r="A1658" s="83"/>
      <c r="B1658" s="7"/>
      <c r="C1658" s="8"/>
      <c r="D1658" s="8"/>
      <c r="E1658" s="60"/>
      <c r="F1658" s="84" t="str">
        <f>IFERROR(VLOOKUP(CONCATENATE($B1658,"_",F$3),materiali!$C:$K,5,0),"")</f>
        <v/>
      </c>
      <c r="G1658" s="85" t="str">
        <f>IFERROR(VLOOKUP(CONCATENATE($B1658,"_",G$3),materiali!$C:$K,6,0),"")</f>
        <v/>
      </c>
      <c r="H1658" s="86"/>
      <c r="I1658" s="84" t="str">
        <f>IFERROR(VLOOKUP(CONCATENATE($B1658,"_",I$3),materiali!$C:$K,5,0),"")</f>
        <v/>
      </c>
      <c r="J1658" s="85" t="str">
        <f>IFERROR(VLOOKUP(CONCATENATE($B1658,"_",J$3),materiali!$C:$K,6,0),"")</f>
        <v/>
      </c>
      <c r="K1658" s="86"/>
      <c r="L1658" s="84" t="str">
        <f>IFERROR(VLOOKUP(CONCATENATE($B1658,"_",L$3),materiali!$C:$K,5,0),"")</f>
        <v/>
      </c>
      <c r="M1658" s="85" t="str">
        <f>IFERROR(VLOOKUP(CONCATENATE($B1658,"_",M$3),materiali!$C:$K,6,0),"")</f>
        <v/>
      </c>
      <c r="N1658" s="86"/>
      <c r="O1658" s="84" t="str">
        <f>IFERROR(VLOOKUP(CONCATENATE($B1658,"_",O$3),materiali!$C:$K,5,0),"")</f>
        <v/>
      </c>
      <c r="P1658" s="85" t="str">
        <f>IFERROR(VLOOKUP(CONCATENATE($B1658,"_",P$3),materiali!$C:$K,6,0),"")</f>
        <v/>
      </c>
      <c r="Q1658" s="86"/>
      <c r="R1658" s="84" t="str">
        <f>IFERROR(VLOOKUP(CONCATENATE($B1658,"_",R$3),materiali!$C:$K,5,0),"")</f>
        <v/>
      </c>
      <c r="S1658" s="85" t="str">
        <f>IFERROR(VLOOKUP(CONCATENATE($B1658,"_",S$3),materiali!$C:$K,6,0),"")</f>
        <v/>
      </c>
      <c r="T1658" s="86"/>
      <c r="U1658" s="31"/>
      <c r="AD1658" s="97"/>
    </row>
    <row r="1659" spans="1:30" ht="35.1" hidden="1" customHeight="1" x14ac:dyDescent="0.25">
      <c r="A1659" s="83"/>
      <c r="B1659" s="7"/>
      <c r="C1659" s="8"/>
      <c r="D1659" s="8"/>
      <c r="E1659" s="60"/>
      <c r="F1659" s="84" t="str">
        <f>IFERROR(VLOOKUP(CONCATENATE($B1659,"_",F$3),materiali!$C:$K,5,0),"")</f>
        <v/>
      </c>
      <c r="G1659" s="85" t="str">
        <f>IFERROR(VLOOKUP(CONCATENATE($B1659,"_",G$3),materiali!$C:$K,6,0),"")</f>
        <v/>
      </c>
      <c r="H1659" s="86"/>
      <c r="I1659" s="84" t="str">
        <f>IFERROR(VLOOKUP(CONCATENATE($B1659,"_",I$3),materiali!$C:$K,5,0),"")</f>
        <v/>
      </c>
      <c r="J1659" s="85" t="str">
        <f>IFERROR(VLOOKUP(CONCATENATE($B1659,"_",J$3),materiali!$C:$K,6,0),"")</f>
        <v/>
      </c>
      <c r="K1659" s="86"/>
      <c r="L1659" s="84" t="str">
        <f>IFERROR(VLOOKUP(CONCATENATE($B1659,"_",L$3),materiali!$C:$K,5,0),"")</f>
        <v/>
      </c>
      <c r="M1659" s="85" t="str">
        <f>IFERROR(VLOOKUP(CONCATENATE($B1659,"_",M$3),materiali!$C:$K,6,0),"")</f>
        <v/>
      </c>
      <c r="N1659" s="86"/>
      <c r="O1659" s="84" t="str">
        <f>IFERROR(VLOOKUP(CONCATENATE($B1659,"_",O$3),materiali!$C:$K,5,0),"")</f>
        <v/>
      </c>
      <c r="P1659" s="85" t="str">
        <f>IFERROR(VLOOKUP(CONCATENATE($B1659,"_",P$3),materiali!$C:$K,6,0),"")</f>
        <v/>
      </c>
      <c r="Q1659" s="86"/>
      <c r="R1659" s="84" t="str">
        <f>IFERROR(VLOOKUP(CONCATENATE($B1659,"_",R$3),materiali!$C:$K,5,0),"")</f>
        <v/>
      </c>
      <c r="S1659" s="85" t="str">
        <f>IFERROR(VLOOKUP(CONCATENATE($B1659,"_",S$3),materiali!$C:$K,6,0),"")</f>
        <v/>
      </c>
      <c r="T1659" s="86"/>
      <c r="U1659" s="31"/>
      <c r="AD1659" s="97"/>
    </row>
    <row r="1660" spans="1:30" ht="35.1" hidden="1" customHeight="1" x14ac:dyDescent="0.25">
      <c r="A1660" s="83"/>
      <c r="B1660" s="7"/>
      <c r="C1660" s="8"/>
      <c r="D1660" s="8"/>
      <c r="E1660" s="60"/>
      <c r="F1660" s="84" t="str">
        <f>IFERROR(VLOOKUP(CONCATENATE($B1660,"_",F$3),materiali!$C:$K,5,0),"")</f>
        <v/>
      </c>
      <c r="G1660" s="85" t="str">
        <f>IFERROR(VLOOKUP(CONCATENATE($B1660,"_",G$3),materiali!$C:$K,6,0),"")</f>
        <v/>
      </c>
      <c r="H1660" s="86"/>
      <c r="I1660" s="84" t="str">
        <f>IFERROR(VLOOKUP(CONCATENATE($B1660,"_",I$3),materiali!$C:$K,5,0),"")</f>
        <v/>
      </c>
      <c r="J1660" s="85" t="str">
        <f>IFERROR(VLOOKUP(CONCATENATE($B1660,"_",J$3),materiali!$C:$K,6,0),"")</f>
        <v/>
      </c>
      <c r="K1660" s="86"/>
      <c r="L1660" s="84" t="str">
        <f>IFERROR(VLOOKUP(CONCATENATE($B1660,"_",L$3),materiali!$C:$K,5,0),"")</f>
        <v/>
      </c>
      <c r="M1660" s="85" t="str">
        <f>IFERROR(VLOOKUP(CONCATENATE($B1660,"_",M$3),materiali!$C:$K,6,0),"")</f>
        <v/>
      </c>
      <c r="N1660" s="86"/>
      <c r="O1660" s="84" t="str">
        <f>IFERROR(VLOOKUP(CONCATENATE($B1660,"_",O$3),materiali!$C:$K,5,0),"")</f>
        <v/>
      </c>
      <c r="P1660" s="85" t="str">
        <f>IFERROR(VLOOKUP(CONCATENATE($B1660,"_",P$3),materiali!$C:$K,6,0),"")</f>
        <v/>
      </c>
      <c r="Q1660" s="86"/>
      <c r="R1660" s="84" t="str">
        <f>IFERROR(VLOOKUP(CONCATENATE($B1660,"_",R$3),materiali!$C:$K,5,0),"")</f>
        <v/>
      </c>
      <c r="S1660" s="85" t="str">
        <f>IFERROR(VLOOKUP(CONCATENATE($B1660,"_",S$3),materiali!$C:$K,6,0),"")</f>
        <v/>
      </c>
      <c r="T1660" s="86"/>
      <c r="U1660" s="31"/>
      <c r="AD1660" s="97"/>
    </row>
    <row r="1661" spans="1:30" ht="35.1" hidden="1" customHeight="1" x14ac:dyDescent="0.25">
      <c r="A1661" s="83"/>
      <c r="B1661" s="7"/>
      <c r="C1661" s="8"/>
      <c r="D1661" s="8"/>
      <c r="E1661" s="60"/>
      <c r="F1661" s="84" t="str">
        <f>IFERROR(VLOOKUP(CONCATENATE($B1661,"_",F$3),materiali!$C:$K,5,0),"")</f>
        <v/>
      </c>
      <c r="G1661" s="85" t="str">
        <f>IFERROR(VLOOKUP(CONCATENATE($B1661,"_",G$3),materiali!$C:$K,6,0),"")</f>
        <v/>
      </c>
      <c r="H1661" s="86"/>
      <c r="I1661" s="84" t="str">
        <f>IFERROR(VLOOKUP(CONCATENATE($B1661,"_",I$3),materiali!$C:$K,5,0),"")</f>
        <v/>
      </c>
      <c r="J1661" s="85" t="str">
        <f>IFERROR(VLOOKUP(CONCATENATE($B1661,"_",J$3),materiali!$C:$K,6,0),"")</f>
        <v/>
      </c>
      <c r="K1661" s="86"/>
      <c r="L1661" s="84" t="str">
        <f>IFERROR(VLOOKUP(CONCATENATE($B1661,"_",L$3),materiali!$C:$K,5,0),"")</f>
        <v/>
      </c>
      <c r="M1661" s="85" t="str">
        <f>IFERROR(VLOOKUP(CONCATENATE($B1661,"_",M$3),materiali!$C:$K,6,0),"")</f>
        <v/>
      </c>
      <c r="N1661" s="86"/>
      <c r="O1661" s="84" t="str">
        <f>IFERROR(VLOOKUP(CONCATENATE($B1661,"_",O$3),materiali!$C:$K,5,0),"")</f>
        <v/>
      </c>
      <c r="P1661" s="85" t="str">
        <f>IFERROR(VLOOKUP(CONCATENATE($B1661,"_",P$3),materiali!$C:$K,6,0),"")</f>
        <v/>
      </c>
      <c r="Q1661" s="86"/>
      <c r="R1661" s="84" t="str">
        <f>IFERROR(VLOOKUP(CONCATENATE($B1661,"_",R$3),materiali!$C:$K,5,0),"")</f>
        <v/>
      </c>
      <c r="S1661" s="85" t="str">
        <f>IFERROR(VLOOKUP(CONCATENATE($B1661,"_",S$3),materiali!$C:$K,6,0),"")</f>
        <v/>
      </c>
      <c r="T1661" s="86"/>
      <c r="U1661" s="31"/>
      <c r="AD1661" s="97"/>
    </row>
    <row r="1662" spans="1:30" ht="35.1" hidden="1" customHeight="1" x14ac:dyDescent="0.25">
      <c r="A1662" s="83"/>
      <c r="B1662" s="7"/>
      <c r="C1662" s="8"/>
      <c r="D1662" s="8"/>
      <c r="E1662" s="60"/>
      <c r="F1662" s="84" t="str">
        <f>IFERROR(VLOOKUP(CONCATENATE($B1662,"_",F$3),materiali!$C:$K,5,0),"")</f>
        <v/>
      </c>
      <c r="G1662" s="85" t="str">
        <f>IFERROR(VLOOKUP(CONCATENATE($B1662,"_",G$3),materiali!$C:$K,6,0),"")</f>
        <v/>
      </c>
      <c r="H1662" s="86"/>
      <c r="I1662" s="84" t="str">
        <f>IFERROR(VLOOKUP(CONCATENATE($B1662,"_",I$3),materiali!$C:$K,5,0),"")</f>
        <v/>
      </c>
      <c r="J1662" s="85" t="str">
        <f>IFERROR(VLOOKUP(CONCATENATE($B1662,"_",J$3),materiali!$C:$K,6,0),"")</f>
        <v/>
      </c>
      <c r="K1662" s="86"/>
      <c r="L1662" s="84" t="str">
        <f>IFERROR(VLOOKUP(CONCATENATE($B1662,"_",L$3),materiali!$C:$K,5,0),"")</f>
        <v/>
      </c>
      <c r="M1662" s="85" t="str">
        <f>IFERROR(VLOOKUP(CONCATENATE($B1662,"_",M$3),materiali!$C:$K,6,0),"")</f>
        <v/>
      </c>
      <c r="N1662" s="86"/>
      <c r="O1662" s="84" t="str">
        <f>IFERROR(VLOOKUP(CONCATENATE($B1662,"_",O$3),materiali!$C:$K,5,0),"")</f>
        <v/>
      </c>
      <c r="P1662" s="85" t="str">
        <f>IFERROR(VLOOKUP(CONCATENATE($B1662,"_",P$3),materiali!$C:$K,6,0),"")</f>
        <v/>
      </c>
      <c r="Q1662" s="86"/>
      <c r="R1662" s="84" t="str">
        <f>IFERROR(VLOOKUP(CONCATENATE($B1662,"_",R$3),materiali!$C:$K,5,0),"")</f>
        <v/>
      </c>
      <c r="S1662" s="85" t="str">
        <f>IFERROR(VLOOKUP(CONCATENATE($B1662,"_",S$3),materiali!$C:$K,6,0),"")</f>
        <v/>
      </c>
      <c r="T1662" s="86"/>
      <c r="U1662" s="31"/>
      <c r="AD1662" s="97"/>
    </row>
    <row r="1663" spans="1:30" ht="35.1" hidden="1" customHeight="1" x14ac:dyDescent="0.25">
      <c r="A1663" s="83"/>
      <c r="B1663" s="7"/>
      <c r="C1663" s="8"/>
      <c r="D1663" s="8"/>
      <c r="E1663" s="60"/>
      <c r="F1663" s="84" t="str">
        <f>IFERROR(VLOOKUP(CONCATENATE($B1663,"_",F$3),materiali!$C:$K,5,0),"")</f>
        <v/>
      </c>
      <c r="G1663" s="85" t="str">
        <f>IFERROR(VLOOKUP(CONCATENATE($B1663,"_",G$3),materiali!$C:$K,6,0),"")</f>
        <v/>
      </c>
      <c r="H1663" s="86"/>
      <c r="I1663" s="84" t="str">
        <f>IFERROR(VLOOKUP(CONCATENATE($B1663,"_",I$3),materiali!$C:$K,5,0),"")</f>
        <v/>
      </c>
      <c r="J1663" s="85" t="str">
        <f>IFERROR(VLOOKUP(CONCATENATE($B1663,"_",J$3),materiali!$C:$K,6,0),"")</f>
        <v/>
      </c>
      <c r="K1663" s="86"/>
      <c r="L1663" s="84" t="str">
        <f>IFERROR(VLOOKUP(CONCATENATE($B1663,"_",L$3),materiali!$C:$K,5,0),"")</f>
        <v/>
      </c>
      <c r="M1663" s="85" t="str">
        <f>IFERROR(VLOOKUP(CONCATENATE($B1663,"_",M$3),materiali!$C:$K,6,0),"")</f>
        <v/>
      </c>
      <c r="N1663" s="86"/>
      <c r="O1663" s="84" t="str">
        <f>IFERROR(VLOOKUP(CONCATENATE($B1663,"_",O$3),materiali!$C:$K,5,0),"")</f>
        <v/>
      </c>
      <c r="P1663" s="85" t="str">
        <f>IFERROR(VLOOKUP(CONCATENATE($B1663,"_",P$3),materiali!$C:$K,6,0),"")</f>
        <v/>
      </c>
      <c r="Q1663" s="86"/>
      <c r="R1663" s="84" t="str">
        <f>IFERROR(VLOOKUP(CONCATENATE($B1663,"_",R$3),materiali!$C:$K,5,0),"")</f>
        <v/>
      </c>
      <c r="S1663" s="85" t="str">
        <f>IFERROR(VLOOKUP(CONCATENATE($B1663,"_",S$3),materiali!$C:$K,6,0),"")</f>
        <v/>
      </c>
      <c r="T1663" s="86"/>
      <c r="U1663" s="31"/>
      <c r="AD1663" s="97"/>
    </row>
    <row r="1664" spans="1:30" ht="35.1" hidden="1" customHeight="1" x14ac:dyDescent="0.25">
      <c r="A1664" s="83"/>
      <c r="B1664" s="7"/>
      <c r="C1664" s="8"/>
      <c r="D1664" s="8"/>
      <c r="E1664" s="60"/>
      <c r="F1664" s="84" t="str">
        <f>IFERROR(VLOOKUP(CONCATENATE($B1664,"_",F$3),materiali!$C:$K,5,0),"")</f>
        <v/>
      </c>
      <c r="G1664" s="85" t="str">
        <f>IFERROR(VLOOKUP(CONCATENATE($B1664,"_",G$3),materiali!$C:$K,6,0),"")</f>
        <v/>
      </c>
      <c r="H1664" s="86"/>
      <c r="I1664" s="84" t="str">
        <f>IFERROR(VLOOKUP(CONCATENATE($B1664,"_",I$3),materiali!$C:$K,5,0),"")</f>
        <v/>
      </c>
      <c r="J1664" s="85" t="str">
        <f>IFERROR(VLOOKUP(CONCATENATE($B1664,"_",J$3),materiali!$C:$K,6,0),"")</f>
        <v/>
      </c>
      <c r="K1664" s="86"/>
      <c r="L1664" s="84" t="str">
        <f>IFERROR(VLOOKUP(CONCATENATE($B1664,"_",L$3),materiali!$C:$K,5,0),"")</f>
        <v/>
      </c>
      <c r="M1664" s="85" t="str">
        <f>IFERROR(VLOOKUP(CONCATENATE($B1664,"_",M$3),materiali!$C:$K,6,0),"")</f>
        <v/>
      </c>
      <c r="N1664" s="86"/>
      <c r="O1664" s="84" t="str">
        <f>IFERROR(VLOOKUP(CONCATENATE($B1664,"_",O$3),materiali!$C:$K,5,0),"")</f>
        <v/>
      </c>
      <c r="P1664" s="85" t="str">
        <f>IFERROR(VLOOKUP(CONCATENATE($B1664,"_",P$3),materiali!$C:$K,6,0),"")</f>
        <v/>
      </c>
      <c r="Q1664" s="86"/>
      <c r="R1664" s="84" t="str">
        <f>IFERROR(VLOOKUP(CONCATENATE($B1664,"_",R$3),materiali!$C:$K,5,0),"")</f>
        <v/>
      </c>
      <c r="S1664" s="85" t="str">
        <f>IFERROR(VLOOKUP(CONCATENATE($B1664,"_",S$3),materiali!$C:$K,6,0),"")</f>
        <v/>
      </c>
      <c r="T1664" s="86"/>
      <c r="U1664" s="31"/>
      <c r="AD1664" s="97"/>
    </row>
    <row r="1665" spans="1:30" ht="35.1" hidden="1" customHeight="1" x14ac:dyDescent="0.25">
      <c r="A1665" s="83"/>
      <c r="B1665" s="7"/>
      <c r="C1665" s="8"/>
      <c r="D1665" s="8"/>
      <c r="E1665" s="60"/>
      <c r="F1665" s="84" t="str">
        <f>IFERROR(VLOOKUP(CONCATENATE($B1665,"_",F$3),materiali!$C:$K,5,0),"")</f>
        <v/>
      </c>
      <c r="G1665" s="85" t="str">
        <f>IFERROR(VLOOKUP(CONCATENATE($B1665,"_",G$3),materiali!$C:$K,6,0),"")</f>
        <v/>
      </c>
      <c r="H1665" s="86"/>
      <c r="I1665" s="84" t="str">
        <f>IFERROR(VLOOKUP(CONCATENATE($B1665,"_",I$3),materiali!$C:$K,5,0),"")</f>
        <v/>
      </c>
      <c r="J1665" s="85" t="str">
        <f>IFERROR(VLOOKUP(CONCATENATE($B1665,"_",J$3),materiali!$C:$K,6,0),"")</f>
        <v/>
      </c>
      <c r="K1665" s="86"/>
      <c r="L1665" s="84" t="str">
        <f>IFERROR(VLOOKUP(CONCATENATE($B1665,"_",L$3),materiali!$C:$K,5,0),"")</f>
        <v/>
      </c>
      <c r="M1665" s="85" t="str">
        <f>IFERROR(VLOOKUP(CONCATENATE($B1665,"_",M$3),materiali!$C:$K,6,0),"")</f>
        <v/>
      </c>
      <c r="N1665" s="86"/>
      <c r="O1665" s="84" t="str">
        <f>IFERROR(VLOOKUP(CONCATENATE($B1665,"_",O$3),materiali!$C:$K,5,0),"")</f>
        <v/>
      </c>
      <c r="P1665" s="85" t="str">
        <f>IFERROR(VLOOKUP(CONCATENATE($B1665,"_",P$3),materiali!$C:$K,6,0),"")</f>
        <v/>
      </c>
      <c r="Q1665" s="86"/>
      <c r="R1665" s="84" t="str">
        <f>IFERROR(VLOOKUP(CONCATENATE($B1665,"_",R$3),materiali!$C:$K,5,0),"")</f>
        <v/>
      </c>
      <c r="S1665" s="85" t="str">
        <f>IFERROR(VLOOKUP(CONCATENATE($B1665,"_",S$3),materiali!$C:$K,6,0),"")</f>
        <v/>
      </c>
      <c r="T1665" s="86"/>
      <c r="U1665" s="31"/>
      <c r="AD1665" s="97"/>
    </row>
    <row r="1666" spans="1:30" ht="35.1" hidden="1" customHeight="1" x14ac:dyDescent="0.25">
      <c r="A1666" s="83"/>
      <c r="B1666" s="7"/>
      <c r="C1666" s="8"/>
      <c r="D1666" s="8"/>
      <c r="E1666" s="60"/>
      <c r="F1666" s="84" t="str">
        <f>IFERROR(VLOOKUP(CONCATENATE($B1666,"_",F$3),materiali!$C:$K,5,0),"")</f>
        <v/>
      </c>
      <c r="G1666" s="85" t="str">
        <f>IFERROR(VLOOKUP(CONCATENATE($B1666,"_",G$3),materiali!$C:$K,6,0),"")</f>
        <v/>
      </c>
      <c r="H1666" s="86"/>
      <c r="I1666" s="84" t="str">
        <f>IFERROR(VLOOKUP(CONCATENATE($B1666,"_",I$3),materiali!$C:$K,5,0),"")</f>
        <v/>
      </c>
      <c r="J1666" s="85" t="str">
        <f>IFERROR(VLOOKUP(CONCATENATE($B1666,"_",J$3),materiali!$C:$K,6,0),"")</f>
        <v/>
      </c>
      <c r="K1666" s="86"/>
      <c r="L1666" s="84" t="str">
        <f>IFERROR(VLOOKUP(CONCATENATE($B1666,"_",L$3),materiali!$C:$K,5,0),"")</f>
        <v/>
      </c>
      <c r="M1666" s="85" t="str">
        <f>IFERROR(VLOOKUP(CONCATENATE($B1666,"_",M$3),materiali!$C:$K,6,0),"")</f>
        <v/>
      </c>
      <c r="N1666" s="86"/>
      <c r="O1666" s="84" t="str">
        <f>IFERROR(VLOOKUP(CONCATENATE($B1666,"_",O$3),materiali!$C:$K,5,0),"")</f>
        <v/>
      </c>
      <c r="P1666" s="85" t="str">
        <f>IFERROR(VLOOKUP(CONCATENATE($B1666,"_",P$3),materiali!$C:$K,6,0),"")</f>
        <v/>
      </c>
      <c r="Q1666" s="86"/>
      <c r="R1666" s="84" t="str">
        <f>IFERROR(VLOOKUP(CONCATENATE($B1666,"_",R$3),materiali!$C:$K,5,0),"")</f>
        <v/>
      </c>
      <c r="S1666" s="85" t="str">
        <f>IFERROR(VLOOKUP(CONCATENATE($B1666,"_",S$3),materiali!$C:$K,6,0),"")</f>
        <v/>
      </c>
      <c r="T1666" s="86"/>
      <c r="U1666" s="31"/>
      <c r="AD1666" s="97"/>
    </row>
    <row r="1667" spans="1:30" ht="35.1" hidden="1" customHeight="1" x14ac:dyDescent="0.25">
      <c r="A1667" s="83"/>
      <c r="B1667" s="7"/>
      <c r="C1667" s="8"/>
      <c r="D1667" s="8"/>
      <c r="E1667" s="60"/>
      <c r="F1667" s="84" t="str">
        <f>IFERROR(VLOOKUP(CONCATENATE($B1667,"_",F$3),materiali!$C:$K,5,0),"")</f>
        <v/>
      </c>
      <c r="G1667" s="85" t="str">
        <f>IFERROR(VLOOKUP(CONCATENATE($B1667,"_",G$3),materiali!$C:$K,6,0),"")</f>
        <v/>
      </c>
      <c r="H1667" s="86"/>
      <c r="I1667" s="84" t="str">
        <f>IFERROR(VLOOKUP(CONCATENATE($B1667,"_",I$3),materiali!$C:$K,5,0),"")</f>
        <v/>
      </c>
      <c r="J1667" s="85" t="str">
        <f>IFERROR(VLOOKUP(CONCATENATE($B1667,"_",J$3),materiali!$C:$K,6,0),"")</f>
        <v/>
      </c>
      <c r="K1667" s="86"/>
      <c r="L1667" s="84" t="str">
        <f>IFERROR(VLOOKUP(CONCATENATE($B1667,"_",L$3),materiali!$C:$K,5,0),"")</f>
        <v/>
      </c>
      <c r="M1667" s="85" t="str">
        <f>IFERROR(VLOOKUP(CONCATENATE($B1667,"_",M$3),materiali!$C:$K,6,0),"")</f>
        <v/>
      </c>
      <c r="N1667" s="86"/>
      <c r="O1667" s="84" t="str">
        <f>IFERROR(VLOOKUP(CONCATENATE($B1667,"_",O$3),materiali!$C:$K,5,0),"")</f>
        <v/>
      </c>
      <c r="P1667" s="85" t="str">
        <f>IFERROR(VLOOKUP(CONCATENATE($B1667,"_",P$3),materiali!$C:$K,6,0),"")</f>
        <v/>
      </c>
      <c r="Q1667" s="86"/>
      <c r="R1667" s="84" t="str">
        <f>IFERROR(VLOOKUP(CONCATENATE($B1667,"_",R$3),materiali!$C:$K,5,0),"")</f>
        <v/>
      </c>
      <c r="S1667" s="85" t="str">
        <f>IFERROR(VLOOKUP(CONCATENATE($B1667,"_",S$3),materiali!$C:$K,6,0),"")</f>
        <v/>
      </c>
      <c r="T1667" s="86"/>
      <c r="U1667" s="31"/>
      <c r="AD1667" s="97"/>
    </row>
    <row r="1668" spans="1:30" ht="35.1" hidden="1" customHeight="1" x14ac:dyDescent="0.25">
      <c r="A1668" s="83"/>
      <c r="B1668" s="7"/>
      <c r="C1668" s="8"/>
      <c r="D1668" s="8"/>
      <c r="E1668" s="60"/>
      <c r="F1668" s="84" t="str">
        <f>IFERROR(VLOOKUP(CONCATENATE($B1668,"_",F$3),materiali!$C:$K,5,0),"")</f>
        <v/>
      </c>
      <c r="G1668" s="85" t="str">
        <f>IFERROR(VLOOKUP(CONCATENATE($B1668,"_",G$3),materiali!$C:$K,6,0),"")</f>
        <v/>
      </c>
      <c r="H1668" s="86"/>
      <c r="I1668" s="84" t="str">
        <f>IFERROR(VLOOKUP(CONCATENATE($B1668,"_",I$3),materiali!$C:$K,5,0),"")</f>
        <v/>
      </c>
      <c r="J1668" s="85" t="str">
        <f>IFERROR(VLOOKUP(CONCATENATE($B1668,"_",J$3),materiali!$C:$K,6,0),"")</f>
        <v/>
      </c>
      <c r="K1668" s="86"/>
      <c r="L1668" s="84" t="str">
        <f>IFERROR(VLOOKUP(CONCATENATE($B1668,"_",L$3),materiali!$C:$K,5,0),"")</f>
        <v/>
      </c>
      <c r="M1668" s="85" t="str">
        <f>IFERROR(VLOOKUP(CONCATENATE($B1668,"_",M$3),materiali!$C:$K,6,0),"")</f>
        <v/>
      </c>
      <c r="N1668" s="86"/>
      <c r="O1668" s="84" t="str">
        <f>IFERROR(VLOOKUP(CONCATENATE($B1668,"_",O$3),materiali!$C:$K,5,0),"")</f>
        <v/>
      </c>
      <c r="P1668" s="85" t="str">
        <f>IFERROR(VLOOKUP(CONCATENATE($B1668,"_",P$3),materiali!$C:$K,6,0),"")</f>
        <v/>
      </c>
      <c r="Q1668" s="86"/>
      <c r="R1668" s="84" t="str">
        <f>IFERROR(VLOOKUP(CONCATENATE($B1668,"_",R$3),materiali!$C:$K,5,0),"")</f>
        <v/>
      </c>
      <c r="S1668" s="85" t="str">
        <f>IFERROR(VLOOKUP(CONCATENATE($B1668,"_",S$3),materiali!$C:$K,6,0),"")</f>
        <v/>
      </c>
      <c r="T1668" s="86"/>
      <c r="U1668" s="31"/>
      <c r="AD1668" s="97"/>
    </row>
    <row r="1669" spans="1:30" ht="35.1" hidden="1" customHeight="1" x14ac:dyDescent="0.25">
      <c r="A1669" s="83"/>
      <c r="B1669" s="7"/>
      <c r="C1669" s="8"/>
      <c r="D1669" s="8"/>
      <c r="E1669" s="60"/>
      <c r="F1669" s="84" t="str">
        <f>IFERROR(VLOOKUP(CONCATENATE($B1669,"_",F$3),materiali!$C:$K,5,0),"")</f>
        <v/>
      </c>
      <c r="G1669" s="85" t="str">
        <f>IFERROR(VLOOKUP(CONCATENATE($B1669,"_",G$3),materiali!$C:$K,6,0),"")</f>
        <v/>
      </c>
      <c r="H1669" s="86"/>
      <c r="I1669" s="84" t="str">
        <f>IFERROR(VLOOKUP(CONCATENATE($B1669,"_",I$3),materiali!$C:$K,5,0),"")</f>
        <v/>
      </c>
      <c r="J1669" s="85" t="str">
        <f>IFERROR(VLOOKUP(CONCATENATE($B1669,"_",J$3),materiali!$C:$K,6,0),"")</f>
        <v/>
      </c>
      <c r="K1669" s="86"/>
      <c r="L1669" s="84" t="str">
        <f>IFERROR(VLOOKUP(CONCATENATE($B1669,"_",L$3),materiali!$C:$K,5,0),"")</f>
        <v/>
      </c>
      <c r="M1669" s="85" t="str">
        <f>IFERROR(VLOOKUP(CONCATENATE($B1669,"_",M$3),materiali!$C:$K,6,0),"")</f>
        <v/>
      </c>
      <c r="N1669" s="86"/>
      <c r="O1669" s="84" t="str">
        <f>IFERROR(VLOOKUP(CONCATENATE($B1669,"_",O$3),materiali!$C:$K,5,0),"")</f>
        <v/>
      </c>
      <c r="P1669" s="85" t="str">
        <f>IFERROR(VLOOKUP(CONCATENATE($B1669,"_",P$3),materiali!$C:$K,6,0),"")</f>
        <v/>
      </c>
      <c r="Q1669" s="86"/>
      <c r="R1669" s="84" t="str">
        <f>IFERROR(VLOOKUP(CONCATENATE($B1669,"_",R$3),materiali!$C:$K,5,0),"")</f>
        <v/>
      </c>
      <c r="S1669" s="85" t="str">
        <f>IFERROR(VLOOKUP(CONCATENATE($B1669,"_",S$3),materiali!$C:$K,6,0),"")</f>
        <v/>
      </c>
      <c r="T1669" s="86"/>
      <c r="U1669" s="31"/>
      <c r="AD1669" s="97"/>
    </row>
    <row r="1670" spans="1:30" ht="35.1" hidden="1" customHeight="1" x14ac:dyDescent="0.25">
      <c r="A1670" s="83"/>
      <c r="B1670" s="7"/>
      <c r="C1670" s="8"/>
      <c r="D1670" s="8"/>
      <c r="E1670" s="60"/>
      <c r="F1670" s="84" t="str">
        <f>IFERROR(VLOOKUP(CONCATENATE($B1670,"_",F$3),materiali!$C:$K,5,0),"")</f>
        <v/>
      </c>
      <c r="G1670" s="85" t="str">
        <f>IFERROR(VLOOKUP(CONCATENATE($B1670,"_",G$3),materiali!$C:$K,6,0),"")</f>
        <v/>
      </c>
      <c r="H1670" s="86"/>
      <c r="I1670" s="84" t="str">
        <f>IFERROR(VLOOKUP(CONCATENATE($B1670,"_",I$3),materiali!$C:$K,5,0),"")</f>
        <v/>
      </c>
      <c r="J1670" s="85" t="str">
        <f>IFERROR(VLOOKUP(CONCATENATE($B1670,"_",J$3),materiali!$C:$K,6,0),"")</f>
        <v/>
      </c>
      <c r="K1670" s="86"/>
      <c r="L1670" s="84" t="str">
        <f>IFERROR(VLOOKUP(CONCATENATE($B1670,"_",L$3),materiali!$C:$K,5,0),"")</f>
        <v/>
      </c>
      <c r="M1670" s="85" t="str">
        <f>IFERROR(VLOOKUP(CONCATENATE($B1670,"_",M$3),materiali!$C:$K,6,0),"")</f>
        <v/>
      </c>
      <c r="N1670" s="86"/>
      <c r="O1670" s="84" t="str">
        <f>IFERROR(VLOOKUP(CONCATENATE($B1670,"_",O$3),materiali!$C:$K,5,0),"")</f>
        <v/>
      </c>
      <c r="P1670" s="85" t="str">
        <f>IFERROR(VLOOKUP(CONCATENATE($B1670,"_",P$3),materiali!$C:$K,6,0),"")</f>
        <v/>
      </c>
      <c r="Q1670" s="86"/>
      <c r="R1670" s="84" t="str">
        <f>IFERROR(VLOOKUP(CONCATENATE($B1670,"_",R$3),materiali!$C:$K,5,0),"")</f>
        <v/>
      </c>
      <c r="S1670" s="85" t="str">
        <f>IFERROR(VLOOKUP(CONCATENATE($B1670,"_",S$3),materiali!$C:$K,6,0),"")</f>
        <v/>
      </c>
      <c r="T1670" s="86"/>
      <c r="U1670" s="31"/>
      <c r="AD1670" s="97"/>
    </row>
    <row r="1671" spans="1:30" ht="35.1" hidden="1" customHeight="1" x14ac:dyDescent="0.25">
      <c r="A1671" s="83"/>
      <c r="B1671" s="7"/>
      <c r="C1671" s="8"/>
      <c r="D1671" s="8"/>
      <c r="E1671" s="60"/>
      <c r="F1671" s="84" t="str">
        <f>IFERROR(VLOOKUP(CONCATENATE($B1671,"_",F$3),materiali!$C:$K,5,0),"")</f>
        <v/>
      </c>
      <c r="G1671" s="85" t="str">
        <f>IFERROR(VLOOKUP(CONCATENATE($B1671,"_",G$3),materiali!$C:$K,6,0),"")</f>
        <v/>
      </c>
      <c r="H1671" s="86"/>
      <c r="I1671" s="84" t="str">
        <f>IFERROR(VLOOKUP(CONCATENATE($B1671,"_",I$3),materiali!$C:$K,5,0),"")</f>
        <v/>
      </c>
      <c r="J1671" s="85" t="str">
        <f>IFERROR(VLOOKUP(CONCATENATE($B1671,"_",J$3),materiali!$C:$K,6,0),"")</f>
        <v/>
      </c>
      <c r="K1671" s="86"/>
      <c r="L1671" s="84" t="str">
        <f>IFERROR(VLOOKUP(CONCATENATE($B1671,"_",L$3),materiali!$C:$K,5,0),"")</f>
        <v/>
      </c>
      <c r="M1671" s="85" t="str">
        <f>IFERROR(VLOOKUP(CONCATENATE($B1671,"_",M$3),materiali!$C:$K,6,0),"")</f>
        <v/>
      </c>
      <c r="N1671" s="86"/>
      <c r="O1671" s="84" t="str">
        <f>IFERROR(VLOOKUP(CONCATENATE($B1671,"_",O$3),materiali!$C:$K,5,0),"")</f>
        <v/>
      </c>
      <c r="P1671" s="85" t="str">
        <f>IFERROR(VLOOKUP(CONCATENATE($B1671,"_",P$3),materiali!$C:$K,6,0),"")</f>
        <v/>
      </c>
      <c r="Q1671" s="86"/>
      <c r="R1671" s="84" t="str">
        <f>IFERROR(VLOOKUP(CONCATENATE($B1671,"_",R$3),materiali!$C:$K,5,0),"")</f>
        <v/>
      </c>
      <c r="S1671" s="85" t="str">
        <f>IFERROR(VLOOKUP(CONCATENATE($B1671,"_",S$3),materiali!$C:$K,6,0),"")</f>
        <v/>
      </c>
      <c r="T1671" s="86"/>
      <c r="U1671" s="31"/>
      <c r="AD1671" s="97"/>
    </row>
    <row r="1672" spans="1:30" ht="35.1" hidden="1" customHeight="1" x14ac:dyDescent="0.25">
      <c r="A1672" s="83"/>
      <c r="B1672" s="7"/>
      <c r="C1672" s="8"/>
      <c r="D1672" s="8"/>
      <c r="E1672" s="60"/>
      <c r="F1672" s="84" t="str">
        <f>IFERROR(VLOOKUP(CONCATENATE($B1672,"_",F$3),materiali!$C:$K,5,0),"")</f>
        <v/>
      </c>
      <c r="G1672" s="85" t="str">
        <f>IFERROR(VLOOKUP(CONCATENATE($B1672,"_",G$3),materiali!$C:$K,6,0),"")</f>
        <v/>
      </c>
      <c r="H1672" s="86"/>
      <c r="I1672" s="84" t="str">
        <f>IFERROR(VLOOKUP(CONCATENATE($B1672,"_",I$3),materiali!$C:$K,5,0),"")</f>
        <v/>
      </c>
      <c r="J1672" s="85" t="str">
        <f>IFERROR(VLOOKUP(CONCATENATE($B1672,"_",J$3),materiali!$C:$K,6,0),"")</f>
        <v/>
      </c>
      <c r="K1672" s="86"/>
      <c r="L1672" s="84" t="str">
        <f>IFERROR(VLOOKUP(CONCATENATE($B1672,"_",L$3),materiali!$C:$K,5,0),"")</f>
        <v/>
      </c>
      <c r="M1672" s="85" t="str">
        <f>IFERROR(VLOOKUP(CONCATENATE($B1672,"_",M$3),materiali!$C:$K,6,0),"")</f>
        <v/>
      </c>
      <c r="N1672" s="86"/>
      <c r="O1672" s="84" t="str">
        <f>IFERROR(VLOOKUP(CONCATENATE($B1672,"_",O$3),materiali!$C:$K,5,0),"")</f>
        <v/>
      </c>
      <c r="P1672" s="85" t="str">
        <f>IFERROR(VLOOKUP(CONCATENATE($B1672,"_",P$3),materiali!$C:$K,6,0),"")</f>
        <v/>
      </c>
      <c r="Q1672" s="86"/>
      <c r="R1672" s="84" t="str">
        <f>IFERROR(VLOOKUP(CONCATENATE($B1672,"_",R$3),materiali!$C:$K,5,0),"")</f>
        <v/>
      </c>
      <c r="S1672" s="85" t="str">
        <f>IFERROR(VLOOKUP(CONCATENATE($B1672,"_",S$3),materiali!$C:$K,6,0),"")</f>
        <v/>
      </c>
      <c r="T1672" s="86"/>
      <c r="U1672" s="31"/>
      <c r="AD1672" s="97"/>
    </row>
    <row r="1673" spans="1:30" ht="35.1" hidden="1" customHeight="1" x14ac:dyDescent="0.25">
      <c r="A1673" s="83"/>
      <c r="B1673" s="7"/>
      <c r="C1673" s="8"/>
      <c r="D1673" s="8"/>
      <c r="E1673" s="60"/>
      <c r="F1673" s="84" t="str">
        <f>IFERROR(VLOOKUP(CONCATENATE($B1673,"_",F$3),materiali!$C:$K,5,0),"")</f>
        <v/>
      </c>
      <c r="G1673" s="85" t="str">
        <f>IFERROR(VLOOKUP(CONCATENATE($B1673,"_",G$3),materiali!$C:$K,6,0),"")</f>
        <v/>
      </c>
      <c r="H1673" s="86"/>
      <c r="I1673" s="84" t="str">
        <f>IFERROR(VLOOKUP(CONCATENATE($B1673,"_",I$3),materiali!$C:$K,5,0),"")</f>
        <v/>
      </c>
      <c r="J1673" s="85" t="str">
        <f>IFERROR(VLOOKUP(CONCATENATE($B1673,"_",J$3),materiali!$C:$K,6,0),"")</f>
        <v/>
      </c>
      <c r="K1673" s="86"/>
      <c r="L1673" s="84" t="str">
        <f>IFERROR(VLOOKUP(CONCATENATE($B1673,"_",L$3),materiali!$C:$K,5,0),"")</f>
        <v/>
      </c>
      <c r="M1673" s="85" t="str">
        <f>IFERROR(VLOOKUP(CONCATENATE($B1673,"_",M$3),materiali!$C:$K,6,0),"")</f>
        <v/>
      </c>
      <c r="N1673" s="86"/>
      <c r="O1673" s="84" t="str">
        <f>IFERROR(VLOOKUP(CONCATENATE($B1673,"_",O$3),materiali!$C:$K,5,0),"")</f>
        <v/>
      </c>
      <c r="P1673" s="85" t="str">
        <f>IFERROR(VLOOKUP(CONCATENATE($B1673,"_",P$3),materiali!$C:$K,6,0),"")</f>
        <v/>
      </c>
      <c r="Q1673" s="86"/>
      <c r="R1673" s="84" t="str">
        <f>IFERROR(VLOOKUP(CONCATENATE($B1673,"_",R$3),materiali!$C:$K,5,0),"")</f>
        <v/>
      </c>
      <c r="S1673" s="85" t="str">
        <f>IFERROR(VLOOKUP(CONCATENATE($B1673,"_",S$3),materiali!$C:$K,6,0),"")</f>
        <v/>
      </c>
      <c r="T1673" s="86"/>
      <c r="U1673" s="31"/>
      <c r="AD1673" s="97"/>
    </row>
    <row r="1674" spans="1:30" ht="35.1" hidden="1" customHeight="1" x14ac:dyDescent="0.25">
      <c r="A1674" s="83"/>
      <c r="B1674" s="7"/>
      <c r="C1674" s="8"/>
      <c r="D1674" s="8"/>
      <c r="E1674" s="60"/>
      <c r="F1674" s="84" t="str">
        <f>IFERROR(VLOOKUP(CONCATENATE($B1674,"_",F$3),materiali!$C:$K,5,0),"")</f>
        <v/>
      </c>
      <c r="G1674" s="85" t="str">
        <f>IFERROR(VLOOKUP(CONCATENATE($B1674,"_",G$3),materiali!$C:$K,6,0),"")</f>
        <v/>
      </c>
      <c r="H1674" s="86"/>
      <c r="I1674" s="84" t="str">
        <f>IFERROR(VLOOKUP(CONCATENATE($B1674,"_",I$3),materiali!$C:$K,5,0),"")</f>
        <v/>
      </c>
      <c r="J1674" s="85" t="str">
        <f>IFERROR(VLOOKUP(CONCATENATE($B1674,"_",J$3),materiali!$C:$K,6,0),"")</f>
        <v/>
      </c>
      <c r="K1674" s="86"/>
      <c r="L1674" s="84" t="str">
        <f>IFERROR(VLOOKUP(CONCATENATE($B1674,"_",L$3),materiali!$C:$K,5,0),"")</f>
        <v/>
      </c>
      <c r="M1674" s="85" t="str">
        <f>IFERROR(VLOOKUP(CONCATENATE($B1674,"_",M$3),materiali!$C:$K,6,0),"")</f>
        <v/>
      </c>
      <c r="N1674" s="86"/>
      <c r="O1674" s="84" t="str">
        <f>IFERROR(VLOOKUP(CONCATENATE($B1674,"_",O$3),materiali!$C:$K,5,0),"")</f>
        <v/>
      </c>
      <c r="P1674" s="85" t="str">
        <f>IFERROR(VLOOKUP(CONCATENATE($B1674,"_",P$3),materiali!$C:$K,6,0),"")</f>
        <v/>
      </c>
      <c r="Q1674" s="86"/>
      <c r="R1674" s="84" t="str">
        <f>IFERROR(VLOOKUP(CONCATENATE($B1674,"_",R$3),materiali!$C:$K,5,0),"")</f>
        <v/>
      </c>
      <c r="S1674" s="85" t="str">
        <f>IFERROR(VLOOKUP(CONCATENATE($B1674,"_",S$3),materiali!$C:$K,6,0),"")</f>
        <v/>
      </c>
      <c r="T1674" s="86"/>
      <c r="U1674" s="31"/>
      <c r="AD1674" s="97"/>
    </row>
    <row r="1675" spans="1:30" ht="35.1" hidden="1" customHeight="1" x14ac:dyDescent="0.25">
      <c r="A1675" s="83"/>
      <c r="B1675" s="7"/>
      <c r="C1675" s="8"/>
      <c r="D1675" s="8"/>
      <c r="E1675" s="60"/>
      <c r="F1675" s="84" t="str">
        <f>IFERROR(VLOOKUP(CONCATENATE($B1675,"_",F$3),materiali!$C:$K,5,0),"")</f>
        <v/>
      </c>
      <c r="G1675" s="85" t="str">
        <f>IFERROR(VLOOKUP(CONCATENATE($B1675,"_",G$3),materiali!$C:$K,6,0),"")</f>
        <v/>
      </c>
      <c r="H1675" s="86"/>
      <c r="I1675" s="84" t="str">
        <f>IFERROR(VLOOKUP(CONCATENATE($B1675,"_",I$3),materiali!$C:$K,5,0),"")</f>
        <v/>
      </c>
      <c r="J1675" s="85" t="str">
        <f>IFERROR(VLOOKUP(CONCATENATE($B1675,"_",J$3),materiali!$C:$K,6,0),"")</f>
        <v/>
      </c>
      <c r="K1675" s="86"/>
      <c r="L1675" s="84" t="str">
        <f>IFERROR(VLOOKUP(CONCATENATE($B1675,"_",L$3),materiali!$C:$K,5,0),"")</f>
        <v/>
      </c>
      <c r="M1675" s="85" t="str">
        <f>IFERROR(VLOOKUP(CONCATENATE($B1675,"_",M$3),materiali!$C:$K,6,0),"")</f>
        <v/>
      </c>
      <c r="N1675" s="86"/>
      <c r="O1675" s="84" t="str">
        <f>IFERROR(VLOOKUP(CONCATENATE($B1675,"_",O$3),materiali!$C:$K,5,0),"")</f>
        <v/>
      </c>
      <c r="P1675" s="85" t="str">
        <f>IFERROR(VLOOKUP(CONCATENATE($B1675,"_",P$3),materiali!$C:$K,6,0),"")</f>
        <v/>
      </c>
      <c r="Q1675" s="86"/>
      <c r="R1675" s="84" t="str">
        <f>IFERROR(VLOOKUP(CONCATENATE($B1675,"_",R$3),materiali!$C:$K,5,0),"")</f>
        <v/>
      </c>
      <c r="S1675" s="85" t="str">
        <f>IFERROR(VLOOKUP(CONCATENATE($B1675,"_",S$3),materiali!$C:$K,6,0),"")</f>
        <v/>
      </c>
      <c r="T1675" s="86"/>
      <c r="U1675" s="31"/>
      <c r="AD1675" s="97"/>
    </row>
    <row r="1676" spans="1:30" ht="35.1" hidden="1" customHeight="1" x14ac:dyDescent="0.25">
      <c r="A1676" s="83"/>
      <c r="B1676" s="7"/>
      <c r="C1676" s="8"/>
      <c r="D1676" s="8"/>
      <c r="E1676" s="60"/>
      <c r="F1676" s="84" t="str">
        <f>IFERROR(VLOOKUP(CONCATENATE($B1676,"_",F$3),materiali!$C:$K,5,0),"")</f>
        <v/>
      </c>
      <c r="G1676" s="85" t="str">
        <f>IFERROR(VLOOKUP(CONCATENATE($B1676,"_",G$3),materiali!$C:$K,6,0),"")</f>
        <v/>
      </c>
      <c r="H1676" s="86"/>
      <c r="I1676" s="84" t="str">
        <f>IFERROR(VLOOKUP(CONCATENATE($B1676,"_",I$3),materiali!$C:$K,5,0),"")</f>
        <v/>
      </c>
      <c r="J1676" s="85" t="str">
        <f>IFERROR(VLOOKUP(CONCATENATE($B1676,"_",J$3),materiali!$C:$K,6,0),"")</f>
        <v/>
      </c>
      <c r="K1676" s="86"/>
      <c r="L1676" s="84" t="str">
        <f>IFERROR(VLOOKUP(CONCATENATE($B1676,"_",L$3),materiali!$C:$K,5,0),"")</f>
        <v/>
      </c>
      <c r="M1676" s="85" t="str">
        <f>IFERROR(VLOOKUP(CONCATENATE($B1676,"_",M$3),materiali!$C:$K,6,0),"")</f>
        <v/>
      </c>
      <c r="N1676" s="86"/>
      <c r="O1676" s="84" t="str">
        <f>IFERROR(VLOOKUP(CONCATENATE($B1676,"_",O$3),materiali!$C:$K,5,0),"")</f>
        <v/>
      </c>
      <c r="P1676" s="85" t="str">
        <f>IFERROR(VLOOKUP(CONCATENATE($B1676,"_",P$3),materiali!$C:$K,6,0),"")</f>
        <v/>
      </c>
      <c r="Q1676" s="86"/>
      <c r="R1676" s="84" t="str">
        <f>IFERROR(VLOOKUP(CONCATENATE($B1676,"_",R$3),materiali!$C:$K,5,0),"")</f>
        <v/>
      </c>
      <c r="S1676" s="85" t="str">
        <f>IFERROR(VLOOKUP(CONCATENATE($B1676,"_",S$3),materiali!$C:$K,6,0),"")</f>
        <v/>
      </c>
      <c r="T1676" s="86"/>
      <c r="U1676" s="31"/>
      <c r="AD1676" s="97"/>
    </row>
    <row r="1677" spans="1:30" ht="35.1" hidden="1" customHeight="1" x14ac:dyDescent="0.25">
      <c r="A1677" s="83"/>
      <c r="B1677" s="7"/>
      <c r="C1677" s="8"/>
      <c r="D1677" s="8"/>
      <c r="E1677" s="60"/>
      <c r="F1677" s="84" t="str">
        <f>IFERROR(VLOOKUP(CONCATENATE($B1677,"_",F$3),materiali!$C:$K,5,0),"")</f>
        <v/>
      </c>
      <c r="G1677" s="85" t="str">
        <f>IFERROR(VLOOKUP(CONCATENATE($B1677,"_",G$3),materiali!$C:$K,6,0),"")</f>
        <v/>
      </c>
      <c r="H1677" s="86"/>
      <c r="I1677" s="84" t="str">
        <f>IFERROR(VLOOKUP(CONCATENATE($B1677,"_",I$3),materiali!$C:$K,5,0),"")</f>
        <v/>
      </c>
      <c r="J1677" s="85" t="str">
        <f>IFERROR(VLOOKUP(CONCATENATE($B1677,"_",J$3),materiali!$C:$K,6,0),"")</f>
        <v/>
      </c>
      <c r="K1677" s="86"/>
      <c r="L1677" s="84" t="str">
        <f>IFERROR(VLOOKUP(CONCATENATE($B1677,"_",L$3),materiali!$C:$K,5,0),"")</f>
        <v/>
      </c>
      <c r="M1677" s="85" t="str">
        <f>IFERROR(VLOOKUP(CONCATENATE($B1677,"_",M$3),materiali!$C:$K,6,0),"")</f>
        <v/>
      </c>
      <c r="N1677" s="86"/>
      <c r="O1677" s="84" t="str">
        <f>IFERROR(VLOOKUP(CONCATENATE($B1677,"_",O$3),materiali!$C:$K,5,0),"")</f>
        <v/>
      </c>
      <c r="P1677" s="85" t="str">
        <f>IFERROR(VLOOKUP(CONCATENATE($B1677,"_",P$3),materiali!$C:$K,6,0),"")</f>
        <v/>
      </c>
      <c r="Q1677" s="86"/>
      <c r="R1677" s="84" t="str">
        <f>IFERROR(VLOOKUP(CONCATENATE($B1677,"_",R$3),materiali!$C:$K,5,0),"")</f>
        <v/>
      </c>
      <c r="S1677" s="85" t="str">
        <f>IFERROR(VLOOKUP(CONCATENATE($B1677,"_",S$3),materiali!$C:$K,6,0),"")</f>
        <v/>
      </c>
      <c r="T1677" s="86"/>
      <c r="U1677" s="31"/>
      <c r="AD1677" s="97"/>
    </row>
    <row r="1678" spans="1:30" ht="35.1" hidden="1" customHeight="1" x14ac:dyDescent="0.25">
      <c r="A1678" s="83"/>
      <c r="B1678" s="7"/>
      <c r="C1678" s="8"/>
      <c r="D1678" s="8"/>
      <c r="E1678" s="60"/>
      <c r="F1678" s="84" t="str">
        <f>IFERROR(VLOOKUP(CONCATENATE($B1678,"_",F$3),materiali!$C:$K,5,0),"")</f>
        <v/>
      </c>
      <c r="G1678" s="85" t="str">
        <f>IFERROR(VLOOKUP(CONCATENATE($B1678,"_",G$3),materiali!$C:$K,6,0),"")</f>
        <v/>
      </c>
      <c r="H1678" s="86"/>
      <c r="I1678" s="84" t="str">
        <f>IFERROR(VLOOKUP(CONCATENATE($B1678,"_",I$3),materiali!$C:$K,5,0),"")</f>
        <v/>
      </c>
      <c r="J1678" s="85" t="str">
        <f>IFERROR(VLOOKUP(CONCATENATE($B1678,"_",J$3),materiali!$C:$K,6,0),"")</f>
        <v/>
      </c>
      <c r="K1678" s="86"/>
      <c r="L1678" s="84" t="str">
        <f>IFERROR(VLOOKUP(CONCATENATE($B1678,"_",L$3),materiali!$C:$K,5,0),"")</f>
        <v/>
      </c>
      <c r="M1678" s="85" t="str">
        <f>IFERROR(VLOOKUP(CONCATENATE($B1678,"_",M$3),materiali!$C:$K,6,0),"")</f>
        <v/>
      </c>
      <c r="N1678" s="86"/>
      <c r="O1678" s="84" t="str">
        <f>IFERROR(VLOOKUP(CONCATENATE($B1678,"_",O$3),materiali!$C:$K,5,0),"")</f>
        <v/>
      </c>
      <c r="P1678" s="85" t="str">
        <f>IFERROR(VLOOKUP(CONCATENATE($B1678,"_",P$3),materiali!$C:$K,6,0),"")</f>
        <v/>
      </c>
      <c r="Q1678" s="86"/>
      <c r="R1678" s="84" t="str">
        <f>IFERROR(VLOOKUP(CONCATENATE($B1678,"_",R$3),materiali!$C:$K,5,0),"")</f>
        <v/>
      </c>
      <c r="S1678" s="85" t="str">
        <f>IFERROR(VLOOKUP(CONCATENATE($B1678,"_",S$3),materiali!$C:$K,6,0),"")</f>
        <v/>
      </c>
      <c r="T1678" s="86"/>
      <c r="U1678" s="31"/>
      <c r="AD1678" s="97"/>
    </row>
    <row r="1679" spans="1:30" ht="35.1" hidden="1" customHeight="1" x14ac:dyDescent="0.25">
      <c r="A1679" s="83"/>
      <c r="B1679" s="7"/>
      <c r="C1679" s="8"/>
      <c r="D1679" s="8"/>
      <c r="E1679" s="60"/>
      <c r="F1679" s="84" t="str">
        <f>IFERROR(VLOOKUP(CONCATENATE($B1679,"_",F$3),materiali!$C:$K,5,0),"")</f>
        <v/>
      </c>
      <c r="G1679" s="85" t="str">
        <f>IFERROR(VLOOKUP(CONCATENATE($B1679,"_",G$3),materiali!$C:$K,6,0),"")</f>
        <v/>
      </c>
      <c r="H1679" s="86"/>
      <c r="I1679" s="84" t="str">
        <f>IFERROR(VLOOKUP(CONCATENATE($B1679,"_",I$3),materiali!$C:$K,5,0),"")</f>
        <v/>
      </c>
      <c r="J1679" s="85" t="str">
        <f>IFERROR(VLOOKUP(CONCATENATE($B1679,"_",J$3),materiali!$C:$K,6,0),"")</f>
        <v/>
      </c>
      <c r="K1679" s="86"/>
      <c r="L1679" s="84" t="str">
        <f>IFERROR(VLOOKUP(CONCATENATE($B1679,"_",L$3),materiali!$C:$K,5,0),"")</f>
        <v/>
      </c>
      <c r="M1679" s="85" t="str">
        <f>IFERROR(VLOOKUP(CONCATENATE($B1679,"_",M$3),materiali!$C:$K,6,0),"")</f>
        <v/>
      </c>
      <c r="N1679" s="86"/>
      <c r="O1679" s="84" t="str">
        <f>IFERROR(VLOOKUP(CONCATENATE($B1679,"_",O$3),materiali!$C:$K,5,0),"")</f>
        <v/>
      </c>
      <c r="P1679" s="85" t="str">
        <f>IFERROR(VLOOKUP(CONCATENATE($B1679,"_",P$3),materiali!$C:$K,6,0),"")</f>
        <v/>
      </c>
      <c r="Q1679" s="86"/>
      <c r="R1679" s="84" t="str">
        <f>IFERROR(VLOOKUP(CONCATENATE($B1679,"_",R$3),materiali!$C:$K,5,0),"")</f>
        <v/>
      </c>
      <c r="S1679" s="85" t="str">
        <f>IFERROR(VLOOKUP(CONCATENATE($B1679,"_",S$3),materiali!$C:$K,6,0),"")</f>
        <v/>
      </c>
      <c r="T1679" s="86"/>
      <c r="U1679" s="31"/>
      <c r="AD1679" s="97"/>
    </row>
    <row r="1680" spans="1:30" ht="35.1" hidden="1" customHeight="1" x14ac:dyDescent="0.25">
      <c r="A1680" s="83"/>
      <c r="B1680" s="7"/>
      <c r="C1680" s="8"/>
      <c r="D1680" s="8"/>
      <c r="E1680" s="60"/>
      <c r="F1680" s="84" t="str">
        <f>IFERROR(VLOOKUP(CONCATENATE($B1680,"_",F$3),materiali!$C:$K,5,0),"")</f>
        <v/>
      </c>
      <c r="G1680" s="85" t="str">
        <f>IFERROR(VLOOKUP(CONCATENATE($B1680,"_",G$3),materiali!$C:$K,6,0),"")</f>
        <v/>
      </c>
      <c r="H1680" s="86"/>
      <c r="I1680" s="84" t="str">
        <f>IFERROR(VLOOKUP(CONCATENATE($B1680,"_",I$3),materiali!$C:$K,5,0),"")</f>
        <v/>
      </c>
      <c r="J1680" s="85" t="str">
        <f>IFERROR(VLOOKUP(CONCATENATE($B1680,"_",J$3),materiali!$C:$K,6,0),"")</f>
        <v/>
      </c>
      <c r="K1680" s="86"/>
      <c r="L1680" s="84" t="str">
        <f>IFERROR(VLOOKUP(CONCATENATE($B1680,"_",L$3),materiali!$C:$K,5,0),"")</f>
        <v/>
      </c>
      <c r="M1680" s="85" t="str">
        <f>IFERROR(VLOOKUP(CONCATENATE($B1680,"_",M$3),materiali!$C:$K,6,0),"")</f>
        <v/>
      </c>
      <c r="N1680" s="86"/>
      <c r="O1680" s="84" t="str">
        <f>IFERROR(VLOOKUP(CONCATENATE($B1680,"_",O$3),materiali!$C:$K,5,0),"")</f>
        <v/>
      </c>
      <c r="P1680" s="85" t="str">
        <f>IFERROR(VLOOKUP(CONCATENATE($B1680,"_",P$3),materiali!$C:$K,6,0),"")</f>
        <v/>
      </c>
      <c r="Q1680" s="86"/>
      <c r="R1680" s="84" t="str">
        <f>IFERROR(VLOOKUP(CONCATENATE($B1680,"_",R$3),materiali!$C:$K,5,0),"")</f>
        <v/>
      </c>
      <c r="S1680" s="85" t="str">
        <f>IFERROR(VLOOKUP(CONCATENATE($B1680,"_",S$3),materiali!$C:$K,6,0),"")</f>
        <v/>
      </c>
      <c r="T1680" s="86"/>
      <c r="U1680" s="31"/>
      <c r="AD1680" s="97"/>
    </row>
    <row r="1681" spans="1:30" ht="35.1" hidden="1" customHeight="1" x14ac:dyDescent="0.25">
      <c r="A1681" s="83"/>
      <c r="B1681" s="7"/>
      <c r="C1681" s="8"/>
      <c r="D1681" s="8"/>
      <c r="E1681" s="60"/>
      <c r="F1681" s="84" t="str">
        <f>IFERROR(VLOOKUP(CONCATENATE($B1681,"_",F$3),materiali!$C:$K,5,0),"")</f>
        <v/>
      </c>
      <c r="G1681" s="85" t="str">
        <f>IFERROR(VLOOKUP(CONCATENATE($B1681,"_",G$3),materiali!$C:$K,6,0),"")</f>
        <v/>
      </c>
      <c r="H1681" s="86"/>
      <c r="I1681" s="84" t="str">
        <f>IFERROR(VLOOKUP(CONCATENATE($B1681,"_",I$3),materiali!$C:$K,5,0),"")</f>
        <v/>
      </c>
      <c r="J1681" s="85" t="str">
        <f>IFERROR(VLOOKUP(CONCATENATE($B1681,"_",J$3),materiali!$C:$K,6,0),"")</f>
        <v/>
      </c>
      <c r="K1681" s="86"/>
      <c r="L1681" s="84" t="str">
        <f>IFERROR(VLOOKUP(CONCATENATE($B1681,"_",L$3),materiali!$C:$K,5,0),"")</f>
        <v/>
      </c>
      <c r="M1681" s="85" t="str">
        <f>IFERROR(VLOOKUP(CONCATENATE($B1681,"_",M$3),materiali!$C:$K,6,0),"")</f>
        <v/>
      </c>
      <c r="N1681" s="86"/>
      <c r="O1681" s="84" t="str">
        <f>IFERROR(VLOOKUP(CONCATENATE($B1681,"_",O$3),materiali!$C:$K,5,0),"")</f>
        <v/>
      </c>
      <c r="P1681" s="85" t="str">
        <f>IFERROR(VLOOKUP(CONCATENATE($B1681,"_",P$3),materiali!$C:$K,6,0),"")</f>
        <v/>
      </c>
      <c r="Q1681" s="86"/>
      <c r="R1681" s="84" t="str">
        <f>IFERROR(VLOOKUP(CONCATENATE($B1681,"_",R$3),materiali!$C:$K,5,0),"")</f>
        <v/>
      </c>
      <c r="S1681" s="85" t="str">
        <f>IFERROR(VLOOKUP(CONCATENATE($B1681,"_",S$3),materiali!$C:$K,6,0),"")</f>
        <v/>
      </c>
      <c r="T1681" s="86"/>
      <c r="U1681" s="31"/>
      <c r="AD1681" s="97"/>
    </row>
    <row r="1682" spans="1:30" ht="35.1" hidden="1" customHeight="1" x14ac:dyDescent="0.25">
      <c r="A1682" s="83"/>
      <c r="B1682" s="7"/>
      <c r="C1682" s="8"/>
      <c r="D1682" s="8"/>
      <c r="E1682" s="60"/>
      <c r="F1682" s="84" t="str">
        <f>IFERROR(VLOOKUP(CONCATENATE($B1682,"_",F$3),materiali!$C:$K,5,0),"")</f>
        <v/>
      </c>
      <c r="G1682" s="85" t="str">
        <f>IFERROR(VLOOKUP(CONCATENATE($B1682,"_",G$3),materiali!$C:$K,6,0),"")</f>
        <v/>
      </c>
      <c r="H1682" s="86"/>
      <c r="I1682" s="84" t="str">
        <f>IFERROR(VLOOKUP(CONCATENATE($B1682,"_",I$3),materiali!$C:$K,5,0),"")</f>
        <v/>
      </c>
      <c r="J1682" s="85" t="str">
        <f>IFERROR(VLOOKUP(CONCATENATE($B1682,"_",J$3),materiali!$C:$K,6,0),"")</f>
        <v/>
      </c>
      <c r="K1682" s="86"/>
      <c r="L1682" s="84" t="str">
        <f>IFERROR(VLOOKUP(CONCATENATE($B1682,"_",L$3),materiali!$C:$K,5,0),"")</f>
        <v/>
      </c>
      <c r="M1682" s="85" t="str">
        <f>IFERROR(VLOOKUP(CONCATENATE($B1682,"_",M$3),materiali!$C:$K,6,0),"")</f>
        <v/>
      </c>
      <c r="N1682" s="86"/>
      <c r="O1682" s="84" t="str">
        <f>IFERROR(VLOOKUP(CONCATENATE($B1682,"_",O$3),materiali!$C:$K,5,0),"")</f>
        <v/>
      </c>
      <c r="P1682" s="85" t="str">
        <f>IFERROR(VLOOKUP(CONCATENATE($B1682,"_",P$3),materiali!$C:$K,6,0),"")</f>
        <v/>
      </c>
      <c r="Q1682" s="86"/>
      <c r="R1682" s="84" t="str">
        <f>IFERROR(VLOOKUP(CONCATENATE($B1682,"_",R$3),materiali!$C:$K,5,0),"")</f>
        <v/>
      </c>
      <c r="S1682" s="85" t="str">
        <f>IFERROR(VLOOKUP(CONCATENATE($B1682,"_",S$3),materiali!$C:$K,6,0),"")</f>
        <v/>
      </c>
      <c r="T1682" s="86"/>
      <c r="U1682" s="31"/>
      <c r="AD1682" s="97"/>
    </row>
    <row r="1683" spans="1:30" ht="35.1" hidden="1" customHeight="1" x14ac:dyDescent="0.25">
      <c r="A1683" s="83"/>
      <c r="B1683" s="7"/>
      <c r="C1683" s="8"/>
      <c r="D1683" s="8"/>
      <c r="E1683" s="60"/>
      <c r="F1683" s="84" t="str">
        <f>IFERROR(VLOOKUP(CONCATENATE($B1683,"_",F$3),materiali!$C:$K,5,0),"")</f>
        <v/>
      </c>
      <c r="G1683" s="85" t="str">
        <f>IFERROR(VLOOKUP(CONCATENATE($B1683,"_",G$3),materiali!$C:$K,6,0),"")</f>
        <v/>
      </c>
      <c r="H1683" s="86"/>
      <c r="I1683" s="84" t="str">
        <f>IFERROR(VLOOKUP(CONCATENATE($B1683,"_",I$3),materiali!$C:$K,5,0),"")</f>
        <v/>
      </c>
      <c r="J1683" s="85" t="str">
        <f>IFERROR(VLOOKUP(CONCATENATE($B1683,"_",J$3),materiali!$C:$K,6,0),"")</f>
        <v/>
      </c>
      <c r="K1683" s="86"/>
      <c r="L1683" s="84" t="str">
        <f>IFERROR(VLOOKUP(CONCATENATE($B1683,"_",L$3),materiali!$C:$K,5,0),"")</f>
        <v/>
      </c>
      <c r="M1683" s="85" t="str">
        <f>IFERROR(VLOOKUP(CONCATENATE($B1683,"_",M$3),materiali!$C:$K,6,0),"")</f>
        <v/>
      </c>
      <c r="N1683" s="86"/>
      <c r="O1683" s="84" t="str">
        <f>IFERROR(VLOOKUP(CONCATENATE($B1683,"_",O$3),materiali!$C:$K,5,0),"")</f>
        <v/>
      </c>
      <c r="P1683" s="85" t="str">
        <f>IFERROR(VLOOKUP(CONCATENATE($B1683,"_",P$3),materiali!$C:$K,6,0),"")</f>
        <v/>
      </c>
      <c r="Q1683" s="86"/>
      <c r="R1683" s="84" t="str">
        <f>IFERROR(VLOOKUP(CONCATENATE($B1683,"_",R$3),materiali!$C:$K,5,0),"")</f>
        <v/>
      </c>
      <c r="S1683" s="85" t="str">
        <f>IFERROR(VLOOKUP(CONCATENATE($B1683,"_",S$3),materiali!$C:$K,6,0),"")</f>
        <v/>
      </c>
      <c r="T1683" s="86"/>
      <c r="U1683" s="31"/>
      <c r="AD1683" s="97"/>
    </row>
    <row r="1684" spans="1:30" ht="35.1" hidden="1" customHeight="1" x14ac:dyDescent="0.25">
      <c r="A1684" s="83"/>
      <c r="B1684" s="7"/>
      <c r="C1684" s="8"/>
      <c r="D1684" s="8"/>
      <c r="E1684" s="60"/>
      <c r="F1684" s="84" t="str">
        <f>IFERROR(VLOOKUP(CONCATENATE($B1684,"_",F$3),materiali!$C:$K,5,0),"")</f>
        <v/>
      </c>
      <c r="G1684" s="85" t="str">
        <f>IFERROR(VLOOKUP(CONCATENATE($B1684,"_",G$3),materiali!$C:$K,6,0),"")</f>
        <v/>
      </c>
      <c r="H1684" s="86"/>
      <c r="I1684" s="84" t="str">
        <f>IFERROR(VLOOKUP(CONCATENATE($B1684,"_",I$3),materiali!$C:$K,5,0),"")</f>
        <v/>
      </c>
      <c r="J1684" s="85" t="str">
        <f>IFERROR(VLOOKUP(CONCATENATE($B1684,"_",J$3),materiali!$C:$K,6,0),"")</f>
        <v/>
      </c>
      <c r="K1684" s="86"/>
      <c r="L1684" s="84" t="str">
        <f>IFERROR(VLOOKUP(CONCATENATE($B1684,"_",L$3),materiali!$C:$K,5,0),"")</f>
        <v/>
      </c>
      <c r="M1684" s="85" t="str">
        <f>IFERROR(VLOOKUP(CONCATENATE($B1684,"_",M$3),materiali!$C:$K,6,0),"")</f>
        <v/>
      </c>
      <c r="N1684" s="86"/>
      <c r="O1684" s="84" t="str">
        <f>IFERROR(VLOOKUP(CONCATENATE($B1684,"_",O$3),materiali!$C:$K,5,0),"")</f>
        <v/>
      </c>
      <c r="P1684" s="85" t="str">
        <f>IFERROR(VLOOKUP(CONCATENATE($B1684,"_",P$3),materiali!$C:$K,6,0),"")</f>
        <v/>
      </c>
      <c r="Q1684" s="86"/>
      <c r="R1684" s="84" t="str">
        <f>IFERROR(VLOOKUP(CONCATENATE($B1684,"_",R$3),materiali!$C:$K,5,0),"")</f>
        <v/>
      </c>
      <c r="S1684" s="85" t="str">
        <f>IFERROR(VLOOKUP(CONCATENATE($B1684,"_",S$3),materiali!$C:$K,6,0),"")</f>
        <v/>
      </c>
      <c r="T1684" s="86"/>
      <c r="U1684" s="31"/>
      <c r="AD1684" s="97"/>
    </row>
    <row r="1685" spans="1:30" ht="35.1" hidden="1" customHeight="1" x14ac:dyDescent="0.25">
      <c r="A1685" s="83"/>
      <c r="B1685" s="7"/>
      <c r="C1685" s="8"/>
      <c r="D1685" s="8"/>
      <c r="E1685" s="60"/>
      <c r="F1685" s="84" t="str">
        <f>IFERROR(VLOOKUP(CONCATENATE($B1685,"_",F$3),materiali!$C:$K,5,0),"")</f>
        <v/>
      </c>
      <c r="G1685" s="85" t="str">
        <f>IFERROR(VLOOKUP(CONCATENATE($B1685,"_",G$3),materiali!$C:$K,6,0),"")</f>
        <v/>
      </c>
      <c r="H1685" s="86"/>
      <c r="I1685" s="84" t="str">
        <f>IFERROR(VLOOKUP(CONCATENATE($B1685,"_",I$3),materiali!$C:$K,5,0),"")</f>
        <v/>
      </c>
      <c r="J1685" s="85" t="str">
        <f>IFERROR(VLOOKUP(CONCATENATE($B1685,"_",J$3),materiali!$C:$K,6,0),"")</f>
        <v/>
      </c>
      <c r="K1685" s="86"/>
      <c r="L1685" s="84" t="str">
        <f>IFERROR(VLOOKUP(CONCATENATE($B1685,"_",L$3),materiali!$C:$K,5,0),"")</f>
        <v/>
      </c>
      <c r="M1685" s="85" t="str">
        <f>IFERROR(VLOOKUP(CONCATENATE($B1685,"_",M$3),materiali!$C:$K,6,0),"")</f>
        <v/>
      </c>
      <c r="N1685" s="86"/>
      <c r="O1685" s="84" t="str">
        <f>IFERROR(VLOOKUP(CONCATENATE($B1685,"_",O$3),materiali!$C:$K,5,0),"")</f>
        <v/>
      </c>
      <c r="P1685" s="85" t="str">
        <f>IFERROR(VLOOKUP(CONCATENATE($B1685,"_",P$3),materiali!$C:$K,6,0),"")</f>
        <v/>
      </c>
      <c r="Q1685" s="86"/>
      <c r="R1685" s="84" t="str">
        <f>IFERROR(VLOOKUP(CONCATENATE($B1685,"_",R$3),materiali!$C:$K,5,0),"")</f>
        <v/>
      </c>
      <c r="S1685" s="85" t="str">
        <f>IFERROR(VLOOKUP(CONCATENATE($B1685,"_",S$3),materiali!$C:$K,6,0),"")</f>
        <v/>
      </c>
      <c r="T1685" s="86"/>
      <c r="U1685" s="31"/>
      <c r="AD1685" s="97"/>
    </row>
    <row r="1686" spans="1:30" ht="35.1" hidden="1" customHeight="1" x14ac:dyDescent="0.25">
      <c r="A1686" s="83"/>
      <c r="B1686" s="7"/>
      <c r="C1686" s="8"/>
      <c r="D1686" s="8"/>
      <c r="E1686" s="60"/>
      <c r="F1686" s="84" t="str">
        <f>IFERROR(VLOOKUP(CONCATENATE($B1686,"_",F$3),materiali!$C:$K,5,0),"")</f>
        <v/>
      </c>
      <c r="G1686" s="85" t="str">
        <f>IFERROR(VLOOKUP(CONCATENATE($B1686,"_",G$3),materiali!$C:$K,6,0),"")</f>
        <v/>
      </c>
      <c r="H1686" s="86"/>
      <c r="I1686" s="84" t="str">
        <f>IFERROR(VLOOKUP(CONCATENATE($B1686,"_",I$3),materiali!$C:$K,5,0),"")</f>
        <v/>
      </c>
      <c r="J1686" s="85" t="str">
        <f>IFERROR(VLOOKUP(CONCATENATE($B1686,"_",J$3),materiali!$C:$K,6,0),"")</f>
        <v/>
      </c>
      <c r="K1686" s="86"/>
      <c r="L1686" s="84" t="str">
        <f>IFERROR(VLOOKUP(CONCATENATE($B1686,"_",L$3),materiali!$C:$K,5,0),"")</f>
        <v/>
      </c>
      <c r="M1686" s="85" t="str">
        <f>IFERROR(VLOOKUP(CONCATENATE($B1686,"_",M$3),materiali!$C:$K,6,0),"")</f>
        <v/>
      </c>
      <c r="N1686" s="86"/>
      <c r="O1686" s="84" t="str">
        <f>IFERROR(VLOOKUP(CONCATENATE($B1686,"_",O$3),materiali!$C:$K,5,0),"")</f>
        <v/>
      </c>
      <c r="P1686" s="85" t="str">
        <f>IFERROR(VLOOKUP(CONCATENATE($B1686,"_",P$3),materiali!$C:$K,6,0),"")</f>
        <v/>
      </c>
      <c r="Q1686" s="86"/>
      <c r="R1686" s="84" t="str">
        <f>IFERROR(VLOOKUP(CONCATENATE($B1686,"_",R$3),materiali!$C:$K,5,0),"")</f>
        <v/>
      </c>
      <c r="S1686" s="85" t="str">
        <f>IFERROR(VLOOKUP(CONCATENATE($B1686,"_",S$3),materiali!$C:$K,6,0),"")</f>
        <v/>
      </c>
      <c r="T1686" s="86"/>
      <c r="U1686" s="31"/>
      <c r="AD1686" s="97"/>
    </row>
    <row r="1687" spans="1:30" ht="35.1" hidden="1" customHeight="1" x14ac:dyDescent="0.25">
      <c r="A1687" s="83"/>
      <c r="B1687" s="7"/>
      <c r="C1687" s="8"/>
      <c r="D1687" s="8"/>
      <c r="E1687" s="60"/>
      <c r="F1687" s="84" t="str">
        <f>IFERROR(VLOOKUP(CONCATENATE($B1687,"_",F$3),materiali!$C:$K,5,0),"")</f>
        <v/>
      </c>
      <c r="G1687" s="85" t="str">
        <f>IFERROR(VLOOKUP(CONCATENATE($B1687,"_",G$3),materiali!$C:$K,6,0),"")</f>
        <v/>
      </c>
      <c r="H1687" s="86"/>
      <c r="I1687" s="84" t="str">
        <f>IFERROR(VLOOKUP(CONCATENATE($B1687,"_",I$3),materiali!$C:$K,5,0),"")</f>
        <v/>
      </c>
      <c r="J1687" s="85" t="str">
        <f>IFERROR(VLOOKUP(CONCATENATE($B1687,"_",J$3),materiali!$C:$K,6,0),"")</f>
        <v/>
      </c>
      <c r="K1687" s="86"/>
      <c r="L1687" s="84" t="str">
        <f>IFERROR(VLOOKUP(CONCATENATE($B1687,"_",L$3),materiali!$C:$K,5,0),"")</f>
        <v/>
      </c>
      <c r="M1687" s="85" t="str">
        <f>IFERROR(VLOOKUP(CONCATENATE($B1687,"_",M$3),materiali!$C:$K,6,0),"")</f>
        <v/>
      </c>
      <c r="N1687" s="86"/>
      <c r="O1687" s="84" t="str">
        <f>IFERROR(VLOOKUP(CONCATENATE($B1687,"_",O$3),materiali!$C:$K,5,0),"")</f>
        <v/>
      </c>
      <c r="P1687" s="85" t="str">
        <f>IFERROR(VLOOKUP(CONCATENATE($B1687,"_",P$3),materiali!$C:$K,6,0),"")</f>
        <v/>
      </c>
      <c r="Q1687" s="86"/>
      <c r="R1687" s="84" t="str">
        <f>IFERROR(VLOOKUP(CONCATENATE($B1687,"_",R$3),materiali!$C:$K,5,0),"")</f>
        <v/>
      </c>
      <c r="S1687" s="85" t="str">
        <f>IFERROR(VLOOKUP(CONCATENATE($B1687,"_",S$3),materiali!$C:$K,6,0),"")</f>
        <v/>
      </c>
      <c r="T1687" s="86"/>
      <c r="U1687" s="31"/>
      <c r="AD1687" s="97"/>
    </row>
    <row r="1688" spans="1:30" ht="35.1" hidden="1" customHeight="1" x14ac:dyDescent="0.25">
      <c r="A1688" s="83"/>
      <c r="B1688" s="7"/>
      <c r="C1688" s="8"/>
      <c r="D1688" s="8"/>
      <c r="E1688" s="60"/>
      <c r="F1688" s="84" t="str">
        <f>IFERROR(VLOOKUP(CONCATENATE($B1688,"_",F$3),materiali!$C:$K,5,0),"")</f>
        <v/>
      </c>
      <c r="G1688" s="85" t="str">
        <f>IFERROR(VLOOKUP(CONCATENATE($B1688,"_",G$3),materiali!$C:$K,6,0),"")</f>
        <v/>
      </c>
      <c r="H1688" s="86"/>
      <c r="I1688" s="84" t="str">
        <f>IFERROR(VLOOKUP(CONCATENATE($B1688,"_",I$3),materiali!$C:$K,5,0),"")</f>
        <v/>
      </c>
      <c r="J1688" s="85" t="str">
        <f>IFERROR(VLOOKUP(CONCATENATE($B1688,"_",J$3),materiali!$C:$K,6,0),"")</f>
        <v/>
      </c>
      <c r="K1688" s="86"/>
      <c r="L1688" s="84" t="str">
        <f>IFERROR(VLOOKUP(CONCATENATE($B1688,"_",L$3),materiali!$C:$K,5,0),"")</f>
        <v/>
      </c>
      <c r="M1688" s="85" t="str">
        <f>IFERROR(VLOOKUP(CONCATENATE($B1688,"_",M$3),materiali!$C:$K,6,0),"")</f>
        <v/>
      </c>
      <c r="N1688" s="86"/>
      <c r="O1688" s="84" t="str">
        <f>IFERROR(VLOOKUP(CONCATENATE($B1688,"_",O$3),materiali!$C:$K,5,0),"")</f>
        <v/>
      </c>
      <c r="P1688" s="85" t="str">
        <f>IFERROR(VLOOKUP(CONCATENATE($B1688,"_",P$3),materiali!$C:$K,6,0),"")</f>
        <v/>
      </c>
      <c r="Q1688" s="86"/>
      <c r="R1688" s="84" t="str">
        <f>IFERROR(VLOOKUP(CONCATENATE($B1688,"_",R$3),materiali!$C:$K,5,0),"")</f>
        <v/>
      </c>
      <c r="S1688" s="85" t="str">
        <f>IFERROR(VLOOKUP(CONCATENATE($B1688,"_",S$3),materiali!$C:$K,6,0),"")</f>
        <v/>
      </c>
      <c r="T1688" s="86"/>
      <c r="U1688" s="31"/>
      <c r="AD1688" s="97"/>
    </row>
    <row r="1689" spans="1:30" ht="35.1" hidden="1" customHeight="1" x14ac:dyDescent="0.25">
      <c r="A1689" s="83"/>
      <c r="B1689" s="7"/>
      <c r="C1689" s="8"/>
      <c r="D1689" s="8"/>
      <c r="E1689" s="60"/>
      <c r="F1689" s="84" t="str">
        <f>IFERROR(VLOOKUP(CONCATENATE($B1689,"_",F$3),materiali!$C:$K,5,0),"")</f>
        <v/>
      </c>
      <c r="G1689" s="85" t="str">
        <f>IFERROR(VLOOKUP(CONCATENATE($B1689,"_",G$3),materiali!$C:$K,6,0),"")</f>
        <v/>
      </c>
      <c r="H1689" s="86"/>
      <c r="I1689" s="84" t="str">
        <f>IFERROR(VLOOKUP(CONCATENATE($B1689,"_",I$3),materiali!$C:$K,5,0),"")</f>
        <v/>
      </c>
      <c r="J1689" s="85" t="str">
        <f>IFERROR(VLOOKUP(CONCATENATE($B1689,"_",J$3),materiali!$C:$K,6,0),"")</f>
        <v/>
      </c>
      <c r="K1689" s="86"/>
      <c r="L1689" s="84" t="str">
        <f>IFERROR(VLOOKUP(CONCATENATE($B1689,"_",L$3),materiali!$C:$K,5,0),"")</f>
        <v/>
      </c>
      <c r="M1689" s="85" t="str">
        <f>IFERROR(VLOOKUP(CONCATENATE($B1689,"_",M$3),materiali!$C:$K,6,0),"")</f>
        <v/>
      </c>
      <c r="N1689" s="86"/>
      <c r="O1689" s="84" t="str">
        <f>IFERROR(VLOOKUP(CONCATENATE($B1689,"_",O$3),materiali!$C:$K,5,0),"")</f>
        <v/>
      </c>
      <c r="P1689" s="85" t="str">
        <f>IFERROR(VLOOKUP(CONCATENATE($B1689,"_",P$3),materiali!$C:$K,6,0),"")</f>
        <v/>
      </c>
      <c r="Q1689" s="86"/>
      <c r="R1689" s="84" t="str">
        <f>IFERROR(VLOOKUP(CONCATENATE($B1689,"_",R$3),materiali!$C:$K,5,0),"")</f>
        <v/>
      </c>
      <c r="S1689" s="85" t="str">
        <f>IFERROR(VLOOKUP(CONCATENATE($B1689,"_",S$3),materiali!$C:$K,6,0),"")</f>
        <v/>
      </c>
      <c r="T1689" s="86"/>
      <c r="U1689" s="31"/>
      <c r="AD1689" s="97"/>
    </row>
    <row r="1690" spans="1:30" ht="35.1" hidden="1" customHeight="1" x14ac:dyDescent="0.25">
      <c r="A1690" s="83"/>
      <c r="B1690" s="7"/>
      <c r="C1690" s="8"/>
      <c r="D1690" s="8"/>
      <c r="E1690" s="60"/>
      <c r="F1690" s="84" t="str">
        <f>IFERROR(VLOOKUP(CONCATENATE($B1690,"_",F$3),materiali!$C:$K,5,0),"")</f>
        <v/>
      </c>
      <c r="G1690" s="85" t="str">
        <f>IFERROR(VLOOKUP(CONCATENATE($B1690,"_",G$3),materiali!$C:$K,6,0),"")</f>
        <v/>
      </c>
      <c r="H1690" s="86"/>
      <c r="I1690" s="84" t="str">
        <f>IFERROR(VLOOKUP(CONCATENATE($B1690,"_",I$3),materiali!$C:$K,5,0),"")</f>
        <v/>
      </c>
      <c r="J1690" s="85" t="str">
        <f>IFERROR(VLOOKUP(CONCATENATE($B1690,"_",J$3),materiali!$C:$K,6,0),"")</f>
        <v/>
      </c>
      <c r="K1690" s="86"/>
      <c r="L1690" s="84" t="str">
        <f>IFERROR(VLOOKUP(CONCATENATE($B1690,"_",L$3),materiali!$C:$K,5,0),"")</f>
        <v/>
      </c>
      <c r="M1690" s="85" t="str">
        <f>IFERROR(VLOOKUP(CONCATENATE($B1690,"_",M$3),materiali!$C:$K,6,0),"")</f>
        <v/>
      </c>
      <c r="N1690" s="86"/>
      <c r="O1690" s="84" t="str">
        <f>IFERROR(VLOOKUP(CONCATENATE($B1690,"_",O$3),materiali!$C:$K,5,0),"")</f>
        <v/>
      </c>
      <c r="P1690" s="85" t="str">
        <f>IFERROR(VLOOKUP(CONCATENATE($B1690,"_",P$3),materiali!$C:$K,6,0),"")</f>
        <v/>
      </c>
      <c r="Q1690" s="86"/>
      <c r="R1690" s="84" t="str">
        <f>IFERROR(VLOOKUP(CONCATENATE($B1690,"_",R$3),materiali!$C:$K,5,0),"")</f>
        <v/>
      </c>
      <c r="S1690" s="85" t="str">
        <f>IFERROR(VLOOKUP(CONCATENATE($B1690,"_",S$3),materiali!$C:$K,6,0),"")</f>
        <v/>
      </c>
      <c r="T1690" s="86"/>
      <c r="U1690" s="31"/>
      <c r="AD1690" s="97"/>
    </row>
    <row r="1691" spans="1:30" ht="35.1" hidden="1" customHeight="1" x14ac:dyDescent="0.25">
      <c r="A1691" s="83"/>
      <c r="B1691" s="7"/>
      <c r="C1691" s="8"/>
      <c r="D1691" s="8"/>
      <c r="E1691" s="60"/>
      <c r="F1691" s="84" t="str">
        <f>IFERROR(VLOOKUP(CONCATENATE($B1691,"_",F$3),materiali!$C:$K,5,0),"")</f>
        <v/>
      </c>
      <c r="G1691" s="85" t="str">
        <f>IFERROR(VLOOKUP(CONCATENATE($B1691,"_",G$3),materiali!$C:$K,6,0),"")</f>
        <v/>
      </c>
      <c r="H1691" s="86"/>
      <c r="I1691" s="84" t="str">
        <f>IFERROR(VLOOKUP(CONCATENATE($B1691,"_",I$3),materiali!$C:$K,5,0),"")</f>
        <v/>
      </c>
      <c r="J1691" s="85" t="str">
        <f>IFERROR(VLOOKUP(CONCATENATE($B1691,"_",J$3),materiali!$C:$K,6,0),"")</f>
        <v/>
      </c>
      <c r="K1691" s="86"/>
      <c r="L1691" s="84" t="str">
        <f>IFERROR(VLOOKUP(CONCATENATE($B1691,"_",L$3),materiali!$C:$K,5,0),"")</f>
        <v/>
      </c>
      <c r="M1691" s="85" t="str">
        <f>IFERROR(VLOOKUP(CONCATENATE($B1691,"_",M$3),materiali!$C:$K,6,0),"")</f>
        <v/>
      </c>
      <c r="N1691" s="86"/>
      <c r="O1691" s="84" t="str">
        <f>IFERROR(VLOOKUP(CONCATENATE($B1691,"_",O$3),materiali!$C:$K,5,0),"")</f>
        <v/>
      </c>
      <c r="P1691" s="85" t="str">
        <f>IFERROR(VLOOKUP(CONCATENATE($B1691,"_",P$3),materiali!$C:$K,6,0),"")</f>
        <v/>
      </c>
      <c r="Q1691" s="86"/>
      <c r="R1691" s="84" t="str">
        <f>IFERROR(VLOOKUP(CONCATENATE($B1691,"_",R$3),materiali!$C:$K,5,0),"")</f>
        <v/>
      </c>
      <c r="S1691" s="85" t="str">
        <f>IFERROR(VLOOKUP(CONCATENATE($B1691,"_",S$3),materiali!$C:$K,6,0),"")</f>
        <v/>
      </c>
      <c r="T1691" s="86"/>
      <c r="U1691" s="31"/>
      <c r="AD1691" s="97"/>
    </row>
    <row r="1692" spans="1:30" ht="35.1" hidden="1" customHeight="1" x14ac:dyDescent="0.25">
      <c r="A1692" s="83"/>
      <c r="B1692" s="7"/>
      <c r="C1692" s="8"/>
      <c r="D1692" s="8"/>
      <c r="E1692" s="60"/>
      <c r="F1692" s="84" t="str">
        <f>IFERROR(VLOOKUP(CONCATENATE($B1692,"_",F$3),materiali!$C:$K,5,0),"")</f>
        <v/>
      </c>
      <c r="G1692" s="85" t="str">
        <f>IFERROR(VLOOKUP(CONCATENATE($B1692,"_",G$3),materiali!$C:$K,6,0),"")</f>
        <v/>
      </c>
      <c r="H1692" s="86"/>
      <c r="I1692" s="84" t="str">
        <f>IFERROR(VLOOKUP(CONCATENATE($B1692,"_",I$3),materiali!$C:$K,5,0),"")</f>
        <v/>
      </c>
      <c r="J1692" s="85" t="str">
        <f>IFERROR(VLOOKUP(CONCATENATE($B1692,"_",J$3),materiali!$C:$K,6,0),"")</f>
        <v/>
      </c>
      <c r="K1692" s="86"/>
      <c r="L1692" s="84" t="str">
        <f>IFERROR(VLOOKUP(CONCATENATE($B1692,"_",L$3),materiali!$C:$K,5,0),"")</f>
        <v/>
      </c>
      <c r="M1692" s="85" t="str">
        <f>IFERROR(VLOOKUP(CONCATENATE($B1692,"_",M$3),materiali!$C:$K,6,0),"")</f>
        <v/>
      </c>
      <c r="N1692" s="86"/>
      <c r="O1692" s="84" t="str">
        <f>IFERROR(VLOOKUP(CONCATENATE($B1692,"_",O$3),materiali!$C:$K,5,0),"")</f>
        <v/>
      </c>
      <c r="P1692" s="85" t="str">
        <f>IFERROR(VLOOKUP(CONCATENATE($B1692,"_",P$3),materiali!$C:$K,6,0),"")</f>
        <v/>
      </c>
      <c r="Q1692" s="86"/>
      <c r="R1692" s="84" t="str">
        <f>IFERROR(VLOOKUP(CONCATENATE($B1692,"_",R$3),materiali!$C:$K,5,0),"")</f>
        <v/>
      </c>
      <c r="S1692" s="85" t="str">
        <f>IFERROR(VLOOKUP(CONCATENATE($B1692,"_",S$3),materiali!$C:$K,6,0),"")</f>
        <v/>
      </c>
      <c r="T1692" s="86"/>
      <c r="U1692" s="31"/>
      <c r="AD1692" s="97"/>
    </row>
    <row r="1693" spans="1:30" ht="35.1" hidden="1" customHeight="1" x14ac:dyDescent="0.25">
      <c r="A1693" s="83"/>
      <c r="B1693" s="7"/>
      <c r="C1693" s="8"/>
      <c r="D1693" s="8"/>
      <c r="E1693" s="60"/>
      <c r="F1693" s="84" t="str">
        <f>IFERROR(VLOOKUP(CONCATENATE($B1693,"_",F$3),materiali!$C:$K,5,0),"")</f>
        <v/>
      </c>
      <c r="G1693" s="85" t="str">
        <f>IFERROR(VLOOKUP(CONCATENATE($B1693,"_",G$3),materiali!$C:$K,6,0),"")</f>
        <v/>
      </c>
      <c r="H1693" s="86"/>
      <c r="I1693" s="84" t="str">
        <f>IFERROR(VLOOKUP(CONCATENATE($B1693,"_",I$3),materiali!$C:$K,5,0),"")</f>
        <v/>
      </c>
      <c r="J1693" s="85" t="str">
        <f>IFERROR(VLOOKUP(CONCATENATE($B1693,"_",J$3),materiali!$C:$K,6,0),"")</f>
        <v/>
      </c>
      <c r="K1693" s="86"/>
      <c r="L1693" s="84" t="str">
        <f>IFERROR(VLOOKUP(CONCATENATE($B1693,"_",L$3),materiali!$C:$K,5,0),"")</f>
        <v/>
      </c>
      <c r="M1693" s="85" t="str">
        <f>IFERROR(VLOOKUP(CONCATENATE($B1693,"_",M$3),materiali!$C:$K,6,0),"")</f>
        <v/>
      </c>
      <c r="N1693" s="86"/>
      <c r="O1693" s="84" t="str">
        <f>IFERROR(VLOOKUP(CONCATENATE($B1693,"_",O$3),materiali!$C:$K,5,0),"")</f>
        <v/>
      </c>
      <c r="P1693" s="85" t="str">
        <f>IFERROR(VLOOKUP(CONCATENATE($B1693,"_",P$3),materiali!$C:$K,6,0),"")</f>
        <v/>
      </c>
      <c r="Q1693" s="86"/>
      <c r="R1693" s="84" t="str">
        <f>IFERROR(VLOOKUP(CONCATENATE($B1693,"_",R$3),materiali!$C:$K,5,0),"")</f>
        <v/>
      </c>
      <c r="S1693" s="85" t="str">
        <f>IFERROR(VLOOKUP(CONCATENATE($B1693,"_",S$3),materiali!$C:$K,6,0),"")</f>
        <v/>
      </c>
      <c r="T1693" s="86"/>
      <c r="U1693" s="31"/>
      <c r="AD1693" s="97"/>
    </row>
    <row r="1694" spans="1:30" ht="35.1" hidden="1" customHeight="1" x14ac:dyDescent="0.25">
      <c r="A1694" s="83"/>
      <c r="B1694" s="7"/>
      <c r="C1694" s="8"/>
      <c r="D1694" s="8"/>
      <c r="E1694" s="60"/>
      <c r="F1694" s="84" t="str">
        <f>IFERROR(VLOOKUP(CONCATENATE($B1694,"_",F$3),materiali!$C:$K,5,0),"")</f>
        <v/>
      </c>
      <c r="G1694" s="85" t="str">
        <f>IFERROR(VLOOKUP(CONCATENATE($B1694,"_",G$3),materiali!$C:$K,6,0),"")</f>
        <v/>
      </c>
      <c r="H1694" s="86"/>
      <c r="I1694" s="84" t="str">
        <f>IFERROR(VLOOKUP(CONCATENATE($B1694,"_",I$3),materiali!$C:$K,5,0),"")</f>
        <v/>
      </c>
      <c r="J1694" s="85" t="str">
        <f>IFERROR(VLOOKUP(CONCATENATE($B1694,"_",J$3),materiali!$C:$K,6,0),"")</f>
        <v/>
      </c>
      <c r="K1694" s="86"/>
      <c r="L1694" s="84" t="str">
        <f>IFERROR(VLOOKUP(CONCATENATE($B1694,"_",L$3),materiali!$C:$K,5,0),"")</f>
        <v/>
      </c>
      <c r="M1694" s="85" t="str">
        <f>IFERROR(VLOOKUP(CONCATENATE($B1694,"_",M$3),materiali!$C:$K,6,0),"")</f>
        <v/>
      </c>
      <c r="N1694" s="86"/>
      <c r="O1694" s="84" t="str">
        <f>IFERROR(VLOOKUP(CONCATENATE($B1694,"_",O$3),materiali!$C:$K,5,0),"")</f>
        <v/>
      </c>
      <c r="P1694" s="85" t="str">
        <f>IFERROR(VLOOKUP(CONCATENATE($B1694,"_",P$3),materiali!$C:$K,6,0),"")</f>
        <v/>
      </c>
      <c r="Q1694" s="86"/>
      <c r="R1694" s="84" t="str">
        <f>IFERROR(VLOOKUP(CONCATENATE($B1694,"_",R$3),materiali!$C:$K,5,0),"")</f>
        <v/>
      </c>
      <c r="S1694" s="85" t="str">
        <f>IFERROR(VLOOKUP(CONCATENATE($B1694,"_",S$3),materiali!$C:$K,6,0),"")</f>
        <v/>
      </c>
      <c r="T1694" s="86"/>
      <c r="U1694" s="31"/>
      <c r="AD1694" s="97"/>
    </row>
    <row r="1695" spans="1:30" ht="35.1" hidden="1" customHeight="1" x14ac:dyDescent="0.25">
      <c r="A1695" s="83"/>
      <c r="B1695" s="7"/>
      <c r="C1695" s="8"/>
      <c r="D1695" s="8"/>
      <c r="E1695" s="60"/>
      <c r="F1695" s="84" t="str">
        <f>IFERROR(VLOOKUP(CONCATENATE($B1695,"_",F$3),materiali!$C:$K,5,0),"")</f>
        <v/>
      </c>
      <c r="G1695" s="85" t="str">
        <f>IFERROR(VLOOKUP(CONCATENATE($B1695,"_",G$3),materiali!$C:$K,6,0),"")</f>
        <v/>
      </c>
      <c r="H1695" s="86"/>
      <c r="I1695" s="84" t="str">
        <f>IFERROR(VLOOKUP(CONCATENATE($B1695,"_",I$3),materiali!$C:$K,5,0),"")</f>
        <v/>
      </c>
      <c r="J1695" s="85" t="str">
        <f>IFERROR(VLOOKUP(CONCATENATE($B1695,"_",J$3),materiali!$C:$K,6,0),"")</f>
        <v/>
      </c>
      <c r="K1695" s="86"/>
      <c r="L1695" s="84" t="str">
        <f>IFERROR(VLOOKUP(CONCATENATE($B1695,"_",L$3),materiali!$C:$K,5,0),"")</f>
        <v/>
      </c>
      <c r="M1695" s="85" t="str">
        <f>IFERROR(VLOOKUP(CONCATENATE($B1695,"_",M$3),materiali!$C:$K,6,0),"")</f>
        <v/>
      </c>
      <c r="N1695" s="86"/>
      <c r="O1695" s="84" t="str">
        <f>IFERROR(VLOOKUP(CONCATENATE($B1695,"_",O$3),materiali!$C:$K,5,0),"")</f>
        <v/>
      </c>
      <c r="P1695" s="85" t="str">
        <f>IFERROR(VLOOKUP(CONCATENATE($B1695,"_",P$3),materiali!$C:$K,6,0),"")</f>
        <v/>
      </c>
      <c r="Q1695" s="86"/>
      <c r="R1695" s="84" t="str">
        <f>IFERROR(VLOOKUP(CONCATENATE($B1695,"_",R$3),materiali!$C:$K,5,0),"")</f>
        <v/>
      </c>
      <c r="S1695" s="85" t="str">
        <f>IFERROR(VLOOKUP(CONCATENATE($B1695,"_",S$3),materiali!$C:$K,6,0),"")</f>
        <v/>
      </c>
      <c r="T1695" s="86"/>
      <c r="U1695" s="31"/>
      <c r="AD1695" s="97"/>
    </row>
    <row r="1696" spans="1:30" ht="35.1" hidden="1" customHeight="1" x14ac:dyDescent="0.25">
      <c r="A1696" s="83"/>
      <c r="B1696" s="7"/>
      <c r="C1696" s="8"/>
      <c r="D1696" s="8"/>
      <c r="E1696" s="60"/>
      <c r="F1696" s="84" t="str">
        <f>IFERROR(VLOOKUP(CONCATENATE($B1696,"_",F$3),materiali!$C:$K,5,0),"")</f>
        <v/>
      </c>
      <c r="G1696" s="85" t="str">
        <f>IFERROR(VLOOKUP(CONCATENATE($B1696,"_",G$3),materiali!$C:$K,6,0),"")</f>
        <v/>
      </c>
      <c r="H1696" s="86"/>
      <c r="I1696" s="84" t="str">
        <f>IFERROR(VLOOKUP(CONCATENATE($B1696,"_",I$3),materiali!$C:$K,5,0),"")</f>
        <v/>
      </c>
      <c r="J1696" s="85" t="str">
        <f>IFERROR(VLOOKUP(CONCATENATE($B1696,"_",J$3),materiali!$C:$K,6,0),"")</f>
        <v/>
      </c>
      <c r="K1696" s="86"/>
      <c r="L1696" s="84" t="str">
        <f>IFERROR(VLOOKUP(CONCATENATE($B1696,"_",L$3),materiali!$C:$K,5,0),"")</f>
        <v/>
      </c>
      <c r="M1696" s="85" t="str">
        <f>IFERROR(VLOOKUP(CONCATENATE($B1696,"_",M$3),materiali!$C:$K,6,0),"")</f>
        <v/>
      </c>
      <c r="N1696" s="86"/>
      <c r="O1696" s="84" t="str">
        <f>IFERROR(VLOOKUP(CONCATENATE($B1696,"_",O$3),materiali!$C:$K,5,0),"")</f>
        <v/>
      </c>
      <c r="P1696" s="85" t="str">
        <f>IFERROR(VLOOKUP(CONCATENATE($B1696,"_",P$3),materiali!$C:$K,6,0),"")</f>
        <v/>
      </c>
      <c r="Q1696" s="86"/>
      <c r="R1696" s="84" t="str">
        <f>IFERROR(VLOOKUP(CONCATENATE($B1696,"_",R$3),materiali!$C:$K,5,0),"")</f>
        <v/>
      </c>
      <c r="S1696" s="85" t="str">
        <f>IFERROR(VLOOKUP(CONCATENATE($B1696,"_",S$3),materiali!$C:$K,6,0),"")</f>
        <v/>
      </c>
      <c r="T1696" s="86"/>
      <c r="U1696" s="31"/>
      <c r="AD1696" s="97"/>
    </row>
    <row r="1697" spans="1:30" ht="35.1" hidden="1" customHeight="1" x14ac:dyDescent="0.25">
      <c r="A1697" s="83"/>
      <c r="B1697" s="7"/>
      <c r="C1697" s="8"/>
      <c r="D1697" s="8"/>
      <c r="E1697" s="60"/>
      <c r="F1697" s="84" t="str">
        <f>IFERROR(VLOOKUP(CONCATENATE($B1697,"_",F$3),materiali!$C:$K,5,0),"")</f>
        <v/>
      </c>
      <c r="G1697" s="85" t="str">
        <f>IFERROR(VLOOKUP(CONCATENATE($B1697,"_",G$3),materiali!$C:$K,6,0),"")</f>
        <v/>
      </c>
      <c r="H1697" s="86"/>
      <c r="I1697" s="84" t="str">
        <f>IFERROR(VLOOKUP(CONCATENATE($B1697,"_",I$3),materiali!$C:$K,5,0),"")</f>
        <v/>
      </c>
      <c r="J1697" s="85" t="str">
        <f>IFERROR(VLOOKUP(CONCATENATE($B1697,"_",J$3),materiali!$C:$K,6,0),"")</f>
        <v/>
      </c>
      <c r="K1697" s="86"/>
      <c r="L1697" s="84" t="str">
        <f>IFERROR(VLOOKUP(CONCATENATE($B1697,"_",L$3),materiali!$C:$K,5,0),"")</f>
        <v/>
      </c>
      <c r="M1697" s="85" t="str">
        <f>IFERROR(VLOOKUP(CONCATENATE($B1697,"_",M$3),materiali!$C:$K,6,0),"")</f>
        <v/>
      </c>
      <c r="N1697" s="86"/>
      <c r="O1697" s="84" t="str">
        <f>IFERROR(VLOOKUP(CONCATENATE($B1697,"_",O$3),materiali!$C:$K,5,0),"")</f>
        <v/>
      </c>
      <c r="P1697" s="85" t="str">
        <f>IFERROR(VLOOKUP(CONCATENATE($B1697,"_",P$3),materiali!$C:$K,6,0),"")</f>
        <v/>
      </c>
      <c r="Q1697" s="86"/>
      <c r="R1697" s="84" t="str">
        <f>IFERROR(VLOOKUP(CONCATENATE($B1697,"_",R$3),materiali!$C:$K,5,0),"")</f>
        <v/>
      </c>
      <c r="S1697" s="85" t="str">
        <f>IFERROR(VLOOKUP(CONCATENATE($B1697,"_",S$3),materiali!$C:$K,6,0),"")</f>
        <v/>
      </c>
      <c r="T1697" s="86"/>
      <c r="U1697" s="31"/>
      <c r="AD1697" s="97"/>
    </row>
    <row r="1698" spans="1:30" ht="35.1" hidden="1" customHeight="1" x14ac:dyDescent="0.25">
      <c r="A1698" s="83"/>
      <c r="B1698" s="7"/>
      <c r="C1698" s="8"/>
      <c r="D1698" s="8"/>
      <c r="E1698" s="60"/>
      <c r="F1698" s="84" t="str">
        <f>IFERROR(VLOOKUP(CONCATENATE($B1698,"_",F$3),materiali!$C:$K,5,0),"")</f>
        <v/>
      </c>
      <c r="G1698" s="85" t="str">
        <f>IFERROR(VLOOKUP(CONCATENATE($B1698,"_",G$3),materiali!$C:$K,6,0),"")</f>
        <v/>
      </c>
      <c r="H1698" s="86"/>
      <c r="I1698" s="84" t="str">
        <f>IFERROR(VLOOKUP(CONCATENATE($B1698,"_",I$3),materiali!$C:$K,5,0),"")</f>
        <v/>
      </c>
      <c r="J1698" s="85" t="str">
        <f>IFERROR(VLOOKUP(CONCATENATE($B1698,"_",J$3),materiali!$C:$K,6,0),"")</f>
        <v/>
      </c>
      <c r="K1698" s="86"/>
      <c r="L1698" s="84" t="str">
        <f>IFERROR(VLOOKUP(CONCATENATE($B1698,"_",L$3),materiali!$C:$K,5,0),"")</f>
        <v/>
      </c>
      <c r="M1698" s="85" t="str">
        <f>IFERROR(VLOOKUP(CONCATENATE($B1698,"_",M$3),materiali!$C:$K,6,0),"")</f>
        <v/>
      </c>
      <c r="N1698" s="86"/>
      <c r="O1698" s="84" t="str">
        <f>IFERROR(VLOOKUP(CONCATENATE($B1698,"_",O$3),materiali!$C:$K,5,0),"")</f>
        <v/>
      </c>
      <c r="P1698" s="85" t="str">
        <f>IFERROR(VLOOKUP(CONCATENATE($B1698,"_",P$3),materiali!$C:$K,6,0),"")</f>
        <v/>
      </c>
      <c r="Q1698" s="86"/>
      <c r="R1698" s="84" t="str">
        <f>IFERROR(VLOOKUP(CONCATENATE($B1698,"_",R$3),materiali!$C:$K,5,0),"")</f>
        <v/>
      </c>
      <c r="S1698" s="85" t="str">
        <f>IFERROR(VLOOKUP(CONCATENATE($B1698,"_",S$3),materiali!$C:$K,6,0),"")</f>
        <v/>
      </c>
      <c r="T1698" s="86"/>
      <c r="U1698" s="31"/>
      <c r="AD1698" s="97"/>
    </row>
    <row r="1699" spans="1:30" ht="35.1" hidden="1" customHeight="1" x14ac:dyDescent="0.25">
      <c r="A1699" s="83"/>
      <c r="B1699" s="7"/>
      <c r="C1699" s="8"/>
      <c r="D1699" s="8"/>
      <c r="E1699" s="60"/>
      <c r="F1699" s="84" t="str">
        <f>IFERROR(VLOOKUP(CONCATENATE($B1699,"_",F$3),materiali!$C:$K,5,0),"")</f>
        <v/>
      </c>
      <c r="G1699" s="85" t="str">
        <f>IFERROR(VLOOKUP(CONCATENATE($B1699,"_",G$3),materiali!$C:$K,6,0),"")</f>
        <v/>
      </c>
      <c r="H1699" s="86"/>
      <c r="I1699" s="84" t="str">
        <f>IFERROR(VLOOKUP(CONCATENATE($B1699,"_",I$3),materiali!$C:$K,5,0),"")</f>
        <v/>
      </c>
      <c r="J1699" s="85" t="str">
        <f>IFERROR(VLOOKUP(CONCATENATE($B1699,"_",J$3),materiali!$C:$K,6,0),"")</f>
        <v/>
      </c>
      <c r="K1699" s="86"/>
      <c r="L1699" s="84" t="str">
        <f>IFERROR(VLOOKUP(CONCATENATE($B1699,"_",L$3),materiali!$C:$K,5,0),"")</f>
        <v/>
      </c>
      <c r="M1699" s="85" t="str">
        <f>IFERROR(VLOOKUP(CONCATENATE($B1699,"_",M$3),materiali!$C:$K,6,0),"")</f>
        <v/>
      </c>
      <c r="N1699" s="86"/>
      <c r="O1699" s="84" t="str">
        <f>IFERROR(VLOOKUP(CONCATENATE($B1699,"_",O$3),materiali!$C:$K,5,0),"")</f>
        <v/>
      </c>
      <c r="P1699" s="85" t="str">
        <f>IFERROR(VLOOKUP(CONCATENATE($B1699,"_",P$3),materiali!$C:$K,6,0),"")</f>
        <v/>
      </c>
      <c r="Q1699" s="86"/>
      <c r="R1699" s="84" t="str">
        <f>IFERROR(VLOOKUP(CONCATENATE($B1699,"_",R$3),materiali!$C:$K,5,0),"")</f>
        <v/>
      </c>
      <c r="S1699" s="85" t="str">
        <f>IFERROR(VLOOKUP(CONCATENATE($B1699,"_",S$3),materiali!$C:$K,6,0),"")</f>
        <v/>
      </c>
      <c r="T1699" s="86"/>
      <c r="U1699" s="31"/>
      <c r="AD1699" s="97"/>
    </row>
    <row r="1700" spans="1:30" ht="35.1" hidden="1" customHeight="1" x14ac:dyDescent="0.25">
      <c r="A1700" s="83"/>
      <c r="B1700" s="7"/>
      <c r="C1700" s="8"/>
      <c r="D1700" s="8"/>
      <c r="E1700" s="60"/>
      <c r="F1700" s="84" t="str">
        <f>IFERROR(VLOOKUP(CONCATENATE($B1700,"_",F$3),materiali!$C:$K,5,0),"")</f>
        <v/>
      </c>
      <c r="G1700" s="85" t="str">
        <f>IFERROR(VLOOKUP(CONCATENATE($B1700,"_",G$3),materiali!$C:$K,6,0),"")</f>
        <v/>
      </c>
      <c r="H1700" s="86"/>
      <c r="I1700" s="84" t="str">
        <f>IFERROR(VLOOKUP(CONCATENATE($B1700,"_",I$3),materiali!$C:$K,5,0),"")</f>
        <v/>
      </c>
      <c r="J1700" s="85" t="str">
        <f>IFERROR(VLOOKUP(CONCATENATE($B1700,"_",J$3),materiali!$C:$K,6,0),"")</f>
        <v/>
      </c>
      <c r="K1700" s="86"/>
      <c r="L1700" s="84" t="str">
        <f>IFERROR(VLOOKUP(CONCATENATE($B1700,"_",L$3),materiali!$C:$K,5,0),"")</f>
        <v/>
      </c>
      <c r="M1700" s="85" t="str">
        <f>IFERROR(VLOOKUP(CONCATENATE($B1700,"_",M$3),materiali!$C:$K,6,0),"")</f>
        <v/>
      </c>
      <c r="N1700" s="86"/>
      <c r="O1700" s="84" t="str">
        <f>IFERROR(VLOOKUP(CONCATENATE($B1700,"_",O$3),materiali!$C:$K,5,0),"")</f>
        <v/>
      </c>
      <c r="P1700" s="85" t="str">
        <f>IFERROR(VLOOKUP(CONCATENATE($B1700,"_",P$3),materiali!$C:$K,6,0),"")</f>
        <v/>
      </c>
      <c r="Q1700" s="86"/>
      <c r="R1700" s="84" t="str">
        <f>IFERROR(VLOOKUP(CONCATENATE($B1700,"_",R$3),materiali!$C:$K,5,0),"")</f>
        <v/>
      </c>
      <c r="S1700" s="85" t="str">
        <f>IFERROR(VLOOKUP(CONCATENATE($B1700,"_",S$3),materiali!$C:$K,6,0),"")</f>
        <v/>
      </c>
      <c r="T1700" s="86"/>
      <c r="U1700" s="31"/>
      <c r="AD1700" s="97"/>
    </row>
    <row r="1701" spans="1:30" ht="35.1" hidden="1" customHeight="1" x14ac:dyDescent="0.25">
      <c r="A1701" s="83"/>
      <c r="B1701" s="7"/>
      <c r="C1701" s="8"/>
      <c r="D1701" s="8"/>
      <c r="E1701" s="60"/>
      <c r="F1701" s="84" t="str">
        <f>IFERROR(VLOOKUP(CONCATENATE($B1701,"_",F$3),materiali!$C:$K,5,0),"")</f>
        <v/>
      </c>
      <c r="G1701" s="85" t="str">
        <f>IFERROR(VLOOKUP(CONCATENATE($B1701,"_",G$3),materiali!$C:$K,6,0),"")</f>
        <v/>
      </c>
      <c r="H1701" s="86"/>
      <c r="I1701" s="84" t="str">
        <f>IFERROR(VLOOKUP(CONCATENATE($B1701,"_",I$3),materiali!$C:$K,5,0),"")</f>
        <v/>
      </c>
      <c r="J1701" s="85" t="str">
        <f>IFERROR(VLOOKUP(CONCATENATE($B1701,"_",J$3),materiali!$C:$K,6,0),"")</f>
        <v/>
      </c>
      <c r="K1701" s="86"/>
      <c r="L1701" s="84" t="str">
        <f>IFERROR(VLOOKUP(CONCATENATE($B1701,"_",L$3),materiali!$C:$K,5,0),"")</f>
        <v/>
      </c>
      <c r="M1701" s="85" t="str">
        <f>IFERROR(VLOOKUP(CONCATENATE($B1701,"_",M$3),materiali!$C:$K,6,0),"")</f>
        <v/>
      </c>
      <c r="N1701" s="86"/>
      <c r="O1701" s="84" t="str">
        <f>IFERROR(VLOOKUP(CONCATENATE($B1701,"_",O$3),materiali!$C:$K,5,0),"")</f>
        <v/>
      </c>
      <c r="P1701" s="85" t="str">
        <f>IFERROR(VLOOKUP(CONCATENATE($B1701,"_",P$3),materiali!$C:$K,6,0),"")</f>
        <v/>
      </c>
      <c r="Q1701" s="86"/>
      <c r="R1701" s="84" t="str">
        <f>IFERROR(VLOOKUP(CONCATENATE($B1701,"_",R$3),materiali!$C:$K,5,0),"")</f>
        <v/>
      </c>
      <c r="S1701" s="85" t="str">
        <f>IFERROR(VLOOKUP(CONCATENATE($B1701,"_",S$3),materiali!$C:$K,6,0),"")</f>
        <v/>
      </c>
      <c r="T1701" s="86"/>
      <c r="U1701" s="31"/>
      <c r="AD1701" s="97"/>
    </row>
    <row r="1702" spans="1:30" ht="35.1" hidden="1" customHeight="1" x14ac:dyDescent="0.25">
      <c r="A1702" s="83"/>
      <c r="B1702" s="7"/>
      <c r="C1702" s="8"/>
      <c r="D1702" s="8"/>
      <c r="E1702" s="60"/>
      <c r="F1702" s="84" t="str">
        <f>IFERROR(VLOOKUP(CONCATENATE($B1702,"_",F$3),materiali!$C:$K,5,0),"")</f>
        <v/>
      </c>
      <c r="G1702" s="85" t="str">
        <f>IFERROR(VLOOKUP(CONCATENATE($B1702,"_",G$3),materiali!$C:$K,6,0),"")</f>
        <v/>
      </c>
      <c r="H1702" s="86"/>
      <c r="I1702" s="84" t="str">
        <f>IFERROR(VLOOKUP(CONCATENATE($B1702,"_",I$3),materiali!$C:$K,5,0),"")</f>
        <v/>
      </c>
      <c r="J1702" s="85" t="str">
        <f>IFERROR(VLOOKUP(CONCATENATE($B1702,"_",J$3),materiali!$C:$K,6,0),"")</f>
        <v/>
      </c>
      <c r="K1702" s="86"/>
      <c r="L1702" s="84" t="str">
        <f>IFERROR(VLOOKUP(CONCATENATE($B1702,"_",L$3),materiali!$C:$K,5,0),"")</f>
        <v/>
      </c>
      <c r="M1702" s="85" t="str">
        <f>IFERROR(VLOOKUP(CONCATENATE($B1702,"_",M$3),materiali!$C:$K,6,0),"")</f>
        <v/>
      </c>
      <c r="N1702" s="86"/>
      <c r="O1702" s="84" t="str">
        <f>IFERROR(VLOOKUP(CONCATENATE($B1702,"_",O$3),materiali!$C:$K,5,0),"")</f>
        <v/>
      </c>
      <c r="P1702" s="85" t="str">
        <f>IFERROR(VLOOKUP(CONCATENATE($B1702,"_",P$3),materiali!$C:$K,6,0),"")</f>
        <v/>
      </c>
      <c r="Q1702" s="86"/>
      <c r="R1702" s="84" t="str">
        <f>IFERROR(VLOOKUP(CONCATENATE($B1702,"_",R$3),materiali!$C:$K,5,0),"")</f>
        <v/>
      </c>
      <c r="S1702" s="85" t="str">
        <f>IFERROR(VLOOKUP(CONCATENATE($B1702,"_",S$3),materiali!$C:$K,6,0),"")</f>
        <v/>
      </c>
      <c r="T1702" s="86"/>
      <c r="U1702" s="31"/>
      <c r="AD1702" s="97"/>
    </row>
    <row r="1703" spans="1:30" ht="35.1" hidden="1" customHeight="1" x14ac:dyDescent="0.25">
      <c r="A1703" s="83"/>
      <c r="B1703" s="7"/>
      <c r="C1703" s="8"/>
      <c r="D1703" s="8"/>
      <c r="E1703" s="60"/>
      <c r="F1703" s="84" t="str">
        <f>IFERROR(VLOOKUP(CONCATENATE($B1703,"_",F$3),materiali!$C:$K,5,0),"")</f>
        <v/>
      </c>
      <c r="G1703" s="85" t="str">
        <f>IFERROR(VLOOKUP(CONCATENATE($B1703,"_",G$3),materiali!$C:$K,6,0),"")</f>
        <v/>
      </c>
      <c r="H1703" s="86"/>
      <c r="I1703" s="84" t="str">
        <f>IFERROR(VLOOKUP(CONCATENATE($B1703,"_",I$3),materiali!$C:$K,5,0),"")</f>
        <v/>
      </c>
      <c r="J1703" s="85" t="str">
        <f>IFERROR(VLOOKUP(CONCATENATE($B1703,"_",J$3),materiali!$C:$K,6,0),"")</f>
        <v/>
      </c>
      <c r="K1703" s="86"/>
      <c r="L1703" s="84" t="str">
        <f>IFERROR(VLOOKUP(CONCATENATE($B1703,"_",L$3),materiali!$C:$K,5,0),"")</f>
        <v/>
      </c>
      <c r="M1703" s="85" t="str">
        <f>IFERROR(VLOOKUP(CONCATENATE($B1703,"_",M$3),materiali!$C:$K,6,0),"")</f>
        <v/>
      </c>
      <c r="N1703" s="86"/>
      <c r="O1703" s="84" t="str">
        <f>IFERROR(VLOOKUP(CONCATENATE($B1703,"_",O$3),materiali!$C:$K,5,0),"")</f>
        <v/>
      </c>
      <c r="P1703" s="85" t="str">
        <f>IFERROR(VLOOKUP(CONCATENATE($B1703,"_",P$3),materiali!$C:$K,6,0),"")</f>
        <v/>
      </c>
      <c r="Q1703" s="86"/>
      <c r="R1703" s="84" t="str">
        <f>IFERROR(VLOOKUP(CONCATENATE($B1703,"_",R$3),materiali!$C:$K,5,0),"")</f>
        <v/>
      </c>
      <c r="S1703" s="85" t="str">
        <f>IFERROR(VLOOKUP(CONCATENATE($B1703,"_",S$3),materiali!$C:$K,6,0),"")</f>
        <v/>
      </c>
      <c r="T1703" s="86"/>
      <c r="U1703" s="31"/>
      <c r="AD1703" s="97"/>
    </row>
    <row r="1704" spans="1:30" ht="35.1" hidden="1" customHeight="1" x14ac:dyDescent="0.25">
      <c r="A1704" s="83"/>
      <c r="B1704" s="7"/>
      <c r="C1704" s="8"/>
      <c r="D1704" s="8"/>
      <c r="E1704" s="60"/>
      <c r="F1704" s="84" t="str">
        <f>IFERROR(VLOOKUP(CONCATENATE($B1704,"_",F$3),materiali!$C:$K,5,0),"")</f>
        <v/>
      </c>
      <c r="G1704" s="85" t="str">
        <f>IFERROR(VLOOKUP(CONCATENATE($B1704,"_",G$3),materiali!$C:$K,6,0),"")</f>
        <v/>
      </c>
      <c r="H1704" s="86"/>
      <c r="I1704" s="84" t="str">
        <f>IFERROR(VLOOKUP(CONCATENATE($B1704,"_",I$3),materiali!$C:$K,5,0),"")</f>
        <v/>
      </c>
      <c r="J1704" s="85" t="str">
        <f>IFERROR(VLOOKUP(CONCATENATE($B1704,"_",J$3),materiali!$C:$K,6,0),"")</f>
        <v/>
      </c>
      <c r="K1704" s="86"/>
      <c r="L1704" s="84" t="str">
        <f>IFERROR(VLOOKUP(CONCATENATE($B1704,"_",L$3),materiali!$C:$K,5,0),"")</f>
        <v/>
      </c>
      <c r="M1704" s="85" t="str">
        <f>IFERROR(VLOOKUP(CONCATENATE($B1704,"_",M$3),materiali!$C:$K,6,0),"")</f>
        <v/>
      </c>
      <c r="N1704" s="86"/>
      <c r="O1704" s="84" t="str">
        <f>IFERROR(VLOOKUP(CONCATENATE($B1704,"_",O$3),materiali!$C:$K,5,0),"")</f>
        <v/>
      </c>
      <c r="P1704" s="85" t="str">
        <f>IFERROR(VLOOKUP(CONCATENATE($B1704,"_",P$3),materiali!$C:$K,6,0),"")</f>
        <v/>
      </c>
      <c r="Q1704" s="86"/>
      <c r="R1704" s="84" t="str">
        <f>IFERROR(VLOOKUP(CONCATENATE($B1704,"_",R$3),materiali!$C:$K,5,0),"")</f>
        <v/>
      </c>
      <c r="S1704" s="85" t="str">
        <f>IFERROR(VLOOKUP(CONCATENATE($B1704,"_",S$3),materiali!$C:$K,6,0),"")</f>
        <v/>
      </c>
      <c r="T1704" s="86"/>
      <c r="U1704" s="31"/>
      <c r="AD1704" s="97"/>
    </row>
    <row r="1705" spans="1:30" ht="35.1" hidden="1" customHeight="1" x14ac:dyDescent="0.25">
      <c r="A1705" s="83"/>
      <c r="B1705" s="7"/>
      <c r="C1705" s="8"/>
      <c r="D1705" s="8"/>
      <c r="E1705" s="60"/>
      <c r="F1705" s="84" t="str">
        <f>IFERROR(VLOOKUP(CONCATENATE($B1705,"_",F$3),materiali!$C:$K,5,0),"")</f>
        <v/>
      </c>
      <c r="G1705" s="85" t="str">
        <f>IFERROR(VLOOKUP(CONCATENATE($B1705,"_",G$3),materiali!$C:$K,6,0),"")</f>
        <v/>
      </c>
      <c r="H1705" s="86"/>
      <c r="I1705" s="84" t="str">
        <f>IFERROR(VLOOKUP(CONCATENATE($B1705,"_",I$3),materiali!$C:$K,5,0),"")</f>
        <v/>
      </c>
      <c r="J1705" s="85" t="str">
        <f>IFERROR(VLOOKUP(CONCATENATE($B1705,"_",J$3),materiali!$C:$K,6,0),"")</f>
        <v/>
      </c>
      <c r="K1705" s="86"/>
      <c r="L1705" s="84" t="str">
        <f>IFERROR(VLOOKUP(CONCATENATE($B1705,"_",L$3),materiali!$C:$K,5,0),"")</f>
        <v/>
      </c>
      <c r="M1705" s="85" t="str">
        <f>IFERROR(VLOOKUP(CONCATENATE($B1705,"_",M$3),materiali!$C:$K,6,0),"")</f>
        <v/>
      </c>
      <c r="N1705" s="86"/>
      <c r="O1705" s="84" t="str">
        <f>IFERROR(VLOOKUP(CONCATENATE($B1705,"_",O$3),materiali!$C:$K,5,0),"")</f>
        <v/>
      </c>
      <c r="P1705" s="85" t="str">
        <f>IFERROR(VLOOKUP(CONCATENATE($B1705,"_",P$3),materiali!$C:$K,6,0),"")</f>
        <v/>
      </c>
      <c r="Q1705" s="86"/>
      <c r="R1705" s="84" t="str">
        <f>IFERROR(VLOOKUP(CONCATENATE($B1705,"_",R$3),materiali!$C:$K,5,0),"")</f>
        <v/>
      </c>
      <c r="S1705" s="85" t="str">
        <f>IFERROR(VLOOKUP(CONCATENATE($B1705,"_",S$3),materiali!$C:$K,6,0),"")</f>
        <v/>
      </c>
      <c r="T1705" s="86"/>
      <c r="U1705" s="31"/>
      <c r="AD1705" s="97"/>
    </row>
    <row r="1706" spans="1:30" ht="35.1" hidden="1" customHeight="1" x14ac:dyDescent="0.25">
      <c r="A1706" s="83"/>
      <c r="B1706" s="7"/>
      <c r="C1706" s="8"/>
      <c r="D1706" s="8"/>
      <c r="E1706" s="60"/>
      <c r="F1706" s="84" t="str">
        <f>IFERROR(VLOOKUP(CONCATENATE($B1706,"_",F$3),materiali!$C:$K,5,0),"")</f>
        <v/>
      </c>
      <c r="G1706" s="85" t="str">
        <f>IFERROR(VLOOKUP(CONCATENATE($B1706,"_",G$3),materiali!$C:$K,6,0),"")</f>
        <v/>
      </c>
      <c r="H1706" s="86"/>
      <c r="I1706" s="84" t="str">
        <f>IFERROR(VLOOKUP(CONCATENATE($B1706,"_",I$3),materiali!$C:$K,5,0),"")</f>
        <v/>
      </c>
      <c r="J1706" s="85" t="str">
        <f>IFERROR(VLOOKUP(CONCATENATE($B1706,"_",J$3),materiali!$C:$K,6,0),"")</f>
        <v/>
      </c>
      <c r="K1706" s="86"/>
      <c r="L1706" s="84" t="str">
        <f>IFERROR(VLOOKUP(CONCATENATE($B1706,"_",L$3),materiali!$C:$K,5,0),"")</f>
        <v/>
      </c>
      <c r="M1706" s="85" t="str">
        <f>IFERROR(VLOOKUP(CONCATENATE($B1706,"_",M$3),materiali!$C:$K,6,0),"")</f>
        <v/>
      </c>
      <c r="N1706" s="86"/>
      <c r="O1706" s="84" t="str">
        <f>IFERROR(VLOOKUP(CONCATENATE($B1706,"_",O$3),materiali!$C:$K,5,0),"")</f>
        <v/>
      </c>
      <c r="P1706" s="85" t="str">
        <f>IFERROR(VLOOKUP(CONCATENATE($B1706,"_",P$3),materiali!$C:$K,6,0),"")</f>
        <v/>
      </c>
      <c r="Q1706" s="86"/>
      <c r="R1706" s="84" t="str">
        <f>IFERROR(VLOOKUP(CONCATENATE($B1706,"_",R$3),materiali!$C:$K,5,0),"")</f>
        <v/>
      </c>
      <c r="S1706" s="85" t="str">
        <f>IFERROR(VLOOKUP(CONCATENATE($B1706,"_",S$3),materiali!$C:$K,6,0),"")</f>
        <v/>
      </c>
      <c r="T1706" s="86"/>
      <c r="U1706" s="31"/>
      <c r="AD1706" s="97"/>
    </row>
    <row r="1707" spans="1:30" ht="35.1" hidden="1" customHeight="1" x14ac:dyDescent="0.25">
      <c r="A1707" s="83"/>
      <c r="B1707" s="7"/>
      <c r="C1707" s="8"/>
      <c r="D1707" s="8"/>
      <c r="E1707" s="60"/>
      <c r="F1707" s="84" t="str">
        <f>IFERROR(VLOOKUP(CONCATENATE($B1707,"_",F$3),materiali!$C:$K,5,0),"")</f>
        <v/>
      </c>
      <c r="G1707" s="85" t="str">
        <f>IFERROR(VLOOKUP(CONCATENATE($B1707,"_",G$3),materiali!$C:$K,6,0),"")</f>
        <v/>
      </c>
      <c r="H1707" s="86"/>
      <c r="I1707" s="84" t="str">
        <f>IFERROR(VLOOKUP(CONCATENATE($B1707,"_",I$3),materiali!$C:$K,5,0),"")</f>
        <v/>
      </c>
      <c r="J1707" s="85" t="str">
        <f>IFERROR(VLOOKUP(CONCATENATE($B1707,"_",J$3),materiali!$C:$K,6,0),"")</f>
        <v/>
      </c>
      <c r="K1707" s="86"/>
      <c r="L1707" s="84" t="str">
        <f>IFERROR(VLOOKUP(CONCATENATE($B1707,"_",L$3),materiali!$C:$K,5,0),"")</f>
        <v/>
      </c>
      <c r="M1707" s="85" t="str">
        <f>IFERROR(VLOOKUP(CONCATENATE($B1707,"_",M$3),materiali!$C:$K,6,0),"")</f>
        <v/>
      </c>
      <c r="N1707" s="86"/>
      <c r="O1707" s="84" t="str">
        <f>IFERROR(VLOOKUP(CONCATENATE($B1707,"_",O$3),materiali!$C:$K,5,0),"")</f>
        <v/>
      </c>
      <c r="P1707" s="85" t="str">
        <f>IFERROR(VLOOKUP(CONCATENATE($B1707,"_",P$3),materiali!$C:$K,6,0),"")</f>
        <v/>
      </c>
      <c r="Q1707" s="86"/>
      <c r="R1707" s="84" t="str">
        <f>IFERROR(VLOOKUP(CONCATENATE($B1707,"_",R$3),materiali!$C:$K,5,0),"")</f>
        <v/>
      </c>
      <c r="S1707" s="85" t="str">
        <f>IFERROR(VLOOKUP(CONCATENATE($B1707,"_",S$3),materiali!$C:$K,6,0),"")</f>
        <v/>
      </c>
      <c r="T1707" s="86"/>
      <c r="U1707" s="31"/>
      <c r="AD1707" s="97"/>
    </row>
    <row r="1708" spans="1:30" ht="35.1" hidden="1" customHeight="1" x14ac:dyDescent="0.25">
      <c r="A1708" s="83"/>
      <c r="B1708" s="7"/>
      <c r="C1708" s="8"/>
      <c r="D1708" s="8"/>
      <c r="E1708" s="60"/>
      <c r="F1708" s="84" t="str">
        <f>IFERROR(VLOOKUP(CONCATENATE($B1708,"_",F$3),materiali!$C:$K,5,0),"")</f>
        <v/>
      </c>
      <c r="G1708" s="85" t="str">
        <f>IFERROR(VLOOKUP(CONCATENATE($B1708,"_",G$3),materiali!$C:$K,6,0),"")</f>
        <v/>
      </c>
      <c r="H1708" s="86"/>
      <c r="I1708" s="84" t="str">
        <f>IFERROR(VLOOKUP(CONCATENATE($B1708,"_",I$3),materiali!$C:$K,5,0),"")</f>
        <v/>
      </c>
      <c r="J1708" s="85" t="str">
        <f>IFERROR(VLOOKUP(CONCATENATE($B1708,"_",J$3),materiali!$C:$K,6,0),"")</f>
        <v/>
      </c>
      <c r="K1708" s="86"/>
      <c r="L1708" s="84" t="str">
        <f>IFERROR(VLOOKUP(CONCATENATE($B1708,"_",L$3),materiali!$C:$K,5,0),"")</f>
        <v/>
      </c>
      <c r="M1708" s="85" t="str">
        <f>IFERROR(VLOOKUP(CONCATENATE($B1708,"_",M$3),materiali!$C:$K,6,0),"")</f>
        <v/>
      </c>
      <c r="N1708" s="86"/>
      <c r="O1708" s="84" t="str">
        <f>IFERROR(VLOOKUP(CONCATENATE($B1708,"_",O$3),materiali!$C:$K,5,0),"")</f>
        <v/>
      </c>
      <c r="P1708" s="85" t="str">
        <f>IFERROR(VLOOKUP(CONCATENATE($B1708,"_",P$3),materiali!$C:$K,6,0),"")</f>
        <v/>
      </c>
      <c r="Q1708" s="86"/>
      <c r="R1708" s="84" t="str">
        <f>IFERROR(VLOOKUP(CONCATENATE($B1708,"_",R$3),materiali!$C:$K,5,0),"")</f>
        <v/>
      </c>
      <c r="S1708" s="85" t="str">
        <f>IFERROR(VLOOKUP(CONCATENATE($B1708,"_",S$3),materiali!$C:$K,6,0),"")</f>
        <v/>
      </c>
      <c r="T1708" s="86"/>
      <c r="U1708" s="31"/>
      <c r="AD1708" s="97"/>
    </row>
    <row r="1709" spans="1:30" ht="35.1" hidden="1" customHeight="1" x14ac:dyDescent="0.25">
      <c r="A1709" s="83"/>
      <c r="B1709" s="7"/>
      <c r="C1709" s="8"/>
      <c r="D1709" s="8"/>
      <c r="E1709" s="60"/>
      <c r="F1709" s="84" t="str">
        <f>IFERROR(VLOOKUP(CONCATENATE($B1709,"_",F$3),materiali!$C:$K,5,0),"")</f>
        <v/>
      </c>
      <c r="G1709" s="85" t="str">
        <f>IFERROR(VLOOKUP(CONCATENATE($B1709,"_",G$3),materiali!$C:$K,6,0),"")</f>
        <v/>
      </c>
      <c r="H1709" s="86"/>
      <c r="I1709" s="84" t="str">
        <f>IFERROR(VLOOKUP(CONCATENATE($B1709,"_",I$3),materiali!$C:$K,5,0),"")</f>
        <v/>
      </c>
      <c r="J1709" s="85" t="str">
        <f>IFERROR(VLOOKUP(CONCATENATE($B1709,"_",J$3),materiali!$C:$K,6,0),"")</f>
        <v/>
      </c>
      <c r="K1709" s="86"/>
      <c r="L1709" s="84" t="str">
        <f>IFERROR(VLOOKUP(CONCATENATE($B1709,"_",L$3),materiali!$C:$K,5,0),"")</f>
        <v/>
      </c>
      <c r="M1709" s="85" t="str">
        <f>IFERROR(VLOOKUP(CONCATENATE($B1709,"_",M$3),materiali!$C:$K,6,0),"")</f>
        <v/>
      </c>
      <c r="N1709" s="86"/>
      <c r="O1709" s="84" t="str">
        <f>IFERROR(VLOOKUP(CONCATENATE($B1709,"_",O$3),materiali!$C:$K,5,0),"")</f>
        <v/>
      </c>
      <c r="P1709" s="85" t="str">
        <f>IFERROR(VLOOKUP(CONCATENATE($B1709,"_",P$3),materiali!$C:$K,6,0),"")</f>
        <v/>
      </c>
      <c r="Q1709" s="86"/>
      <c r="R1709" s="84" t="str">
        <f>IFERROR(VLOOKUP(CONCATENATE($B1709,"_",R$3),materiali!$C:$K,5,0),"")</f>
        <v/>
      </c>
      <c r="S1709" s="85" t="str">
        <f>IFERROR(VLOOKUP(CONCATENATE($B1709,"_",S$3),materiali!$C:$K,6,0),"")</f>
        <v/>
      </c>
      <c r="T1709" s="86"/>
      <c r="U1709" s="31"/>
      <c r="AD1709" s="97"/>
    </row>
    <row r="1710" spans="1:30" ht="35.1" hidden="1" customHeight="1" x14ac:dyDescent="0.25">
      <c r="A1710" s="83"/>
      <c r="B1710" s="7"/>
      <c r="C1710" s="8"/>
      <c r="D1710" s="8"/>
      <c r="E1710" s="60"/>
      <c r="F1710" s="84" t="str">
        <f>IFERROR(VLOOKUP(CONCATENATE($B1710,"_",F$3),materiali!$C:$K,5,0),"")</f>
        <v/>
      </c>
      <c r="G1710" s="85" t="str">
        <f>IFERROR(VLOOKUP(CONCATENATE($B1710,"_",G$3),materiali!$C:$K,6,0),"")</f>
        <v/>
      </c>
      <c r="H1710" s="86"/>
      <c r="I1710" s="84" t="str">
        <f>IFERROR(VLOOKUP(CONCATENATE($B1710,"_",I$3),materiali!$C:$K,5,0),"")</f>
        <v/>
      </c>
      <c r="J1710" s="85" t="str">
        <f>IFERROR(VLOOKUP(CONCATENATE($B1710,"_",J$3),materiali!$C:$K,6,0),"")</f>
        <v/>
      </c>
      <c r="K1710" s="86"/>
      <c r="L1710" s="84" t="str">
        <f>IFERROR(VLOOKUP(CONCATENATE($B1710,"_",L$3),materiali!$C:$K,5,0),"")</f>
        <v/>
      </c>
      <c r="M1710" s="85" t="str">
        <f>IFERROR(VLOOKUP(CONCATENATE($B1710,"_",M$3),materiali!$C:$K,6,0),"")</f>
        <v/>
      </c>
      <c r="N1710" s="86"/>
      <c r="O1710" s="84" t="str">
        <f>IFERROR(VLOOKUP(CONCATENATE($B1710,"_",O$3),materiali!$C:$K,5,0),"")</f>
        <v/>
      </c>
      <c r="P1710" s="85" t="str">
        <f>IFERROR(VLOOKUP(CONCATENATE($B1710,"_",P$3),materiali!$C:$K,6,0),"")</f>
        <v/>
      </c>
      <c r="Q1710" s="86"/>
      <c r="R1710" s="84" t="str">
        <f>IFERROR(VLOOKUP(CONCATENATE($B1710,"_",R$3),materiali!$C:$K,5,0),"")</f>
        <v/>
      </c>
      <c r="S1710" s="85" t="str">
        <f>IFERROR(VLOOKUP(CONCATENATE($B1710,"_",S$3),materiali!$C:$K,6,0),"")</f>
        <v/>
      </c>
      <c r="T1710" s="86"/>
      <c r="U1710" s="31"/>
      <c r="AD1710" s="97"/>
    </row>
    <row r="1711" spans="1:30" ht="35.1" hidden="1" customHeight="1" x14ac:dyDescent="0.25">
      <c r="A1711" s="83"/>
      <c r="B1711" s="7"/>
      <c r="C1711" s="8"/>
      <c r="D1711" s="8"/>
      <c r="E1711" s="60"/>
      <c r="F1711" s="84" t="str">
        <f>IFERROR(VLOOKUP(CONCATENATE($B1711,"_",F$3),materiali!$C:$K,5,0),"")</f>
        <v/>
      </c>
      <c r="G1711" s="85" t="str">
        <f>IFERROR(VLOOKUP(CONCATENATE($B1711,"_",G$3),materiali!$C:$K,6,0),"")</f>
        <v/>
      </c>
      <c r="H1711" s="86"/>
      <c r="I1711" s="84" t="str">
        <f>IFERROR(VLOOKUP(CONCATENATE($B1711,"_",I$3),materiali!$C:$K,5,0),"")</f>
        <v/>
      </c>
      <c r="J1711" s="85" t="str">
        <f>IFERROR(VLOOKUP(CONCATENATE($B1711,"_",J$3),materiali!$C:$K,6,0),"")</f>
        <v/>
      </c>
      <c r="K1711" s="86"/>
      <c r="L1711" s="84" t="str">
        <f>IFERROR(VLOOKUP(CONCATENATE($B1711,"_",L$3),materiali!$C:$K,5,0),"")</f>
        <v/>
      </c>
      <c r="M1711" s="85" t="str">
        <f>IFERROR(VLOOKUP(CONCATENATE($B1711,"_",M$3),materiali!$C:$K,6,0),"")</f>
        <v/>
      </c>
      <c r="N1711" s="86"/>
      <c r="O1711" s="84" t="str">
        <f>IFERROR(VLOOKUP(CONCATENATE($B1711,"_",O$3),materiali!$C:$K,5,0),"")</f>
        <v/>
      </c>
      <c r="P1711" s="85" t="str">
        <f>IFERROR(VLOOKUP(CONCATENATE($B1711,"_",P$3),materiali!$C:$K,6,0),"")</f>
        <v/>
      </c>
      <c r="Q1711" s="86"/>
      <c r="R1711" s="84" t="str">
        <f>IFERROR(VLOOKUP(CONCATENATE($B1711,"_",R$3),materiali!$C:$K,5,0),"")</f>
        <v/>
      </c>
      <c r="S1711" s="85" t="str">
        <f>IFERROR(VLOOKUP(CONCATENATE($B1711,"_",S$3),materiali!$C:$K,6,0),"")</f>
        <v/>
      </c>
      <c r="T1711" s="86"/>
      <c r="U1711" s="31"/>
      <c r="AD1711" s="97"/>
    </row>
    <row r="1712" spans="1:30" ht="35.1" hidden="1" customHeight="1" x14ac:dyDescent="0.25">
      <c r="A1712" s="83"/>
      <c r="B1712" s="7"/>
      <c r="C1712" s="8"/>
      <c r="D1712" s="8"/>
      <c r="E1712" s="60"/>
      <c r="F1712" s="84" t="str">
        <f>IFERROR(VLOOKUP(CONCATENATE($B1712,"_",F$3),materiali!$C:$K,5,0),"")</f>
        <v/>
      </c>
      <c r="G1712" s="85" t="str">
        <f>IFERROR(VLOOKUP(CONCATENATE($B1712,"_",G$3),materiali!$C:$K,6,0),"")</f>
        <v/>
      </c>
      <c r="H1712" s="86"/>
      <c r="I1712" s="84" t="str">
        <f>IFERROR(VLOOKUP(CONCATENATE($B1712,"_",I$3),materiali!$C:$K,5,0),"")</f>
        <v/>
      </c>
      <c r="J1712" s="85" t="str">
        <f>IFERROR(VLOOKUP(CONCATENATE($B1712,"_",J$3),materiali!$C:$K,6,0),"")</f>
        <v/>
      </c>
      <c r="K1712" s="86"/>
      <c r="L1712" s="84" t="str">
        <f>IFERROR(VLOOKUP(CONCATENATE($B1712,"_",L$3),materiali!$C:$K,5,0),"")</f>
        <v/>
      </c>
      <c r="M1712" s="85" t="str">
        <f>IFERROR(VLOOKUP(CONCATENATE($B1712,"_",M$3),materiali!$C:$K,6,0),"")</f>
        <v/>
      </c>
      <c r="N1712" s="86"/>
      <c r="O1712" s="84" t="str">
        <f>IFERROR(VLOOKUP(CONCATENATE($B1712,"_",O$3),materiali!$C:$K,5,0),"")</f>
        <v/>
      </c>
      <c r="P1712" s="85" t="str">
        <f>IFERROR(VLOOKUP(CONCATENATE($B1712,"_",P$3),materiali!$C:$K,6,0),"")</f>
        <v/>
      </c>
      <c r="Q1712" s="86"/>
      <c r="R1712" s="84" t="str">
        <f>IFERROR(VLOOKUP(CONCATENATE($B1712,"_",R$3),materiali!$C:$K,5,0),"")</f>
        <v/>
      </c>
      <c r="S1712" s="85" t="str">
        <f>IFERROR(VLOOKUP(CONCATENATE($B1712,"_",S$3),materiali!$C:$K,6,0),"")</f>
        <v/>
      </c>
      <c r="T1712" s="86"/>
      <c r="U1712" s="31"/>
      <c r="AD1712" s="97"/>
    </row>
    <row r="1713" spans="1:30" ht="35.1" hidden="1" customHeight="1" x14ac:dyDescent="0.25">
      <c r="A1713" s="83"/>
      <c r="B1713" s="7"/>
      <c r="C1713" s="8"/>
      <c r="D1713" s="8"/>
      <c r="E1713" s="60"/>
      <c r="F1713" s="84" t="str">
        <f>IFERROR(VLOOKUP(CONCATENATE($B1713,"_",F$3),materiali!$C:$K,5,0),"")</f>
        <v/>
      </c>
      <c r="G1713" s="85" t="str">
        <f>IFERROR(VLOOKUP(CONCATENATE($B1713,"_",G$3),materiali!$C:$K,6,0),"")</f>
        <v/>
      </c>
      <c r="H1713" s="86"/>
      <c r="I1713" s="84" t="str">
        <f>IFERROR(VLOOKUP(CONCATENATE($B1713,"_",I$3),materiali!$C:$K,5,0),"")</f>
        <v/>
      </c>
      <c r="J1713" s="85" t="str">
        <f>IFERROR(VLOOKUP(CONCATENATE($B1713,"_",J$3),materiali!$C:$K,6,0),"")</f>
        <v/>
      </c>
      <c r="K1713" s="86"/>
      <c r="L1713" s="84" t="str">
        <f>IFERROR(VLOOKUP(CONCATENATE($B1713,"_",L$3),materiali!$C:$K,5,0),"")</f>
        <v/>
      </c>
      <c r="M1713" s="85" t="str">
        <f>IFERROR(VLOOKUP(CONCATENATE($B1713,"_",M$3),materiali!$C:$K,6,0),"")</f>
        <v/>
      </c>
      <c r="N1713" s="86"/>
      <c r="O1713" s="84" t="str">
        <f>IFERROR(VLOOKUP(CONCATENATE($B1713,"_",O$3),materiali!$C:$K,5,0),"")</f>
        <v/>
      </c>
      <c r="P1713" s="85" t="str">
        <f>IFERROR(VLOOKUP(CONCATENATE($B1713,"_",P$3),materiali!$C:$K,6,0),"")</f>
        <v/>
      </c>
      <c r="Q1713" s="86"/>
      <c r="R1713" s="84" t="str">
        <f>IFERROR(VLOOKUP(CONCATENATE($B1713,"_",R$3),materiali!$C:$K,5,0),"")</f>
        <v/>
      </c>
      <c r="S1713" s="85" t="str">
        <f>IFERROR(VLOOKUP(CONCATENATE($B1713,"_",S$3),materiali!$C:$K,6,0),"")</f>
        <v/>
      </c>
      <c r="T1713" s="86"/>
      <c r="U1713" s="31"/>
      <c r="AD1713" s="97"/>
    </row>
    <row r="1714" spans="1:30" ht="35.1" hidden="1" customHeight="1" x14ac:dyDescent="0.25">
      <c r="A1714" s="83"/>
      <c r="B1714" s="7"/>
      <c r="C1714" s="8"/>
      <c r="D1714" s="8"/>
      <c r="E1714" s="60"/>
      <c r="F1714" s="84" t="str">
        <f>IFERROR(VLOOKUP(CONCATENATE($B1714,"_",F$3),materiali!$C:$K,5,0),"")</f>
        <v/>
      </c>
      <c r="G1714" s="85" t="str">
        <f>IFERROR(VLOOKUP(CONCATENATE($B1714,"_",G$3),materiali!$C:$K,6,0),"")</f>
        <v/>
      </c>
      <c r="H1714" s="86"/>
      <c r="I1714" s="84" t="str">
        <f>IFERROR(VLOOKUP(CONCATENATE($B1714,"_",I$3),materiali!$C:$K,5,0),"")</f>
        <v/>
      </c>
      <c r="J1714" s="85" t="str">
        <f>IFERROR(VLOOKUP(CONCATENATE($B1714,"_",J$3),materiali!$C:$K,6,0),"")</f>
        <v/>
      </c>
      <c r="K1714" s="86"/>
      <c r="L1714" s="84" t="str">
        <f>IFERROR(VLOOKUP(CONCATENATE($B1714,"_",L$3),materiali!$C:$K,5,0),"")</f>
        <v/>
      </c>
      <c r="M1714" s="85" t="str">
        <f>IFERROR(VLOOKUP(CONCATENATE($B1714,"_",M$3),materiali!$C:$K,6,0),"")</f>
        <v/>
      </c>
      <c r="N1714" s="86"/>
      <c r="O1714" s="84" t="str">
        <f>IFERROR(VLOOKUP(CONCATENATE($B1714,"_",O$3),materiali!$C:$K,5,0),"")</f>
        <v/>
      </c>
      <c r="P1714" s="85" t="str">
        <f>IFERROR(VLOOKUP(CONCATENATE($B1714,"_",P$3),materiali!$C:$K,6,0),"")</f>
        <v/>
      </c>
      <c r="Q1714" s="86"/>
      <c r="R1714" s="84" t="str">
        <f>IFERROR(VLOOKUP(CONCATENATE($B1714,"_",R$3),materiali!$C:$K,5,0),"")</f>
        <v/>
      </c>
      <c r="S1714" s="85" t="str">
        <f>IFERROR(VLOOKUP(CONCATENATE($B1714,"_",S$3),materiali!$C:$K,6,0),"")</f>
        <v/>
      </c>
      <c r="T1714" s="86"/>
      <c r="U1714" s="31"/>
      <c r="AD1714" s="97"/>
    </row>
    <row r="1715" spans="1:30" ht="35.1" hidden="1" customHeight="1" x14ac:dyDescent="0.25">
      <c r="A1715" s="83"/>
      <c r="B1715" s="7"/>
      <c r="C1715" s="8"/>
      <c r="D1715" s="8"/>
      <c r="E1715" s="60"/>
      <c r="F1715" s="84" t="str">
        <f>IFERROR(VLOOKUP(CONCATENATE($B1715,"_",F$3),materiali!$C:$K,5,0),"")</f>
        <v/>
      </c>
      <c r="G1715" s="85" t="str">
        <f>IFERROR(VLOOKUP(CONCATENATE($B1715,"_",G$3),materiali!$C:$K,6,0),"")</f>
        <v/>
      </c>
      <c r="H1715" s="86"/>
      <c r="I1715" s="84" t="str">
        <f>IFERROR(VLOOKUP(CONCATENATE($B1715,"_",I$3),materiali!$C:$K,5,0),"")</f>
        <v/>
      </c>
      <c r="J1715" s="85" t="str">
        <f>IFERROR(VLOOKUP(CONCATENATE($B1715,"_",J$3),materiali!$C:$K,6,0),"")</f>
        <v/>
      </c>
      <c r="K1715" s="86"/>
      <c r="L1715" s="84" t="str">
        <f>IFERROR(VLOOKUP(CONCATENATE($B1715,"_",L$3),materiali!$C:$K,5,0),"")</f>
        <v/>
      </c>
      <c r="M1715" s="85" t="str">
        <f>IFERROR(VLOOKUP(CONCATENATE($B1715,"_",M$3),materiali!$C:$K,6,0),"")</f>
        <v/>
      </c>
      <c r="N1715" s="86"/>
      <c r="O1715" s="84" t="str">
        <f>IFERROR(VLOOKUP(CONCATENATE($B1715,"_",O$3),materiali!$C:$K,5,0),"")</f>
        <v/>
      </c>
      <c r="P1715" s="85" t="str">
        <f>IFERROR(VLOOKUP(CONCATENATE($B1715,"_",P$3),materiali!$C:$K,6,0),"")</f>
        <v/>
      </c>
      <c r="Q1715" s="86"/>
      <c r="R1715" s="84" t="str">
        <f>IFERROR(VLOOKUP(CONCATENATE($B1715,"_",R$3),materiali!$C:$K,5,0),"")</f>
        <v/>
      </c>
      <c r="S1715" s="85" t="str">
        <f>IFERROR(VLOOKUP(CONCATENATE($B1715,"_",S$3),materiali!$C:$K,6,0),"")</f>
        <v/>
      </c>
      <c r="T1715" s="86"/>
      <c r="U1715" s="31"/>
      <c r="AD1715" s="97"/>
    </row>
    <row r="1716" spans="1:30" ht="35.1" hidden="1" customHeight="1" x14ac:dyDescent="0.25">
      <c r="A1716" s="83"/>
      <c r="B1716" s="7"/>
      <c r="C1716" s="8"/>
      <c r="D1716" s="8"/>
      <c r="E1716" s="60"/>
      <c r="F1716" s="84" t="str">
        <f>IFERROR(VLOOKUP(CONCATENATE($B1716,"_",F$3),materiali!$C:$K,5,0),"")</f>
        <v/>
      </c>
      <c r="G1716" s="85" t="str">
        <f>IFERROR(VLOOKUP(CONCATENATE($B1716,"_",G$3),materiali!$C:$K,6,0),"")</f>
        <v/>
      </c>
      <c r="H1716" s="86"/>
      <c r="I1716" s="84" t="str">
        <f>IFERROR(VLOOKUP(CONCATENATE($B1716,"_",I$3),materiali!$C:$K,5,0),"")</f>
        <v/>
      </c>
      <c r="J1716" s="85" t="str">
        <f>IFERROR(VLOOKUP(CONCATENATE($B1716,"_",J$3),materiali!$C:$K,6,0),"")</f>
        <v/>
      </c>
      <c r="K1716" s="86"/>
      <c r="L1716" s="84" t="str">
        <f>IFERROR(VLOOKUP(CONCATENATE($B1716,"_",L$3),materiali!$C:$K,5,0),"")</f>
        <v/>
      </c>
      <c r="M1716" s="85" t="str">
        <f>IFERROR(VLOOKUP(CONCATENATE($B1716,"_",M$3),materiali!$C:$K,6,0),"")</f>
        <v/>
      </c>
      <c r="N1716" s="86"/>
      <c r="O1716" s="84" t="str">
        <f>IFERROR(VLOOKUP(CONCATENATE($B1716,"_",O$3),materiali!$C:$K,5,0),"")</f>
        <v/>
      </c>
      <c r="P1716" s="85" t="str">
        <f>IFERROR(VLOOKUP(CONCATENATE($B1716,"_",P$3),materiali!$C:$K,6,0),"")</f>
        <v/>
      </c>
      <c r="Q1716" s="86"/>
      <c r="R1716" s="84" t="str">
        <f>IFERROR(VLOOKUP(CONCATENATE($B1716,"_",R$3),materiali!$C:$K,5,0),"")</f>
        <v/>
      </c>
      <c r="S1716" s="85" t="str">
        <f>IFERROR(VLOOKUP(CONCATENATE($B1716,"_",S$3),materiali!$C:$K,6,0),"")</f>
        <v/>
      </c>
      <c r="T1716" s="86"/>
      <c r="U1716" s="31"/>
      <c r="AD1716" s="97"/>
    </row>
    <row r="1717" spans="1:30" ht="35.1" hidden="1" customHeight="1" x14ac:dyDescent="0.25">
      <c r="A1717" s="83"/>
      <c r="B1717" s="7"/>
      <c r="C1717" s="8"/>
      <c r="D1717" s="8"/>
      <c r="E1717" s="60"/>
      <c r="F1717" s="84" t="str">
        <f>IFERROR(VLOOKUP(CONCATENATE($B1717,"_",F$3),materiali!$C:$K,5,0),"")</f>
        <v/>
      </c>
      <c r="G1717" s="85" t="str">
        <f>IFERROR(VLOOKUP(CONCATENATE($B1717,"_",G$3),materiali!$C:$K,6,0),"")</f>
        <v/>
      </c>
      <c r="H1717" s="86"/>
      <c r="I1717" s="84" t="str">
        <f>IFERROR(VLOOKUP(CONCATENATE($B1717,"_",I$3),materiali!$C:$K,5,0),"")</f>
        <v/>
      </c>
      <c r="J1717" s="85" t="str">
        <f>IFERROR(VLOOKUP(CONCATENATE($B1717,"_",J$3),materiali!$C:$K,6,0),"")</f>
        <v/>
      </c>
      <c r="K1717" s="86"/>
      <c r="L1717" s="84" t="str">
        <f>IFERROR(VLOOKUP(CONCATENATE($B1717,"_",L$3),materiali!$C:$K,5,0),"")</f>
        <v/>
      </c>
      <c r="M1717" s="85" t="str">
        <f>IFERROR(VLOOKUP(CONCATENATE($B1717,"_",M$3),materiali!$C:$K,6,0),"")</f>
        <v/>
      </c>
      <c r="N1717" s="86"/>
      <c r="O1717" s="84" t="str">
        <f>IFERROR(VLOOKUP(CONCATENATE($B1717,"_",O$3),materiali!$C:$K,5,0),"")</f>
        <v/>
      </c>
      <c r="P1717" s="85" t="str">
        <f>IFERROR(VLOOKUP(CONCATENATE($B1717,"_",P$3),materiali!$C:$K,6,0),"")</f>
        <v/>
      </c>
      <c r="Q1717" s="86"/>
      <c r="R1717" s="84" t="str">
        <f>IFERROR(VLOOKUP(CONCATENATE($B1717,"_",R$3),materiali!$C:$K,5,0),"")</f>
        <v/>
      </c>
      <c r="S1717" s="85" t="str">
        <f>IFERROR(VLOOKUP(CONCATENATE($B1717,"_",S$3),materiali!$C:$K,6,0),"")</f>
        <v/>
      </c>
      <c r="T1717" s="86"/>
      <c r="U1717" s="31"/>
      <c r="AD1717" s="97"/>
    </row>
    <row r="1718" spans="1:30" ht="35.1" hidden="1" customHeight="1" x14ac:dyDescent="0.25">
      <c r="A1718" s="83"/>
      <c r="B1718" s="7"/>
      <c r="C1718" s="8"/>
      <c r="D1718" s="8"/>
      <c r="E1718" s="60"/>
      <c r="F1718" s="84" t="str">
        <f>IFERROR(VLOOKUP(CONCATENATE($B1718,"_",F$3),materiali!$C:$K,5,0),"")</f>
        <v/>
      </c>
      <c r="G1718" s="85" t="str">
        <f>IFERROR(VLOOKUP(CONCATENATE($B1718,"_",G$3),materiali!$C:$K,6,0),"")</f>
        <v/>
      </c>
      <c r="H1718" s="86"/>
      <c r="I1718" s="84" t="str">
        <f>IFERROR(VLOOKUP(CONCATENATE($B1718,"_",I$3),materiali!$C:$K,5,0),"")</f>
        <v/>
      </c>
      <c r="J1718" s="85" t="str">
        <f>IFERROR(VLOOKUP(CONCATENATE($B1718,"_",J$3),materiali!$C:$K,6,0),"")</f>
        <v/>
      </c>
      <c r="K1718" s="86"/>
      <c r="L1718" s="84" t="str">
        <f>IFERROR(VLOOKUP(CONCATENATE($B1718,"_",L$3),materiali!$C:$K,5,0),"")</f>
        <v/>
      </c>
      <c r="M1718" s="85" t="str">
        <f>IFERROR(VLOOKUP(CONCATENATE($B1718,"_",M$3),materiali!$C:$K,6,0),"")</f>
        <v/>
      </c>
      <c r="N1718" s="86"/>
      <c r="O1718" s="84" t="str">
        <f>IFERROR(VLOOKUP(CONCATENATE($B1718,"_",O$3),materiali!$C:$K,5,0),"")</f>
        <v/>
      </c>
      <c r="P1718" s="85" t="str">
        <f>IFERROR(VLOOKUP(CONCATENATE($B1718,"_",P$3),materiali!$C:$K,6,0),"")</f>
        <v/>
      </c>
      <c r="Q1718" s="86"/>
      <c r="R1718" s="84" t="str">
        <f>IFERROR(VLOOKUP(CONCATENATE($B1718,"_",R$3),materiali!$C:$K,5,0),"")</f>
        <v/>
      </c>
      <c r="S1718" s="85" t="str">
        <f>IFERROR(VLOOKUP(CONCATENATE($B1718,"_",S$3),materiali!$C:$K,6,0),"")</f>
        <v/>
      </c>
      <c r="T1718" s="86"/>
      <c r="U1718" s="31"/>
      <c r="AD1718" s="97"/>
    </row>
    <row r="1719" spans="1:30" ht="35.1" hidden="1" customHeight="1" x14ac:dyDescent="0.25">
      <c r="A1719" s="83"/>
      <c r="B1719" s="7"/>
      <c r="C1719" s="8"/>
      <c r="D1719" s="8"/>
      <c r="E1719" s="60"/>
      <c r="F1719" s="84" t="str">
        <f>IFERROR(VLOOKUP(CONCATENATE($B1719,"_",F$3),materiali!$C:$K,5,0),"")</f>
        <v/>
      </c>
      <c r="G1719" s="85" t="str">
        <f>IFERROR(VLOOKUP(CONCATENATE($B1719,"_",G$3),materiali!$C:$K,6,0),"")</f>
        <v/>
      </c>
      <c r="H1719" s="86"/>
      <c r="I1719" s="84" t="str">
        <f>IFERROR(VLOOKUP(CONCATENATE($B1719,"_",I$3),materiali!$C:$K,5,0),"")</f>
        <v/>
      </c>
      <c r="J1719" s="85" t="str">
        <f>IFERROR(VLOOKUP(CONCATENATE($B1719,"_",J$3),materiali!$C:$K,6,0),"")</f>
        <v/>
      </c>
      <c r="K1719" s="86"/>
      <c r="L1719" s="84" t="str">
        <f>IFERROR(VLOOKUP(CONCATENATE($B1719,"_",L$3),materiali!$C:$K,5,0),"")</f>
        <v/>
      </c>
      <c r="M1719" s="85" t="str">
        <f>IFERROR(VLOOKUP(CONCATENATE($B1719,"_",M$3),materiali!$C:$K,6,0),"")</f>
        <v/>
      </c>
      <c r="N1719" s="86"/>
      <c r="O1719" s="84" t="str">
        <f>IFERROR(VLOOKUP(CONCATENATE($B1719,"_",O$3),materiali!$C:$K,5,0),"")</f>
        <v/>
      </c>
      <c r="P1719" s="85" t="str">
        <f>IFERROR(VLOOKUP(CONCATENATE($B1719,"_",P$3),materiali!$C:$K,6,0),"")</f>
        <v/>
      </c>
      <c r="Q1719" s="86"/>
      <c r="R1719" s="84" t="str">
        <f>IFERROR(VLOOKUP(CONCATENATE($B1719,"_",R$3),materiali!$C:$K,5,0),"")</f>
        <v/>
      </c>
      <c r="S1719" s="85" t="str">
        <f>IFERROR(VLOOKUP(CONCATENATE($B1719,"_",S$3),materiali!$C:$K,6,0),"")</f>
        <v/>
      </c>
      <c r="T1719" s="86"/>
      <c r="U1719" s="31"/>
      <c r="AD1719" s="97"/>
    </row>
    <row r="1720" spans="1:30" ht="35.1" hidden="1" customHeight="1" x14ac:dyDescent="0.25">
      <c r="A1720" s="83"/>
      <c r="B1720" s="7"/>
      <c r="C1720" s="8"/>
      <c r="D1720" s="8"/>
      <c r="E1720" s="60"/>
      <c r="F1720" s="84" t="str">
        <f>IFERROR(VLOOKUP(CONCATENATE($B1720,"_",F$3),materiali!$C:$K,5,0),"")</f>
        <v/>
      </c>
      <c r="G1720" s="85" t="str">
        <f>IFERROR(VLOOKUP(CONCATENATE($B1720,"_",G$3),materiali!$C:$K,6,0),"")</f>
        <v/>
      </c>
      <c r="H1720" s="86"/>
      <c r="I1720" s="84" t="str">
        <f>IFERROR(VLOOKUP(CONCATENATE($B1720,"_",I$3),materiali!$C:$K,5,0),"")</f>
        <v/>
      </c>
      <c r="J1720" s="85" t="str">
        <f>IFERROR(VLOOKUP(CONCATENATE($B1720,"_",J$3),materiali!$C:$K,6,0),"")</f>
        <v/>
      </c>
      <c r="K1720" s="86"/>
      <c r="L1720" s="84" t="str">
        <f>IFERROR(VLOOKUP(CONCATENATE($B1720,"_",L$3),materiali!$C:$K,5,0),"")</f>
        <v/>
      </c>
      <c r="M1720" s="85" t="str">
        <f>IFERROR(VLOOKUP(CONCATENATE($B1720,"_",M$3),materiali!$C:$K,6,0),"")</f>
        <v/>
      </c>
      <c r="N1720" s="86"/>
      <c r="O1720" s="84" t="str">
        <f>IFERROR(VLOOKUP(CONCATENATE($B1720,"_",O$3),materiali!$C:$K,5,0),"")</f>
        <v/>
      </c>
      <c r="P1720" s="85" t="str">
        <f>IFERROR(VLOOKUP(CONCATENATE($B1720,"_",P$3),materiali!$C:$K,6,0),"")</f>
        <v/>
      </c>
      <c r="Q1720" s="86"/>
      <c r="R1720" s="84" t="str">
        <f>IFERROR(VLOOKUP(CONCATENATE($B1720,"_",R$3),materiali!$C:$K,5,0),"")</f>
        <v/>
      </c>
      <c r="S1720" s="85" t="str">
        <f>IFERROR(VLOOKUP(CONCATENATE($B1720,"_",S$3),materiali!$C:$K,6,0),"")</f>
        <v/>
      </c>
      <c r="T1720" s="86"/>
      <c r="U1720" s="31"/>
      <c r="AD1720" s="97"/>
    </row>
    <row r="1721" spans="1:30" ht="35.1" hidden="1" customHeight="1" x14ac:dyDescent="0.25">
      <c r="A1721" s="83"/>
      <c r="B1721" s="7"/>
      <c r="C1721" s="8"/>
      <c r="D1721" s="8"/>
      <c r="E1721" s="60"/>
      <c r="F1721" s="84" t="str">
        <f>IFERROR(VLOOKUP(CONCATENATE($B1721,"_",F$3),materiali!$C:$K,5,0),"")</f>
        <v/>
      </c>
      <c r="G1721" s="85" t="str">
        <f>IFERROR(VLOOKUP(CONCATENATE($B1721,"_",G$3),materiali!$C:$K,6,0),"")</f>
        <v/>
      </c>
      <c r="H1721" s="86"/>
      <c r="I1721" s="84" t="str">
        <f>IFERROR(VLOOKUP(CONCATENATE($B1721,"_",I$3),materiali!$C:$K,5,0),"")</f>
        <v/>
      </c>
      <c r="J1721" s="85" t="str">
        <f>IFERROR(VLOOKUP(CONCATENATE($B1721,"_",J$3),materiali!$C:$K,6,0),"")</f>
        <v/>
      </c>
      <c r="K1721" s="86"/>
      <c r="L1721" s="84" t="str">
        <f>IFERROR(VLOOKUP(CONCATENATE($B1721,"_",L$3),materiali!$C:$K,5,0),"")</f>
        <v/>
      </c>
      <c r="M1721" s="85" t="str">
        <f>IFERROR(VLOOKUP(CONCATENATE($B1721,"_",M$3),materiali!$C:$K,6,0),"")</f>
        <v/>
      </c>
      <c r="N1721" s="86"/>
      <c r="O1721" s="84" t="str">
        <f>IFERROR(VLOOKUP(CONCATENATE($B1721,"_",O$3),materiali!$C:$K,5,0),"")</f>
        <v/>
      </c>
      <c r="P1721" s="85" t="str">
        <f>IFERROR(VLOOKUP(CONCATENATE($B1721,"_",P$3),materiali!$C:$K,6,0),"")</f>
        <v/>
      </c>
      <c r="Q1721" s="86"/>
      <c r="R1721" s="84" t="str">
        <f>IFERROR(VLOOKUP(CONCATENATE($B1721,"_",R$3),materiali!$C:$K,5,0),"")</f>
        <v/>
      </c>
      <c r="S1721" s="85" t="str">
        <f>IFERROR(VLOOKUP(CONCATENATE($B1721,"_",S$3),materiali!$C:$K,6,0),"")</f>
        <v/>
      </c>
      <c r="T1721" s="86"/>
      <c r="U1721" s="31"/>
      <c r="AD1721" s="97"/>
    </row>
    <row r="1722" spans="1:30" ht="35.1" hidden="1" customHeight="1" x14ac:dyDescent="0.25">
      <c r="A1722" s="83"/>
      <c r="B1722" s="7"/>
      <c r="C1722" s="8"/>
      <c r="D1722" s="8"/>
      <c r="E1722" s="60"/>
      <c r="F1722" s="84" t="str">
        <f>IFERROR(VLOOKUP(CONCATENATE($B1722,"_",F$3),materiali!$C:$K,5,0),"")</f>
        <v/>
      </c>
      <c r="G1722" s="85" t="str">
        <f>IFERROR(VLOOKUP(CONCATENATE($B1722,"_",G$3),materiali!$C:$K,6,0),"")</f>
        <v/>
      </c>
      <c r="H1722" s="86"/>
      <c r="I1722" s="84" t="str">
        <f>IFERROR(VLOOKUP(CONCATENATE($B1722,"_",I$3),materiali!$C:$K,5,0),"")</f>
        <v/>
      </c>
      <c r="J1722" s="85" t="str">
        <f>IFERROR(VLOOKUP(CONCATENATE($B1722,"_",J$3),materiali!$C:$K,6,0),"")</f>
        <v/>
      </c>
      <c r="K1722" s="86"/>
      <c r="L1722" s="84" t="str">
        <f>IFERROR(VLOOKUP(CONCATENATE($B1722,"_",L$3),materiali!$C:$K,5,0),"")</f>
        <v/>
      </c>
      <c r="M1722" s="85" t="str">
        <f>IFERROR(VLOOKUP(CONCATENATE($B1722,"_",M$3),materiali!$C:$K,6,0),"")</f>
        <v/>
      </c>
      <c r="N1722" s="86"/>
      <c r="O1722" s="84" t="str">
        <f>IFERROR(VLOOKUP(CONCATENATE($B1722,"_",O$3),materiali!$C:$K,5,0),"")</f>
        <v/>
      </c>
      <c r="P1722" s="85" t="str">
        <f>IFERROR(VLOOKUP(CONCATENATE($B1722,"_",P$3),materiali!$C:$K,6,0),"")</f>
        <v/>
      </c>
      <c r="Q1722" s="86"/>
      <c r="R1722" s="84" t="str">
        <f>IFERROR(VLOOKUP(CONCATENATE($B1722,"_",R$3),materiali!$C:$K,5,0),"")</f>
        <v/>
      </c>
      <c r="S1722" s="85" t="str">
        <f>IFERROR(VLOOKUP(CONCATENATE($B1722,"_",S$3),materiali!$C:$K,6,0),"")</f>
        <v/>
      </c>
      <c r="T1722" s="86"/>
      <c r="U1722" s="31"/>
      <c r="AD1722" s="97"/>
    </row>
    <row r="1723" spans="1:30" ht="35.1" hidden="1" customHeight="1" x14ac:dyDescent="0.25">
      <c r="A1723" s="83"/>
      <c r="B1723" s="7"/>
      <c r="C1723" s="8"/>
      <c r="D1723" s="8"/>
      <c r="E1723" s="60"/>
      <c r="F1723" s="84" t="str">
        <f>IFERROR(VLOOKUP(CONCATENATE($B1723,"_",F$3),materiali!$C:$K,5,0),"")</f>
        <v/>
      </c>
      <c r="G1723" s="85" t="str">
        <f>IFERROR(VLOOKUP(CONCATENATE($B1723,"_",G$3),materiali!$C:$K,6,0),"")</f>
        <v/>
      </c>
      <c r="H1723" s="86"/>
      <c r="I1723" s="84" t="str">
        <f>IFERROR(VLOOKUP(CONCATENATE($B1723,"_",I$3),materiali!$C:$K,5,0),"")</f>
        <v/>
      </c>
      <c r="J1723" s="85" t="str">
        <f>IFERROR(VLOOKUP(CONCATENATE($B1723,"_",J$3),materiali!$C:$K,6,0),"")</f>
        <v/>
      </c>
      <c r="K1723" s="86"/>
      <c r="L1723" s="84" t="str">
        <f>IFERROR(VLOOKUP(CONCATENATE($B1723,"_",L$3),materiali!$C:$K,5,0),"")</f>
        <v/>
      </c>
      <c r="M1723" s="85" t="str">
        <f>IFERROR(VLOOKUP(CONCATENATE($B1723,"_",M$3),materiali!$C:$K,6,0),"")</f>
        <v/>
      </c>
      <c r="N1723" s="86"/>
      <c r="O1723" s="84" t="str">
        <f>IFERROR(VLOOKUP(CONCATENATE($B1723,"_",O$3),materiali!$C:$K,5,0),"")</f>
        <v/>
      </c>
      <c r="P1723" s="85" t="str">
        <f>IFERROR(VLOOKUP(CONCATENATE($B1723,"_",P$3),materiali!$C:$K,6,0),"")</f>
        <v/>
      </c>
      <c r="Q1723" s="86"/>
      <c r="R1723" s="84" t="str">
        <f>IFERROR(VLOOKUP(CONCATENATE($B1723,"_",R$3),materiali!$C:$K,5,0),"")</f>
        <v/>
      </c>
      <c r="S1723" s="85" t="str">
        <f>IFERROR(VLOOKUP(CONCATENATE($B1723,"_",S$3),materiali!$C:$K,6,0),"")</f>
        <v/>
      </c>
      <c r="T1723" s="86"/>
      <c r="U1723" s="31"/>
      <c r="AD1723" s="97"/>
    </row>
    <row r="1724" spans="1:30" ht="35.1" hidden="1" customHeight="1" x14ac:dyDescent="0.25">
      <c r="A1724" s="83"/>
      <c r="B1724" s="7"/>
      <c r="C1724" s="8"/>
      <c r="D1724" s="8"/>
      <c r="E1724" s="60"/>
      <c r="F1724" s="84" t="str">
        <f>IFERROR(VLOOKUP(CONCATENATE($B1724,"_",F$3),materiali!$C:$K,5,0),"")</f>
        <v/>
      </c>
      <c r="G1724" s="85" t="str">
        <f>IFERROR(VLOOKUP(CONCATENATE($B1724,"_",G$3),materiali!$C:$K,6,0),"")</f>
        <v/>
      </c>
      <c r="H1724" s="86"/>
      <c r="I1724" s="84" t="str">
        <f>IFERROR(VLOOKUP(CONCATENATE($B1724,"_",I$3),materiali!$C:$K,5,0),"")</f>
        <v/>
      </c>
      <c r="J1724" s="85" t="str">
        <f>IFERROR(VLOOKUP(CONCATENATE($B1724,"_",J$3),materiali!$C:$K,6,0),"")</f>
        <v/>
      </c>
      <c r="K1724" s="86"/>
      <c r="L1724" s="84" t="str">
        <f>IFERROR(VLOOKUP(CONCATENATE($B1724,"_",L$3),materiali!$C:$K,5,0),"")</f>
        <v/>
      </c>
      <c r="M1724" s="85" t="str">
        <f>IFERROR(VLOOKUP(CONCATENATE($B1724,"_",M$3),materiali!$C:$K,6,0),"")</f>
        <v/>
      </c>
      <c r="N1724" s="86"/>
      <c r="O1724" s="84" t="str">
        <f>IFERROR(VLOOKUP(CONCATENATE($B1724,"_",O$3),materiali!$C:$K,5,0),"")</f>
        <v/>
      </c>
      <c r="P1724" s="85" t="str">
        <f>IFERROR(VLOOKUP(CONCATENATE($B1724,"_",P$3),materiali!$C:$K,6,0),"")</f>
        <v/>
      </c>
      <c r="Q1724" s="86"/>
      <c r="R1724" s="84" t="str">
        <f>IFERROR(VLOOKUP(CONCATENATE($B1724,"_",R$3),materiali!$C:$K,5,0),"")</f>
        <v/>
      </c>
      <c r="S1724" s="85" t="str">
        <f>IFERROR(VLOOKUP(CONCATENATE($B1724,"_",S$3),materiali!$C:$K,6,0),"")</f>
        <v/>
      </c>
      <c r="T1724" s="86"/>
      <c r="U1724" s="31"/>
      <c r="AD1724" s="97"/>
    </row>
    <row r="1725" spans="1:30" ht="35.1" hidden="1" customHeight="1" x14ac:dyDescent="0.25">
      <c r="A1725" s="83"/>
      <c r="B1725" s="7"/>
      <c r="C1725" s="8"/>
      <c r="D1725" s="8"/>
      <c r="E1725" s="60"/>
      <c r="F1725" s="84" t="str">
        <f>IFERROR(VLOOKUP(CONCATENATE($B1725,"_",F$3),materiali!$C:$K,5,0),"")</f>
        <v/>
      </c>
      <c r="G1725" s="85" t="str">
        <f>IFERROR(VLOOKUP(CONCATENATE($B1725,"_",G$3),materiali!$C:$K,6,0),"")</f>
        <v/>
      </c>
      <c r="H1725" s="86"/>
      <c r="I1725" s="84" t="str">
        <f>IFERROR(VLOOKUP(CONCATENATE($B1725,"_",I$3),materiali!$C:$K,5,0),"")</f>
        <v/>
      </c>
      <c r="J1725" s="85" t="str">
        <f>IFERROR(VLOOKUP(CONCATENATE($B1725,"_",J$3),materiali!$C:$K,6,0),"")</f>
        <v/>
      </c>
      <c r="K1725" s="86"/>
      <c r="L1725" s="84" t="str">
        <f>IFERROR(VLOOKUP(CONCATENATE($B1725,"_",L$3),materiali!$C:$K,5,0),"")</f>
        <v/>
      </c>
      <c r="M1725" s="85" t="str">
        <f>IFERROR(VLOOKUP(CONCATENATE($B1725,"_",M$3),materiali!$C:$K,6,0),"")</f>
        <v/>
      </c>
      <c r="N1725" s="86"/>
      <c r="O1725" s="84" t="str">
        <f>IFERROR(VLOOKUP(CONCATENATE($B1725,"_",O$3),materiali!$C:$K,5,0),"")</f>
        <v/>
      </c>
      <c r="P1725" s="85" t="str">
        <f>IFERROR(VLOOKUP(CONCATENATE($B1725,"_",P$3),materiali!$C:$K,6,0),"")</f>
        <v/>
      </c>
      <c r="Q1725" s="86"/>
      <c r="R1725" s="84" t="str">
        <f>IFERROR(VLOOKUP(CONCATENATE($B1725,"_",R$3),materiali!$C:$K,5,0),"")</f>
        <v/>
      </c>
      <c r="S1725" s="85" t="str">
        <f>IFERROR(VLOOKUP(CONCATENATE($B1725,"_",S$3),materiali!$C:$K,6,0),"")</f>
        <v/>
      </c>
      <c r="T1725" s="86"/>
      <c r="U1725" s="31"/>
      <c r="AD1725" s="97"/>
    </row>
    <row r="1726" spans="1:30" ht="35.1" hidden="1" customHeight="1" x14ac:dyDescent="0.25">
      <c r="A1726" s="83"/>
      <c r="B1726" s="7"/>
      <c r="C1726" s="8"/>
      <c r="D1726" s="8"/>
      <c r="E1726" s="60"/>
      <c r="F1726" s="84" t="str">
        <f>IFERROR(VLOOKUP(CONCATENATE($B1726,"_",F$3),materiali!$C:$K,5,0),"")</f>
        <v/>
      </c>
      <c r="G1726" s="85" t="str">
        <f>IFERROR(VLOOKUP(CONCATENATE($B1726,"_",G$3),materiali!$C:$K,6,0),"")</f>
        <v/>
      </c>
      <c r="H1726" s="86"/>
      <c r="I1726" s="84" t="str">
        <f>IFERROR(VLOOKUP(CONCATENATE($B1726,"_",I$3),materiali!$C:$K,5,0),"")</f>
        <v/>
      </c>
      <c r="J1726" s="85" t="str">
        <f>IFERROR(VLOOKUP(CONCATENATE($B1726,"_",J$3),materiali!$C:$K,6,0),"")</f>
        <v/>
      </c>
      <c r="K1726" s="86"/>
      <c r="L1726" s="84" t="str">
        <f>IFERROR(VLOOKUP(CONCATENATE($B1726,"_",L$3),materiali!$C:$K,5,0),"")</f>
        <v/>
      </c>
      <c r="M1726" s="85" t="str">
        <f>IFERROR(VLOOKUP(CONCATENATE($B1726,"_",M$3),materiali!$C:$K,6,0),"")</f>
        <v/>
      </c>
      <c r="N1726" s="86"/>
      <c r="O1726" s="84" t="str">
        <f>IFERROR(VLOOKUP(CONCATENATE($B1726,"_",O$3),materiali!$C:$K,5,0),"")</f>
        <v/>
      </c>
      <c r="P1726" s="85" t="str">
        <f>IFERROR(VLOOKUP(CONCATENATE($B1726,"_",P$3),materiali!$C:$K,6,0),"")</f>
        <v/>
      </c>
      <c r="Q1726" s="86"/>
      <c r="R1726" s="84" t="str">
        <f>IFERROR(VLOOKUP(CONCATENATE($B1726,"_",R$3),materiali!$C:$K,5,0),"")</f>
        <v/>
      </c>
      <c r="S1726" s="85" t="str">
        <f>IFERROR(VLOOKUP(CONCATENATE($B1726,"_",S$3),materiali!$C:$K,6,0),"")</f>
        <v/>
      </c>
      <c r="T1726" s="86"/>
      <c r="U1726" s="31"/>
      <c r="AD1726" s="97"/>
    </row>
    <row r="1727" spans="1:30" ht="35.1" hidden="1" customHeight="1" x14ac:dyDescent="0.25">
      <c r="A1727" s="83"/>
      <c r="B1727" s="7"/>
      <c r="C1727" s="8"/>
      <c r="D1727" s="8"/>
      <c r="E1727" s="60"/>
      <c r="F1727" s="84" t="str">
        <f>IFERROR(VLOOKUP(CONCATENATE($B1727,"_",F$3),materiali!$C:$K,5,0),"")</f>
        <v/>
      </c>
      <c r="G1727" s="85" t="str">
        <f>IFERROR(VLOOKUP(CONCATENATE($B1727,"_",G$3),materiali!$C:$K,6,0),"")</f>
        <v/>
      </c>
      <c r="H1727" s="86"/>
      <c r="I1727" s="84" t="str">
        <f>IFERROR(VLOOKUP(CONCATENATE($B1727,"_",I$3),materiali!$C:$K,5,0),"")</f>
        <v/>
      </c>
      <c r="J1727" s="85" t="str">
        <f>IFERROR(VLOOKUP(CONCATENATE($B1727,"_",J$3),materiali!$C:$K,6,0),"")</f>
        <v/>
      </c>
      <c r="K1727" s="86"/>
      <c r="L1727" s="84" t="str">
        <f>IFERROR(VLOOKUP(CONCATENATE($B1727,"_",L$3),materiali!$C:$K,5,0),"")</f>
        <v/>
      </c>
      <c r="M1727" s="85" t="str">
        <f>IFERROR(VLOOKUP(CONCATENATE($B1727,"_",M$3),materiali!$C:$K,6,0),"")</f>
        <v/>
      </c>
      <c r="N1727" s="86"/>
      <c r="O1727" s="84" t="str">
        <f>IFERROR(VLOOKUP(CONCATENATE($B1727,"_",O$3),materiali!$C:$K,5,0),"")</f>
        <v/>
      </c>
      <c r="P1727" s="85" t="str">
        <f>IFERROR(VLOOKUP(CONCATENATE($B1727,"_",P$3),materiali!$C:$K,6,0),"")</f>
        <v/>
      </c>
      <c r="Q1727" s="86"/>
      <c r="R1727" s="84" t="str">
        <f>IFERROR(VLOOKUP(CONCATENATE($B1727,"_",R$3),materiali!$C:$K,5,0),"")</f>
        <v/>
      </c>
      <c r="S1727" s="85" t="str">
        <f>IFERROR(VLOOKUP(CONCATENATE($B1727,"_",S$3),materiali!$C:$K,6,0),"")</f>
        <v/>
      </c>
      <c r="T1727" s="86"/>
      <c r="U1727" s="31"/>
      <c r="AD1727" s="97"/>
    </row>
    <row r="1728" spans="1:30" ht="35.1" hidden="1" customHeight="1" x14ac:dyDescent="0.25">
      <c r="A1728" s="83"/>
      <c r="B1728" s="7"/>
      <c r="C1728" s="8"/>
      <c r="D1728" s="8"/>
      <c r="E1728" s="60"/>
      <c r="F1728" s="84" t="str">
        <f>IFERROR(VLOOKUP(CONCATENATE($B1728,"_",F$3),materiali!$C:$K,5,0),"")</f>
        <v/>
      </c>
      <c r="G1728" s="85" t="str">
        <f>IFERROR(VLOOKUP(CONCATENATE($B1728,"_",G$3),materiali!$C:$K,6,0),"")</f>
        <v/>
      </c>
      <c r="H1728" s="86"/>
      <c r="I1728" s="84" t="str">
        <f>IFERROR(VLOOKUP(CONCATENATE($B1728,"_",I$3),materiali!$C:$K,5,0),"")</f>
        <v/>
      </c>
      <c r="J1728" s="85" t="str">
        <f>IFERROR(VLOOKUP(CONCATENATE($B1728,"_",J$3),materiali!$C:$K,6,0),"")</f>
        <v/>
      </c>
      <c r="K1728" s="86"/>
      <c r="L1728" s="84" t="str">
        <f>IFERROR(VLOOKUP(CONCATENATE($B1728,"_",L$3),materiali!$C:$K,5,0),"")</f>
        <v/>
      </c>
      <c r="M1728" s="85" t="str">
        <f>IFERROR(VLOOKUP(CONCATENATE($B1728,"_",M$3),materiali!$C:$K,6,0),"")</f>
        <v/>
      </c>
      <c r="N1728" s="86"/>
      <c r="O1728" s="84" t="str">
        <f>IFERROR(VLOOKUP(CONCATENATE($B1728,"_",O$3),materiali!$C:$K,5,0),"")</f>
        <v/>
      </c>
      <c r="P1728" s="85" t="str">
        <f>IFERROR(VLOOKUP(CONCATENATE($B1728,"_",P$3),materiali!$C:$K,6,0),"")</f>
        <v/>
      </c>
      <c r="Q1728" s="86"/>
      <c r="R1728" s="84" t="str">
        <f>IFERROR(VLOOKUP(CONCATENATE($B1728,"_",R$3),materiali!$C:$K,5,0),"")</f>
        <v/>
      </c>
      <c r="S1728" s="85" t="str">
        <f>IFERROR(VLOOKUP(CONCATENATE($B1728,"_",S$3),materiali!$C:$K,6,0),"")</f>
        <v/>
      </c>
      <c r="T1728" s="86"/>
      <c r="U1728" s="31"/>
      <c r="AD1728" s="97"/>
    </row>
    <row r="1729" spans="1:30" ht="35.1" hidden="1" customHeight="1" x14ac:dyDescent="0.25">
      <c r="A1729" s="83"/>
      <c r="B1729" s="7"/>
      <c r="C1729" s="8"/>
      <c r="D1729" s="8"/>
      <c r="E1729" s="60"/>
      <c r="F1729" s="84" t="str">
        <f>IFERROR(VLOOKUP(CONCATENATE($B1729,"_",F$3),materiali!$C:$K,5,0),"")</f>
        <v/>
      </c>
      <c r="G1729" s="85" t="str">
        <f>IFERROR(VLOOKUP(CONCATENATE($B1729,"_",G$3),materiali!$C:$K,6,0),"")</f>
        <v/>
      </c>
      <c r="H1729" s="86"/>
      <c r="I1729" s="84" t="str">
        <f>IFERROR(VLOOKUP(CONCATENATE($B1729,"_",I$3),materiali!$C:$K,5,0),"")</f>
        <v/>
      </c>
      <c r="J1729" s="85" t="str">
        <f>IFERROR(VLOOKUP(CONCATENATE($B1729,"_",J$3),materiali!$C:$K,6,0),"")</f>
        <v/>
      </c>
      <c r="K1729" s="86"/>
      <c r="L1729" s="84" t="str">
        <f>IFERROR(VLOOKUP(CONCATENATE($B1729,"_",L$3),materiali!$C:$K,5,0),"")</f>
        <v/>
      </c>
      <c r="M1729" s="85" t="str">
        <f>IFERROR(VLOOKUP(CONCATENATE($B1729,"_",M$3),materiali!$C:$K,6,0),"")</f>
        <v/>
      </c>
      <c r="N1729" s="86"/>
      <c r="O1729" s="84" t="str">
        <f>IFERROR(VLOOKUP(CONCATENATE($B1729,"_",O$3),materiali!$C:$K,5,0),"")</f>
        <v/>
      </c>
      <c r="P1729" s="85" t="str">
        <f>IFERROR(VLOOKUP(CONCATENATE($B1729,"_",P$3),materiali!$C:$K,6,0),"")</f>
        <v/>
      </c>
      <c r="Q1729" s="86"/>
      <c r="R1729" s="84" t="str">
        <f>IFERROR(VLOOKUP(CONCATENATE($B1729,"_",R$3),materiali!$C:$K,5,0),"")</f>
        <v/>
      </c>
      <c r="S1729" s="85" t="str">
        <f>IFERROR(VLOOKUP(CONCATENATE($B1729,"_",S$3),materiali!$C:$K,6,0),"")</f>
        <v/>
      </c>
      <c r="T1729" s="86"/>
      <c r="U1729" s="31"/>
      <c r="AD1729" s="97"/>
    </row>
    <row r="1730" spans="1:30" ht="35.1" hidden="1" customHeight="1" x14ac:dyDescent="0.25">
      <c r="A1730" s="83"/>
      <c r="B1730" s="7"/>
      <c r="C1730" s="8"/>
      <c r="D1730" s="8"/>
      <c r="E1730" s="60"/>
      <c r="F1730" s="84" t="str">
        <f>IFERROR(VLOOKUP(CONCATENATE($B1730,"_",F$3),materiali!$C:$K,5,0),"")</f>
        <v/>
      </c>
      <c r="G1730" s="85" t="str">
        <f>IFERROR(VLOOKUP(CONCATENATE($B1730,"_",G$3),materiali!$C:$K,6,0),"")</f>
        <v/>
      </c>
      <c r="H1730" s="86"/>
      <c r="I1730" s="84" t="str">
        <f>IFERROR(VLOOKUP(CONCATENATE($B1730,"_",I$3),materiali!$C:$K,5,0),"")</f>
        <v/>
      </c>
      <c r="J1730" s="85" t="str">
        <f>IFERROR(VLOOKUP(CONCATENATE($B1730,"_",J$3),materiali!$C:$K,6,0),"")</f>
        <v/>
      </c>
      <c r="K1730" s="86"/>
      <c r="L1730" s="84" t="str">
        <f>IFERROR(VLOOKUP(CONCATENATE($B1730,"_",L$3),materiali!$C:$K,5,0),"")</f>
        <v/>
      </c>
      <c r="M1730" s="85" t="str">
        <f>IFERROR(VLOOKUP(CONCATENATE($B1730,"_",M$3),materiali!$C:$K,6,0),"")</f>
        <v/>
      </c>
      <c r="N1730" s="86"/>
      <c r="O1730" s="84" t="str">
        <f>IFERROR(VLOOKUP(CONCATENATE($B1730,"_",O$3),materiali!$C:$K,5,0),"")</f>
        <v/>
      </c>
      <c r="P1730" s="85" t="str">
        <f>IFERROR(VLOOKUP(CONCATENATE($B1730,"_",P$3),materiali!$C:$K,6,0),"")</f>
        <v/>
      </c>
      <c r="Q1730" s="86"/>
      <c r="R1730" s="84" t="str">
        <f>IFERROR(VLOOKUP(CONCATENATE($B1730,"_",R$3),materiali!$C:$K,5,0),"")</f>
        <v/>
      </c>
      <c r="S1730" s="85" t="str">
        <f>IFERROR(VLOOKUP(CONCATENATE($B1730,"_",S$3),materiali!$C:$K,6,0),"")</f>
        <v/>
      </c>
      <c r="T1730" s="86"/>
      <c r="U1730" s="31"/>
      <c r="AD1730" s="97"/>
    </row>
    <row r="1731" spans="1:30" ht="35.1" hidden="1" customHeight="1" x14ac:dyDescent="0.25">
      <c r="A1731" s="83"/>
      <c r="B1731" s="7"/>
      <c r="C1731" s="8"/>
      <c r="D1731" s="8"/>
      <c r="E1731" s="60"/>
      <c r="F1731" s="84" t="str">
        <f>IFERROR(VLOOKUP(CONCATENATE($B1731,"_",F$3),materiali!$C:$K,5,0),"")</f>
        <v/>
      </c>
      <c r="G1731" s="85" t="str">
        <f>IFERROR(VLOOKUP(CONCATENATE($B1731,"_",G$3),materiali!$C:$K,6,0),"")</f>
        <v/>
      </c>
      <c r="H1731" s="86"/>
      <c r="I1731" s="84" t="str">
        <f>IFERROR(VLOOKUP(CONCATENATE($B1731,"_",I$3),materiali!$C:$K,5,0),"")</f>
        <v/>
      </c>
      <c r="J1731" s="85" t="str">
        <f>IFERROR(VLOOKUP(CONCATENATE($B1731,"_",J$3),materiali!$C:$K,6,0),"")</f>
        <v/>
      </c>
      <c r="K1731" s="86"/>
      <c r="L1731" s="84" t="str">
        <f>IFERROR(VLOOKUP(CONCATENATE($B1731,"_",L$3),materiali!$C:$K,5,0),"")</f>
        <v/>
      </c>
      <c r="M1731" s="85" t="str">
        <f>IFERROR(VLOOKUP(CONCATENATE($B1731,"_",M$3),materiali!$C:$K,6,0),"")</f>
        <v/>
      </c>
      <c r="N1731" s="86"/>
      <c r="O1731" s="84" t="str">
        <f>IFERROR(VLOOKUP(CONCATENATE($B1731,"_",O$3),materiali!$C:$K,5,0),"")</f>
        <v/>
      </c>
      <c r="P1731" s="85" t="str">
        <f>IFERROR(VLOOKUP(CONCATENATE($B1731,"_",P$3),materiali!$C:$K,6,0),"")</f>
        <v/>
      </c>
      <c r="Q1731" s="86"/>
      <c r="R1731" s="84" t="str">
        <f>IFERROR(VLOOKUP(CONCATENATE($B1731,"_",R$3),materiali!$C:$K,5,0),"")</f>
        <v/>
      </c>
      <c r="S1731" s="85" t="str">
        <f>IFERROR(VLOOKUP(CONCATENATE($B1731,"_",S$3),materiali!$C:$K,6,0),"")</f>
        <v/>
      </c>
      <c r="T1731" s="86"/>
      <c r="U1731" s="31"/>
      <c r="AD1731" s="97"/>
    </row>
    <row r="1732" spans="1:30" ht="35.1" hidden="1" customHeight="1" x14ac:dyDescent="0.25">
      <c r="A1732" s="83"/>
      <c r="B1732" s="7"/>
      <c r="C1732" s="8"/>
      <c r="D1732" s="8"/>
      <c r="E1732" s="60"/>
      <c r="F1732" s="84" t="str">
        <f>IFERROR(VLOOKUP(CONCATENATE($B1732,"_",F$3),materiali!$C:$K,5,0),"")</f>
        <v/>
      </c>
      <c r="G1732" s="85" t="str">
        <f>IFERROR(VLOOKUP(CONCATENATE($B1732,"_",G$3),materiali!$C:$K,6,0),"")</f>
        <v/>
      </c>
      <c r="H1732" s="86"/>
      <c r="I1732" s="84" t="str">
        <f>IFERROR(VLOOKUP(CONCATENATE($B1732,"_",I$3),materiali!$C:$K,5,0),"")</f>
        <v/>
      </c>
      <c r="J1732" s="85" t="str">
        <f>IFERROR(VLOOKUP(CONCATENATE($B1732,"_",J$3),materiali!$C:$K,6,0),"")</f>
        <v/>
      </c>
      <c r="K1732" s="86"/>
      <c r="L1732" s="84" t="str">
        <f>IFERROR(VLOOKUP(CONCATENATE($B1732,"_",L$3),materiali!$C:$K,5,0),"")</f>
        <v/>
      </c>
      <c r="M1732" s="85" t="str">
        <f>IFERROR(VLOOKUP(CONCATENATE($B1732,"_",M$3),materiali!$C:$K,6,0),"")</f>
        <v/>
      </c>
      <c r="N1732" s="86"/>
      <c r="O1732" s="84" t="str">
        <f>IFERROR(VLOOKUP(CONCATENATE($B1732,"_",O$3),materiali!$C:$K,5,0),"")</f>
        <v/>
      </c>
      <c r="P1732" s="85" t="str">
        <f>IFERROR(VLOOKUP(CONCATENATE($B1732,"_",P$3),materiali!$C:$K,6,0),"")</f>
        <v/>
      </c>
      <c r="Q1732" s="86"/>
      <c r="R1732" s="84" t="str">
        <f>IFERROR(VLOOKUP(CONCATENATE($B1732,"_",R$3),materiali!$C:$K,5,0),"")</f>
        <v/>
      </c>
      <c r="S1732" s="85" t="str">
        <f>IFERROR(VLOOKUP(CONCATENATE($B1732,"_",S$3),materiali!$C:$K,6,0),"")</f>
        <v/>
      </c>
      <c r="T1732" s="86"/>
      <c r="U1732" s="31"/>
      <c r="AD1732" s="97"/>
    </row>
    <row r="1733" spans="1:30" ht="35.1" hidden="1" customHeight="1" x14ac:dyDescent="0.25">
      <c r="A1733" s="83"/>
      <c r="B1733" s="7"/>
      <c r="C1733" s="8"/>
      <c r="D1733" s="8"/>
      <c r="E1733" s="60"/>
      <c r="F1733" s="84" t="str">
        <f>IFERROR(VLOOKUP(CONCATENATE($B1733,"_",F$3),materiali!$C:$K,5,0),"")</f>
        <v/>
      </c>
      <c r="G1733" s="85" t="str">
        <f>IFERROR(VLOOKUP(CONCATENATE($B1733,"_",G$3),materiali!$C:$K,6,0),"")</f>
        <v/>
      </c>
      <c r="H1733" s="86"/>
      <c r="I1733" s="84" t="str">
        <f>IFERROR(VLOOKUP(CONCATENATE($B1733,"_",I$3),materiali!$C:$K,5,0),"")</f>
        <v/>
      </c>
      <c r="J1733" s="85" t="str">
        <f>IFERROR(VLOOKUP(CONCATENATE($B1733,"_",J$3),materiali!$C:$K,6,0),"")</f>
        <v/>
      </c>
      <c r="K1733" s="86"/>
      <c r="L1733" s="84" t="str">
        <f>IFERROR(VLOOKUP(CONCATENATE($B1733,"_",L$3),materiali!$C:$K,5,0),"")</f>
        <v/>
      </c>
      <c r="M1733" s="85" t="str">
        <f>IFERROR(VLOOKUP(CONCATENATE($B1733,"_",M$3),materiali!$C:$K,6,0),"")</f>
        <v/>
      </c>
      <c r="N1733" s="86"/>
      <c r="O1733" s="84" t="str">
        <f>IFERROR(VLOOKUP(CONCATENATE($B1733,"_",O$3),materiali!$C:$K,5,0),"")</f>
        <v/>
      </c>
      <c r="P1733" s="85" t="str">
        <f>IFERROR(VLOOKUP(CONCATENATE($B1733,"_",P$3),materiali!$C:$K,6,0),"")</f>
        <v/>
      </c>
      <c r="Q1733" s="86"/>
      <c r="R1733" s="84" t="str">
        <f>IFERROR(VLOOKUP(CONCATENATE($B1733,"_",R$3),materiali!$C:$K,5,0),"")</f>
        <v/>
      </c>
      <c r="S1733" s="85" t="str">
        <f>IFERROR(VLOOKUP(CONCATENATE($B1733,"_",S$3),materiali!$C:$K,6,0),"")</f>
        <v/>
      </c>
      <c r="T1733" s="86"/>
      <c r="U1733" s="31"/>
      <c r="AD1733" s="97"/>
    </row>
    <row r="1734" spans="1:30" ht="35.1" hidden="1" customHeight="1" x14ac:dyDescent="0.25">
      <c r="A1734" s="83"/>
      <c r="B1734" s="7"/>
      <c r="C1734" s="8"/>
      <c r="D1734" s="8"/>
      <c r="E1734" s="60"/>
      <c r="F1734" s="84" t="str">
        <f>IFERROR(VLOOKUP(CONCATENATE($B1734,"_",F$3),materiali!$C:$K,5,0),"")</f>
        <v/>
      </c>
      <c r="G1734" s="85" t="str">
        <f>IFERROR(VLOOKUP(CONCATENATE($B1734,"_",G$3),materiali!$C:$K,6,0),"")</f>
        <v/>
      </c>
      <c r="H1734" s="86"/>
      <c r="I1734" s="84" t="str">
        <f>IFERROR(VLOOKUP(CONCATENATE($B1734,"_",I$3),materiali!$C:$K,5,0),"")</f>
        <v/>
      </c>
      <c r="J1734" s="85" t="str">
        <f>IFERROR(VLOOKUP(CONCATENATE($B1734,"_",J$3),materiali!$C:$K,6,0),"")</f>
        <v/>
      </c>
      <c r="K1734" s="86"/>
      <c r="L1734" s="84" t="str">
        <f>IFERROR(VLOOKUP(CONCATENATE($B1734,"_",L$3),materiali!$C:$K,5,0),"")</f>
        <v/>
      </c>
      <c r="M1734" s="85" t="str">
        <f>IFERROR(VLOOKUP(CONCATENATE($B1734,"_",M$3),materiali!$C:$K,6,0),"")</f>
        <v/>
      </c>
      <c r="N1734" s="86"/>
      <c r="O1734" s="84" t="str">
        <f>IFERROR(VLOOKUP(CONCATENATE($B1734,"_",O$3),materiali!$C:$K,5,0),"")</f>
        <v/>
      </c>
      <c r="P1734" s="85" t="str">
        <f>IFERROR(VLOOKUP(CONCATENATE($B1734,"_",P$3),materiali!$C:$K,6,0),"")</f>
        <v/>
      </c>
      <c r="Q1734" s="86"/>
      <c r="R1734" s="84" t="str">
        <f>IFERROR(VLOOKUP(CONCATENATE($B1734,"_",R$3),materiali!$C:$K,5,0),"")</f>
        <v/>
      </c>
      <c r="S1734" s="85" t="str">
        <f>IFERROR(VLOOKUP(CONCATENATE($B1734,"_",S$3),materiali!$C:$K,6,0),"")</f>
        <v/>
      </c>
      <c r="T1734" s="86"/>
      <c r="U1734" s="31"/>
      <c r="AD1734" s="97"/>
    </row>
    <row r="1735" spans="1:30" ht="35.1" hidden="1" customHeight="1" x14ac:dyDescent="0.25">
      <c r="A1735" s="83"/>
      <c r="B1735" s="7"/>
      <c r="C1735" s="8"/>
      <c r="D1735" s="8"/>
      <c r="E1735" s="60"/>
      <c r="F1735" s="84" t="str">
        <f>IFERROR(VLOOKUP(CONCATENATE($B1735,"_",F$3),materiali!$C:$K,5,0),"")</f>
        <v/>
      </c>
      <c r="G1735" s="85" t="str">
        <f>IFERROR(VLOOKUP(CONCATENATE($B1735,"_",G$3),materiali!$C:$K,6,0),"")</f>
        <v/>
      </c>
      <c r="H1735" s="86"/>
      <c r="I1735" s="84" t="str">
        <f>IFERROR(VLOOKUP(CONCATENATE($B1735,"_",I$3),materiali!$C:$K,5,0),"")</f>
        <v/>
      </c>
      <c r="J1735" s="85" t="str">
        <f>IFERROR(VLOOKUP(CONCATENATE($B1735,"_",J$3),materiali!$C:$K,6,0),"")</f>
        <v/>
      </c>
      <c r="K1735" s="86"/>
      <c r="L1735" s="84" t="str">
        <f>IFERROR(VLOOKUP(CONCATENATE($B1735,"_",L$3),materiali!$C:$K,5,0),"")</f>
        <v/>
      </c>
      <c r="M1735" s="85" t="str">
        <f>IFERROR(VLOOKUP(CONCATENATE($B1735,"_",M$3),materiali!$C:$K,6,0),"")</f>
        <v/>
      </c>
      <c r="N1735" s="86"/>
      <c r="O1735" s="84" t="str">
        <f>IFERROR(VLOOKUP(CONCATENATE($B1735,"_",O$3),materiali!$C:$K,5,0),"")</f>
        <v/>
      </c>
      <c r="P1735" s="85" t="str">
        <f>IFERROR(VLOOKUP(CONCATENATE($B1735,"_",P$3),materiali!$C:$K,6,0),"")</f>
        <v/>
      </c>
      <c r="Q1735" s="86"/>
      <c r="R1735" s="84" t="str">
        <f>IFERROR(VLOOKUP(CONCATENATE($B1735,"_",R$3),materiali!$C:$K,5,0),"")</f>
        <v/>
      </c>
      <c r="S1735" s="85" t="str">
        <f>IFERROR(VLOOKUP(CONCATENATE($B1735,"_",S$3),materiali!$C:$K,6,0),"")</f>
        <v/>
      </c>
      <c r="T1735" s="86"/>
      <c r="U1735" s="31"/>
      <c r="AD1735" s="97"/>
    </row>
    <row r="1736" spans="1:30" ht="35.1" hidden="1" customHeight="1" x14ac:dyDescent="0.25">
      <c r="A1736" s="83"/>
      <c r="B1736" s="7"/>
      <c r="C1736" s="8"/>
      <c r="D1736" s="8"/>
      <c r="E1736" s="60"/>
      <c r="F1736" s="84" t="str">
        <f>IFERROR(VLOOKUP(CONCATENATE($B1736,"_",F$3),materiali!$C:$K,5,0),"")</f>
        <v/>
      </c>
      <c r="G1736" s="85" t="str">
        <f>IFERROR(VLOOKUP(CONCATENATE($B1736,"_",G$3),materiali!$C:$K,6,0),"")</f>
        <v/>
      </c>
      <c r="H1736" s="86"/>
      <c r="I1736" s="84" t="str">
        <f>IFERROR(VLOOKUP(CONCATENATE($B1736,"_",I$3),materiali!$C:$K,5,0),"")</f>
        <v/>
      </c>
      <c r="J1736" s="85" t="str">
        <f>IFERROR(VLOOKUP(CONCATENATE($B1736,"_",J$3),materiali!$C:$K,6,0),"")</f>
        <v/>
      </c>
      <c r="K1736" s="86"/>
      <c r="L1736" s="84" t="str">
        <f>IFERROR(VLOOKUP(CONCATENATE($B1736,"_",L$3),materiali!$C:$K,5,0),"")</f>
        <v/>
      </c>
      <c r="M1736" s="85" t="str">
        <f>IFERROR(VLOOKUP(CONCATENATE($B1736,"_",M$3),materiali!$C:$K,6,0),"")</f>
        <v/>
      </c>
      <c r="N1736" s="86"/>
      <c r="O1736" s="84" t="str">
        <f>IFERROR(VLOOKUP(CONCATENATE($B1736,"_",O$3),materiali!$C:$K,5,0),"")</f>
        <v/>
      </c>
      <c r="P1736" s="85" t="str">
        <f>IFERROR(VLOOKUP(CONCATENATE($B1736,"_",P$3),materiali!$C:$K,6,0),"")</f>
        <v/>
      </c>
      <c r="Q1736" s="86"/>
      <c r="R1736" s="84" t="str">
        <f>IFERROR(VLOOKUP(CONCATENATE($B1736,"_",R$3),materiali!$C:$K,5,0),"")</f>
        <v/>
      </c>
      <c r="S1736" s="85" t="str">
        <f>IFERROR(VLOOKUP(CONCATENATE($B1736,"_",S$3),materiali!$C:$K,6,0),"")</f>
        <v/>
      </c>
      <c r="T1736" s="86"/>
      <c r="U1736" s="31"/>
      <c r="AD1736" s="97"/>
    </row>
    <row r="1737" spans="1:30" ht="35.1" hidden="1" customHeight="1" x14ac:dyDescent="0.25">
      <c r="A1737" s="83"/>
      <c r="B1737" s="7"/>
      <c r="C1737" s="8"/>
      <c r="D1737" s="8"/>
      <c r="E1737" s="60"/>
      <c r="F1737" s="84" t="str">
        <f>IFERROR(VLOOKUP(CONCATENATE($B1737,"_",F$3),materiali!$C:$K,5,0),"")</f>
        <v/>
      </c>
      <c r="G1737" s="85" t="str">
        <f>IFERROR(VLOOKUP(CONCATENATE($B1737,"_",G$3),materiali!$C:$K,6,0),"")</f>
        <v/>
      </c>
      <c r="H1737" s="86"/>
      <c r="I1737" s="84" t="str">
        <f>IFERROR(VLOOKUP(CONCATENATE($B1737,"_",I$3),materiali!$C:$K,5,0),"")</f>
        <v/>
      </c>
      <c r="J1737" s="85" t="str">
        <f>IFERROR(VLOOKUP(CONCATENATE($B1737,"_",J$3),materiali!$C:$K,6,0),"")</f>
        <v/>
      </c>
      <c r="K1737" s="86"/>
      <c r="L1737" s="84" t="str">
        <f>IFERROR(VLOOKUP(CONCATENATE($B1737,"_",L$3),materiali!$C:$K,5,0),"")</f>
        <v/>
      </c>
      <c r="M1737" s="85" t="str">
        <f>IFERROR(VLOOKUP(CONCATENATE($B1737,"_",M$3),materiali!$C:$K,6,0),"")</f>
        <v/>
      </c>
      <c r="N1737" s="86"/>
      <c r="O1737" s="84" t="str">
        <f>IFERROR(VLOOKUP(CONCATENATE($B1737,"_",O$3),materiali!$C:$K,5,0),"")</f>
        <v/>
      </c>
      <c r="P1737" s="85" t="str">
        <f>IFERROR(VLOOKUP(CONCATENATE($B1737,"_",P$3),materiali!$C:$K,6,0),"")</f>
        <v/>
      </c>
      <c r="Q1737" s="86"/>
      <c r="R1737" s="84" t="str">
        <f>IFERROR(VLOOKUP(CONCATENATE($B1737,"_",R$3),materiali!$C:$K,5,0),"")</f>
        <v/>
      </c>
      <c r="S1737" s="85" t="str">
        <f>IFERROR(VLOOKUP(CONCATENATE($B1737,"_",S$3),materiali!$C:$K,6,0),"")</f>
        <v/>
      </c>
      <c r="T1737" s="86"/>
      <c r="U1737" s="31"/>
      <c r="AD1737" s="97"/>
    </row>
    <row r="1738" spans="1:30" ht="35.1" hidden="1" customHeight="1" x14ac:dyDescent="0.25">
      <c r="A1738" s="83"/>
      <c r="B1738" s="7"/>
      <c r="C1738" s="8"/>
      <c r="D1738" s="8"/>
      <c r="E1738" s="60"/>
      <c r="F1738" s="84" t="str">
        <f>IFERROR(VLOOKUP(CONCATENATE($B1738,"_",F$3),materiali!$C:$K,5,0),"")</f>
        <v/>
      </c>
      <c r="G1738" s="85" t="str">
        <f>IFERROR(VLOOKUP(CONCATENATE($B1738,"_",G$3),materiali!$C:$K,6,0),"")</f>
        <v/>
      </c>
      <c r="H1738" s="86"/>
      <c r="I1738" s="84" t="str">
        <f>IFERROR(VLOOKUP(CONCATENATE($B1738,"_",I$3),materiali!$C:$K,5,0),"")</f>
        <v/>
      </c>
      <c r="J1738" s="85" t="str">
        <f>IFERROR(VLOOKUP(CONCATENATE($B1738,"_",J$3),materiali!$C:$K,6,0),"")</f>
        <v/>
      </c>
      <c r="K1738" s="86"/>
      <c r="L1738" s="84" t="str">
        <f>IFERROR(VLOOKUP(CONCATENATE($B1738,"_",L$3),materiali!$C:$K,5,0),"")</f>
        <v/>
      </c>
      <c r="M1738" s="85" t="str">
        <f>IFERROR(VLOOKUP(CONCATENATE($B1738,"_",M$3),materiali!$C:$K,6,0),"")</f>
        <v/>
      </c>
      <c r="N1738" s="86"/>
      <c r="O1738" s="84" t="str">
        <f>IFERROR(VLOOKUP(CONCATENATE($B1738,"_",O$3),materiali!$C:$K,5,0),"")</f>
        <v/>
      </c>
      <c r="P1738" s="85" t="str">
        <f>IFERROR(VLOOKUP(CONCATENATE($B1738,"_",P$3),materiali!$C:$K,6,0),"")</f>
        <v/>
      </c>
      <c r="Q1738" s="86"/>
      <c r="R1738" s="84" t="str">
        <f>IFERROR(VLOOKUP(CONCATENATE($B1738,"_",R$3),materiali!$C:$K,5,0),"")</f>
        <v/>
      </c>
      <c r="S1738" s="85" t="str">
        <f>IFERROR(VLOOKUP(CONCATENATE($B1738,"_",S$3),materiali!$C:$K,6,0),"")</f>
        <v/>
      </c>
      <c r="T1738" s="86"/>
      <c r="U1738" s="31"/>
      <c r="AD1738" s="97"/>
    </row>
    <row r="1739" spans="1:30" ht="35.1" hidden="1" customHeight="1" x14ac:dyDescent="0.25">
      <c r="A1739" s="83"/>
      <c r="B1739" s="7"/>
      <c r="C1739" s="8"/>
      <c r="D1739" s="8"/>
      <c r="E1739" s="60"/>
      <c r="F1739" s="84" t="str">
        <f>IFERROR(VLOOKUP(CONCATENATE($B1739,"_",F$3),materiali!$C:$K,5,0),"")</f>
        <v/>
      </c>
      <c r="G1739" s="85" t="str">
        <f>IFERROR(VLOOKUP(CONCATENATE($B1739,"_",G$3),materiali!$C:$K,6,0),"")</f>
        <v/>
      </c>
      <c r="H1739" s="86"/>
      <c r="I1739" s="84" t="str">
        <f>IFERROR(VLOOKUP(CONCATENATE($B1739,"_",I$3),materiali!$C:$K,5,0),"")</f>
        <v/>
      </c>
      <c r="J1739" s="85" t="str">
        <f>IFERROR(VLOOKUP(CONCATENATE($B1739,"_",J$3),materiali!$C:$K,6,0),"")</f>
        <v/>
      </c>
      <c r="K1739" s="86"/>
      <c r="L1739" s="84" t="str">
        <f>IFERROR(VLOOKUP(CONCATENATE($B1739,"_",L$3),materiali!$C:$K,5,0),"")</f>
        <v/>
      </c>
      <c r="M1739" s="85" t="str">
        <f>IFERROR(VLOOKUP(CONCATENATE($B1739,"_",M$3),materiali!$C:$K,6,0),"")</f>
        <v/>
      </c>
      <c r="N1739" s="86"/>
      <c r="O1739" s="84" t="str">
        <f>IFERROR(VLOOKUP(CONCATENATE($B1739,"_",O$3),materiali!$C:$K,5,0),"")</f>
        <v/>
      </c>
      <c r="P1739" s="85" t="str">
        <f>IFERROR(VLOOKUP(CONCATENATE($B1739,"_",P$3),materiali!$C:$K,6,0),"")</f>
        <v/>
      </c>
      <c r="Q1739" s="86"/>
      <c r="R1739" s="84" t="str">
        <f>IFERROR(VLOOKUP(CONCATENATE($B1739,"_",R$3),materiali!$C:$K,5,0),"")</f>
        <v/>
      </c>
      <c r="S1739" s="85" t="str">
        <f>IFERROR(VLOOKUP(CONCATENATE($B1739,"_",S$3),materiali!$C:$K,6,0),"")</f>
        <v/>
      </c>
      <c r="T1739" s="86"/>
      <c r="U1739" s="31"/>
      <c r="AD1739" s="97"/>
    </row>
    <row r="1740" spans="1:30" ht="35.1" hidden="1" customHeight="1" x14ac:dyDescent="0.25">
      <c r="A1740" s="83"/>
      <c r="B1740" s="7"/>
      <c r="C1740" s="8"/>
      <c r="D1740" s="8"/>
      <c r="E1740" s="60"/>
      <c r="F1740" s="84" t="str">
        <f>IFERROR(VLOOKUP(CONCATENATE($B1740,"_",F$3),materiali!$C:$K,5,0),"")</f>
        <v/>
      </c>
      <c r="G1740" s="85" t="str">
        <f>IFERROR(VLOOKUP(CONCATENATE($B1740,"_",G$3),materiali!$C:$K,6,0),"")</f>
        <v/>
      </c>
      <c r="H1740" s="86"/>
      <c r="I1740" s="84" t="str">
        <f>IFERROR(VLOOKUP(CONCATENATE($B1740,"_",I$3),materiali!$C:$K,5,0),"")</f>
        <v/>
      </c>
      <c r="J1740" s="85" t="str">
        <f>IFERROR(VLOOKUP(CONCATENATE($B1740,"_",J$3),materiali!$C:$K,6,0),"")</f>
        <v/>
      </c>
      <c r="K1740" s="86"/>
      <c r="L1740" s="84" t="str">
        <f>IFERROR(VLOOKUP(CONCATENATE($B1740,"_",L$3),materiali!$C:$K,5,0),"")</f>
        <v/>
      </c>
      <c r="M1740" s="85" t="str">
        <f>IFERROR(VLOOKUP(CONCATENATE($B1740,"_",M$3),materiali!$C:$K,6,0),"")</f>
        <v/>
      </c>
      <c r="N1740" s="86"/>
      <c r="O1740" s="84" t="str">
        <f>IFERROR(VLOOKUP(CONCATENATE($B1740,"_",O$3),materiali!$C:$K,5,0),"")</f>
        <v/>
      </c>
      <c r="P1740" s="85" t="str">
        <f>IFERROR(VLOOKUP(CONCATENATE($B1740,"_",P$3),materiali!$C:$K,6,0),"")</f>
        <v/>
      </c>
      <c r="Q1740" s="86"/>
      <c r="R1740" s="84" t="str">
        <f>IFERROR(VLOOKUP(CONCATENATE($B1740,"_",R$3),materiali!$C:$K,5,0),"")</f>
        <v/>
      </c>
      <c r="S1740" s="85" t="str">
        <f>IFERROR(VLOOKUP(CONCATENATE($B1740,"_",S$3),materiali!$C:$K,6,0),"")</f>
        <v/>
      </c>
      <c r="T1740" s="86"/>
      <c r="U1740" s="31"/>
      <c r="AD1740" s="97"/>
    </row>
    <row r="1741" spans="1:30" ht="35.1" hidden="1" customHeight="1" x14ac:dyDescent="0.25">
      <c r="A1741" s="83"/>
      <c r="B1741" s="7"/>
      <c r="C1741" s="8"/>
      <c r="D1741" s="8"/>
      <c r="E1741" s="60"/>
      <c r="F1741" s="84" t="str">
        <f>IFERROR(VLOOKUP(CONCATENATE($B1741,"_",F$3),materiali!$C:$K,5,0),"")</f>
        <v/>
      </c>
      <c r="G1741" s="85" t="str">
        <f>IFERROR(VLOOKUP(CONCATENATE($B1741,"_",G$3),materiali!$C:$K,6,0),"")</f>
        <v/>
      </c>
      <c r="H1741" s="86"/>
      <c r="I1741" s="84" t="str">
        <f>IFERROR(VLOOKUP(CONCATENATE($B1741,"_",I$3),materiali!$C:$K,5,0),"")</f>
        <v/>
      </c>
      <c r="J1741" s="85" t="str">
        <f>IFERROR(VLOOKUP(CONCATENATE($B1741,"_",J$3),materiali!$C:$K,6,0),"")</f>
        <v/>
      </c>
      <c r="K1741" s="86"/>
      <c r="L1741" s="84" t="str">
        <f>IFERROR(VLOOKUP(CONCATENATE($B1741,"_",L$3),materiali!$C:$K,5,0),"")</f>
        <v/>
      </c>
      <c r="M1741" s="85" t="str">
        <f>IFERROR(VLOOKUP(CONCATENATE($B1741,"_",M$3),materiali!$C:$K,6,0),"")</f>
        <v/>
      </c>
      <c r="N1741" s="86"/>
      <c r="O1741" s="84" t="str">
        <f>IFERROR(VLOOKUP(CONCATENATE($B1741,"_",O$3),materiali!$C:$K,5,0),"")</f>
        <v/>
      </c>
      <c r="P1741" s="85" t="str">
        <f>IFERROR(VLOOKUP(CONCATENATE($B1741,"_",P$3),materiali!$C:$K,6,0),"")</f>
        <v/>
      </c>
      <c r="Q1741" s="86"/>
      <c r="R1741" s="84" t="str">
        <f>IFERROR(VLOOKUP(CONCATENATE($B1741,"_",R$3),materiali!$C:$K,5,0),"")</f>
        <v/>
      </c>
      <c r="S1741" s="85" t="str">
        <f>IFERROR(VLOOKUP(CONCATENATE($B1741,"_",S$3),materiali!$C:$K,6,0),"")</f>
        <v/>
      </c>
      <c r="T1741" s="86"/>
      <c r="U1741" s="31"/>
      <c r="AD1741" s="97"/>
    </row>
    <row r="1742" spans="1:30" ht="35.1" hidden="1" customHeight="1" x14ac:dyDescent="0.25">
      <c r="A1742" s="83"/>
      <c r="B1742" s="7"/>
      <c r="C1742" s="8"/>
      <c r="D1742" s="8"/>
      <c r="E1742" s="60"/>
      <c r="F1742" s="84" t="str">
        <f>IFERROR(VLOOKUP(CONCATENATE($B1742,"_",F$3),materiali!$C:$K,5,0),"")</f>
        <v/>
      </c>
      <c r="G1742" s="85" t="str">
        <f>IFERROR(VLOOKUP(CONCATENATE($B1742,"_",G$3),materiali!$C:$K,6,0),"")</f>
        <v/>
      </c>
      <c r="H1742" s="86"/>
      <c r="I1742" s="84" t="str">
        <f>IFERROR(VLOOKUP(CONCATENATE($B1742,"_",I$3),materiali!$C:$K,5,0),"")</f>
        <v/>
      </c>
      <c r="J1742" s="85" t="str">
        <f>IFERROR(VLOOKUP(CONCATENATE($B1742,"_",J$3),materiali!$C:$K,6,0),"")</f>
        <v/>
      </c>
      <c r="K1742" s="86"/>
      <c r="L1742" s="84" t="str">
        <f>IFERROR(VLOOKUP(CONCATENATE($B1742,"_",L$3),materiali!$C:$K,5,0),"")</f>
        <v/>
      </c>
      <c r="M1742" s="85" t="str">
        <f>IFERROR(VLOOKUP(CONCATENATE($B1742,"_",M$3),materiali!$C:$K,6,0),"")</f>
        <v/>
      </c>
      <c r="N1742" s="86"/>
      <c r="O1742" s="84" t="str">
        <f>IFERROR(VLOOKUP(CONCATENATE($B1742,"_",O$3),materiali!$C:$K,5,0),"")</f>
        <v/>
      </c>
      <c r="P1742" s="85" t="str">
        <f>IFERROR(VLOOKUP(CONCATENATE($B1742,"_",P$3),materiali!$C:$K,6,0),"")</f>
        <v/>
      </c>
      <c r="Q1742" s="86"/>
      <c r="R1742" s="84" t="str">
        <f>IFERROR(VLOOKUP(CONCATENATE($B1742,"_",R$3),materiali!$C:$K,5,0),"")</f>
        <v/>
      </c>
      <c r="S1742" s="85" t="str">
        <f>IFERROR(VLOOKUP(CONCATENATE($B1742,"_",S$3),materiali!$C:$K,6,0),"")</f>
        <v/>
      </c>
      <c r="T1742" s="86"/>
      <c r="U1742" s="31"/>
      <c r="AD1742" s="97"/>
    </row>
    <row r="1743" spans="1:30" ht="35.1" hidden="1" customHeight="1" x14ac:dyDescent="0.25">
      <c r="A1743" s="83"/>
      <c r="B1743" s="7"/>
      <c r="C1743" s="8"/>
      <c r="D1743" s="8"/>
      <c r="E1743" s="60"/>
      <c r="F1743" s="84" t="str">
        <f>IFERROR(VLOOKUP(CONCATENATE($B1743,"_",F$3),materiali!$C:$K,5,0),"")</f>
        <v/>
      </c>
      <c r="G1743" s="85" t="str">
        <f>IFERROR(VLOOKUP(CONCATENATE($B1743,"_",G$3),materiali!$C:$K,6,0),"")</f>
        <v/>
      </c>
      <c r="H1743" s="86"/>
      <c r="I1743" s="84" t="str">
        <f>IFERROR(VLOOKUP(CONCATENATE($B1743,"_",I$3),materiali!$C:$K,5,0),"")</f>
        <v/>
      </c>
      <c r="J1743" s="85" t="str">
        <f>IFERROR(VLOOKUP(CONCATENATE($B1743,"_",J$3),materiali!$C:$K,6,0),"")</f>
        <v/>
      </c>
      <c r="K1743" s="86"/>
      <c r="L1743" s="84" t="str">
        <f>IFERROR(VLOOKUP(CONCATENATE($B1743,"_",L$3),materiali!$C:$K,5,0),"")</f>
        <v/>
      </c>
      <c r="M1743" s="85" t="str">
        <f>IFERROR(VLOOKUP(CONCATENATE($B1743,"_",M$3),materiali!$C:$K,6,0),"")</f>
        <v/>
      </c>
      <c r="N1743" s="86"/>
      <c r="O1743" s="84" t="str">
        <f>IFERROR(VLOOKUP(CONCATENATE($B1743,"_",O$3),materiali!$C:$K,5,0),"")</f>
        <v/>
      </c>
      <c r="P1743" s="85" t="str">
        <f>IFERROR(VLOOKUP(CONCATENATE($B1743,"_",P$3),materiali!$C:$K,6,0),"")</f>
        <v/>
      </c>
      <c r="Q1743" s="86"/>
      <c r="R1743" s="84" t="str">
        <f>IFERROR(VLOOKUP(CONCATENATE($B1743,"_",R$3),materiali!$C:$K,5,0),"")</f>
        <v/>
      </c>
      <c r="S1743" s="85" t="str">
        <f>IFERROR(VLOOKUP(CONCATENATE($B1743,"_",S$3),materiali!$C:$K,6,0),"")</f>
        <v/>
      </c>
      <c r="T1743" s="86"/>
      <c r="U1743" s="31"/>
      <c r="AD1743" s="97"/>
    </row>
    <row r="1744" spans="1:30" ht="35.1" hidden="1" customHeight="1" x14ac:dyDescent="0.25">
      <c r="A1744" s="83"/>
      <c r="B1744" s="7"/>
      <c r="C1744" s="8"/>
      <c r="D1744" s="8"/>
      <c r="E1744" s="60"/>
      <c r="F1744" s="84" t="str">
        <f>IFERROR(VLOOKUP(CONCATENATE($B1744,"_",F$3),materiali!$C:$K,5,0),"")</f>
        <v/>
      </c>
      <c r="G1744" s="85" t="str">
        <f>IFERROR(VLOOKUP(CONCATENATE($B1744,"_",G$3),materiali!$C:$K,6,0),"")</f>
        <v/>
      </c>
      <c r="H1744" s="86"/>
      <c r="I1744" s="84" t="str">
        <f>IFERROR(VLOOKUP(CONCATENATE($B1744,"_",I$3),materiali!$C:$K,5,0),"")</f>
        <v/>
      </c>
      <c r="J1744" s="85" t="str">
        <f>IFERROR(VLOOKUP(CONCATENATE($B1744,"_",J$3),materiali!$C:$K,6,0),"")</f>
        <v/>
      </c>
      <c r="K1744" s="86"/>
      <c r="L1744" s="84" t="str">
        <f>IFERROR(VLOOKUP(CONCATENATE($B1744,"_",L$3),materiali!$C:$K,5,0),"")</f>
        <v/>
      </c>
      <c r="M1744" s="85" t="str">
        <f>IFERROR(VLOOKUP(CONCATENATE($B1744,"_",M$3),materiali!$C:$K,6,0),"")</f>
        <v/>
      </c>
      <c r="N1744" s="86"/>
      <c r="O1744" s="84" t="str">
        <f>IFERROR(VLOOKUP(CONCATENATE($B1744,"_",O$3),materiali!$C:$K,5,0),"")</f>
        <v/>
      </c>
      <c r="P1744" s="85" t="str">
        <f>IFERROR(VLOOKUP(CONCATENATE($B1744,"_",P$3),materiali!$C:$K,6,0),"")</f>
        <v/>
      </c>
      <c r="Q1744" s="86"/>
      <c r="R1744" s="84" t="str">
        <f>IFERROR(VLOOKUP(CONCATENATE($B1744,"_",R$3),materiali!$C:$K,5,0),"")</f>
        <v/>
      </c>
      <c r="S1744" s="85" t="str">
        <f>IFERROR(VLOOKUP(CONCATENATE($B1744,"_",S$3),materiali!$C:$K,6,0),"")</f>
        <v/>
      </c>
      <c r="T1744" s="86"/>
      <c r="U1744" s="31"/>
      <c r="AD1744" s="97"/>
    </row>
    <row r="1745" spans="1:30" ht="35.1" hidden="1" customHeight="1" x14ac:dyDescent="0.25">
      <c r="A1745" s="83"/>
      <c r="B1745" s="7"/>
      <c r="C1745" s="8"/>
      <c r="D1745" s="8"/>
      <c r="E1745" s="60"/>
      <c r="F1745" s="84" t="str">
        <f>IFERROR(VLOOKUP(CONCATENATE($B1745,"_",F$3),materiali!$C:$K,5,0),"")</f>
        <v/>
      </c>
      <c r="G1745" s="85" t="str">
        <f>IFERROR(VLOOKUP(CONCATENATE($B1745,"_",G$3),materiali!$C:$K,6,0),"")</f>
        <v/>
      </c>
      <c r="H1745" s="86"/>
      <c r="I1745" s="84" t="str">
        <f>IFERROR(VLOOKUP(CONCATENATE($B1745,"_",I$3),materiali!$C:$K,5,0),"")</f>
        <v/>
      </c>
      <c r="J1745" s="85" t="str">
        <f>IFERROR(VLOOKUP(CONCATENATE($B1745,"_",J$3),materiali!$C:$K,6,0),"")</f>
        <v/>
      </c>
      <c r="K1745" s="86"/>
      <c r="L1745" s="84" t="str">
        <f>IFERROR(VLOOKUP(CONCATENATE($B1745,"_",L$3),materiali!$C:$K,5,0),"")</f>
        <v/>
      </c>
      <c r="M1745" s="85" t="str">
        <f>IFERROR(VLOOKUP(CONCATENATE($B1745,"_",M$3),materiali!$C:$K,6,0),"")</f>
        <v/>
      </c>
      <c r="N1745" s="86"/>
      <c r="O1745" s="84" t="str">
        <f>IFERROR(VLOOKUP(CONCATENATE($B1745,"_",O$3),materiali!$C:$K,5,0),"")</f>
        <v/>
      </c>
      <c r="P1745" s="85" t="str">
        <f>IFERROR(VLOOKUP(CONCATENATE($B1745,"_",P$3),materiali!$C:$K,6,0),"")</f>
        <v/>
      </c>
      <c r="Q1745" s="86"/>
      <c r="R1745" s="84" t="str">
        <f>IFERROR(VLOOKUP(CONCATENATE($B1745,"_",R$3),materiali!$C:$K,5,0),"")</f>
        <v/>
      </c>
      <c r="S1745" s="85" t="str">
        <f>IFERROR(VLOOKUP(CONCATENATE($B1745,"_",S$3),materiali!$C:$K,6,0),"")</f>
        <v/>
      </c>
      <c r="T1745" s="86"/>
      <c r="U1745" s="31"/>
      <c r="AD1745" s="97"/>
    </row>
    <row r="1746" spans="1:30" ht="35.1" hidden="1" customHeight="1" x14ac:dyDescent="0.25">
      <c r="A1746" s="83"/>
      <c r="B1746" s="7"/>
      <c r="C1746" s="8"/>
      <c r="D1746" s="8"/>
      <c r="E1746" s="60"/>
      <c r="F1746" s="84" t="str">
        <f>IFERROR(VLOOKUP(CONCATENATE($B1746,"_",F$3),materiali!$C:$K,5,0),"")</f>
        <v/>
      </c>
      <c r="G1746" s="85" t="str">
        <f>IFERROR(VLOOKUP(CONCATENATE($B1746,"_",G$3),materiali!$C:$K,6,0),"")</f>
        <v/>
      </c>
      <c r="H1746" s="86"/>
      <c r="I1746" s="84" t="str">
        <f>IFERROR(VLOOKUP(CONCATENATE($B1746,"_",I$3),materiali!$C:$K,5,0),"")</f>
        <v/>
      </c>
      <c r="J1746" s="85" t="str">
        <f>IFERROR(VLOOKUP(CONCATENATE($B1746,"_",J$3),materiali!$C:$K,6,0),"")</f>
        <v/>
      </c>
      <c r="K1746" s="86"/>
      <c r="L1746" s="84" t="str">
        <f>IFERROR(VLOOKUP(CONCATENATE($B1746,"_",L$3),materiali!$C:$K,5,0),"")</f>
        <v/>
      </c>
      <c r="M1746" s="85" t="str">
        <f>IFERROR(VLOOKUP(CONCATENATE($B1746,"_",M$3),materiali!$C:$K,6,0),"")</f>
        <v/>
      </c>
      <c r="N1746" s="86"/>
      <c r="O1746" s="84" t="str">
        <f>IFERROR(VLOOKUP(CONCATENATE($B1746,"_",O$3),materiali!$C:$K,5,0),"")</f>
        <v/>
      </c>
      <c r="P1746" s="85" t="str">
        <f>IFERROR(VLOOKUP(CONCATENATE($B1746,"_",P$3),materiali!$C:$K,6,0),"")</f>
        <v/>
      </c>
      <c r="Q1746" s="86"/>
      <c r="R1746" s="84" t="str">
        <f>IFERROR(VLOOKUP(CONCATENATE($B1746,"_",R$3),materiali!$C:$K,5,0),"")</f>
        <v/>
      </c>
      <c r="S1746" s="85" t="str">
        <f>IFERROR(VLOOKUP(CONCATENATE($B1746,"_",S$3),materiali!$C:$K,6,0),"")</f>
        <v/>
      </c>
      <c r="T1746" s="86"/>
      <c r="U1746" s="31"/>
      <c r="AD1746" s="97"/>
    </row>
    <row r="1747" spans="1:30" ht="35.1" hidden="1" customHeight="1" x14ac:dyDescent="0.25">
      <c r="A1747" s="83"/>
      <c r="B1747" s="7"/>
      <c r="C1747" s="8"/>
      <c r="D1747" s="8"/>
      <c r="E1747" s="60"/>
      <c r="F1747" s="84" t="str">
        <f>IFERROR(VLOOKUP(CONCATENATE($B1747,"_",F$3),materiali!$C:$K,5,0),"")</f>
        <v/>
      </c>
      <c r="G1747" s="85" t="str">
        <f>IFERROR(VLOOKUP(CONCATENATE($B1747,"_",G$3),materiali!$C:$K,6,0),"")</f>
        <v/>
      </c>
      <c r="H1747" s="86"/>
      <c r="I1747" s="84" t="str">
        <f>IFERROR(VLOOKUP(CONCATENATE($B1747,"_",I$3),materiali!$C:$K,5,0),"")</f>
        <v/>
      </c>
      <c r="J1747" s="85" t="str">
        <f>IFERROR(VLOOKUP(CONCATENATE($B1747,"_",J$3),materiali!$C:$K,6,0),"")</f>
        <v/>
      </c>
      <c r="K1747" s="86"/>
      <c r="L1747" s="84" t="str">
        <f>IFERROR(VLOOKUP(CONCATENATE($B1747,"_",L$3),materiali!$C:$K,5,0),"")</f>
        <v/>
      </c>
      <c r="M1747" s="85" t="str">
        <f>IFERROR(VLOOKUP(CONCATENATE($B1747,"_",M$3),materiali!$C:$K,6,0),"")</f>
        <v/>
      </c>
      <c r="N1747" s="86"/>
      <c r="O1747" s="84" t="str">
        <f>IFERROR(VLOOKUP(CONCATENATE($B1747,"_",O$3),materiali!$C:$K,5,0),"")</f>
        <v/>
      </c>
      <c r="P1747" s="85" t="str">
        <f>IFERROR(VLOOKUP(CONCATENATE($B1747,"_",P$3),materiali!$C:$K,6,0),"")</f>
        <v/>
      </c>
      <c r="Q1747" s="86"/>
      <c r="R1747" s="84" t="str">
        <f>IFERROR(VLOOKUP(CONCATENATE($B1747,"_",R$3),materiali!$C:$K,5,0),"")</f>
        <v/>
      </c>
      <c r="S1747" s="85" t="str">
        <f>IFERROR(VLOOKUP(CONCATENATE($B1747,"_",S$3),materiali!$C:$K,6,0),"")</f>
        <v/>
      </c>
      <c r="T1747" s="86"/>
      <c r="U1747" s="31"/>
      <c r="AD1747" s="97"/>
    </row>
    <row r="1748" spans="1:30" ht="35.1" hidden="1" customHeight="1" x14ac:dyDescent="0.25">
      <c r="A1748" s="83"/>
      <c r="B1748" s="7"/>
      <c r="C1748" s="8"/>
      <c r="D1748" s="8"/>
      <c r="E1748" s="60"/>
      <c r="F1748" s="84" t="str">
        <f>IFERROR(VLOOKUP(CONCATENATE($B1748,"_",F$3),materiali!$C:$K,5,0),"")</f>
        <v/>
      </c>
      <c r="G1748" s="85" t="str">
        <f>IFERROR(VLOOKUP(CONCATENATE($B1748,"_",G$3),materiali!$C:$K,6,0),"")</f>
        <v/>
      </c>
      <c r="H1748" s="86"/>
      <c r="I1748" s="84" t="str">
        <f>IFERROR(VLOOKUP(CONCATENATE($B1748,"_",I$3),materiali!$C:$K,5,0),"")</f>
        <v/>
      </c>
      <c r="J1748" s="85" t="str">
        <f>IFERROR(VLOOKUP(CONCATENATE($B1748,"_",J$3),materiali!$C:$K,6,0),"")</f>
        <v/>
      </c>
      <c r="K1748" s="86"/>
      <c r="L1748" s="84" t="str">
        <f>IFERROR(VLOOKUP(CONCATENATE($B1748,"_",L$3),materiali!$C:$K,5,0),"")</f>
        <v/>
      </c>
      <c r="M1748" s="85" t="str">
        <f>IFERROR(VLOOKUP(CONCATENATE($B1748,"_",M$3),materiali!$C:$K,6,0),"")</f>
        <v/>
      </c>
      <c r="N1748" s="86"/>
      <c r="O1748" s="84" t="str">
        <f>IFERROR(VLOOKUP(CONCATENATE($B1748,"_",O$3),materiali!$C:$K,5,0),"")</f>
        <v/>
      </c>
      <c r="P1748" s="85" t="str">
        <f>IFERROR(VLOOKUP(CONCATENATE($B1748,"_",P$3),materiali!$C:$K,6,0),"")</f>
        <v/>
      </c>
      <c r="Q1748" s="86"/>
      <c r="R1748" s="84" t="str">
        <f>IFERROR(VLOOKUP(CONCATENATE($B1748,"_",R$3),materiali!$C:$K,5,0),"")</f>
        <v/>
      </c>
      <c r="S1748" s="85" t="str">
        <f>IFERROR(VLOOKUP(CONCATENATE($B1748,"_",S$3),materiali!$C:$K,6,0),"")</f>
        <v/>
      </c>
      <c r="T1748" s="86"/>
      <c r="U1748" s="31"/>
      <c r="AD1748" s="97"/>
    </row>
    <row r="1749" spans="1:30" ht="35.1" hidden="1" customHeight="1" x14ac:dyDescent="0.25">
      <c r="A1749" s="83"/>
      <c r="B1749" s="7"/>
      <c r="C1749" s="8"/>
      <c r="D1749" s="8"/>
      <c r="E1749" s="60"/>
      <c r="F1749" s="84" t="str">
        <f>IFERROR(VLOOKUP(CONCATENATE($B1749,"_",F$3),materiali!$C:$K,5,0),"")</f>
        <v/>
      </c>
      <c r="G1749" s="85" t="str">
        <f>IFERROR(VLOOKUP(CONCATENATE($B1749,"_",G$3),materiali!$C:$K,6,0),"")</f>
        <v/>
      </c>
      <c r="H1749" s="86"/>
      <c r="I1749" s="84" t="str">
        <f>IFERROR(VLOOKUP(CONCATENATE($B1749,"_",I$3),materiali!$C:$K,5,0),"")</f>
        <v/>
      </c>
      <c r="J1749" s="85" t="str">
        <f>IFERROR(VLOOKUP(CONCATENATE($B1749,"_",J$3),materiali!$C:$K,6,0),"")</f>
        <v/>
      </c>
      <c r="K1749" s="86"/>
      <c r="L1749" s="84" t="str">
        <f>IFERROR(VLOOKUP(CONCATENATE($B1749,"_",L$3),materiali!$C:$K,5,0),"")</f>
        <v/>
      </c>
      <c r="M1749" s="85" t="str">
        <f>IFERROR(VLOOKUP(CONCATENATE($B1749,"_",M$3),materiali!$C:$K,6,0),"")</f>
        <v/>
      </c>
      <c r="N1749" s="86"/>
      <c r="O1749" s="84" t="str">
        <f>IFERROR(VLOOKUP(CONCATENATE($B1749,"_",O$3),materiali!$C:$K,5,0),"")</f>
        <v/>
      </c>
      <c r="P1749" s="85" t="str">
        <f>IFERROR(VLOOKUP(CONCATENATE($B1749,"_",P$3),materiali!$C:$K,6,0),"")</f>
        <v/>
      </c>
      <c r="Q1749" s="86"/>
      <c r="R1749" s="84" t="str">
        <f>IFERROR(VLOOKUP(CONCATENATE($B1749,"_",R$3),materiali!$C:$K,5,0),"")</f>
        <v/>
      </c>
      <c r="S1749" s="85" t="str">
        <f>IFERROR(VLOOKUP(CONCATENATE($B1749,"_",S$3),materiali!$C:$K,6,0),"")</f>
        <v/>
      </c>
      <c r="T1749" s="86"/>
      <c r="U1749" s="31"/>
      <c r="AD1749" s="97"/>
    </row>
    <row r="1750" spans="1:30" ht="35.1" hidden="1" customHeight="1" x14ac:dyDescent="0.25">
      <c r="A1750" s="83"/>
      <c r="B1750" s="7"/>
      <c r="C1750" s="8"/>
      <c r="D1750" s="8"/>
      <c r="E1750" s="60"/>
      <c r="F1750" s="84" t="str">
        <f>IFERROR(VLOOKUP(CONCATENATE($B1750,"_",F$3),materiali!$C:$K,5,0),"")</f>
        <v/>
      </c>
      <c r="G1750" s="85" t="str">
        <f>IFERROR(VLOOKUP(CONCATENATE($B1750,"_",G$3),materiali!$C:$K,6,0),"")</f>
        <v/>
      </c>
      <c r="H1750" s="86"/>
      <c r="I1750" s="84" t="str">
        <f>IFERROR(VLOOKUP(CONCATENATE($B1750,"_",I$3),materiali!$C:$K,5,0),"")</f>
        <v/>
      </c>
      <c r="J1750" s="85" t="str">
        <f>IFERROR(VLOOKUP(CONCATENATE($B1750,"_",J$3),materiali!$C:$K,6,0),"")</f>
        <v/>
      </c>
      <c r="K1750" s="86"/>
      <c r="L1750" s="84" t="str">
        <f>IFERROR(VLOOKUP(CONCATENATE($B1750,"_",L$3),materiali!$C:$K,5,0),"")</f>
        <v/>
      </c>
      <c r="M1750" s="85" t="str">
        <f>IFERROR(VLOOKUP(CONCATENATE($B1750,"_",M$3),materiali!$C:$K,6,0),"")</f>
        <v/>
      </c>
      <c r="N1750" s="86"/>
      <c r="O1750" s="84" t="str">
        <f>IFERROR(VLOOKUP(CONCATENATE($B1750,"_",O$3),materiali!$C:$K,5,0),"")</f>
        <v/>
      </c>
      <c r="P1750" s="85" t="str">
        <f>IFERROR(VLOOKUP(CONCATENATE($B1750,"_",P$3),materiali!$C:$K,6,0),"")</f>
        <v/>
      </c>
      <c r="Q1750" s="86"/>
      <c r="R1750" s="84" t="str">
        <f>IFERROR(VLOOKUP(CONCATENATE($B1750,"_",R$3),materiali!$C:$K,5,0),"")</f>
        <v/>
      </c>
      <c r="S1750" s="85" t="str">
        <f>IFERROR(VLOOKUP(CONCATENATE($B1750,"_",S$3),materiali!$C:$K,6,0),"")</f>
        <v/>
      </c>
      <c r="T1750" s="86"/>
      <c r="U1750" s="31"/>
      <c r="AD1750" s="97"/>
    </row>
    <row r="1751" spans="1:30" ht="35.1" hidden="1" customHeight="1" x14ac:dyDescent="0.25">
      <c r="A1751" s="83"/>
      <c r="B1751" s="7"/>
      <c r="C1751" s="8"/>
      <c r="D1751" s="8"/>
      <c r="E1751" s="60"/>
      <c r="F1751" s="84" t="str">
        <f>IFERROR(VLOOKUP(CONCATENATE($B1751,"_",F$3),materiali!$C:$K,5,0),"")</f>
        <v/>
      </c>
      <c r="G1751" s="85" t="str">
        <f>IFERROR(VLOOKUP(CONCATENATE($B1751,"_",G$3),materiali!$C:$K,6,0),"")</f>
        <v/>
      </c>
      <c r="H1751" s="86"/>
      <c r="I1751" s="84" t="str">
        <f>IFERROR(VLOOKUP(CONCATENATE($B1751,"_",I$3),materiali!$C:$K,5,0),"")</f>
        <v/>
      </c>
      <c r="J1751" s="85" t="str">
        <f>IFERROR(VLOOKUP(CONCATENATE($B1751,"_",J$3),materiali!$C:$K,6,0),"")</f>
        <v/>
      </c>
      <c r="K1751" s="86"/>
      <c r="L1751" s="84" t="str">
        <f>IFERROR(VLOOKUP(CONCATENATE($B1751,"_",L$3),materiali!$C:$K,5,0),"")</f>
        <v/>
      </c>
      <c r="M1751" s="85" t="str">
        <f>IFERROR(VLOOKUP(CONCATENATE($B1751,"_",M$3),materiali!$C:$K,6,0),"")</f>
        <v/>
      </c>
      <c r="N1751" s="86"/>
      <c r="O1751" s="84" t="str">
        <f>IFERROR(VLOOKUP(CONCATENATE($B1751,"_",O$3),materiali!$C:$K,5,0),"")</f>
        <v/>
      </c>
      <c r="P1751" s="85" t="str">
        <f>IFERROR(VLOOKUP(CONCATENATE($B1751,"_",P$3),materiali!$C:$K,6,0),"")</f>
        <v/>
      </c>
      <c r="Q1751" s="86"/>
      <c r="R1751" s="84" t="str">
        <f>IFERROR(VLOOKUP(CONCATENATE($B1751,"_",R$3),materiali!$C:$K,5,0),"")</f>
        <v/>
      </c>
      <c r="S1751" s="85" t="str">
        <f>IFERROR(VLOOKUP(CONCATENATE($B1751,"_",S$3),materiali!$C:$K,6,0),"")</f>
        <v/>
      </c>
      <c r="T1751" s="86"/>
      <c r="U1751" s="31"/>
      <c r="AD1751" s="97"/>
    </row>
    <row r="1752" spans="1:30" ht="35.1" hidden="1" customHeight="1" x14ac:dyDescent="0.25">
      <c r="A1752" s="83"/>
      <c r="B1752" s="7"/>
      <c r="C1752" s="8"/>
      <c r="D1752" s="8"/>
      <c r="E1752" s="60"/>
      <c r="F1752" s="84" t="str">
        <f>IFERROR(VLOOKUP(CONCATENATE($B1752,"_",F$3),materiali!$C:$K,5,0),"")</f>
        <v/>
      </c>
      <c r="G1752" s="85" t="str">
        <f>IFERROR(VLOOKUP(CONCATENATE($B1752,"_",G$3),materiali!$C:$K,6,0),"")</f>
        <v/>
      </c>
      <c r="H1752" s="86"/>
      <c r="I1752" s="84" t="str">
        <f>IFERROR(VLOOKUP(CONCATENATE($B1752,"_",I$3),materiali!$C:$K,5,0),"")</f>
        <v/>
      </c>
      <c r="J1752" s="85" t="str">
        <f>IFERROR(VLOOKUP(CONCATENATE($B1752,"_",J$3),materiali!$C:$K,6,0),"")</f>
        <v/>
      </c>
      <c r="K1752" s="86"/>
      <c r="L1752" s="84" t="str">
        <f>IFERROR(VLOOKUP(CONCATENATE($B1752,"_",L$3),materiali!$C:$K,5,0),"")</f>
        <v/>
      </c>
      <c r="M1752" s="85" t="str">
        <f>IFERROR(VLOOKUP(CONCATENATE($B1752,"_",M$3),materiali!$C:$K,6,0),"")</f>
        <v/>
      </c>
      <c r="N1752" s="86"/>
      <c r="O1752" s="84" t="str">
        <f>IFERROR(VLOOKUP(CONCATENATE($B1752,"_",O$3),materiali!$C:$K,5,0),"")</f>
        <v/>
      </c>
      <c r="P1752" s="85" t="str">
        <f>IFERROR(VLOOKUP(CONCATENATE($B1752,"_",P$3),materiali!$C:$K,6,0),"")</f>
        <v/>
      </c>
      <c r="Q1752" s="86"/>
      <c r="R1752" s="84" t="str">
        <f>IFERROR(VLOOKUP(CONCATENATE($B1752,"_",R$3),materiali!$C:$K,5,0),"")</f>
        <v/>
      </c>
      <c r="S1752" s="85" t="str">
        <f>IFERROR(VLOOKUP(CONCATENATE($B1752,"_",S$3),materiali!$C:$K,6,0),"")</f>
        <v/>
      </c>
      <c r="T1752" s="86"/>
      <c r="U1752" s="31"/>
      <c r="AD1752" s="97"/>
    </row>
    <row r="1753" spans="1:30" ht="35.1" hidden="1" customHeight="1" x14ac:dyDescent="0.25">
      <c r="A1753" s="83"/>
      <c r="B1753" s="7"/>
      <c r="C1753" s="8"/>
      <c r="D1753" s="8"/>
      <c r="E1753" s="60"/>
      <c r="F1753" s="84" t="str">
        <f>IFERROR(VLOOKUP(CONCATENATE($B1753,"_",F$3),materiali!$C:$K,5,0),"")</f>
        <v/>
      </c>
      <c r="G1753" s="85" t="str">
        <f>IFERROR(VLOOKUP(CONCATENATE($B1753,"_",G$3),materiali!$C:$K,6,0),"")</f>
        <v/>
      </c>
      <c r="H1753" s="86"/>
      <c r="I1753" s="84" t="str">
        <f>IFERROR(VLOOKUP(CONCATENATE($B1753,"_",I$3),materiali!$C:$K,5,0),"")</f>
        <v/>
      </c>
      <c r="J1753" s="85" t="str">
        <f>IFERROR(VLOOKUP(CONCATENATE($B1753,"_",J$3),materiali!$C:$K,6,0),"")</f>
        <v/>
      </c>
      <c r="K1753" s="86"/>
      <c r="L1753" s="84" t="str">
        <f>IFERROR(VLOOKUP(CONCATENATE($B1753,"_",L$3),materiali!$C:$K,5,0),"")</f>
        <v/>
      </c>
      <c r="M1753" s="85" t="str">
        <f>IFERROR(VLOOKUP(CONCATENATE($B1753,"_",M$3),materiali!$C:$K,6,0),"")</f>
        <v/>
      </c>
      <c r="N1753" s="86"/>
      <c r="O1753" s="84" t="str">
        <f>IFERROR(VLOOKUP(CONCATENATE($B1753,"_",O$3),materiali!$C:$K,5,0),"")</f>
        <v/>
      </c>
      <c r="P1753" s="85" t="str">
        <f>IFERROR(VLOOKUP(CONCATENATE($B1753,"_",P$3),materiali!$C:$K,6,0),"")</f>
        <v/>
      </c>
      <c r="Q1753" s="86"/>
      <c r="R1753" s="84" t="str">
        <f>IFERROR(VLOOKUP(CONCATENATE($B1753,"_",R$3),materiali!$C:$K,5,0),"")</f>
        <v/>
      </c>
      <c r="S1753" s="85" t="str">
        <f>IFERROR(VLOOKUP(CONCATENATE($B1753,"_",S$3),materiali!$C:$K,6,0),"")</f>
        <v/>
      </c>
      <c r="T1753" s="86"/>
      <c r="U1753" s="31"/>
      <c r="AD1753" s="97"/>
    </row>
    <row r="1754" spans="1:30" ht="35.1" hidden="1" customHeight="1" x14ac:dyDescent="0.25">
      <c r="A1754" s="83"/>
      <c r="B1754" s="7"/>
      <c r="C1754" s="8"/>
      <c r="D1754" s="8"/>
      <c r="E1754" s="60"/>
      <c r="F1754" s="84" t="str">
        <f>IFERROR(VLOOKUP(CONCATENATE($B1754,"_",F$3),materiali!$C:$K,5,0),"")</f>
        <v/>
      </c>
      <c r="G1754" s="85" t="str">
        <f>IFERROR(VLOOKUP(CONCATENATE($B1754,"_",G$3),materiali!$C:$K,6,0),"")</f>
        <v/>
      </c>
      <c r="H1754" s="86"/>
      <c r="I1754" s="84" t="str">
        <f>IFERROR(VLOOKUP(CONCATENATE($B1754,"_",I$3),materiali!$C:$K,5,0),"")</f>
        <v/>
      </c>
      <c r="J1754" s="85" t="str">
        <f>IFERROR(VLOOKUP(CONCATENATE($B1754,"_",J$3),materiali!$C:$K,6,0),"")</f>
        <v/>
      </c>
      <c r="K1754" s="86"/>
      <c r="L1754" s="84" t="str">
        <f>IFERROR(VLOOKUP(CONCATENATE($B1754,"_",L$3),materiali!$C:$K,5,0),"")</f>
        <v/>
      </c>
      <c r="M1754" s="85" t="str">
        <f>IFERROR(VLOOKUP(CONCATENATE($B1754,"_",M$3),materiali!$C:$K,6,0),"")</f>
        <v/>
      </c>
      <c r="N1754" s="86"/>
      <c r="O1754" s="84" t="str">
        <f>IFERROR(VLOOKUP(CONCATENATE($B1754,"_",O$3),materiali!$C:$K,5,0),"")</f>
        <v/>
      </c>
      <c r="P1754" s="85" t="str">
        <f>IFERROR(VLOOKUP(CONCATENATE($B1754,"_",P$3),materiali!$C:$K,6,0),"")</f>
        <v/>
      </c>
      <c r="Q1754" s="86"/>
      <c r="R1754" s="84" t="str">
        <f>IFERROR(VLOOKUP(CONCATENATE($B1754,"_",R$3),materiali!$C:$K,5,0),"")</f>
        <v/>
      </c>
      <c r="S1754" s="85" t="str">
        <f>IFERROR(VLOOKUP(CONCATENATE($B1754,"_",S$3),materiali!$C:$K,6,0),"")</f>
        <v/>
      </c>
      <c r="T1754" s="86"/>
      <c r="U1754" s="31"/>
      <c r="AD1754" s="97"/>
    </row>
    <row r="1755" spans="1:30" ht="35.1" hidden="1" customHeight="1" x14ac:dyDescent="0.25">
      <c r="A1755" s="83"/>
      <c r="B1755" s="7"/>
      <c r="C1755" s="8"/>
      <c r="D1755" s="8"/>
      <c r="E1755" s="60"/>
      <c r="F1755" s="84" t="str">
        <f>IFERROR(VLOOKUP(CONCATENATE($B1755,"_",F$3),materiali!$C:$K,5,0),"")</f>
        <v/>
      </c>
      <c r="G1755" s="85" t="str">
        <f>IFERROR(VLOOKUP(CONCATENATE($B1755,"_",G$3),materiali!$C:$K,6,0),"")</f>
        <v/>
      </c>
      <c r="H1755" s="86"/>
      <c r="I1755" s="84" t="str">
        <f>IFERROR(VLOOKUP(CONCATENATE($B1755,"_",I$3),materiali!$C:$K,5,0),"")</f>
        <v/>
      </c>
      <c r="J1755" s="85" t="str">
        <f>IFERROR(VLOOKUP(CONCATENATE($B1755,"_",J$3),materiali!$C:$K,6,0),"")</f>
        <v/>
      </c>
      <c r="K1755" s="86"/>
      <c r="L1755" s="84" t="str">
        <f>IFERROR(VLOOKUP(CONCATENATE($B1755,"_",L$3),materiali!$C:$K,5,0),"")</f>
        <v/>
      </c>
      <c r="M1755" s="85" t="str">
        <f>IFERROR(VLOOKUP(CONCATENATE($B1755,"_",M$3),materiali!$C:$K,6,0),"")</f>
        <v/>
      </c>
      <c r="N1755" s="86"/>
      <c r="O1755" s="84" t="str">
        <f>IFERROR(VLOOKUP(CONCATENATE($B1755,"_",O$3),materiali!$C:$K,5,0),"")</f>
        <v/>
      </c>
      <c r="P1755" s="85" t="str">
        <f>IFERROR(VLOOKUP(CONCATENATE($B1755,"_",P$3),materiali!$C:$K,6,0),"")</f>
        <v/>
      </c>
      <c r="Q1755" s="86"/>
      <c r="R1755" s="84" t="str">
        <f>IFERROR(VLOOKUP(CONCATENATE($B1755,"_",R$3),materiali!$C:$K,5,0),"")</f>
        <v/>
      </c>
      <c r="S1755" s="85" t="str">
        <f>IFERROR(VLOOKUP(CONCATENATE($B1755,"_",S$3),materiali!$C:$K,6,0),"")</f>
        <v/>
      </c>
      <c r="T1755" s="86"/>
      <c r="U1755" s="31"/>
      <c r="AD1755" s="97"/>
    </row>
    <row r="1756" spans="1:30" ht="35.1" hidden="1" customHeight="1" x14ac:dyDescent="0.25">
      <c r="A1756" s="83"/>
      <c r="B1756" s="7"/>
      <c r="C1756" s="8"/>
      <c r="D1756" s="8"/>
      <c r="E1756" s="60"/>
      <c r="F1756" s="84" t="str">
        <f>IFERROR(VLOOKUP(CONCATENATE($B1756,"_",F$3),materiali!$C:$K,5,0),"")</f>
        <v/>
      </c>
      <c r="G1756" s="85" t="str">
        <f>IFERROR(VLOOKUP(CONCATENATE($B1756,"_",G$3),materiali!$C:$K,6,0),"")</f>
        <v/>
      </c>
      <c r="H1756" s="86"/>
      <c r="I1756" s="84" t="str">
        <f>IFERROR(VLOOKUP(CONCATENATE($B1756,"_",I$3),materiali!$C:$K,5,0),"")</f>
        <v/>
      </c>
      <c r="J1756" s="85" t="str">
        <f>IFERROR(VLOOKUP(CONCATENATE($B1756,"_",J$3),materiali!$C:$K,6,0),"")</f>
        <v/>
      </c>
      <c r="K1756" s="86"/>
      <c r="L1756" s="84" t="str">
        <f>IFERROR(VLOOKUP(CONCATENATE($B1756,"_",L$3),materiali!$C:$K,5,0),"")</f>
        <v/>
      </c>
      <c r="M1756" s="85" t="str">
        <f>IFERROR(VLOOKUP(CONCATENATE($B1756,"_",M$3),materiali!$C:$K,6,0),"")</f>
        <v/>
      </c>
      <c r="N1756" s="86"/>
      <c r="O1756" s="84" t="str">
        <f>IFERROR(VLOOKUP(CONCATENATE($B1756,"_",O$3),materiali!$C:$K,5,0),"")</f>
        <v/>
      </c>
      <c r="P1756" s="85" t="str">
        <f>IFERROR(VLOOKUP(CONCATENATE($B1756,"_",P$3),materiali!$C:$K,6,0),"")</f>
        <v/>
      </c>
      <c r="Q1756" s="86"/>
      <c r="R1756" s="84" t="str">
        <f>IFERROR(VLOOKUP(CONCATENATE($B1756,"_",R$3),materiali!$C:$K,5,0),"")</f>
        <v/>
      </c>
      <c r="S1756" s="85" t="str">
        <f>IFERROR(VLOOKUP(CONCATENATE($B1756,"_",S$3),materiali!$C:$K,6,0),"")</f>
        <v/>
      </c>
      <c r="T1756" s="86"/>
      <c r="U1756" s="31"/>
      <c r="AD1756" s="97"/>
    </row>
    <row r="1757" spans="1:30" ht="35.1" hidden="1" customHeight="1" x14ac:dyDescent="0.25">
      <c r="A1757" s="83"/>
      <c r="B1757" s="7"/>
      <c r="C1757" s="8"/>
      <c r="D1757" s="8"/>
      <c r="E1757" s="60"/>
      <c r="F1757" s="84" t="str">
        <f>IFERROR(VLOOKUP(CONCATENATE($B1757,"_",F$3),materiali!$C:$K,5,0),"")</f>
        <v/>
      </c>
      <c r="G1757" s="85" t="str">
        <f>IFERROR(VLOOKUP(CONCATENATE($B1757,"_",G$3),materiali!$C:$K,6,0),"")</f>
        <v/>
      </c>
      <c r="H1757" s="86"/>
      <c r="I1757" s="84" t="str">
        <f>IFERROR(VLOOKUP(CONCATENATE($B1757,"_",I$3),materiali!$C:$K,5,0),"")</f>
        <v/>
      </c>
      <c r="J1757" s="85" t="str">
        <f>IFERROR(VLOOKUP(CONCATENATE($B1757,"_",J$3),materiali!$C:$K,6,0),"")</f>
        <v/>
      </c>
      <c r="K1757" s="86"/>
      <c r="L1757" s="84" t="str">
        <f>IFERROR(VLOOKUP(CONCATENATE($B1757,"_",L$3),materiali!$C:$K,5,0),"")</f>
        <v/>
      </c>
      <c r="M1757" s="85" t="str">
        <f>IFERROR(VLOOKUP(CONCATENATE($B1757,"_",M$3),materiali!$C:$K,6,0),"")</f>
        <v/>
      </c>
      <c r="N1757" s="86"/>
      <c r="O1757" s="84" t="str">
        <f>IFERROR(VLOOKUP(CONCATENATE($B1757,"_",O$3),materiali!$C:$K,5,0),"")</f>
        <v/>
      </c>
      <c r="P1757" s="85" t="str">
        <f>IFERROR(VLOOKUP(CONCATENATE($B1757,"_",P$3),materiali!$C:$K,6,0),"")</f>
        <v/>
      </c>
      <c r="Q1757" s="86"/>
      <c r="R1757" s="84" t="str">
        <f>IFERROR(VLOOKUP(CONCATENATE($B1757,"_",R$3),materiali!$C:$K,5,0),"")</f>
        <v/>
      </c>
      <c r="S1757" s="85" t="str">
        <f>IFERROR(VLOOKUP(CONCATENATE($B1757,"_",S$3),materiali!$C:$K,6,0),"")</f>
        <v/>
      </c>
      <c r="T1757" s="86"/>
      <c r="U1757" s="31"/>
      <c r="AD1757" s="97"/>
    </row>
    <row r="1758" spans="1:30" ht="35.1" hidden="1" customHeight="1" x14ac:dyDescent="0.25">
      <c r="A1758" s="83"/>
      <c r="B1758" s="7"/>
      <c r="C1758" s="8"/>
      <c r="D1758" s="8"/>
      <c r="E1758" s="60"/>
      <c r="F1758" s="84" t="str">
        <f>IFERROR(VLOOKUP(CONCATENATE($B1758,"_",F$3),materiali!$C:$K,5,0),"")</f>
        <v/>
      </c>
      <c r="G1758" s="85" t="str">
        <f>IFERROR(VLOOKUP(CONCATENATE($B1758,"_",G$3),materiali!$C:$K,6,0),"")</f>
        <v/>
      </c>
      <c r="H1758" s="86"/>
      <c r="I1758" s="84" t="str">
        <f>IFERROR(VLOOKUP(CONCATENATE($B1758,"_",I$3),materiali!$C:$K,5,0),"")</f>
        <v/>
      </c>
      <c r="J1758" s="85" t="str">
        <f>IFERROR(VLOOKUP(CONCATENATE($B1758,"_",J$3),materiali!$C:$K,6,0),"")</f>
        <v/>
      </c>
      <c r="K1758" s="86"/>
      <c r="L1758" s="84" t="str">
        <f>IFERROR(VLOOKUP(CONCATENATE($B1758,"_",L$3),materiali!$C:$K,5,0),"")</f>
        <v/>
      </c>
      <c r="M1758" s="85" t="str">
        <f>IFERROR(VLOOKUP(CONCATENATE($B1758,"_",M$3),materiali!$C:$K,6,0),"")</f>
        <v/>
      </c>
      <c r="N1758" s="86"/>
      <c r="O1758" s="84" t="str">
        <f>IFERROR(VLOOKUP(CONCATENATE($B1758,"_",O$3),materiali!$C:$K,5,0),"")</f>
        <v/>
      </c>
      <c r="P1758" s="85" t="str">
        <f>IFERROR(VLOOKUP(CONCATENATE($B1758,"_",P$3),materiali!$C:$K,6,0),"")</f>
        <v/>
      </c>
      <c r="Q1758" s="86"/>
      <c r="R1758" s="84" t="str">
        <f>IFERROR(VLOOKUP(CONCATENATE($B1758,"_",R$3),materiali!$C:$K,5,0),"")</f>
        <v/>
      </c>
      <c r="S1758" s="85" t="str">
        <f>IFERROR(VLOOKUP(CONCATENATE($B1758,"_",S$3),materiali!$C:$K,6,0),"")</f>
        <v/>
      </c>
      <c r="T1758" s="86"/>
      <c r="U1758" s="31"/>
      <c r="AD1758" s="97"/>
    </row>
    <row r="1759" spans="1:30" ht="35.1" hidden="1" customHeight="1" x14ac:dyDescent="0.25">
      <c r="A1759" s="83"/>
      <c r="B1759" s="7"/>
      <c r="C1759" s="8"/>
      <c r="D1759" s="8"/>
      <c r="E1759" s="60"/>
      <c r="F1759" s="84" t="str">
        <f>IFERROR(VLOOKUP(CONCATENATE($B1759,"_",F$3),materiali!$C:$K,5,0),"")</f>
        <v/>
      </c>
      <c r="G1759" s="85" t="str">
        <f>IFERROR(VLOOKUP(CONCATENATE($B1759,"_",G$3),materiali!$C:$K,6,0),"")</f>
        <v/>
      </c>
      <c r="H1759" s="86"/>
      <c r="I1759" s="84" t="str">
        <f>IFERROR(VLOOKUP(CONCATENATE($B1759,"_",I$3),materiali!$C:$K,5,0),"")</f>
        <v/>
      </c>
      <c r="J1759" s="85" t="str">
        <f>IFERROR(VLOOKUP(CONCATENATE($B1759,"_",J$3),materiali!$C:$K,6,0),"")</f>
        <v/>
      </c>
      <c r="K1759" s="86"/>
      <c r="L1759" s="84" t="str">
        <f>IFERROR(VLOOKUP(CONCATENATE($B1759,"_",L$3),materiali!$C:$K,5,0),"")</f>
        <v/>
      </c>
      <c r="M1759" s="85" t="str">
        <f>IFERROR(VLOOKUP(CONCATENATE($B1759,"_",M$3),materiali!$C:$K,6,0),"")</f>
        <v/>
      </c>
      <c r="N1759" s="86"/>
      <c r="O1759" s="84" t="str">
        <f>IFERROR(VLOOKUP(CONCATENATE($B1759,"_",O$3),materiali!$C:$K,5,0),"")</f>
        <v/>
      </c>
      <c r="P1759" s="85" t="str">
        <f>IFERROR(VLOOKUP(CONCATENATE($B1759,"_",P$3),materiali!$C:$K,6,0),"")</f>
        <v/>
      </c>
      <c r="Q1759" s="86"/>
      <c r="R1759" s="84" t="str">
        <f>IFERROR(VLOOKUP(CONCATENATE($B1759,"_",R$3),materiali!$C:$K,5,0),"")</f>
        <v/>
      </c>
      <c r="S1759" s="85" t="str">
        <f>IFERROR(VLOOKUP(CONCATENATE($B1759,"_",S$3),materiali!$C:$K,6,0),"")</f>
        <v/>
      </c>
      <c r="T1759" s="86"/>
      <c r="U1759" s="31"/>
      <c r="AD1759" s="97"/>
    </row>
    <row r="1760" spans="1:30" ht="35.1" hidden="1" customHeight="1" x14ac:dyDescent="0.25">
      <c r="A1760" s="83"/>
      <c r="B1760" s="7"/>
      <c r="C1760" s="8"/>
      <c r="D1760" s="8"/>
      <c r="E1760" s="60"/>
      <c r="F1760" s="84" t="str">
        <f>IFERROR(VLOOKUP(CONCATENATE($B1760,"_",F$3),materiali!$C:$K,5,0),"")</f>
        <v/>
      </c>
      <c r="G1760" s="85" t="str">
        <f>IFERROR(VLOOKUP(CONCATENATE($B1760,"_",G$3),materiali!$C:$K,6,0),"")</f>
        <v/>
      </c>
      <c r="H1760" s="86"/>
      <c r="I1760" s="84" t="str">
        <f>IFERROR(VLOOKUP(CONCATENATE($B1760,"_",I$3),materiali!$C:$K,5,0),"")</f>
        <v/>
      </c>
      <c r="J1760" s="85" t="str">
        <f>IFERROR(VLOOKUP(CONCATENATE($B1760,"_",J$3),materiali!$C:$K,6,0),"")</f>
        <v/>
      </c>
      <c r="K1760" s="86"/>
      <c r="L1760" s="84" t="str">
        <f>IFERROR(VLOOKUP(CONCATENATE($B1760,"_",L$3),materiali!$C:$K,5,0),"")</f>
        <v/>
      </c>
      <c r="M1760" s="85" t="str">
        <f>IFERROR(VLOOKUP(CONCATENATE($B1760,"_",M$3),materiali!$C:$K,6,0),"")</f>
        <v/>
      </c>
      <c r="N1760" s="86"/>
      <c r="O1760" s="84" t="str">
        <f>IFERROR(VLOOKUP(CONCATENATE($B1760,"_",O$3),materiali!$C:$K,5,0),"")</f>
        <v/>
      </c>
      <c r="P1760" s="85" t="str">
        <f>IFERROR(VLOOKUP(CONCATENATE($B1760,"_",P$3),materiali!$C:$K,6,0),"")</f>
        <v/>
      </c>
      <c r="Q1760" s="86"/>
      <c r="R1760" s="84" t="str">
        <f>IFERROR(VLOOKUP(CONCATENATE($B1760,"_",R$3),materiali!$C:$K,5,0),"")</f>
        <v/>
      </c>
      <c r="S1760" s="85" t="str">
        <f>IFERROR(VLOOKUP(CONCATENATE($B1760,"_",S$3),materiali!$C:$K,6,0),"")</f>
        <v/>
      </c>
      <c r="T1760" s="86"/>
      <c r="U1760" s="31"/>
      <c r="AD1760" s="97"/>
    </row>
    <row r="1761" spans="1:30" ht="35.1" hidden="1" customHeight="1" x14ac:dyDescent="0.25">
      <c r="A1761" s="83"/>
      <c r="B1761" s="7"/>
      <c r="C1761" s="8"/>
      <c r="D1761" s="8"/>
      <c r="E1761" s="60"/>
      <c r="F1761" s="84" t="str">
        <f>IFERROR(VLOOKUP(CONCATENATE($B1761,"_",F$3),materiali!$C:$K,5,0),"")</f>
        <v/>
      </c>
      <c r="G1761" s="85" t="str">
        <f>IFERROR(VLOOKUP(CONCATENATE($B1761,"_",G$3),materiali!$C:$K,6,0),"")</f>
        <v/>
      </c>
      <c r="H1761" s="86"/>
      <c r="I1761" s="84" t="str">
        <f>IFERROR(VLOOKUP(CONCATENATE($B1761,"_",I$3),materiali!$C:$K,5,0),"")</f>
        <v/>
      </c>
      <c r="J1761" s="85" t="str">
        <f>IFERROR(VLOOKUP(CONCATENATE($B1761,"_",J$3),materiali!$C:$K,6,0),"")</f>
        <v/>
      </c>
      <c r="K1761" s="86"/>
      <c r="L1761" s="84" t="str">
        <f>IFERROR(VLOOKUP(CONCATENATE($B1761,"_",L$3),materiali!$C:$K,5,0),"")</f>
        <v/>
      </c>
      <c r="M1761" s="85" t="str">
        <f>IFERROR(VLOOKUP(CONCATENATE($B1761,"_",M$3),materiali!$C:$K,6,0),"")</f>
        <v/>
      </c>
      <c r="N1761" s="86"/>
      <c r="O1761" s="84" t="str">
        <f>IFERROR(VLOOKUP(CONCATENATE($B1761,"_",O$3),materiali!$C:$K,5,0),"")</f>
        <v/>
      </c>
      <c r="P1761" s="85" t="str">
        <f>IFERROR(VLOOKUP(CONCATENATE($B1761,"_",P$3),materiali!$C:$K,6,0),"")</f>
        <v/>
      </c>
      <c r="Q1761" s="86"/>
      <c r="R1761" s="84" t="str">
        <f>IFERROR(VLOOKUP(CONCATENATE($B1761,"_",R$3),materiali!$C:$K,5,0),"")</f>
        <v/>
      </c>
      <c r="S1761" s="85" t="str">
        <f>IFERROR(VLOOKUP(CONCATENATE($B1761,"_",S$3),materiali!$C:$K,6,0),"")</f>
        <v/>
      </c>
      <c r="T1761" s="86"/>
      <c r="U1761" s="31"/>
      <c r="AD1761" s="97"/>
    </row>
    <row r="1762" spans="1:30" ht="35.1" hidden="1" customHeight="1" x14ac:dyDescent="0.25">
      <c r="A1762" s="83"/>
      <c r="B1762" s="7"/>
      <c r="C1762" s="8"/>
      <c r="D1762" s="8"/>
      <c r="E1762" s="60"/>
      <c r="F1762" s="84" t="str">
        <f>IFERROR(VLOOKUP(CONCATENATE($B1762,"_",F$3),materiali!$C:$K,5,0),"")</f>
        <v/>
      </c>
      <c r="G1762" s="85" t="str">
        <f>IFERROR(VLOOKUP(CONCATENATE($B1762,"_",G$3),materiali!$C:$K,6,0),"")</f>
        <v/>
      </c>
      <c r="H1762" s="86"/>
      <c r="I1762" s="84" t="str">
        <f>IFERROR(VLOOKUP(CONCATENATE($B1762,"_",I$3),materiali!$C:$K,5,0),"")</f>
        <v/>
      </c>
      <c r="J1762" s="85" t="str">
        <f>IFERROR(VLOOKUP(CONCATENATE($B1762,"_",J$3),materiali!$C:$K,6,0),"")</f>
        <v/>
      </c>
      <c r="K1762" s="86"/>
      <c r="L1762" s="84" t="str">
        <f>IFERROR(VLOOKUP(CONCATENATE($B1762,"_",L$3),materiali!$C:$K,5,0),"")</f>
        <v/>
      </c>
      <c r="M1762" s="85" t="str">
        <f>IFERROR(VLOOKUP(CONCATENATE($B1762,"_",M$3),materiali!$C:$K,6,0),"")</f>
        <v/>
      </c>
      <c r="N1762" s="86"/>
      <c r="O1762" s="84" t="str">
        <f>IFERROR(VLOOKUP(CONCATENATE($B1762,"_",O$3),materiali!$C:$K,5,0),"")</f>
        <v/>
      </c>
      <c r="P1762" s="85" t="str">
        <f>IFERROR(VLOOKUP(CONCATENATE($B1762,"_",P$3),materiali!$C:$K,6,0),"")</f>
        <v/>
      </c>
      <c r="Q1762" s="86"/>
      <c r="R1762" s="84" t="str">
        <f>IFERROR(VLOOKUP(CONCATENATE($B1762,"_",R$3),materiali!$C:$K,5,0),"")</f>
        <v/>
      </c>
      <c r="S1762" s="85" t="str">
        <f>IFERROR(VLOOKUP(CONCATENATE($B1762,"_",S$3),materiali!$C:$K,6,0),"")</f>
        <v/>
      </c>
      <c r="T1762" s="86"/>
      <c r="U1762" s="31"/>
      <c r="AD1762" s="97"/>
    </row>
    <row r="1763" spans="1:30" ht="35.1" hidden="1" customHeight="1" x14ac:dyDescent="0.25">
      <c r="A1763" s="83"/>
      <c r="B1763" s="7"/>
      <c r="C1763" s="8"/>
      <c r="D1763" s="8"/>
      <c r="E1763" s="60"/>
      <c r="F1763" s="84" t="str">
        <f>IFERROR(VLOOKUP(CONCATENATE($B1763,"_",F$3),materiali!$C:$K,5,0),"")</f>
        <v/>
      </c>
      <c r="G1763" s="85" t="str">
        <f>IFERROR(VLOOKUP(CONCATENATE($B1763,"_",G$3),materiali!$C:$K,6,0),"")</f>
        <v/>
      </c>
      <c r="H1763" s="86"/>
      <c r="I1763" s="84" t="str">
        <f>IFERROR(VLOOKUP(CONCATENATE($B1763,"_",I$3),materiali!$C:$K,5,0),"")</f>
        <v/>
      </c>
      <c r="J1763" s="85" t="str">
        <f>IFERROR(VLOOKUP(CONCATENATE($B1763,"_",J$3),materiali!$C:$K,6,0),"")</f>
        <v/>
      </c>
      <c r="K1763" s="86"/>
      <c r="L1763" s="84" t="str">
        <f>IFERROR(VLOOKUP(CONCATENATE($B1763,"_",L$3),materiali!$C:$K,5,0),"")</f>
        <v/>
      </c>
      <c r="M1763" s="85" t="str">
        <f>IFERROR(VLOOKUP(CONCATENATE($B1763,"_",M$3),materiali!$C:$K,6,0),"")</f>
        <v/>
      </c>
      <c r="N1763" s="86"/>
      <c r="O1763" s="84" t="str">
        <f>IFERROR(VLOOKUP(CONCATENATE($B1763,"_",O$3),materiali!$C:$K,5,0),"")</f>
        <v/>
      </c>
      <c r="P1763" s="85" t="str">
        <f>IFERROR(VLOOKUP(CONCATENATE($B1763,"_",P$3),materiali!$C:$K,6,0),"")</f>
        <v/>
      </c>
      <c r="Q1763" s="86"/>
      <c r="R1763" s="84" t="str">
        <f>IFERROR(VLOOKUP(CONCATENATE($B1763,"_",R$3),materiali!$C:$K,5,0),"")</f>
        <v/>
      </c>
      <c r="S1763" s="85" t="str">
        <f>IFERROR(VLOOKUP(CONCATENATE($B1763,"_",S$3),materiali!$C:$K,6,0),"")</f>
        <v/>
      </c>
      <c r="T1763" s="86"/>
      <c r="U1763" s="31"/>
      <c r="AD1763" s="97"/>
    </row>
    <row r="1764" spans="1:30" ht="35.1" hidden="1" customHeight="1" x14ac:dyDescent="0.25">
      <c r="A1764" s="83"/>
      <c r="B1764" s="7"/>
      <c r="C1764" s="8"/>
      <c r="D1764" s="8"/>
      <c r="E1764" s="60"/>
      <c r="F1764" s="84" t="str">
        <f>IFERROR(VLOOKUP(CONCATENATE($B1764,"_",F$3),materiali!$C:$K,5,0),"")</f>
        <v/>
      </c>
      <c r="G1764" s="85" t="str">
        <f>IFERROR(VLOOKUP(CONCATENATE($B1764,"_",G$3),materiali!$C:$K,6,0),"")</f>
        <v/>
      </c>
      <c r="H1764" s="86"/>
      <c r="I1764" s="84" t="str">
        <f>IFERROR(VLOOKUP(CONCATENATE($B1764,"_",I$3),materiali!$C:$K,5,0),"")</f>
        <v/>
      </c>
      <c r="J1764" s="85" t="str">
        <f>IFERROR(VLOOKUP(CONCATENATE($B1764,"_",J$3),materiali!$C:$K,6,0),"")</f>
        <v/>
      </c>
      <c r="K1764" s="86"/>
      <c r="L1764" s="84" t="str">
        <f>IFERROR(VLOOKUP(CONCATENATE($B1764,"_",L$3),materiali!$C:$K,5,0),"")</f>
        <v/>
      </c>
      <c r="M1764" s="85" t="str">
        <f>IFERROR(VLOOKUP(CONCATENATE($B1764,"_",M$3),materiali!$C:$K,6,0),"")</f>
        <v/>
      </c>
      <c r="N1764" s="86"/>
      <c r="O1764" s="84" t="str">
        <f>IFERROR(VLOOKUP(CONCATENATE($B1764,"_",O$3),materiali!$C:$K,5,0),"")</f>
        <v/>
      </c>
      <c r="P1764" s="85" t="str">
        <f>IFERROR(VLOOKUP(CONCATENATE($B1764,"_",P$3),materiali!$C:$K,6,0),"")</f>
        <v/>
      </c>
      <c r="Q1764" s="86"/>
      <c r="R1764" s="84" t="str">
        <f>IFERROR(VLOOKUP(CONCATENATE($B1764,"_",R$3),materiali!$C:$K,5,0),"")</f>
        <v/>
      </c>
      <c r="S1764" s="85" t="str">
        <f>IFERROR(VLOOKUP(CONCATENATE($B1764,"_",S$3),materiali!$C:$K,6,0),"")</f>
        <v/>
      </c>
      <c r="T1764" s="86"/>
      <c r="U1764" s="31"/>
      <c r="AD1764" s="97"/>
    </row>
    <row r="1765" spans="1:30" ht="35.1" hidden="1" customHeight="1" x14ac:dyDescent="0.25">
      <c r="A1765" s="83"/>
      <c r="B1765" s="7"/>
      <c r="C1765" s="8"/>
      <c r="D1765" s="8"/>
      <c r="E1765" s="60"/>
      <c r="F1765" s="84" t="str">
        <f>IFERROR(VLOOKUP(CONCATENATE($B1765,"_",F$3),materiali!$C:$K,5,0),"")</f>
        <v/>
      </c>
      <c r="G1765" s="85" t="str">
        <f>IFERROR(VLOOKUP(CONCATENATE($B1765,"_",G$3),materiali!$C:$K,6,0),"")</f>
        <v/>
      </c>
      <c r="H1765" s="86"/>
      <c r="I1765" s="84" t="str">
        <f>IFERROR(VLOOKUP(CONCATENATE($B1765,"_",I$3),materiali!$C:$K,5,0),"")</f>
        <v/>
      </c>
      <c r="J1765" s="85" t="str">
        <f>IFERROR(VLOOKUP(CONCATENATE($B1765,"_",J$3),materiali!$C:$K,6,0),"")</f>
        <v/>
      </c>
      <c r="K1765" s="86"/>
      <c r="L1765" s="84" t="str">
        <f>IFERROR(VLOOKUP(CONCATENATE($B1765,"_",L$3),materiali!$C:$K,5,0),"")</f>
        <v/>
      </c>
      <c r="M1765" s="85" t="str">
        <f>IFERROR(VLOOKUP(CONCATENATE($B1765,"_",M$3),materiali!$C:$K,6,0),"")</f>
        <v/>
      </c>
      <c r="N1765" s="86"/>
      <c r="O1765" s="84" t="str">
        <f>IFERROR(VLOOKUP(CONCATENATE($B1765,"_",O$3),materiali!$C:$K,5,0),"")</f>
        <v/>
      </c>
      <c r="P1765" s="85" t="str">
        <f>IFERROR(VLOOKUP(CONCATENATE($B1765,"_",P$3),materiali!$C:$K,6,0),"")</f>
        <v/>
      </c>
      <c r="Q1765" s="86"/>
      <c r="R1765" s="84" t="str">
        <f>IFERROR(VLOOKUP(CONCATENATE($B1765,"_",R$3),materiali!$C:$K,5,0),"")</f>
        <v/>
      </c>
      <c r="S1765" s="85" t="str">
        <f>IFERROR(VLOOKUP(CONCATENATE($B1765,"_",S$3),materiali!$C:$K,6,0),"")</f>
        <v/>
      </c>
      <c r="T1765" s="86"/>
      <c r="U1765" s="31"/>
      <c r="AD1765" s="97"/>
    </row>
    <row r="1766" spans="1:30" ht="35.1" hidden="1" customHeight="1" x14ac:dyDescent="0.25">
      <c r="A1766" s="83"/>
      <c r="B1766" s="7"/>
      <c r="C1766" s="8"/>
      <c r="D1766" s="8"/>
      <c r="E1766" s="60"/>
      <c r="F1766" s="84" t="str">
        <f>IFERROR(VLOOKUP(CONCATENATE($B1766,"_",F$3),materiali!$C:$K,5,0),"")</f>
        <v/>
      </c>
      <c r="G1766" s="85" t="str">
        <f>IFERROR(VLOOKUP(CONCATENATE($B1766,"_",G$3),materiali!$C:$K,6,0),"")</f>
        <v/>
      </c>
      <c r="H1766" s="86"/>
      <c r="I1766" s="84" t="str">
        <f>IFERROR(VLOOKUP(CONCATENATE($B1766,"_",I$3),materiali!$C:$K,5,0),"")</f>
        <v/>
      </c>
      <c r="J1766" s="85" t="str">
        <f>IFERROR(VLOOKUP(CONCATENATE($B1766,"_",J$3),materiali!$C:$K,6,0),"")</f>
        <v/>
      </c>
      <c r="K1766" s="86"/>
      <c r="L1766" s="84" t="str">
        <f>IFERROR(VLOOKUP(CONCATENATE($B1766,"_",L$3),materiali!$C:$K,5,0),"")</f>
        <v/>
      </c>
      <c r="M1766" s="85" t="str">
        <f>IFERROR(VLOOKUP(CONCATENATE($B1766,"_",M$3),materiali!$C:$K,6,0),"")</f>
        <v/>
      </c>
      <c r="N1766" s="86"/>
      <c r="O1766" s="84" t="str">
        <f>IFERROR(VLOOKUP(CONCATENATE($B1766,"_",O$3),materiali!$C:$K,5,0),"")</f>
        <v/>
      </c>
      <c r="P1766" s="85" t="str">
        <f>IFERROR(VLOOKUP(CONCATENATE($B1766,"_",P$3),materiali!$C:$K,6,0),"")</f>
        <v/>
      </c>
      <c r="Q1766" s="86"/>
      <c r="R1766" s="84" t="str">
        <f>IFERROR(VLOOKUP(CONCATENATE($B1766,"_",R$3),materiali!$C:$K,5,0),"")</f>
        <v/>
      </c>
      <c r="S1766" s="85" t="str">
        <f>IFERROR(VLOOKUP(CONCATENATE($B1766,"_",S$3),materiali!$C:$K,6,0),"")</f>
        <v/>
      </c>
      <c r="T1766" s="86"/>
      <c r="U1766" s="31"/>
      <c r="AD1766" s="97"/>
    </row>
    <row r="1767" spans="1:30" ht="35.1" hidden="1" customHeight="1" x14ac:dyDescent="0.25">
      <c r="A1767" s="83"/>
      <c r="B1767" s="7"/>
      <c r="C1767" s="8"/>
      <c r="D1767" s="8"/>
      <c r="E1767" s="60"/>
      <c r="F1767" s="84" t="str">
        <f>IFERROR(VLOOKUP(CONCATENATE($B1767,"_",F$3),materiali!$C:$K,5,0),"")</f>
        <v/>
      </c>
      <c r="G1767" s="85" t="str">
        <f>IFERROR(VLOOKUP(CONCATENATE($B1767,"_",G$3),materiali!$C:$K,6,0),"")</f>
        <v/>
      </c>
      <c r="H1767" s="86"/>
      <c r="I1767" s="84" t="str">
        <f>IFERROR(VLOOKUP(CONCATENATE($B1767,"_",I$3),materiali!$C:$K,5,0),"")</f>
        <v/>
      </c>
      <c r="J1767" s="85" t="str">
        <f>IFERROR(VLOOKUP(CONCATENATE($B1767,"_",J$3),materiali!$C:$K,6,0),"")</f>
        <v/>
      </c>
      <c r="K1767" s="86"/>
      <c r="L1767" s="84" t="str">
        <f>IFERROR(VLOOKUP(CONCATENATE($B1767,"_",L$3),materiali!$C:$K,5,0),"")</f>
        <v/>
      </c>
      <c r="M1767" s="85" t="str">
        <f>IFERROR(VLOOKUP(CONCATENATE($B1767,"_",M$3),materiali!$C:$K,6,0),"")</f>
        <v/>
      </c>
      <c r="N1767" s="86"/>
      <c r="O1767" s="84" t="str">
        <f>IFERROR(VLOOKUP(CONCATENATE($B1767,"_",O$3),materiali!$C:$K,5,0),"")</f>
        <v/>
      </c>
      <c r="P1767" s="85" t="str">
        <f>IFERROR(VLOOKUP(CONCATENATE($B1767,"_",P$3),materiali!$C:$K,6,0),"")</f>
        <v/>
      </c>
      <c r="Q1767" s="86"/>
      <c r="R1767" s="84" t="str">
        <f>IFERROR(VLOOKUP(CONCATENATE($B1767,"_",R$3),materiali!$C:$K,5,0),"")</f>
        <v/>
      </c>
      <c r="S1767" s="85" t="str">
        <f>IFERROR(VLOOKUP(CONCATENATE($B1767,"_",S$3),materiali!$C:$K,6,0),"")</f>
        <v/>
      </c>
      <c r="T1767" s="86"/>
      <c r="U1767" s="31"/>
      <c r="AD1767" s="97"/>
    </row>
    <row r="1768" spans="1:30" ht="35.1" hidden="1" customHeight="1" x14ac:dyDescent="0.25">
      <c r="A1768" s="83"/>
      <c r="B1768" s="7"/>
      <c r="C1768" s="8"/>
      <c r="D1768" s="8"/>
      <c r="E1768" s="60"/>
      <c r="F1768" s="84" t="str">
        <f>IFERROR(VLOOKUP(CONCATENATE($B1768,"_",F$3),materiali!$C:$K,5,0),"")</f>
        <v/>
      </c>
      <c r="G1768" s="85" t="str">
        <f>IFERROR(VLOOKUP(CONCATENATE($B1768,"_",G$3),materiali!$C:$K,6,0),"")</f>
        <v/>
      </c>
      <c r="H1768" s="86"/>
      <c r="I1768" s="84" t="str">
        <f>IFERROR(VLOOKUP(CONCATENATE($B1768,"_",I$3),materiali!$C:$K,5,0),"")</f>
        <v/>
      </c>
      <c r="J1768" s="85" t="str">
        <f>IFERROR(VLOOKUP(CONCATENATE($B1768,"_",J$3),materiali!$C:$K,6,0),"")</f>
        <v/>
      </c>
      <c r="K1768" s="86"/>
      <c r="L1768" s="84" t="str">
        <f>IFERROR(VLOOKUP(CONCATENATE($B1768,"_",L$3),materiali!$C:$K,5,0),"")</f>
        <v/>
      </c>
      <c r="M1768" s="85" t="str">
        <f>IFERROR(VLOOKUP(CONCATENATE($B1768,"_",M$3),materiali!$C:$K,6,0),"")</f>
        <v/>
      </c>
      <c r="N1768" s="86"/>
      <c r="O1768" s="84" t="str">
        <f>IFERROR(VLOOKUP(CONCATENATE($B1768,"_",O$3),materiali!$C:$K,5,0),"")</f>
        <v/>
      </c>
      <c r="P1768" s="85" t="str">
        <f>IFERROR(VLOOKUP(CONCATENATE($B1768,"_",P$3),materiali!$C:$K,6,0),"")</f>
        <v/>
      </c>
      <c r="Q1768" s="86"/>
      <c r="R1768" s="84" t="str">
        <f>IFERROR(VLOOKUP(CONCATENATE($B1768,"_",R$3),materiali!$C:$K,5,0),"")</f>
        <v/>
      </c>
      <c r="S1768" s="85" t="str">
        <f>IFERROR(VLOOKUP(CONCATENATE($B1768,"_",S$3),materiali!$C:$K,6,0),"")</f>
        <v/>
      </c>
      <c r="T1768" s="86"/>
      <c r="U1768" s="31"/>
      <c r="AD1768" s="97"/>
    </row>
    <row r="1769" spans="1:30" ht="35.1" hidden="1" customHeight="1" x14ac:dyDescent="0.25">
      <c r="A1769" s="83"/>
      <c r="B1769" s="7"/>
      <c r="C1769" s="8"/>
      <c r="D1769" s="8"/>
      <c r="E1769" s="60"/>
      <c r="F1769" s="84" t="str">
        <f>IFERROR(VLOOKUP(CONCATENATE($B1769,"_",F$3),materiali!$C:$K,5,0),"")</f>
        <v/>
      </c>
      <c r="G1769" s="85" t="str">
        <f>IFERROR(VLOOKUP(CONCATENATE($B1769,"_",G$3),materiali!$C:$K,6,0),"")</f>
        <v/>
      </c>
      <c r="H1769" s="86"/>
      <c r="I1769" s="84" t="str">
        <f>IFERROR(VLOOKUP(CONCATENATE($B1769,"_",I$3),materiali!$C:$K,5,0),"")</f>
        <v/>
      </c>
      <c r="J1769" s="85" t="str">
        <f>IFERROR(VLOOKUP(CONCATENATE($B1769,"_",J$3),materiali!$C:$K,6,0),"")</f>
        <v/>
      </c>
      <c r="K1769" s="86"/>
      <c r="L1769" s="84" t="str">
        <f>IFERROR(VLOOKUP(CONCATENATE($B1769,"_",L$3),materiali!$C:$K,5,0),"")</f>
        <v/>
      </c>
      <c r="M1769" s="85" t="str">
        <f>IFERROR(VLOOKUP(CONCATENATE($B1769,"_",M$3),materiali!$C:$K,6,0),"")</f>
        <v/>
      </c>
      <c r="N1769" s="86"/>
      <c r="O1769" s="84" t="str">
        <f>IFERROR(VLOOKUP(CONCATENATE($B1769,"_",O$3),materiali!$C:$K,5,0),"")</f>
        <v/>
      </c>
      <c r="P1769" s="85" t="str">
        <f>IFERROR(VLOOKUP(CONCATENATE($B1769,"_",P$3),materiali!$C:$K,6,0),"")</f>
        <v/>
      </c>
      <c r="Q1769" s="86"/>
      <c r="R1769" s="84" t="str">
        <f>IFERROR(VLOOKUP(CONCATENATE($B1769,"_",R$3),materiali!$C:$K,5,0),"")</f>
        <v/>
      </c>
      <c r="S1769" s="85" t="str">
        <f>IFERROR(VLOOKUP(CONCATENATE($B1769,"_",S$3),materiali!$C:$K,6,0),"")</f>
        <v/>
      </c>
      <c r="T1769" s="86"/>
      <c r="U1769" s="31"/>
      <c r="AD1769" s="97"/>
    </row>
    <row r="1770" spans="1:30" ht="35.1" hidden="1" customHeight="1" x14ac:dyDescent="0.25">
      <c r="A1770" s="83"/>
      <c r="B1770" s="7"/>
      <c r="C1770" s="8"/>
      <c r="D1770" s="8"/>
      <c r="E1770" s="60"/>
      <c r="F1770" s="84" t="str">
        <f>IFERROR(VLOOKUP(CONCATENATE($B1770,"_",F$3),materiali!$C:$K,5,0),"")</f>
        <v/>
      </c>
      <c r="G1770" s="85" t="str">
        <f>IFERROR(VLOOKUP(CONCATENATE($B1770,"_",G$3),materiali!$C:$K,6,0),"")</f>
        <v/>
      </c>
      <c r="H1770" s="86"/>
      <c r="I1770" s="84" t="str">
        <f>IFERROR(VLOOKUP(CONCATENATE($B1770,"_",I$3),materiali!$C:$K,5,0),"")</f>
        <v/>
      </c>
      <c r="J1770" s="85" t="str">
        <f>IFERROR(VLOOKUP(CONCATENATE($B1770,"_",J$3),materiali!$C:$K,6,0),"")</f>
        <v/>
      </c>
      <c r="K1770" s="86"/>
      <c r="L1770" s="84" t="str">
        <f>IFERROR(VLOOKUP(CONCATENATE($B1770,"_",L$3),materiali!$C:$K,5,0),"")</f>
        <v/>
      </c>
      <c r="M1770" s="85" t="str">
        <f>IFERROR(VLOOKUP(CONCATENATE($B1770,"_",M$3),materiali!$C:$K,6,0),"")</f>
        <v/>
      </c>
      <c r="N1770" s="86"/>
      <c r="O1770" s="84" t="str">
        <f>IFERROR(VLOOKUP(CONCATENATE($B1770,"_",O$3),materiali!$C:$K,5,0),"")</f>
        <v/>
      </c>
      <c r="P1770" s="85" t="str">
        <f>IFERROR(VLOOKUP(CONCATENATE($B1770,"_",P$3),materiali!$C:$K,6,0),"")</f>
        <v/>
      </c>
      <c r="Q1770" s="86"/>
      <c r="R1770" s="84" t="str">
        <f>IFERROR(VLOOKUP(CONCATENATE($B1770,"_",R$3),materiali!$C:$K,5,0),"")</f>
        <v/>
      </c>
      <c r="S1770" s="85" t="str">
        <f>IFERROR(VLOOKUP(CONCATENATE($B1770,"_",S$3),materiali!$C:$K,6,0),"")</f>
        <v/>
      </c>
      <c r="T1770" s="86"/>
      <c r="U1770" s="31"/>
      <c r="AD1770" s="97"/>
    </row>
    <row r="1771" spans="1:30" ht="35.1" hidden="1" customHeight="1" x14ac:dyDescent="0.25">
      <c r="A1771" s="83"/>
      <c r="B1771" s="7"/>
      <c r="C1771" s="8"/>
      <c r="D1771" s="8"/>
      <c r="E1771" s="60"/>
      <c r="F1771" s="84" t="str">
        <f>IFERROR(VLOOKUP(CONCATENATE($B1771,"_",F$3),materiali!$C:$K,5,0),"")</f>
        <v/>
      </c>
      <c r="G1771" s="85" t="str">
        <f>IFERROR(VLOOKUP(CONCATENATE($B1771,"_",G$3),materiali!$C:$K,6,0),"")</f>
        <v/>
      </c>
      <c r="H1771" s="86"/>
      <c r="I1771" s="84" t="str">
        <f>IFERROR(VLOOKUP(CONCATENATE($B1771,"_",I$3),materiali!$C:$K,5,0),"")</f>
        <v/>
      </c>
      <c r="J1771" s="85" t="str">
        <f>IFERROR(VLOOKUP(CONCATENATE($B1771,"_",J$3),materiali!$C:$K,6,0),"")</f>
        <v/>
      </c>
      <c r="K1771" s="86"/>
      <c r="L1771" s="84" t="str">
        <f>IFERROR(VLOOKUP(CONCATENATE($B1771,"_",L$3),materiali!$C:$K,5,0),"")</f>
        <v/>
      </c>
      <c r="M1771" s="85" t="str">
        <f>IFERROR(VLOOKUP(CONCATENATE($B1771,"_",M$3),materiali!$C:$K,6,0),"")</f>
        <v/>
      </c>
      <c r="N1771" s="86"/>
      <c r="O1771" s="84" t="str">
        <f>IFERROR(VLOOKUP(CONCATENATE($B1771,"_",O$3),materiali!$C:$K,5,0),"")</f>
        <v/>
      </c>
      <c r="P1771" s="85" t="str">
        <f>IFERROR(VLOOKUP(CONCATENATE($B1771,"_",P$3),materiali!$C:$K,6,0),"")</f>
        <v/>
      </c>
      <c r="Q1771" s="86"/>
      <c r="R1771" s="84" t="str">
        <f>IFERROR(VLOOKUP(CONCATENATE($B1771,"_",R$3),materiali!$C:$K,5,0),"")</f>
        <v/>
      </c>
      <c r="S1771" s="85" t="str">
        <f>IFERROR(VLOOKUP(CONCATENATE($B1771,"_",S$3),materiali!$C:$K,6,0),"")</f>
        <v/>
      </c>
      <c r="T1771" s="86"/>
      <c r="U1771" s="31"/>
      <c r="AD1771" s="97"/>
    </row>
    <row r="1772" spans="1:30" ht="35.1" hidden="1" customHeight="1" x14ac:dyDescent="0.25">
      <c r="A1772" s="83"/>
      <c r="B1772" s="7"/>
      <c r="C1772" s="8"/>
      <c r="D1772" s="8"/>
      <c r="E1772" s="60"/>
      <c r="F1772" s="84" t="str">
        <f>IFERROR(VLOOKUP(CONCATENATE($B1772,"_",F$3),materiali!$C:$K,5,0),"")</f>
        <v/>
      </c>
      <c r="G1772" s="85" t="str">
        <f>IFERROR(VLOOKUP(CONCATENATE($B1772,"_",G$3),materiali!$C:$K,6,0),"")</f>
        <v/>
      </c>
      <c r="H1772" s="86"/>
      <c r="I1772" s="84" t="str">
        <f>IFERROR(VLOOKUP(CONCATENATE($B1772,"_",I$3),materiali!$C:$K,5,0),"")</f>
        <v/>
      </c>
      <c r="J1772" s="85" t="str">
        <f>IFERROR(VLOOKUP(CONCATENATE($B1772,"_",J$3),materiali!$C:$K,6,0),"")</f>
        <v/>
      </c>
      <c r="K1772" s="86"/>
      <c r="L1772" s="84" t="str">
        <f>IFERROR(VLOOKUP(CONCATENATE($B1772,"_",L$3),materiali!$C:$K,5,0),"")</f>
        <v/>
      </c>
      <c r="M1772" s="85" t="str">
        <f>IFERROR(VLOOKUP(CONCATENATE($B1772,"_",M$3),materiali!$C:$K,6,0),"")</f>
        <v/>
      </c>
      <c r="N1772" s="86"/>
      <c r="O1772" s="84" t="str">
        <f>IFERROR(VLOOKUP(CONCATENATE($B1772,"_",O$3),materiali!$C:$K,5,0),"")</f>
        <v/>
      </c>
      <c r="P1772" s="85" t="str">
        <f>IFERROR(VLOOKUP(CONCATENATE($B1772,"_",P$3),materiali!$C:$K,6,0),"")</f>
        <v/>
      </c>
      <c r="Q1772" s="86"/>
      <c r="R1772" s="84" t="str">
        <f>IFERROR(VLOOKUP(CONCATENATE($B1772,"_",R$3),materiali!$C:$K,5,0),"")</f>
        <v/>
      </c>
      <c r="S1772" s="85" t="str">
        <f>IFERROR(VLOOKUP(CONCATENATE($B1772,"_",S$3),materiali!$C:$K,6,0),"")</f>
        <v/>
      </c>
      <c r="T1772" s="86"/>
      <c r="U1772" s="31"/>
      <c r="AD1772" s="97"/>
    </row>
    <row r="1773" spans="1:30" ht="35.1" hidden="1" customHeight="1" x14ac:dyDescent="0.25">
      <c r="A1773" s="83"/>
      <c r="B1773" s="7"/>
      <c r="C1773" s="8"/>
      <c r="D1773" s="8"/>
      <c r="E1773" s="60"/>
      <c r="F1773" s="84" t="str">
        <f>IFERROR(VLOOKUP(CONCATENATE($B1773,"_",F$3),materiali!$C:$K,5,0),"")</f>
        <v/>
      </c>
      <c r="G1773" s="85" t="str">
        <f>IFERROR(VLOOKUP(CONCATENATE($B1773,"_",G$3),materiali!$C:$K,6,0),"")</f>
        <v/>
      </c>
      <c r="H1773" s="86"/>
      <c r="I1773" s="84" t="str">
        <f>IFERROR(VLOOKUP(CONCATENATE($B1773,"_",I$3),materiali!$C:$K,5,0),"")</f>
        <v/>
      </c>
      <c r="J1773" s="85" t="str">
        <f>IFERROR(VLOOKUP(CONCATENATE($B1773,"_",J$3),materiali!$C:$K,6,0),"")</f>
        <v/>
      </c>
      <c r="K1773" s="86"/>
      <c r="L1773" s="84" t="str">
        <f>IFERROR(VLOOKUP(CONCATENATE($B1773,"_",L$3),materiali!$C:$K,5,0),"")</f>
        <v/>
      </c>
      <c r="M1773" s="85" t="str">
        <f>IFERROR(VLOOKUP(CONCATENATE($B1773,"_",M$3),materiali!$C:$K,6,0),"")</f>
        <v/>
      </c>
      <c r="N1773" s="86"/>
      <c r="O1773" s="84" t="str">
        <f>IFERROR(VLOOKUP(CONCATENATE($B1773,"_",O$3),materiali!$C:$K,5,0),"")</f>
        <v/>
      </c>
      <c r="P1773" s="85" t="str">
        <f>IFERROR(VLOOKUP(CONCATENATE($B1773,"_",P$3),materiali!$C:$K,6,0),"")</f>
        <v/>
      </c>
      <c r="Q1773" s="86"/>
      <c r="R1773" s="84" t="str">
        <f>IFERROR(VLOOKUP(CONCATENATE($B1773,"_",R$3),materiali!$C:$K,5,0),"")</f>
        <v/>
      </c>
      <c r="S1773" s="85" t="str">
        <f>IFERROR(VLOOKUP(CONCATENATE($B1773,"_",S$3),materiali!$C:$K,6,0),"")</f>
        <v/>
      </c>
      <c r="T1773" s="86"/>
      <c r="U1773" s="31"/>
      <c r="AD1773" s="97"/>
    </row>
    <row r="1774" spans="1:30" ht="35.1" hidden="1" customHeight="1" x14ac:dyDescent="0.25">
      <c r="A1774" s="83"/>
      <c r="B1774" s="7"/>
      <c r="C1774" s="8"/>
      <c r="D1774" s="8"/>
      <c r="E1774" s="60"/>
      <c r="F1774" s="84" t="str">
        <f>IFERROR(VLOOKUP(CONCATENATE($B1774,"_",F$3),materiali!$C:$K,5,0),"")</f>
        <v/>
      </c>
      <c r="G1774" s="85" t="str">
        <f>IFERROR(VLOOKUP(CONCATENATE($B1774,"_",G$3),materiali!$C:$K,6,0),"")</f>
        <v/>
      </c>
      <c r="H1774" s="86"/>
      <c r="I1774" s="84" t="str">
        <f>IFERROR(VLOOKUP(CONCATENATE($B1774,"_",I$3),materiali!$C:$K,5,0),"")</f>
        <v/>
      </c>
      <c r="J1774" s="85" t="str">
        <f>IFERROR(VLOOKUP(CONCATENATE($B1774,"_",J$3),materiali!$C:$K,6,0),"")</f>
        <v/>
      </c>
      <c r="K1774" s="86"/>
      <c r="L1774" s="84" t="str">
        <f>IFERROR(VLOOKUP(CONCATENATE($B1774,"_",L$3),materiali!$C:$K,5,0),"")</f>
        <v/>
      </c>
      <c r="M1774" s="85" t="str">
        <f>IFERROR(VLOOKUP(CONCATENATE($B1774,"_",M$3),materiali!$C:$K,6,0),"")</f>
        <v/>
      </c>
      <c r="N1774" s="86"/>
      <c r="O1774" s="84" t="str">
        <f>IFERROR(VLOOKUP(CONCATENATE($B1774,"_",O$3),materiali!$C:$K,5,0),"")</f>
        <v/>
      </c>
      <c r="P1774" s="85" t="str">
        <f>IFERROR(VLOOKUP(CONCATENATE($B1774,"_",P$3),materiali!$C:$K,6,0),"")</f>
        <v/>
      </c>
      <c r="Q1774" s="86"/>
      <c r="R1774" s="84" t="str">
        <f>IFERROR(VLOOKUP(CONCATENATE($B1774,"_",R$3),materiali!$C:$K,5,0),"")</f>
        <v/>
      </c>
      <c r="S1774" s="85" t="str">
        <f>IFERROR(VLOOKUP(CONCATENATE($B1774,"_",S$3),materiali!$C:$K,6,0),"")</f>
        <v/>
      </c>
      <c r="T1774" s="86"/>
      <c r="U1774" s="31"/>
      <c r="AD1774" s="97"/>
    </row>
    <row r="1775" spans="1:30" ht="35.1" hidden="1" customHeight="1" x14ac:dyDescent="0.25">
      <c r="A1775" s="83"/>
      <c r="B1775" s="7"/>
      <c r="C1775" s="8"/>
      <c r="D1775" s="8"/>
      <c r="E1775" s="60"/>
      <c r="F1775" s="84" t="str">
        <f>IFERROR(VLOOKUP(CONCATENATE($B1775,"_",F$3),materiali!$C:$K,5,0),"")</f>
        <v/>
      </c>
      <c r="G1775" s="85" t="str">
        <f>IFERROR(VLOOKUP(CONCATENATE($B1775,"_",G$3),materiali!$C:$K,6,0),"")</f>
        <v/>
      </c>
      <c r="H1775" s="86"/>
      <c r="I1775" s="84" t="str">
        <f>IFERROR(VLOOKUP(CONCATENATE($B1775,"_",I$3),materiali!$C:$K,5,0),"")</f>
        <v/>
      </c>
      <c r="J1775" s="85" t="str">
        <f>IFERROR(VLOOKUP(CONCATENATE($B1775,"_",J$3),materiali!$C:$K,6,0),"")</f>
        <v/>
      </c>
      <c r="K1775" s="86"/>
      <c r="L1775" s="84" t="str">
        <f>IFERROR(VLOOKUP(CONCATENATE($B1775,"_",L$3),materiali!$C:$K,5,0),"")</f>
        <v/>
      </c>
      <c r="M1775" s="85" t="str">
        <f>IFERROR(VLOOKUP(CONCATENATE($B1775,"_",M$3),materiali!$C:$K,6,0),"")</f>
        <v/>
      </c>
      <c r="N1775" s="86"/>
      <c r="O1775" s="84" t="str">
        <f>IFERROR(VLOOKUP(CONCATENATE($B1775,"_",O$3),materiali!$C:$K,5,0),"")</f>
        <v/>
      </c>
      <c r="P1775" s="85" t="str">
        <f>IFERROR(VLOOKUP(CONCATENATE($B1775,"_",P$3),materiali!$C:$K,6,0),"")</f>
        <v/>
      </c>
      <c r="Q1775" s="86"/>
      <c r="R1775" s="84" t="str">
        <f>IFERROR(VLOOKUP(CONCATENATE($B1775,"_",R$3),materiali!$C:$K,5,0),"")</f>
        <v/>
      </c>
      <c r="S1775" s="85" t="str">
        <f>IFERROR(VLOOKUP(CONCATENATE($B1775,"_",S$3),materiali!$C:$K,6,0),"")</f>
        <v/>
      </c>
      <c r="T1775" s="86"/>
      <c r="U1775" s="31"/>
      <c r="AD1775" s="97"/>
    </row>
    <row r="1776" spans="1:30" ht="35.1" hidden="1" customHeight="1" x14ac:dyDescent="0.25">
      <c r="A1776" s="83"/>
      <c r="B1776" s="7"/>
      <c r="C1776" s="8"/>
      <c r="D1776" s="8"/>
      <c r="E1776" s="60"/>
      <c r="F1776" s="84" t="str">
        <f>IFERROR(VLOOKUP(CONCATENATE($B1776,"_",F$3),materiali!$C:$K,5,0),"")</f>
        <v/>
      </c>
      <c r="G1776" s="85" t="str">
        <f>IFERROR(VLOOKUP(CONCATENATE($B1776,"_",G$3),materiali!$C:$K,6,0),"")</f>
        <v/>
      </c>
      <c r="H1776" s="86"/>
      <c r="I1776" s="84" t="str">
        <f>IFERROR(VLOOKUP(CONCATENATE($B1776,"_",I$3),materiali!$C:$K,5,0),"")</f>
        <v/>
      </c>
      <c r="J1776" s="85" t="str">
        <f>IFERROR(VLOOKUP(CONCATENATE($B1776,"_",J$3),materiali!$C:$K,6,0),"")</f>
        <v/>
      </c>
      <c r="K1776" s="86"/>
      <c r="L1776" s="84" t="str">
        <f>IFERROR(VLOOKUP(CONCATENATE($B1776,"_",L$3),materiali!$C:$K,5,0),"")</f>
        <v/>
      </c>
      <c r="M1776" s="85" t="str">
        <f>IFERROR(VLOOKUP(CONCATENATE($B1776,"_",M$3),materiali!$C:$K,6,0),"")</f>
        <v/>
      </c>
      <c r="N1776" s="86"/>
      <c r="O1776" s="84" t="str">
        <f>IFERROR(VLOOKUP(CONCATENATE($B1776,"_",O$3),materiali!$C:$K,5,0),"")</f>
        <v/>
      </c>
      <c r="P1776" s="85" t="str">
        <f>IFERROR(VLOOKUP(CONCATENATE($B1776,"_",P$3),materiali!$C:$K,6,0),"")</f>
        <v/>
      </c>
      <c r="Q1776" s="86"/>
      <c r="R1776" s="84" t="str">
        <f>IFERROR(VLOOKUP(CONCATENATE($B1776,"_",R$3),materiali!$C:$K,5,0),"")</f>
        <v/>
      </c>
      <c r="S1776" s="85" t="str">
        <f>IFERROR(VLOOKUP(CONCATENATE($B1776,"_",S$3),materiali!$C:$K,6,0),"")</f>
        <v/>
      </c>
      <c r="T1776" s="86"/>
      <c r="U1776" s="31"/>
      <c r="AD1776" s="97"/>
    </row>
    <row r="1777" spans="1:30" ht="35.1" hidden="1" customHeight="1" x14ac:dyDescent="0.25">
      <c r="A1777" s="83"/>
      <c r="B1777" s="7"/>
      <c r="C1777" s="8"/>
      <c r="D1777" s="8"/>
      <c r="E1777" s="60"/>
      <c r="F1777" s="84" t="str">
        <f>IFERROR(VLOOKUP(CONCATENATE($B1777,"_",F$3),materiali!$C:$K,5,0),"")</f>
        <v/>
      </c>
      <c r="G1777" s="85" t="str">
        <f>IFERROR(VLOOKUP(CONCATENATE($B1777,"_",G$3),materiali!$C:$K,6,0),"")</f>
        <v/>
      </c>
      <c r="H1777" s="86"/>
      <c r="I1777" s="84" t="str">
        <f>IFERROR(VLOOKUP(CONCATENATE($B1777,"_",I$3),materiali!$C:$K,5,0),"")</f>
        <v/>
      </c>
      <c r="J1777" s="85" t="str">
        <f>IFERROR(VLOOKUP(CONCATENATE($B1777,"_",J$3),materiali!$C:$K,6,0),"")</f>
        <v/>
      </c>
      <c r="K1777" s="86"/>
      <c r="L1777" s="84" t="str">
        <f>IFERROR(VLOOKUP(CONCATENATE($B1777,"_",L$3),materiali!$C:$K,5,0),"")</f>
        <v/>
      </c>
      <c r="M1777" s="85" t="str">
        <f>IFERROR(VLOOKUP(CONCATENATE($B1777,"_",M$3),materiali!$C:$K,6,0),"")</f>
        <v/>
      </c>
      <c r="N1777" s="86"/>
      <c r="O1777" s="84" t="str">
        <f>IFERROR(VLOOKUP(CONCATENATE($B1777,"_",O$3),materiali!$C:$K,5,0),"")</f>
        <v/>
      </c>
      <c r="P1777" s="85" t="str">
        <f>IFERROR(VLOOKUP(CONCATENATE($B1777,"_",P$3),materiali!$C:$K,6,0),"")</f>
        <v/>
      </c>
      <c r="Q1777" s="86"/>
      <c r="R1777" s="84" t="str">
        <f>IFERROR(VLOOKUP(CONCATENATE($B1777,"_",R$3),materiali!$C:$K,5,0),"")</f>
        <v/>
      </c>
      <c r="S1777" s="85" t="str">
        <f>IFERROR(VLOOKUP(CONCATENATE($B1777,"_",S$3),materiali!$C:$K,6,0),"")</f>
        <v/>
      </c>
      <c r="T1777" s="86"/>
      <c r="U1777" s="31"/>
      <c r="AD1777" s="97"/>
    </row>
    <row r="1778" spans="1:30" ht="35.1" hidden="1" customHeight="1" x14ac:dyDescent="0.25">
      <c r="A1778" s="83"/>
      <c r="B1778" s="7"/>
      <c r="C1778" s="8"/>
      <c r="D1778" s="8"/>
      <c r="E1778" s="60"/>
      <c r="F1778" s="84" t="str">
        <f>IFERROR(VLOOKUP(CONCATENATE($B1778,"_",F$3),materiali!$C:$K,5,0),"")</f>
        <v/>
      </c>
      <c r="G1778" s="85" t="str">
        <f>IFERROR(VLOOKUP(CONCATENATE($B1778,"_",G$3),materiali!$C:$K,6,0),"")</f>
        <v/>
      </c>
      <c r="H1778" s="86"/>
      <c r="I1778" s="84" t="str">
        <f>IFERROR(VLOOKUP(CONCATENATE($B1778,"_",I$3),materiali!$C:$K,5,0),"")</f>
        <v/>
      </c>
      <c r="J1778" s="85" t="str">
        <f>IFERROR(VLOOKUP(CONCATENATE($B1778,"_",J$3),materiali!$C:$K,6,0),"")</f>
        <v/>
      </c>
      <c r="K1778" s="86"/>
      <c r="L1778" s="84" t="str">
        <f>IFERROR(VLOOKUP(CONCATENATE($B1778,"_",L$3),materiali!$C:$K,5,0),"")</f>
        <v/>
      </c>
      <c r="M1778" s="85" t="str">
        <f>IFERROR(VLOOKUP(CONCATENATE($B1778,"_",M$3),materiali!$C:$K,6,0),"")</f>
        <v/>
      </c>
      <c r="N1778" s="86"/>
      <c r="O1778" s="84" t="str">
        <f>IFERROR(VLOOKUP(CONCATENATE($B1778,"_",O$3),materiali!$C:$K,5,0),"")</f>
        <v/>
      </c>
      <c r="P1778" s="85" t="str">
        <f>IFERROR(VLOOKUP(CONCATENATE($B1778,"_",P$3),materiali!$C:$K,6,0),"")</f>
        <v/>
      </c>
      <c r="Q1778" s="86"/>
      <c r="R1778" s="84" t="str">
        <f>IFERROR(VLOOKUP(CONCATENATE($B1778,"_",R$3),materiali!$C:$K,5,0),"")</f>
        <v/>
      </c>
      <c r="S1778" s="85" t="str">
        <f>IFERROR(VLOOKUP(CONCATENATE($B1778,"_",S$3),materiali!$C:$K,6,0),"")</f>
        <v/>
      </c>
      <c r="T1778" s="86"/>
      <c r="U1778" s="31"/>
      <c r="AD1778" s="97"/>
    </row>
    <row r="1779" spans="1:30" ht="35.1" hidden="1" customHeight="1" x14ac:dyDescent="0.25">
      <c r="A1779" s="83"/>
      <c r="B1779" s="7"/>
      <c r="C1779" s="8"/>
      <c r="D1779" s="8"/>
      <c r="E1779" s="60"/>
      <c r="F1779" s="84" t="str">
        <f>IFERROR(VLOOKUP(CONCATENATE($B1779,"_",F$3),materiali!$C:$K,5,0),"")</f>
        <v/>
      </c>
      <c r="G1779" s="85" t="str">
        <f>IFERROR(VLOOKUP(CONCATENATE($B1779,"_",G$3),materiali!$C:$K,6,0),"")</f>
        <v/>
      </c>
      <c r="H1779" s="86"/>
      <c r="I1779" s="84" t="str">
        <f>IFERROR(VLOOKUP(CONCATENATE($B1779,"_",I$3),materiali!$C:$K,5,0),"")</f>
        <v/>
      </c>
      <c r="J1779" s="85" t="str">
        <f>IFERROR(VLOOKUP(CONCATENATE($B1779,"_",J$3),materiali!$C:$K,6,0),"")</f>
        <v/>
      </c>
      <c r="K1779" s="86"/>
      <c r="L1779" s="84" t="str">
        <f>IFERROR(VLOOKUP(CONCATENATE($B1779,"_",L$3),materiali!$C:$K,5,0),"")</f>
        <v/>
      </c>
      <c r="M1779" s="85" t="str">
        <f>IFERROR(VLOOKUP(CONCATENATE($B1779,"_",M$3),materiali!$C:$K,6,0),"")</f>
        <v/>
      </c>
      <c r="N1779" s="86"/>
      <c r="O1779" s="84" t="str">
        <f>IFERROR(VLOOKUP(CONCATENATE($B1779,"_",O$3),materiali!$C:$K,5,0),"")</f>
        <v/>
      </c>
      <c r="P1779" s="85" t="str">
        <f>IFERROR(VLOOKUP(CONCATENATE($B1779,"_",P$3),materiali!$C:$K,6,0),"")</f>
        <v/>
      </c>
      <c r="Q1779" s="86"/>
      <c r="R1779" s="84" t="str">
        <f>IFERROR(VLOOKUP(CONCATENATE($B1779,"_",R$3),materiali!$C:$K,5,0),"")</f>
        <v/>
      </c>
      <c r="S1779" s="85" t="str">
        <f>IFERROR(VLOOKUP(CONCATENATE($B1779,"_",S$3),materiali!$C:$K,6,0),"")</f>
        <v/>
      </c>
      <c r="T1779" s="86"/>
      <c r="U1779" s="31"/>
      <c r="AD1779" s="97"/>
    </row>
    <row r="1780" spans="1:30" ht="35.1" hidden="1" customHeight="1" x14ac:dyDescent="0.25">
      <c r="A1780" s="83"/>
      <c r="B1780" s="7"/>
      <c r="C1780" s="8"/>
      <c r="D1780" s="8"/>
      <c r="E1780" s="60"/>
      <c r="F1780" s="84" t="str">
        <f>IFERROR(VLOOKUP(CONCATENATE($B1780,"_",F$3),materiali!$C:$K,5,0),"")</f>
        <v/>
      </c>
      <c r="G1780" s="85" t="str">
        <f>IFERROR(VLOOKUP(CONCATENATE($B1780,"_",G$3),materiali!$C:$K,6,0),"")</f>
        <v/>
      </c>
      <c r="H1780" s="86"/>
      <c r="I1780" s="84" t="str">
        <f>IFERROR(VLOOKUP(CONCATENATE($B1780,"_",I$3),materiali!$C:$K,5,0),"")</f>
        <v/>
      </c>
      <c r="J1780" s="85" t="str">
        <f>IFERROR(VLOOKUP(CONCATENATE($B1780,"_",J$3),materiali!$C:$K,6,0),"")</f>
        <v/>
      </c>
      <c r="K1780" s="86"/>
      <c r="L1780" s="84" t="str">
        <f>IFERROR(VLOOKUP(CONCATENATE($B1780,"_",L$3),materiali!$C:$K,5,0),"")</f>
        <v/>
      </c>
      <c r="M1780" s="85" t="str">
        <f>IFERROR(VLOOKUP(CONCATENATE($B1780,"_",M$3),materiali!$C:$K,6,0),"")</f>
        <v/>
      </c>
      <c r="N1780" s="86"/>
      <c r="O1780" s="84" t="str">
        <f>IFERROR(VLOOKUP(CONCATENATE($B1780,"_",O$3),materiali!$C:$K,5,0),"")</f>
        <v/>
      </c>
      <c r="P1780" s="85" t="str">
        <f>IFERROR(VLOOKUP(CONCATENATE($B1780,"_",P$3),materiali!$C:$K,6,0),"")</f>
        <v/>
      </c>
      <c r="Q1780" s="86"/>
      <c r="R1780" s="84" t="str">
        <f>IFERROR(VLOOKUP(CONCATENATE($B1780,"_",R$3),materiali!$C:$K,5,0),"")</f>
        <v/>
      </c>
      <c r="S1780" s="85" t="str">
        <f>IFERROR(VLOOKUP(CONCATENATE($B1780,"_",S$3),materiali!$C:$K,6,0),"")</f>
        <v/>
      </c>
      <c r="T1780" s="86"/>
      <c r="U1780" s="31"/>
      <c r="AD1780" s="97"/>
    </row>
    <row r="1781" spans="1:30" ht="35.1" hidden="1" customHeight="1" x14ac:dyDescent="0.25">
      <c r="A1781" s="83"/>
      <c r="B1781" s="7"/>
      <c r="C1781" s="8"/>
      <c r="D1781" s="8"/>
      <c r="E1781" s="60"/>
      <c r="F1781" s="84" t="str">
        <f>IFERROR(VLOOKUP(CONCATENATE($B1781,"_",F$3),materiali!$C:$K,5,0),"")</f>
        <v/>
      </c>
      <c r="G1781" s="85" t="str">
        <f>IFERROR(VLOOKUP(CONCATENATE($B1781,"_",G$3),materiali!$C:$K,6,0),"")</f>
        <v/>
      </c>
      <c r="H1781" s="86"/>
      <c r="I1781" s="84" t="str">
        <f>IFERROR(VLOOKUP(CONCATENATE($B1781,"_",I$3),materiali!$C:$K,5,0),"")</f>
        <v/>
      </c>
      <c r="J1781" s="85" t="str">
        <f>IFERROR(VLOOKUP(CONCATENATE($B1781,"_",J$3),materiali!$C:$K,6,0),"")</f>
        <v/>
      </c>
      <c r="K1781" s="86"/>
      <c r="L1781" s="84" t="str">
        <f>IFERROR(VLOOKUP(CONCATENATE($B1781,"_",L$3),materiali!$C:$K,5,0),"")</f>
        <v/>
      </c>
      <c r="M1781" s="85" t="str">
        <f>IFERROR(VLOOKUP(CONCATENATE($B1781,"_",M$3),materiali!$C:$K,6,0),"")</f>
        <v/>
      </c>
      <c r="N1781" s="86"/>
      <c r="O1781" s="84" t="str">
        <f>IFERROR(VLOOKUP(CONCATENATE($B1781,"_",O$3),materiali!$C:$K,5,0),"")</f>
        <v/>
      </c>
      <c r="P1781" s="85" t="str">
        <f>IFERROR(VLOOKUP(CONCATENATE($B1781,"_",P$3),materiali!$C:$K,6,0),"")</f>
        <v/>
      </c>
      <c r="Q1781" s="86"/>
      <c r="R1781" s="84" t="str">
        <f>IFERROR(VLOOKUP(CONCATENATE($B1781,"_",R$3),materiali!$C:$K,5,0),"")</f>
        <v/>
      </c>
      <c r="S1781" s="85" t="str">
        <f>IFERROR(VLOOKUP(CONCATENATE($B1781,"_",S$3),materiali!$C:$K,6,0),"")</f>
        <v/>
      </c>
      <c r="T1781" s="86"/>
      <c r="U1781" s="31"/>
      <c r="AD1781" s="97"/>
    </row>
    <row r="1782" spans="1:30" ht="35.1" hidden="1" customHeight="1" x14ac:dyDescent="0.25">
      <c r="A1782" s="83"/>
      <c r="B1782" s="7"/>
      <c r="C1782" s="8"/>
      <c r="D1782" s="8"/>
      <c r="E1782" s="60"/>
      <c r="F1782" s="84" t="str">
        <f>IFERROR(VLOOKUP(CONCATENATE($B1782,"_",F$3),materiali!$C:$K,5,0),"")</f>
        <v/>
      </c>
      <c r="G1782" s="85" t="str">
        <f>IFERROR(VLOOKUP(CONCATENATE($B1782,"_",G$3),materiali!$C:$K,6,0),"")</f>
        <v/>
      </c>
      <c r="H1782" s="86"/>
      <c r="I1782" s="84" t="str">
        <f>IFERROR(VLOOKUP(CONCATENATE($B1782,"_",I$3),materiali!$C:$K,5,0),"")</f>
        <v/>
      </c>
      <c r="J1782" s="85" t="str">
        <f>IFERROR(VLOOKUP(CONCATENATE($B1782,"_",J$3),materiali!$C:$K,6,0),"")</f>
        <v/>
      </c>
      <c r="K1782" s="86"/>
      <c r="L1782" s="84" t="str">
        <f>IFERROR(VLOOKUP(CONCATENATE($B1782,"_",L$3),materiali!$C:$K,5,0),"")</f>
        <v/>
      </c>
      <c r="M1782" s="85" t="str">
        <f>IFERROR(VLOOKUP(CONCATENATE($B1782,"_",M$3),materiali!$C:$K,6,0),"")</f>
        <v/>
      </c>
      <c r="N1782" s="86"/>
      <c r="O1782" s="84" t="str">
        <f>IFERROR(VLOOKUP(CONCATENATE($B1782,"_",O$3),materiali!$C:$K,5,0),"")</f>
        <v/>
      </c>
      <c r="P1782" s="85" t="str">
        <f>IFERROR(VLOOKUP(CONCATENATE($B1782,"_",P$3),materiali!$C:$K,6,0),"")</f>
        <v/>
      </c>
      <c r="Q1782" s="86"/>
      <c r="R1782" s="84" t="str">
        <f>IFERROR(VLOOKUP(CONCATENATE($B1782,"_",R$3),materiali!$C:$K,5,0),"")</f>
        <v/>
      </c>
      <c r="S1782" s="85" t="str">
        <f>IFERROR(VLOOKUP(CONCATENATE($B1782,"_",S$3),materiali!$C:$K,6,0),"")</f>
        <v/>
      </c>
      <c r="T1782" s="86"/>
      <c r="U1782" s="31"/>
      <c r="AD1782" s="97"/>
    </row>
    <row r="1783" spans="1:30" ht="35.1" hidden="1" customHeight="1" x14ac:dyDescent="0.25">
      <c r="A1783" s="83"/>
      <c r="B1783" s="7"/>
      <c r="C1783" s="8"/>
      <c r="D1783" s="8"/>
      <c r="E1783" s="60"/>
      <c r="F1783" s="84" t="str">
        <f>IFERROR(VLOOKUP(CONCATENATE($B1783,"_",F$3),materiali!$C:$K,5,0),"")</f>
        <v/>
      </c>
      <c r="G1783" s="85" t="str">
        <f>IFERROR(VLOOKUP(CONCATENATE($B1783,"_",G$3),materiali!$C:$K,6,0),"")</f>
        <v/>
      </c>
      <c r="H1783" s="86"/>
      <c r="I1783" s="84" t="str">
        <f>IFERROR(VLOOKUP(CONCATENATE($B1783,"_",I$3),materiali!$C:$K,5,0),"")</f>
        <v/>
      </c>
      <c r="J1783" s="85" t="str">
        <f>IFERROR(VLOOKUP(CONCATENATE($B1783,"_",J$3),materiali!$C:$K,6,0),"")</f>
        <v/>
      </c>
      <c r="K1783" s="86"/>
      <c r="L1783" s="84" t="str">
        <f>IFERROR(VLOOKUP(CONCATENATE($B1783,"_",L$3),materiali!$C:$K,5,0),"")</f>
        <v/>
      </c>
      <c r="M1783" s="85" t="str">
        <f>IFERROR(VLOOKUP(CONCATENATE($B1783,"_",M$3),materiali!$C:$K,6,0),"")</f>
        <v/>
      </c>
      <c r="N1783" s="86"/>
      <c r="O1783" s="84" t="str">
        <f>IFERROR(VLOOKUP(CONCATENATE($B1783,"_",O$3),materiali!$C:$K,5,0),"")</f>
        <v/>
      </c>
      <c r="P1783" s="85" t="str">
        <f>IFERROR(VLOOKUP(CONCATENATE($B1783,"_",P$3),materiali!$C:$K,6,0),"")</f>
        <v/>
      </c>
      <c r="Q1783" s="86"/>
      <c r="R1783" s="84" t="str">
        <f>IFERROR(VLOOKUP(CONCATENATE($B1783,"_",R$3),materiali!$C:$K,5,0),"")</f>
        <v/>
      </c>
      <c r="S1783" s="85" t="str">
        <f>IFERROR(VLOOKUP(CONCATENATE($B1783,"_",S$3),materiali!$C:$K,6,0),"")</f>
        <v/>
      </c>
      <c r="T1783" s="86"/>
      <c r="U1783" s="31"/>
      <c r="AD1783" s="97"/>
    </row>
    <row r="1784" spans="1:30" ht="35.1" hidden="1" customHeight="1" x14ac:dyDescent="0.25">
      <c r="A1784" s="83"/>
      <c r="B1784" s="7"/>
      <c r="C1784" s="8"/>
      <c r="D1784" s="8"/>
      <c r="E1784" s="60"/>
      <c r="F1784" s="84" t="str">
        <f>IFERROR(VLOOKUP(CONCATENATE($B1784,"_",F$3),materiali!$C:$K,5,0),"")</f>
        <v/>
      </c>
      <c r="G1784" s="85" t="str">
        <f>IFERROR(VLOOKUP(CONCATENATE($B1784,"_",G$3),materiali!$C:$K,6,0),"")</f>
        <v/>
      </c>
      <c r="H1784" s="86"/>
      <c r="I1784" s="84" t="str">
        <f>IFERROR(VLOOKUP(CONCATENATE($B1784,"_",I$3),materiali!$C:$K,5,0),"")</f>
        <v/>
      </c>
      <c r="J1784" s="85" t="str">
        <f>IFERROR(VLOOKUP(CONCATENATE($B1784,"_",J$3),materiali!$C:$K,6,0),"")</f>
        <v/>
      </c>
      <c r="K1784" s="86"/>
      <c r="L1784" s="84" t="str">
        <f>IFERROR(VLOOKUP(CONCATENATE($B1784,"_",L$3),materiali!$C:$K,5,0),"")</f>
        <v/>
      </c>
      <c r="M1784" s="85" t="str">
        <f>IFERROR(VLOOKUP(CONCATENATE($B1784,"_",M$3),materiali!$C:$K,6,0),"")</f>
        <v/>
      </c>
      <c r="N1784" s="86"/>
      <c r="O1784" s="84" t="str">
        <f>IFERROR(VLOOKUP(CONCATENATE($B1784,"_",O$3),materiali!$C:$K,5,0),"")</f>
        <v/>
      </c>
      <c r="P1784" s="85" t="str">
        <f>IFERROR(VLOOKUP(CONCATENATE($B1784,"_",P$3),materiali!$C:$K,6,0),"")</f>
        <v/>
      </c>
      <c r="Q1784" s="86"/>
      <c r="R1784" s="84" t="str">
        <f>IFERROR(VLOOKUP(CONCATENATE($B1784,"_",R$3),materiali!$C:$K,5,0),"")</f>
        <v/>
      </c>
      <c r="S1784" s="85" t="str">
        <f>IFERROR(VLOOKUP(CONCATENATE($B1784,"_",S$3),materiali!$C:$K,6,0),"")</f>
        <v/>
      </c>
      <c r="T1784" s="86"/>
      <c r="U1784" s="31"/>
      <c r="AD1784" s="97"/>
    </row>
    <row r="1785" spans="1:30" ht="35.1" hidden="1" customHeight="1" x14ac:dyDescent="0.25">
      <c r="A1785" s="83"/>
      <c r="B1785" s="7"/>
      <c r="C1785" s="8"/>
      <c r="D1785" s="8"/>
      <c r="E1785" s="60"/>
      <c r="F1785" s="84" t="str">
        <f>IFERROR(VLOOKUP(CONCATENATE($B1785,"_",F$3),materiali!$C:$K,5,0),"")</f>
        <v/>
      </c>
      <c r="G1785" s="85" t="str">
        <f>IFERROR(VLOOKUP(CONCATENATE($B1785,"_",G$3),materiali!$C:$K,6,0),"")</f>
        <v/>
      </c>
      <c r="H1785" s="86"/>
      <c r="I1785" s="84" t="str">
        <f>IFERROR(VLOOKUP(CONCATENATE($B1785,"_",I$3),materiali!$C:$K,5,0),"")</f>
        <v/>
      </c>
      <c r="J1785" s="85" t="str">
        <f>IFERROR(VLOOKUP(CONCATENATE($B1785,"_",J$3),materiali!$C:$K,6,0),"")</f>
        <v/>
      </c>
      <c r="K1785" s="86"/>
      <c r="L1785" s="84" t="str">
        <f>IFERROR(VLOOKUP(CONCATENATE($B1785,"_",L$3),materiali!$C:$K,5,0),"")</f>
        <v/>
      </c>
      <c r="M1785" s="85" t="str">
        <f>IFERROR(VLOOKUP(CONCATENATE($B1785,"_",M$3),materiali!$C:$K,6,0),"")</f>
        <v/>
      </c>
      <c r="N1785" s="86"/>
      <c r="O1785" s="84" t="str">
        <f>IFERROR(VLOOKUP(CONCATENATE($B1785,"_",O$3),materiali!$C:$K,5,0),"")</f>
        <v/>
      </c>
      <c r="P1785" s="85" t="str">
        <f>IFERROR(VLOOKUP(CONCATENATE($B1785,"_",P$3),materiali!$C:$K,6,0),"")</f>
        <v/>
      </c>
      <c r="Q1785" s="86"/>
      <c r="R1785" s="84" t="str">
        <f>IFERROR(VLOOKUP(CONCATENATE($B1785,"_",R$3),materiali!$C:$K,5,0),"")</f>
        <v/>
      </c>
      <c r="S1785" s="85" t="str">
        <f>IFERROR(VLOOKUP(CONCATENATE($B1785,"_",S$3),materiali!$C:$K,6,0),"")</f>
        <v/>
      </c>
      <c r="T1785" s="86"/>
      <c r="U1785" s="31"/>
      <c r="AD1785" s="97"/>
    </row>
    <row r="1786" spans="1:30" ht="35.1" hidden="1" customHeight="1" x14ac:dyDescent="0.25">
      <c r="A1786" s="83"/>
      <c r="B1786" s="7"/>
      <c r="C1786" s="8"/>
      <c r="D1786" s="8"/>
      <c r="E1786" s="60"/>
      <c r="F1786" s="84" t="str">
        <f>IFERROR(VLOOKUP(CONCATENATE($B1786,"_",F$3),materiali!$C:$K,5,0),"")</f>
        <v/>
      </c>
      <c r="G1786" s="85" t="str">
        <f>IFERROR(VLOOKUP(CONCATENATE($B1786,"_",G$3),materiali!$C:$K,6,0),"")</f>
        <v/>
      </c>
      <c r="H1786" s="86"/>
      <c r="I1786" s="84" t="str">
        <f>IFERROR(VLOOKUP(CONCATENATE($B1786,"_",I$3),materiali!$C:$K,5,0),"")</f>
        <v/>
      </c>
      <c r="J1786" s="85" t="str">
        <f>IFERROR(VLOOKUP(CONCATENATE($B1786,"_",J$3),materiali!$C:$K,6,0),"")</f>
        <v/>
      </c>
      <c r="K1786" s="86"/>
      <c r="L1786" s="84" t="str">
        <f>IFERROR(VLOOKUP(CONCATENATE($B1786,"_",L$3),materiali!$C:$K,5,0),"")</f>
        <v/>
      </c>
      <c r="M1786" s="85" t="str">
        <f>IFERROR(VLOOKUP(CONCATENATE($B1786,"_",M$3),materiali!$C:$K,6,0),"")</f>
        <v/>
      </c>
      <c r="N1786" s="86"/>
      <c r="O1786" s="84" t="str">
        <f>IFERROR(VLOOKUP(CONCATENATE($B1786,"_",O$3),materiali!$C:$K,5,0),"")</f>
        <v/>
      </c>
      <c r="P1786" s="85" t="str">
        <f>IFERROR(VLOOKUP(CONCATENATE($B1786,"_",P$3),materiali!$C:$K,6,0),"")</f>
        <v/>
      </c>
      <c r="Q1786" s="86"/>
      <c r="R1786" s="84" t="str">
        <f>IFERROR(VLOOKUP(CONCATENATE($B1786,"_",R$3),materiali!$C:$K,5,0),"")</f>
        <v/>
      </c>
      <c r="S1786" s="85" t="str">
        <f>IFERROR(VLOOKUP(CONCATENATE($B1786,"_",S$3),materiali!$C:$K,6,0),"")</f>
        <v/>
      </c>
      <c r="T1786" s="86"/>
      <c r="U1786" s="31"/>
      <c r="AD1786" s="97"/>
    </row>
    <row r="1787" spans="1:30" ht="35.1" hidden="1" customHeight="1" x14ac:dyDescent="0.25">
      <c r="A1787" s="83"/>
      <c r="B1787" s="7"/>
      <c r="C1787" s="8"/>
      <c r="D1787" s="8"/>
      <c r="E1787" s="60"/>
      <c r="F1787" s="84" t="str">
        <f>IFERROR(VLOOKUP(CONCATENATE($B1787,"_",F$3),materiali!$C:$K,5,0),"")</f>
        <v/>
      </c>
      <c r="G1787" s="85" t="str">
        <f>IFERROR(VLOOKUP(CONCATENATE($B1787,"_",G$3),materiali!$C:$K,6,0),"")</f>
        <v/>
      </c>
      <c r="H1787" s="86"/>
      <c r="I1787" s="84" t="str">
        <f>IFERROR(VLOOKUP(CONCATENATE($B1787,"_",I$3),materiali!$C:$K,5,0),"")</f>
        <v/>
      </c>
      <c r="J1787" s="85" t="str">
        <f>IFERROR(VLOOKUP(CONCATENATE($B1787,"_",J$3),materiali!$C:$K,6,0),"")</f>
        <v/>
      </c>
      <c r="K1787" s="86"/>
      <c r="L1787" s="84" t="str">
        <f>IFERROR(VLOOKUP(CONCATENATE($B1787,"_",L$3),materiali!$C:$K,5,0),"")</f>
        <v/>
      </c>
      <c r="M1787" s="85" t="str">
        <f>IFERROR(VLOOKUP(CONCATENATE($B1787,"_",M$3),materiali!$C:$K,6,0),"")</f>
        <v/>
      </c>
      <c r="N1787" s="86"/>
      <c r="O1787" s="84" t="str">
        <f>IFERROR(VLOOKUP(CONCATENATE($B1787,"_",O$3),materiali!$C:$K,5,0),"")</f>
        <v/>
      </c>
      <c r="P1787" s="85" t="str">
        <f>IFERROR(VLOOKUP(CONCATENATE($B1787,"_",P$3),materiali!$C:$K,6,0),"")</f>
        <v/>
      </c>
      <c r="Q1787" s="86"/>
      <c r="R1787" s="84" t="str">
        <f>IFERROR(VLOOKUP(CONCATENATE($B1787,"_",R$3),materiali!$C:$K,5,0),"")</f>
        <v/>
      </c>
      <c r="S1787" s="85" t="str">
        <f>IFERROR(VLOOKUP(CONCATENATE($B1787,"_",S$3),materiali!$C:$K,6,0),"")</f>
        <v/>
      </c>
      <c r="T1787" s="86"/>
      <c r="U1787" s="31"/>
      <c r="AD1787" s="97"/>
    </row>
    <row r="1788" spans="1:30" ht="35.1" hidden="1" customHeight="1" x14ac:dyDescent="0.25">
      <c r="A1788" s="83"/>
      <c r="B1788" s="7"/>
      <c r="C1788" s="8"/>
      <c r="D1788" s="8"/>
      <c r="E1788" s="60"/>
      <c r="F1788" s="84" t="str">
        <f>IFERROR(VLOOKUP(CONCATENATE($B1788,"_",F$3),materiali!$C:$K,5,0),"")</f>
        <v/>
      </c>
      <c r="G1788" s="85" t="str">
        <f>IFERROR(VLOOKUP(CONCATENATE($B1788,"_",G$3),materiali!$C:$K,6,0),"")</f>
        <v/>
      </c>
      <c r="H1788" s="86"/>
      <c r="I1788" s="84" t="str">
        <f>IFERROR(VLOOKUP(CONCATENATE($B1788,"_",I$3),materiali!$C:$K,5,0),"")</f>
        <v/>
      </c>
      <c r="J1788" s="85" t="str">
        <f>IFERROR(VLOOKUP(CONCATENATE($B1788,"_",J$3),materiali!$C:$K,6,0),"")</f>
        <v/>
      </c>
      <c r="K1788" s="86"/>
      <c r="L1788" s="84" t="str">
        <f>IFERROR(VLOOKUP(CONCATENATE($B1788,"_",L$3),materiali!$C:$K,5,0),"")</f>
        <v/>
      </c>
      <c r="M1788" s="85" t="str">
        <f>IFERROR(VLOOKUP(CONCATENATE($B1788,"_",M$3),materiali!$C:$K,6,0),"")</f>
        <v/>
      </c>
      <c r="N1788" s="86"/>
      <c r="O1788" s="84" t="str">
        <f>IFERROR(VLOOKUP(CONCATENATE($B1788,"_",O$3),materiali!$C:$K,5,0),"")</f>
        <v/>
      </c>
      <c r="P1788" s="85" t="str">
        <f>IFERROR(VLOOKUP(CONCATENATE($B1788,"_",P$3),materiali!$C:$K,6,0),"")</f>
        <v/>
      </c>
      <c r="Q1788" s="86"/>
      <c r="R1788" s="84" t="str">
        <f>IFERROR(VLOOKUP(CONCATENATE($B1788,"_",R$3),materiali!$C:$K,5,0),"")</f>
        <v/>
      </c>
      <c r="S1788" s="85" t="str">
        <f>IFERROR(VLOOKUP(CONCATENATE($B1788,"_",S$3),materiali!$C:$K,6,0),"")</f>
        <v/>
      </c>
      <c r="T1788" s="86"/>
      <c r="U1788" s="31"/>
      <c r="AD1788" s="97"/>
    </row>
    <row r="1789" spans="1:30" ht="35.1" hidden="1" customHeight="1" x14ac:dyDescent="0.25">
      <c r="A1789" s="83"/>
      <c r="B1789" s="7"/>
      <c r="C1789" s="8"/>
      <c r="D1789" s="8"/>
      <c r="E1789" s="60"/>
      <c r="F1789" s="84" t="str">
        <f>IFERROR(VLOOKUP(CONCATENATE($B1789,"_",F$3),materiali!$C:$K,5,0),"")</f>
        <v/>
      </c>
      <c r="G1789" s="85" t="str">
        <f>IFERROR(VLOOKUP(CONCATENATE($B1789,"_",G$3),materiali!$C:$K,6,0),"")</f>
        <v/>
      </c>
      <c r="H1789" s="86"/>
      <c r="I1789" s="84" t="str">
        <f>IFERROR(VLOOKUP(CONCATENATE($B1789,"_",I$3),materiali!$C:$K,5,0),"")</f>
        <v/>
      </c>
      <c r="J1789" s="85" t="str">
        <f>IFERROR(VLOOKUP(CONCATENATE($B1789,"_",J$3),materiali!$C:$K,6,0),"")</f>
        <v/>
      </c>
      <c r="K1789" s="86"/>
      <c r="L1789" s="84" t="str">
        <f>IFERROR(VLOOKUP(CONCATENATE($B1789,"_",L$3),materiali!$C:$K,5,0),"")</f>
        <v/>
      </c>
      <c r="M1789" s="85" t="str">
        <f>IFERROR(VLOOKUP(CONCATENATE($B1789,"_",M$3),materiali!$C:$K,6,0),"")</f>
        <v/>
      </c>
      <c r="N1789" s="86"/>
      <c r="O1789" s="84" t="str">
        <f>IFERROR(VLOOKUP(CONCATENATE($B1789,"_",O$3),materiali!$C:$K,5,0),"")</f>
        <v/>
      </c>
      <c r="P1789" s="85" t="str">
        <f>IFERROR(VLOOKUP(CONCATENATE($B1789,"_",P$3),materiali!$C:$K,6,0),"")</f>
        <v/>
      </c>
      <c r="Q1789" s="86"/>
      <c r="R1789" s="84" t="str">
        <f>IFERROR(VLOOKUP(CONCATENATE($B1789,"_",R$3),materiali!$C:$K,5,0),"")</f>
        <v/>
      </c>
      <c r="S1789" s="85" t="str">
        <f>IFERROR(VLOOKUP(CONCATENATE($B1789,"_",S$3),materiali!$C:$K,6,0),"")</f>
        <v/>
      </c>
      <c r="T1789" s="86"/>
      <c r="U1789" s="31"/>
      <c r="AD1789" s="97"/>
    </row>
    <row r="1790" spans="1:30" ht="35.1" hidden="1" customHeight="1" x14ac:dyDescent="0.25">
      <c r="A1790" s="83"/>
      <c r="B1790" s="7"/>
      <c r="C1790" s="8"/>
      <c r="D1790" s="8"/>
      <c r="E1790" s="60"/>
      <c r="F1790" s="84" t="str">
        <f>IFERROR(VLOOKUP(CONCATENATE($B1790,"_",F$3),materiali!$C:$K,5,0),"")</f>
        <v/>
      </c>
      <c r="G1790" s="85" t="str">
        <f>IFERROR(VLOOKUP(CONCATENATE($B1790,"_",G$3),materiali!$C:$K,6,0),"")</f>
        <v/>
      </c>
      <c r="H1790" s="86"/>
      <c r="I1790" s="84" t="str">
        <f>IFERROR(VLOOKUP(CONCATENATE($B1790,"_",I$3),materiali!$C:$K,5,0),"")</f>
        <v/>
      </c>
      <c r="J1790" s="85" t="str">
        <f>IFERROR(VLOOKUP(CONCATENATE($B1790,"_",J$3),materiali!$C:$K,6,0),"")</f>
        <v/>
      </c>
      <c r="K1790" s="86"/>
      <c r="L1790" s="84" t="str">
        <f>IFERROR(VLOOKUP(CONCATENATE($B1790,"_",L$3),materiali!$C:$K,5,0),"")</f>
        <v/>
      </c>
      <c r="M1790" s="85" t="str">
        <f>IFERROR(VLOOKUP(CONCATENATE($B1790,"_",M$3),materiali!$C:$K,6,0),"")</f>
        <v/>
      </c>
      <c r="N1790" s="86"/>
      <c r="O1790" s="84" t="str">
        <f>IFERROR(VLOOKUP(CONCATENATE($B1790,"_",O$3),materiali!$C:$K,5,0),"")</f>
        <v/>
      </c>
      <c r="P1790" s="85" t="str">
        <f>IFERROR(VLOOKUP(CONCATENATE($B1790,"_",P$3),materiali!$C:$K,6,0),"")</f>
        <v/>
      </c>
      <c r="Q1790" s="86"/>
      <c r="R1790" s="84" t="str">
        <f>IFERROR(VLOOKUP(CONCATENATE($B1790,"_",R$3),materiali!$C:$K,5,0),"")</f>
        <v/>
      </c>
      <c r="S1790" s="85" t="str">
        <f>IFERROR(VLOOKUP(CONCATENATE($B1790,"_",S$3),materiali!$C:$K,6,0),"")</f>
        <v/>
      </c>
      <c r="T1790" s="86"/>
      <c r="U1790" s="31"/>
      <c r="AD1790" s="97"/>
    </row>
    <row r="1791" spans="1:30" ht="35.1" hidden="1" customHeight="1" x14ac:dyDescent="0.25">
      <c r="A1791" s="83"/>
      <c r="B1791" s="7"/>
      <c r="C1791" s="8"/>
      <c r="D1791" s="8"/>
      <c r="E1791" s="60"/>
      <c r="F1791" s="84" t="str">
        <f>IFERROR(VLOOKUP(CONCATENATE($B1791,"_",F$3),materiali!$C:$K,5,0),"")</f>
        <v/>
      </c>
      <c r="G1791" s="85" t="str">
        <f>IFERROR(VLOOKUP(CONCATENATE($B1791,"_",G$3),materiali!$C:$K,6,0),"")</f>
        <v/>
      </c>
      <c r="H1791" s="86"/>
      <c r="I1791" s="84" t="str">
        <f>IFERROR(VLOOKUP(CONCATENATE($B1791,"_",I$3),materiali!$C:$K,5,0),"")</f>
        <v/>
      </c>
      <c r="J1791" s="85" t="str">
        <f>IFERROR(VLOOKUP(CONCATENATE($B1791,"_",J$3),materiali!$C:$K,6,0),"")</f>
        <v/>
      </c>
      <c r="K1791" s="86"/>
      <c r="L1791" s="84" t="str">
        <f>IFERROR(VLOOKUP(CONCATENATE($B1791,"_",L$3),materiali!$C:$K,5,0),"")</f>
        <v/>
      </c>
      <c r="M1791" s="85" t="str">
        <f>IFERROR(VLOOKUP(CONCATENATE($B1791,"_",M$3),materiali!$C:$K,6,0),"")</f>
        <v/>
      </c>
      <c r="N1791" s="86"/>
      <c r="O1791" s="84" t="str">
        <f>IFERROR(VLOOKUP(CONCATENATE($B1791,"_",O$3),materiali!$C:$K,5,0),"")</f>
        <v/>
      </c>
      <c r="P1791" s="85" t="str">
        <f>IFERROR(VLOOKUP(CONCATENATE($B1791,"_",P$3),materiali!$C:$K,6,0),"")</f>
        <v/>
      </c>
      <c r="Q1791" s="86"/>
      <c r="R1791" s="84" t="str">
        <f>IFERROR(VLOOKUP(CONCATENATE($B1791,"_",R$3),materiali!$C:$K,5,0),"")</f>
        <v/>
      </c>
      <c r="S1791" s="85" t="str">
        <f>IFERROR(VLOOKUP(CONCATENATE($B1791,"_",S$3),materiali!$C:$K,6,0),"")</f>
        <v/>
      </c>
      <c r="T1791" s="86"/>
      <c r="U1791" s="31"/>
      <c r="AD1791" s="97"/>
    </row>
    <row r="1792" spans="1:30" ht="35.1" hidden="1" customHeight="1" x14ac:dyDescent="0.25">
      <c r="A1792" s="83"/>
      <c r="B1792" s="7"/>
      <c r="C1792" s="8"/>
      <c r="D1792" s="8"/>
      <c r="E1792" s="60"/>
      <c r="F1792" s="84" t="str">
        <f>IFERROR(VLOOKUP(CONCATENATE($B1792,"_",F$3),materiali!$C:$K,5,0),"")</f>
        <v/>
      </c>
      <c r="G1792" s="85" t="str">
        <f>IFERROR(VLOOKUP(CONCATENATE($B1792,"_",G$3),materiali!$C:$K,6,0),"")</f>
        <v/>
      </c>
      <c r="H1792" s="86"/>
      <c r="I1792" s="84" t="str">
        <f>IFERROR(VLOOKUP(CONCATENATE($B1792,"_",I$3),materiali!$C:$K,5,0),"")</f>
        <v/>
      </c>
      <c r="J1792" s="85" t="str">
        <f>IFERROR(VLOOKUP(CONCATENATE($B1792,"_",J$3),materiali!$C:$K,6,0),"")</f>
        <v/>
      </c>
      <c r="K1792" s="86"/>
      <c r="L1792" s="84" t="str">
        <f>IFERROR(VLOOKUP(CONCATENATE($B1792,"_",L$3),materiali!$C:$K,5,0),"")</f>
        <v/>
      </c>
      <c r="M1792" s="85" t="str">
        <f>IFERROR(VLOOKUP(CONCATENATE($B1792,"_",M$3),materiali!$C:$K,6,0),"")</f>
        <v/>
      </c>
      <c r="N1792" s="86"/>
      <c r="O1792" s="84" t="str">
        <f>IFERROR(VLOOKUP(CONCATENATE($B1792,"_",O$3),materiali!$C:$K,5,0),"")</f>
        <v/>
      </c>
      <c r="P1792" s="85" t="str">
        <f>IFERROR(VLOOKUP(CONCATENATE($B1792,"_",P$3),materiali!$C:$K,6,0),"")</f>
        <v/>
      </c>
      <c r="Q1792" s="86"/>
      <c r="R1792" s="84" t="str">
        <f>IFERROR(VLOOKUP(CONCATENATE($B1792,"_",R$3),materiali!$C:$K,5,0),"")</f>
        <v/>
      </c>
      <c r="S1792" s="85" t="str">
        <f>IFERROR(VLOOKUP(CONCATENATE($B1792,"_",S$3),materiali!$C:$K,6,0),"")</f>
        <v/>
      </c>
      <c r="T1792" s="86"/>
      <c r="U1792" s="31"/>
      <c r="AD1792" s="97"/>
    </row>
    <row r="1793" spans="1:30" ht="35.1" hidden="1" customHeight="1" x14ac:dyDescent="0.25">
      <c r="A1793" s="83"/>
      <c r="B1793" s="7"/>
      <c r="C1793" s="8"/>
      <c r="D1793" s="8"/>
      <c r="E1793" s="60"/>
      <c r="F1793" s="84" t="str">
        <f>IFERROR(VLOOKUP(CONCATENATE($B1793,"_",F$3),materiali!$C:$K,5,0),"")</f>
        <v/>
      </c>
      <c r="G1793" s="85" t="str">
        <f>IFERROR(VLOOKUP(CONCATENATE($B1793,"_",G$3),materiali!$C:$K,6,0),"")</f>
        <v/>
      </c>
      <c r="H1793" s="86"/>
      <c r="I1793" s="84" t="str">
        <f>IFERROR(VLOOKUP(CONCATENATE($B1793,"_",I$3),materiali!$C:$K,5,0),"")</f>
        <v/>
      </c>
      <c r="J1793" s="85" t="str">
        <f>IFERROR(VLOOKUP(CONCATENATE($B1793,"_",J$3),materiali!$C:$K,6,0),"")</f>
        <v/>
      </c>
      <c r="K1793" s="86"/>
      <c r="L1793" s="84" t="str">
        <f>IFERROR(VLOOKUP(CONCATENATE($B1793,"_",L$3),materiali!$C:$K,5,0),"")</f>
        <v/>
      </c>
      <c r="M1793" s="85" t="str">
        <f>IFERROR(VLOOKUP(CONCATENATE($B1793,"_",M$3),materiali!$C:$K,6,0),"")</f>
        <v/>
      </c>
      <c r="N1793" s="86"/>
      <c r="O1793" s="84" t="str">
        <f>IFERROR(VLOOKUP(CONCATENATE($B1793,"_",O$3),materiali!$C:$K,5,0),"")</f>
        <v/>
      </c>
      <c r="P1793" s="85" t="str">
        <f>IFERROR(VLOOKUP(CONCATENATE($B1793,"_",P$3),materiali!$C:$K,6,0),"")</f>
        <v/>
      </c>
      <c r="Q1793" s="86"/>
      <c r="R1793" s="84" t="str">
        <f>IFERROR(VLOOKUP(CONCATENATE($B1793,"_",R$3),materiali!$C:$K,5,0),"")</f>
        <v/>
      </c>
      <c r="S1793" s="85" t="str">
        <f>IFERROR(VLOOKUP(CONCATENATE($B1793,"_",S$3),materiali!$C:$K,6,0),"")</f>
        <v/>
      </c>
      <c r="T1793" s="86"/>
      <c r="U1793" s="31"/>
      <c r="AD1793" s="97"/>
    </row>
    <row r="1794" spans="1:30" ht="35.1" hidden="1" customHeight="1" x14ac:dyDescent="0.25">
      <c r="A1794" s="83"/>
      <c r="B1794" s="7"/>
      <c r="C1794" s="8"/>
      <c r="D1794" s="8"/>
      <c r="E1794" s="60"/>
      <c r="F1794" s="84" t="str">
        <f>IFERROR(VLOOKUP(CONCATENATE($B1794,"_",F$3),materiali!$C:$K,5,0),"")</f>
        <v/>
      </c>
      <c r="G1794" s="85" t="str">
        <f>IFERROR(VLOOKUP(CONCATENATE($B1794,"_",G$3),materiali!$C:$K,6,0),"")</f>
        <v/>
      </c>
      <c r="H1794" s="86"/>
      <c r="I1794" s="84" t="str">
        <f>IFERROR(VLOOKUP(CONCATENATE($B1794,"_",I$3),materiali!$C:$K,5,0),"")</f>
        <v/>
      </c>
      <c r="J1794" s="85" t="str">
        <f>IFERROR(VLOOKUP(CONCATENATE($B1794,"_",J$3),materiali!$C:$K,6,0),"")</f>
        <v/>
      </c>
      <c r="K1794" s="86"/>
      <c r="L1794" s="84" t="str">
        <f>IFERROR(VLOOKUP(CONCATENATE($B1794,"_",L$3),materiali!$C:$K,5,0),"")</f>
        <v/>
      </c>
      <c r="M1794" s="85" t="str">
        <f>IFERROR(VLOOKUP(CONCATENATE($B1794,"_",M$3),materiali!$C:$K,6,0),"")</f>
        <v/>
      </c>
      <c r="N1794" s="86"/>
      <c r="O1794" s="84" t="str">
        <f>IFERROR(VLOOKUP(CONCATENATE($B1794,"_",O$3),materiali!$C:$K,5,0),"")</f>
        <v/>
      </c>
      <c r="P1794" s="85" t="str">
        <f>IFERROR(VLOOKUP(CONCATENATE($B1794,"_",P$3),materiali!$C:$K,6,0),"")</f>
        <v/>
      </c>
      <c r="Q1794" s="86"/>
      <c r="R1794" s="84" t="str">
        <f>IFERROR(VLOOKUP(CONCATENATE($B1794,"_",R$3),materiali!$C:$K,5,0),"")</f>
        <v/>
      </c>
      <c r="S1794" s="85" t="str">
        <f>IFERROR(VLOOKUP(CONCATENATE($B1794,"_",S$3),materiali!$C:$K,6,0),"")</f>
        <v/>
      </c>
      <c r="T1794" s="86"/>
      <c r="U1794" s="31"/>
      <c r="AD1794" s="97"/>
    </row>
    <row r="1795" spans="1:30" ht="35.1" hidden="1" customHeight="1" x14ac:dyDescent="0.25">
      <c r="A1795" s="83"/>
      <c r="B1795" s="7"/>
      <c r="C1795" s="8"/>
      <c r="D1795" s="8"/>
      <c r="E1795" s="60"/>
      <c r="F1795" s="84" t="str">
        <f>IFERROR(VLOOKUP(CONCATENATE($B1795,"_",F$3),materiali!$C:$K,5,0),"")</f>
        <v/>
      </c>
      <c r="G1795" s="85" t="str">
        <f>IFERROR(VLOOKUP(CONCATENATE($B1795,"_",G$3),materiali!$C:$K,6,0),"")</f>
        <v/>
      </c>
      <c r="H1795" s="86"/>
      <c r="I1795" s="84" t="str">
        <f>IFERROR(VLOOKUP(CONCATENATE($B1795,"_",I$3),materiali!$C:$K,5,0),"")</f>
        <v/>
      </c>
      <c r="J1795" s="85" t="str">
        <f>IFERROR(VLOOKUP(CONCATENATE($B1795,"_",J$3),materiali!$C:$K,6,0),"")</f>
        <v/>
      </c>
      <c r="K1795" s="86"/>
      <c r="L1795" s="84" t="str">
        <f>IFERROR(VLOOKUP(CONCATENATE($B1795,"_",L$3),materiali!$C:$K,5,0),"")</f>
        <v/>
      </c>
      <c r="M1795" s="85" t="str">
        <f>IFERROR(VLOOKUP(CONCATENATE($B1795,"_",M$3),materiali!$C:$K,6,0),"")</f>
        <v/>
      </c>
      <c r="N1795" s="86"/>
      <c r="O1795" s="84" t="str">
        <f>IFERROR(VLOOKUP(CONCATENATE($B1795,"_",O$3),materiali!$C:$K,5,0),"")</f>
        <v/>
      </c>
      <c r="P1795" s="85" t="str">
        <f>IFERROR(VLOOKUP(CONCATENATE($B1795,"_",P$3),materiali!$C:$K,6,0),"")</f>
        <v/>
      </c>
      <c r="Q1795" s="86"/>
      <c r="R1795" s="84" t="str">
        <f>IFERROR(VLOOKUP(CONCATENATE($B1795,"_",R$3),materiali!$C:$K,5,0),"")</f>
        <v/>
      </c>
      <c r="S1795" s="85" t="str">
        <f>IFERROR(VLOOKUP(CONCATENATE($B1795,"_",S$3),materiali!$C:$K,6,0),"")</f>
        <v/>
      </c>
      <c r="T1795" s="86"/>
      <c r="U1795" s="31"/>
      <c r="AD1795" s="97"/>
    </row>
    <row r="1796" spans="1:30" ht="35.1" hidden="1" customHeight="1" x14ac:dyDescent="0.25">
      <c r="A1796" s="83"/>
      <c r="B1796" s="7"/>
      <c r="C1796" s="8"/>
      <c r="D1796" s="8"/>
      <c r="E1796" s="60"/>
      <c r="F1796" s="84" t="str">
        <f>IFERROR(VLOOKUP(CONCATENATE($B1796,"_",F$3),materiali!$C:$K,5,0),"")</f>
        <v/>
      </c>
      <c r="G1796" s="85" t="str">
        <f>IFERROR(VLOOKUP(CONCATENATE($B1796,"_",G$3),materiali!$C:$K,6,0),"")</f>
        <v/>
      </c>
      <c r="H1796" s="86"/>
      <c r="I1796" s="84" t="str">
        <f>IFERROR(VLOOKUP(CONCATENATE($B1796,"_",I$3),materiali!$C:$K,5,0),"")</f>
        <v/>
      </c>
      <c r="J1796" s="85" t="str">
        <f>IFERROR(VLOOKUP(CONCATENATE($B1796,"_",J$3),materiali!$C:$K,6,0),"")</f>
        <v/>
      </c>
      <c r="K1796" s="86"/>
      <c r="L1796" s="84" t="str">
        <f>IFERROR(VLOOKUP(CONCATENATE($B1796,"_",L$3),materiali!$C:$K,5,0),"")</f>
        <v/>
      </c>
      <c r="M1796" s="85" t="str">
        <f>IFERROR(VLOOKUP(CONCATENATE($B1796,"_",M$3),materiali!$C:$K,6,0),"")</f>
        <v/>
      </c>
      <c r="N1796" s="86"/>
      <c r="O1796" s="84" t="str">
        <f>IFERROR(VLOOKUP(CONCATENATE($B1796,"_",O$3),materiali!$C:$K,5,0),"")</f>
        <v/>
      </c>
      <c r="P1796" s="85" t="str">
        <f>IFERROR(VLOOKUP(CONCATENATE($B1796,"_",P$3),materiali!$C:$K,6,0),"")</f>
        <v/>
      </c>
      <c r="Q1796" s="86"/>
      <c r="R1796" s="84" t="str">
        <f>IFERROR(VLOOKUP(CONCATENATE($B1796,"_",R$3),materiali!$C:$K,5,0),"")</f>
        <v/>
      </c>
      <c r="S1796" s="85" t="str">
        <f>IFERROR(VLOOKUP(CONCATENATE($B1796,"_",S$3),materiali!$C:$K,6,0),"")</f>
        <v/>
      </c>
      <c r="T1796" s="86"/>
      <c r="U1796" s="31"/>
      <c r="AD1796" s="97"/>
    </row>
    <row r="1797" spans="1:30" ht="35.1" hidden="1" customHeight="1" x14ac:dyDescent="0.25">
      <c r="A1797" s="83"/>
      <c r="B1797" s="7"/>
      <c r="C1797" s="8"/>
      <c r="D1797" s="8"/>
      <c r="E1797" s="60"/>
      <c r="F1797" s="84" t="str">
        <f>IFERROR(VLOOKUP(CONCATENATE($B1797,"_",F$3),materiali!$C:$K,5,0),"")</f>
        <v/>
      </c>
      <c r="G1797" s="85" t="str">
        <f>IFERROR(VLOOKUP(CONCATENATE($B1797,"_",G$3),materiali!$C:$K,6,0),"")</f>
        <v/>
      </c>
      <c r="H1797" s="86"/>
      <c r="I1797" s="84" t="str">
        <f>IFERROR(VLOOKUP(CONCATENATE($B1797,"_",I$3),materiali!$C:$K,5,0),"")</f>
        <v/>
      </c>
      <c r="J1797" s="85" t="str">
        <f>IFERROR(VLOOKUP(CONCATENATE($B1797,"_",J$3),materiali!$C:$K,6,0),"")</f>
        <v/>
      </c>
      <c r="K1797" s="86"/>
      <c r="L1797" s="84" t="str">
        <f>IFERROR(VLOOKUP(CONCATENATE($B1797,"_",L$3),materiali!$C:$K,5,0),"")</f>
        <v/>
      </c>
      <c r="M1797" s="85" t="str">
        <f>IFERROR(VLOOKUP(CONCATENATE($B1797,"_",M$3),materiali!$C:$K,6,0),"")</f>
        <v/>
      </c>
      <c r="N1797" s="86"/>
      <c r="O1797" s="84" t="str">
        <f>IFERROR(VLOOKUP(CONCATENATE($B1797,"_",O$3),materiali!$C:$K,5,0),"")</f>
        <v/>
      </c>
      <c r="P1797" s="85" t="str">
        <f>IFERROR(VLOOKUP(CONCATENATE($B1797,"_",P$3),materiali!$C:$K,6,0),"")</f>
        <v/>
      </c>
      <c r="Q1797" s="86"/>
      <c r="R1797" s="84" t="str">
        <f>IFERROR(VLOOKUP(CONCATENATE($B1797,"_",R$3),materiali!$C:$K,5,0),"")</f>
        <v/>
      </c>
      <c r="S1797" s="85" t="str">
        <f>IFERROR(VLOOKUP(CONCATENATE($B1797,"_",S$3),materiali!$C:$K,6,0),"")</f>
        <v/>
      </c>
      <c r="T1797" s="86"/>
      <c r="U1797" s="31"/>
      <c r="AD1797" s="97"/>
    </row>
    <row r="1798" spans="1:30" ht="35.1" hidden="1" customHeight="1" x14ac:dyDescent="0.25">
      <c r="A1798" s="83"/>
      <c r="B1798" s="7"/>
      <c r="C1798" s="8"/>
      <c r="D1798" s="8"/>
      <c r="E1798" s="60"/>
      <c r="F1798" s="84" t="str">
        <f>IFERROR(VLOOKUP(CONCATENATE($B1798,"_",F$3),materiali!$C:$K,5,0),"")</f>
        <v/>
      </c>
      <c r="G1798" s="85" t="str">
        <f>IFERROR(VLOOKUP(CONCATENATE($B1798,"_",G$3),materiali!$C:$K,6,0),"")</f>
        <v/>
      </c>
      <c r="H1798" s="86"/>
      <c r="I1798" s="84" t="str">
        <f>IFERROR(VLOOKUP(CONCATENATE($B1798,"_",I$3),materiali!$C:$K,5,0),"")</f>
        <v/>
      </c>
      <c r="J1798" s="85" t="str">
        <f>IFERROR(VLOOKUP(CONCATENATE($B1798,"_",J$3),materiali!$C:$K,6,0),"")</f>
        <v/>
      </c>
      <c r="K1798" s="86"/>
      <c r="L1798" s="84" t="str">
        <f>IFERROR(VLOOKUP(CONCATENATE($B1798,"_",L$3),materiali!$C:$K,5,0),"")</f>
        <v/>
      </c>
      <c r="M1798" s="85" t="str">
        <f>IFERROR(VLOOKUP(CONCATENATE($B1798,"_",M$3),materiali!$C:$K,6,0),"")</f>
        <v/>
      </c>
      <c r="N1798" s="86"/>
      <c r="O1798" s="84" t="str">
        <f>IFERROR(VLOOKUP(CONCATENATE($B1798,"_",O$3),materiali!$C:$K,5,0),"")</f>
        <v/>
      </c>
      <c r="P1798" s="85" t="str">
        <f>IFERROR(VLOOKUP(CONCATENATE($B1798,"_",P$3),materiali!$C:$K,6,0),"")</f>
        <v/>
      </c>
      <c r="Q1798" s="86"/>
      <c r="R1798" s="84" t="str">
        <f>IFERROR(VLOOKUP(CONCATENATE($B1798,"_",R$3),materiali!$C:$K,5,0),"")</f>
        <v/>
      </c>
      <c r="S1798" s="85" t="str">
        <f>IFERROR(VLOOKUP(CONCATENATE($B1798,"_",S$3),materiali!$C:$K,6,0),"")</f>
        <v/>
      </c>
      <c r="T1798" s="86"/>
      <c r="U1798" s="31"/>
      <c r="AD1798" s="97"/>
    </row>
    <row r="1799" spans="1:30" ht="35.1" hidden="1" customHeight="1" x14ac:dyDescent="0.25">
      <c r="A1799" s="83"/>
      <c r="B1799" s="7"/>
      <c r="C1799" s="8"/>
      <c r="D1799" s="8"/>
      <c r="E1799" s="60"/>
      <c r="F1799" s="84" t="str">
        <f>IFERROR(VLOOKUP(CONCATENATE($B1799,"_",F$3),materiali!$C:$K,5,0),"")</f>
        <v/>
      </c>
      <c r="G1799" s="85" t="str">
        <f>IFERROR(VLOOKUP(CONCATENATE($B1799,"_",G$3),materiali!$C:$K,6,0),"")</f>
        <v/>
      </c>
      <c r="H1799" s="86"/>
      <c r="I1799" s="84" t="str">
        <f>IFERROR(VLOOKUP(CONCATENATE($B1799,"_",I$3),materiali!$C:$K,5,0),"")</f>
        <v/>
      </c>
      <c r="J1799" s="85" t="str">
        <f>IFERROR(VLOOKUP(CONCATENATE($B1799,"_",J$3),materiali!$C:$K,6,0),"")</f>
        <v/>
      </c>
      <c r="K1799" s="86"/>
      <c r="L1799" s="84" t="str">
        <f>IFERROR(VLOOKUP(CONCATENATE($B1799,"_",L$3),materiali!$C:$K,5,0),"")</f>
        <v/>
      </c>
      <c r="M1799" s="85" t="str">
        <f>IFERROR(VLOOKUP(CONCATENATE($B1799,"_",M$3),materiali!$C:$K,6,0),"")</f>
        <v/>
      </c>
      <c r="N1799" s="86"/>
      <c r="O1799" s="84" t="str">
        <f>IFERROR(VLOOKUP(CONCATENATE($B1799,"_",O$3),materiali!$C:$K,5,0),"")</f>
        <v/>
      </c>
      <c r="P1799" s="85" t="str">
        <f>IFERROR(VLOOKUP(CONCATENATE($B1799,"_",P$3),materiali!$C:$K,6,0),"")</f>
        <v/>
      </c>
      <c r="Q1799" s="86"/>
      <c r="R1799" s="84" t="str">
        <f>IFERROR(VLOOKUP(CONCATENATE($B1799,"_",R$3),materiali!$C:$K,5,0),"")</f>
        <v/>
      </c>
      <c r="S1799" s="85" t="str">
        <f>IFERROR(VLOOKUP(CONCATENATE($B1799,"_",S$3),materiali!$C:$K,6,0),"")</f>
        <v/>
      </c>
      <c r="T1799" s="86"/>
      <c r="U1799" s="31"/>
      <c r="AD1799" s="97"/>
    </row>
    <row r="1800" spans="1:30" ht="35.1" hidden="1" customHeight="1" x14ac:dyDescent="0.25">
      <c r="A1800" s="83"/>
      <c r="B1800" s="7"/>
      <c r="C1800" s="8"/>
      <c r="D1800" s="8"/>
      <c r="E1800" s="60"/>
      <c r="F1800" s="84" t="str">
        <f>IFERROR(VLOOKUP(CONCATENATE($B1800,"_",F$3),materiali!$C:$K,5,0),"")</f>
        <v/>
      </c>
      <c r="G1800" s="85" t="str">
        <f>IFERROR(VLOOKUP(CONCATENATE($B1800,"_",G$3),materiali!$C:$K,6,0),"")</f>
        <v/>
      </c>
      <c r="H1800" s="86"/>
      <c r="I1800" s="84" t="str">
        <f>IFERROR(VLOOKUP(CONCATENATE($B1800,"_",I$3),materiali!$C:$K,5,0),"")</f>
        <v/>
      </c>
      <c r="J1800" s="85" t="str">
        <f>IFERROR(VLOOKUP(CONCATENATE($B1800,"_",J$3),materiali!$C:$K,6,0),"")</f>
        <v/>
      </c>
      <c r="K1800" s="86"/>
      <c r="L1800" s="84" t="str">
        <f>IFERROR(VLOOKUP(CONCATENATE($B1800,"_",L$3),materiali!$C:$K,5,0),"")</f>
        <v/>
      </c>
      <c r="M1800" s="85" t="str">
        <f>IFERROR(VLOOKUP(CONCATENATE($B1800,"_",M$3),materiali!$C:$K,6,0),"")</f>
        <v/>
      </c>
      <c r="N1800" s="86"/>
      <c r="O1800" s="84" t="str">
        <f>IFERROR(VLOOKUP(CONCATENATE($B1800,"_",O$3),materiali!$C:$K,5,0),"")</f>
        <v/>
      </c>
      <c r="P1800" s="85" t="str">
        <f>IFERROR(VLOOKUP(CONCATENATE($B1800,"_",P$3),materiali!$C:$K,6,0),"")</f>
        <v/>
      </c>
      <c r="Q1800" s="86"/>
      <c r="R1800" s="84" t="str">
        <f>IFERROR(VLOOKUP(CONCATENATE($B1800,"_",R$3),materiali!$C:$K,5,0),"")</f>
        <v/>
      </c>
      <c r="S1800" s="85" t="str">
        <f>IFERROR(VLOOKUP(CONCATENATE($B1800,"_",S$3),materiali!$C:$K,6,0),"")</f>
        <v/>
      </c>
      <c r="T1800" s="86"/>
      <c r="U1800" s="31"/>
      <c r="AD1800" s="97"/>
    </row>
    <row r="1801" spans="1:30" ht="35.1" hidden="1" customHeight="1" x14ac:dyDescent="0.25">
      <c r="A1801" s="83"/>
      <c r="B1801" s="7"/>
      <c r="C1801" s="8"/>
      <c r="D1801" s="8"/>
      <c r="E1801" s="60"/>
      <c r="F1801" s="84" t="str">
        <f>IFERROR(VLOOKUP(CONCATENATE($B1801,"_",F$3),materiali!$C:$K,5,0),"")</f>
        <v/>
      </c>
      <c r="G1801" s="85" t="str">
        <f>IFERROR(VLOOKUP(CONCATENATE($B1801,"_",G$3),materiali!$C:$K,6,0),"")</f>
        <v/>
      </c>
      <c r="H1801" s="86"/>
      <c r="I1801" s="84" t="str">
        <f>IFERROR(VLOOKUP(CONCATENATE($B1801,"_",I$3),materiali!$C:$K,5,0),"")</f>
        <v/>
      </c>
      <c r="J1801" s="85" t="str">
        <f>IFERROR(VLOOKUP(CONCATENATE($B1801,"_",J$3),materiali!$C:$K,6,0),"")</f>
        <v/>
      </c>
      <c r="K1801" s="86"/>
      <c r="L1801" s="84" t="str">
        <f>IFERROR(VLOOKUP(CONCATENATE($B1801,"_",L$3),materiali!$C:$K,5,0),"")</f>
        <v/>
      </c>
      <c r="M1801" s="85" t="str">
        <f>IFERROR(VLOOKUP(CONCATENATE($B1801,"_",M$3),materiali!$C:$K,6,0),"")</f>
        <v/>
      </c>
      <c r="N1801" s="86"/>
      <c r="O1801" s="84" t="str">
        <f>IFERROR(VLOOKUP(CONCATENATE($B1801,"_",O$3),materiali!$C:$K,5,0),"")</f>
        <v/>
      </c>
      <c r="P1801" s="85" t="str">
        <f>IFERROR(VLOOKUP(CONCATENATE($B1801,"_",P$3),materiali!$C:$K,6,0),"")</f>
        <v/>
      </c>
      <c r="Q1801" s="86"/>
      <c r="R1801" s="84" t="str">
        <f>IFERROR(VLOOKUP(CONCATENATE($B1801,"_",R$3),materiali!$C:$K,5,0),"")</f>
        <v/>
      </c>
      <c r="S1801" s="85" t="str">
        <f>IFERROR(VLOOKUP(CONCATENATE($B1801,"_",S$3),materiali!$C:$K,6,0),"")</f>
        <v/>
      </c>
      <c r="T1801" s="86"/>
      <c r="U1801" s="31"/>
      <c r="AD1801" s="97"/>
    </row>
    <row r="1802" spans="1:30" ht="35.1" hidden="1" customHeight="1" x14ac:dyDescent="0.25">
      <c r="A1802" s="83"/>
      <c r="B1802" s="7"/>
      <c r="C1802" s="8"/>
      <c r="D1802" s="8"/>
      <c r="E1802" s="60"/>
      <c r="F1802" s="84" t="str">
        <f>IFERROR(VLOOKUP(CONCATENATE($B1802,"_",F$3),materiali!$C:$K,5,0),"")</f>
        <v/>
      </c>
      <c r="G1802" s="85" t="str">
        <f>IFERROR(VLOOKUP(CONCATENATE($B1802,"_",G$3),materiali!$C:$K,6,0),"")</f>
        <v/>
      </c>
      <c r="H1802" s="86"/>
      <c r="I1802" s="84" t="str">
        <f>IFERROR(VLOOKUP(CONCATENATE($B1802,"_",I$3),materiali!$C:$K,5,0),"")</f>
        <v/>
      </c>
      <c r="J1802" s="85" t="str">
        <f>IFERROR(VLOOKUP(CONCATENATE($B1802,"_",J$3),materiali!$C:$K,6,0),"")</f>
        <v/>
      </c>
      <c r="K1802" s="86"/>
      <c r="L1802" s="84" t="str">
        <f>IFERROR(VLOOKUP(CONCATENATE($B1802,"_",L$3),materiali!$C:$K,5,0),"")</f>
        <v/>
      </c>
      <c r="M1802" s="85" t="str">
        <f>IFERROR(VLOOKUP(CONCATENATE($B1802,"_",M$3),materiali!$C:$K,6,0),"")</f>
        <v/>
      </c>
      <c r="N1802" s="86"/>
      <c r="O1802" s="84" t="str">
        <f>IFERROR(VLOOKUP(CONCATENATE($B1802,"_",O$3),materiali!$C:$K,5,0),"")</f>
        <v/>
      </c>
      <c r="P1802" s="85" t="str">
        <f>IFERROR(VLOOKUP(CONCATENATE($B1802,"_",P$3),materiali!$C:$K,6,0),"")</f>
        <v/>
      </c>
      <c r="Q1802" s="86"/>
      <c r="R1802" s="84" t="str">
        <f>IFERROR(VLOOKUP(CONCATENATE($B1802,"_",R$3),materiali!$C:$K,5,0),"")</f>
        <v/>
      </c>
      <c r="S1802" s="85" t="str">
        <f>IFERROR(VLOOKUP(CONCATENATE($B1802,"_",S$3),materiali!$C:$K,6,0),"")</f>
        <v/>
      </c>
      <c r="T1802" s="86"/>
      <c r="U1802" s="31"/>
      <c r="AD1802" s="97"/>
    </row>
    <row r="1803" spans="1:30" ht="35.1" hidden="1" customHeight="1" x14ac:dyDescent="0.25">
      <c r="A1803" s="83"/>
      <c r="B1803" s="7"/>
      <c r="C1803" s="8"/>
      <c r="D1803" s="8"/>
      <c r="E1803" s="60"/>
      <c r="F1803" s="84" t="str">
        <f>IFERROR(VLOOKUP(CONCATENATE($B1803,"_",F$3),materiali!$C:$K,5,0),"")</f>
        <v/>
      </c>
      <c r="G1803" s="85" t="str">
        <f>IFERROR(VLOOKUP(CONCATENATE($B1803,"_",G$3),materiali!$C:$K,6,0),"")</f>
        <v/>
      </c>
      <c r="H1803" s="86"/>
      <c r="I1803" s="84" t="str">
        <f>IFERROR(VLOOKUP(CONCATENATE($B1803,"_",I$3),materiali!$C:$K,5,0),"")</f>
        <v/>
      </c>
      <c r="J1803" s="85" t="str">
        <f>IFERROR(VLOOKUP(CONCATENATE($B1803,"_",J$3),materiali!$C:$K,6,0),"")</f>
        <v/>
      </c>
      <c r="K1803" s="86"/>
      <c r="L1803" s="84" t="str">
        <f>IFERROR(VLOOKUP(CONCATENATE($B1803,"_",L$3),materiali!$C:$K,5,0),"")</f>
        <v/>
      </c>
      <c r="M1803" s="85" t="str">
        <f>IFERROR(VLOOKUP(CONCATENATE($B1803,"_",M$3),materiali!$C:$K,6,0),"")</f>
        <v/>
      </c>
      <c r="N1803" s="86"/>
      <c r="O1803" s="84" t="str">
        <f>IFERROR(VLOOKUP(CONCATENATE($B1803,"_",O$3),materiali!$C:$K,5,0),"")</f>
        <v/>
      </c>
      <c r="P1803" s="85" t="str">
        <f>IFERROR(VLOOKUP(CONCATENATE($B1803,"_",P$3),materiali!$C:$K,6,0),"")</f>
        <v/>
      </c>
      <c r="Q1803" s="86"/>
      <c r="R1803" s="84" t="str">
        <f>IFERROR(VLOOKUP(CONCATENATE($B1803,"_",R$3),materiali!$C:$K,5,0),"")</f>
        <v/>
      </c>
      <c r="S1803" s="85" t="str">
        <f>IFERROR(VLOOKUP(CONCATENATE($B1803,"_",S$3),materiali!$C:$K,6,0),"")</f>
        <v/>
      </c>
      <c r="T1803" s="86"/>
      <c r="U1803" s="31"/>
      <c r="AD1803" s="97"/>
    </row>
    <row r="1804" spans="1:30" ht="35.1" hidden="1" customHeight="1" x14ac:dyDescent="0.25">
      <c r="A1804" s="83"/>
      <c r="B1804" s="7"/>
      <c r="C1804" s="8"/>
      <c r="D1804" s="8"/>
      <c r="E1804" s="60"/>
      <c r="F1804" s="84" t="str">
        <f>IFERROR(VLOOKUP(CONCATENATE($B1804,"_",F$3),materiali!$C:$K,5,0),"")</f>
        <v/>
      </c>
      <c r="G1804" s="85" t="str">
        <f>IFERROR(VLOOKUP(CONCATENATE($B1804,"_",G$3),materiali!$C:$K,6,0),"")</f>
        <v/>
      </c>
      <c r="H1804" s="86"/>
      <c r="I1804" s="84" t="str">
        <f>IFERROR(VLOOKUP(CONCATENATE($B1804,"_",I$3),materiali!$C:$K,5,0),"")</f>
        <v/>
      </c>
      <c r="J1804" s="85" t="str">
        <f>IFERROR(VLOOKUP(CONCATENATE($B1804,"_",J$3),materiali!$C:$K,6,0),"")</f>
        <v/>
      </c>
      <c r="K1804" s="86"/>
      <c r="L1804" s="84" t="str">
        <f>IFERROR(VLOOKUP(CONCATENATE($B1804,"_",L$3),materiali!$C:$K,5,0),"")</f>
        <v/>
      </c>
      <c r="M1804" s="85" t="str">
        <f>IFERROR(VLOOKUP(CONCATENATE($B1804,"_",M$3),materiali!$C:$K,6,0),"")</f>
        <v/>
      </c>
      <c r="N1804" s="86"/>
      <c r="O1804" s="84" t="str">
        <f>IFERROR(VLOOKUP(CONCATENATE($B1804,"_",O$3),materiali!$C:$K,5,0),"")</f>
        <v/>
      </c>
      <c r="P1804" s="85" t="str">
        <f>IFERROR(VLOOKUP(CONCATENATE($B1804,"_",P$3),materiali!$C:$K,6,0),"")</f>
        <v/>
      </c>
      <c r="Q1804" s="86"/>
      <c r="R1804" s="84" t="str">
        <f>IFERROR(VLOOKUP(CONCATENATE($B1804,"_",R$3),materiali!$C:$K,5,0),"")</f>
        <v/>
      </c>
      <c r="S1804" s="85" t="str">
        <f>IFERROR(VLOOKUP(CONCATENATE($B1804,"_",S$3),materiali!$C:$K,6,0),"")</f>
        <v/>
      </c>
      <c r="T1804" s="86"/>
      <c r="U1804" s="31"/>
      <c r="AD1804" s="97"/>
    </row>
    <row r="1805" spans="1:30" ht="35.1" hidden="1" customHeight="1" x14ac:dyDescent="0.25">
      <c r="A1805" s="83"/>
      <c r="B1805" s="7"/>
      <c r="C1805" s="8"/>
      <c r="D1805" s="8"/>
      <c r="E1805" s="60"/>
      <c r="F1805" s="84" t="str">
        <f>IFERROR(VLOOKUP(CONCATENATE($B1805,"_",F$3),materiali!$C:$K,5,0),"")</f>
        <v/>
      </c>
      <c r="G1805" s="85" t="str">
        <f>IFERROR(VLOOKUP(CONCATENATE($B1805,"_",G$3),materiali!$C:$K,6,0),"")</f>
        <v/>
      </c>
      <c r="H1805" s="86"/>
      <c r="I1805" s="84" t="str">
        <f>IFERROR(VLOOKUP(CONCATENATE($B1805,"_",I$3),materiali!$C:$K,5,0),"")</f>
        <v/>
      </c>
      <c r="J1805" s="85" t="str">
        <f>IFERROR(VLOOKUP(CONCATENATE($B1805,"_",J$3),materiali!$C:$K,6,0),"")</f>
        <v/>
      </c>
      <c r="K1805" s="86"/>
      <c r="L1805" s="84" t="str">
        <f>IFERROR(VLOOKUP(CONCATENATE($B1805,"_",L$3),materiali!$C:$K,5,0),"")</f>
        <v/>
      </c>
      <c r="M1805" s="85" t="str">
        <f>IFERROR(VLOOKUP(CONCATENATE($B1805,"_",M$3),materiali!$C:$K,6,0),"")</f>
        <v/>
      </c>
      <c r="N1805" s="86"/>
      <c r="O1805" s="84" t="str">
        <f>IFERROR(VLOOKUP(CONCATENATE($B1805,"_",O$3),materiali!$C:$K,5,0),"")</f>
        <v/>
      </c>
      <c r="P1805" s="85" t="str">
        <f>IFERROR(VLOOKUP(CONCATENATE($B1805,"_",P$3),materiali!$C:$K,6,0),"")</f>
        <v/>
      </c>
      <c r="Q1805" s="86"/>
      <c r="R1805" s="84" t="str">
        <f>IFERROR(VLOOKUP(CONCATENATE($B1805,"_",R$3),materiali!$C:$K,5,0),"")</f>
        <v/>
      </c>
      <c r="S1805" s="85" t="str">
        <f>IFERROR(VLOOKUP(CONCATENATE($B1805,"_",S$3),materiali!$C:$K,6,0),"")</f>
        <v/>
      </c>
      <c r="T1805" s="86"/>
      <c r="U1805" s="31"/>
      <c r="AD1805" s="97"/>
    </row>
    <row r="1806" spans="1:30" ht="35.1" hidden="1" customHeight="1" x14ac:dyDescent="0.25">
      <c r="A1806" s="83"/>
      <c r="B1806" s="7"/>
      <c r="C1806" s="8"/>
      <c r="D1806" s="8"/>
      <c r="E1806" s="60"/>
      <c r="F1806" s="84" t="str">
        <f>IFERROR(VLOOKUP(CONCATENATE($B1806,"_",F$3),materiali!$C:$K,5,0),"")</f>
        <v/>
      </c>
      <c r="G1806" s="85" t="str">
        <f>IFERROR(VLOOKUP(CONCATENATE($B1806,"_",G$3),materiali!$C:$K,6,0),"")</f>
        <v/>
      </c>
      <c r="H1806" s="86"/>
      <c r="I1806" s="84" t="str">
        <f>IFERROR(VLOOKUP(CONCATENATE($B1806,"_",I$3),materiali!$C:$K,5,0),"")</f>
        <v/>
      </c>
      <c r="J1806" s="85" t="str">
        <f>IFERROR(VLOOKUP(CONCATENATE($B1806,"_",J$3),materiali!$C:$K,6,0),"")</f>
        <v/>
      </c>
      <c r="K1806" s="86"/>
      <c r="L1806" s="84" t="str">
        <f>IFERROR(VLOOKUP(CONCATENATE($B1806,"_",L$3),materiali!$C:$K,5,0),"")</f>
        <v/>
      </c>
      <c r="M1806" s="85" t="str">
        <f>IFERROR(VLOOKUP(CONCATENATE($B1806,"_",M$3),materiali!$C:$K,6,0),"")</f>
        <v/>
      </c>
      <c r="N1806" s="86"/>
      <c r="O1806" s="84" t="str">
        <f>IFERROR(VLOOKUP(CONCATENATE($B1806,"_",O$3),materiali!$C:$K,5,0),"")</f>
        <v/>
      </c>
      <c r="P1806" s="85" t="str">
        <f>IFERROR(VLOOKUP(CONCATENATE($B1806,"_",P$3),materiali!$C:$K,6,0),"")</f>
        <v/>
      </c>
      <c r="Q1806" s="86"/>
      <c r="R1806" s="84" t="str">
        <f>IFERROR(VLOOKUP(CONCATENATE($B1806,"_",R$3),materiali!$C:$K,5,0),"")</f>
        <v/>
      </c>
      <c r="S1806" s="85" t="str">
        <f>IFERROR(VLOOKUP(CONCATENATE($B1806,"_",S$3),materiali!$C:$K,6,0),"")</f>
        <v/>
      </c>
      <c r="T1806" s="86"/>
      <c r="U1806" s="31"/>
      <c r="AD1806" s="97"/>
    </row>
    <row r="1807" spans="1:30" ht="35.1" hidden="1" customHeight="1" x14ac:dyDescent="0.25">
      <c r="A1807" s="83"/>
      <c r="B1807" s="7"/>
      <c r="C1807" s="8"/>
      <c r="D1807" s="8"/>
      <c r="E1807" s="60"/>
      <c r="F1807" s="84" t="str">
        <f>IFERROR(VLOOKUP(CONCATENATE($B1807,"_",F$3),materiali!$C:$K,5,0),"")</f>
        <v/>
      </c>
      <c r="G1807" s="85" t="str">
        <f>IFERROR(VLOOKUP(CONCATENATE($B1807,"_",G$3),materiali!$C:$K,6,0),"")</f>
        <v/>
      </c>
      <c r="H1807" s="86"/>
      <c r="I1807" s="84" t="str">
        <f>IFERROR(VLOOKUP(CONCATENATE($B1807,"_",I$3),materiali!$C:$K,5,0),"")</f>
        <v/>
      </c>
      <c r="J1807" s="85" t="str">
        <f>IFERROR(VLOOKUP(CONCATENATE($B1807,"_",J$3),materiali!$C:$K,6,0),"")</f>
        <v/>
      </c>
      <c r="K1807" s="86"/>
      <c r="L1807" s="84" t="str">
        <f>IFERROR(VLOOKUP(CONCATENATE($B1807,"_",L$3),materiali!$C:$K,5,0),"")</f>
        <v/>
      </c>
      <c r="M1807" s="85" t="str">
        <f>IFERROR(VLOOKUP(CONCATENATE($B1807,"_",M$3),materiali!$C:$K,6,0),"")</f>
        <v/>
      </c>
      <c r="N1807" s="86"/>
      <c r="O1807" s="84" t="str">
        <f>IFERROR(VLOOKUP(CONCATENATE($B1807,"_",O$3),materiali!$C:$K,5,0),"")</f>
        <v/>
      </c>
      <c r="P1807" s="85" t="str">
        <f>IFERROR(VLOOKUP(CONCATENATE($B1807,"_",P$3),materiali!$C:$K,6,0),"")</f>
        <v/>
      </c>
      <c r="Q1807" s="86"/>
      <c r="R1807" s="84" t="str">
        <f>IFERROR(VLOOKUP(CONCATENATE($B1807,"_",R$3),materiali!$C:$K,5,0),"")</f>
        <v/>
      </c>
      <c r="S1807" s="85" t="str">
        <f>IFERROR(VLOOKUP(CONCATENATE($B1807,"_",S$3),materiali!$C:$K,6,0),"")</f>
        <v/>
      </c>
      <c r="T1807" s="86"/>
      <c r="U1807" s="31"/>
      <c r="AD1807" s="97"/>
    </row>
    <row r="1808" spans="1:30" ht="35.1" hidden="1" customHeight="1" x14ac:dyDescent="0.25">
      <c r="A1808" s="83"/>
      <c r="B1808" s="7"/>
      <c r="C1808" s="8"/>
      <c r="D1808" s="8"/>
      <c r="E1808" s="60"/>
      <c r="F1808" s="84" t="str">
        <f>IFERROR(VLOOKUP(CONCATENATE($B1808,"_",F$3),materiali!$C:$K,5,0),"")</f>
        <v/>
      </c>
      <c r="G1808" s="85" t="str">
        <f>IFERROR(VLOOKUP(CONCATENATE($B1808,"_",G$3),materiali!$C:$K,6,0),"")</f>
        <v/>
      </c>
      <c r="H1808" s="86"/>
      <c r="I1808" s="84" t="str">
        <f>IFERROR(VLOOKUP(CONCATENATE($B1808,"_",I$3),materiali!$C:$K,5,0),"")</f>
        <v/>
      </c>
      <c r="J1808" s="85" t="str">
        <f>IFERROR(VLOOKUP(CONCATENATE($B1808,"_",J$3),materiali!$C:$K,6,0),"")</f>
        <v/>
      </c>
      <c r="K1808" s="86"/>
      <c r="L1808" s="84" t="str">
        <f>IFERROR(VLOOKUP(CONCATENATE($B1808,"_",L$3),materiali!$C:$K,5,0),"")</f>
        <v/>
      </c>
      <c r="M1808" s="85" t="str">
        <f>IFERROR(VLOOKUP(CONCATENATE($B1808,"_",M$3),materiali!$C:$K,6,0),"")</f>
        <v/>
      </c>
      <c r="N1808" s="86"/>
      <c r="O1808" s="84" t="str">
        <f>IFERROR(VLOOKUP(CONCATENATE($B1808,"_",O$3),materiali!$C:$K,5,0),"")</f>
        <v/>
      </c>
      <c r="P1808" s="85" t="str">
        <f>IFERROR(VLOOKUP(CONCATENATE($B1808,"_",P$3),materiali!$C:$K,6,0),"")</f>
        <v/>
      </c>
      <c r="Q1808" s="86"/>
      <c r="R1808" s="84" t="str">
        <f>IFERROR(VLOOKUP(CONCATENATE($B1808,"_",R$3),materiali!$C:$K,5,0),"")</f>
        <v/>
      </c>
      <c r="S1808" s="85" t="str">
        <f>IFERROR(VLOOKUP(CONCATENATE($B1808,"_",S$3),materiali!$C:$K,6,0),"")</f>
        <v/>
      </c>
      <c r="T1808" s="86"/>
      <c r="U1808" s="31"/>
      <c r="AD1808" s="97"/>
    </row>
    <row r="1809" spans="1:30" ht="35.1" hidden="1" customHeight="1" x14ac:dyDescent="0.25">
      <c r="A1809" s="83"/>
      <c r="B1809" s="7"/>
      <c r="C1809" s="8"/>
      <c r="D1809" s="8"/>
      <c r="E1809" s="60"/>
      <c r="F1809" s="84" t="str">
        <f>IFERROR(VLOOKUP(CONCATENATE($B1809,"_",F$3),materiali!$C:$K,5,0),"")</f>
        <v/>
      </c>
      <c r="G1809" s="85" t="str">
        <f>IFERROR(VLOOKUP(CONCATENATE($B1809,"_",G$3),materiali!$C:$K,6,0),"")</f>
        <v/>
      </c>
      <c r="H1809" s="86"/>
      <c r="I1809" s="84" t="str">
        <f>IFERROR(VLOOKUP(CONCATENATE($B1809,"_",I$3),materiali!$C:$K,5,0),"")</f>
        <v/>
      </c>
      <c r="J1809" s="85" t="str">
        <f>IFERROR(VLOOKUP(CONCATENATE($B1809,"_",J$3),materiali!$C:$K,6,0),"")</f>
        <v/>
      </c>
      <c r="K1809" s="86"/>
      <c r="L1809" s="84" t="str">
        <f>IFERROR(VLOOKUP(CONCATENATE($B1809,"_",L$3),materiali!$C:$K,5,0),"")</f>
        <v/>
      </c>
      <c r="M1809" s="85" t="str">
        <f>IFERROR(VLOOKUP(CONCATENATE($B1809,"_",M$3),materiali!$C:$K,6,0),"")</f>
        <v/>
      </c>
      <c r="N1809" s="86"/>
      <c r="O1809" s="84" t="str">
        <f>IFERROR(VLOOKUP(CONCATENATE($B1809,"_",O$3),materiali!$C:$K,5,0),"")</f>
        <v/>
      </c>
      <c r="P1809" s="85" t="str">
        <f>IFERROR(VLOOKUP(CONCATENATE($B1809,"_",P$3),materiali!$C:$K,6,0),"")</f>
        <v/>
      </c>
      <c r="Q1809" s="86"/>
      <c r="R1809" s="84" t="str">
        <f>IFERROR(VLOOKUP(CONCATENATE($B1809,"_",R$3),materiali!$C:$K,5,0),"")</f>
        <v/>
      </c>
      <c r="S1809" s="85" t="str">
        <f>IFERROR(VLOOKUP(CONCATENATE($B1809,"_",S$3),materiali!$C:$K,6,0),"")</f>
        <v/>
      </c>
      <c r="T1809" s="86"/>
      <c r="U1809" s="31"/>
      <c r="AD1809" s="97"/>
    </row>
    <row r="1810" spans="1:30" ht="35.1" hidden="1" customHeight="1" x14ac:dyDescent="0.25">
      <c r="A1810" s="83"/>
      <c r="B1810" s="7"/>
      <c r="C1810" s="8"/>
      <c r="D1810" s="8"/>
      <c r="E1810" s="60"/>
      <c r="F1810" s="84" t="str">
        <f>IFERROR(VLOOKUP(CONCATENATE($B1810,"_",F$3),materiali!$C:$K,5,0),"")</f>
        <v/>
      </c>
      <c r="G1810" s="85" t="str">
        <f>IFERROR(VLOOKUP(CONCATENATE($B1810,"_",G$3),materiali!$C:$K,6,0),"")</f>
        <v/>
      </c>
      <c r="H1810" s="86"/>
      <c r="I1810" s="84" t="str">
        <f>IFERROR(VLOOKUP(CONCATENATE($B1810,"_",I$3),materiali!$C:$K,5,0),"")</f>
        <v/>
      </c>
      <c r="J1810" s="85" t="str">
        <f>IFERROR(VLOOKUP(CONCATENATE($B1810,"_",J$3),materiali!$C:$K,6,0),"")</f>
        <v/>
      </c>
      <c r="K1810" s="86"/>
      <c r="L1810" s="84" t="str">
        <f>IFERROR(VLOOKUP(CONCATENATE($B1810,"_",L$3),materiali!$C:$K,5,0),"")</f>
        <v/>
      </c>
      <c r="M1810" s="85" t="str">
        <f>IFERROR(VLOOKUP(CONCATENATE($B1810,"_",M$3),materiali!$C:$K,6,0),"")</f>
        <v/>
      </c>
      <c r="N1810" s="86"/>
      <c r="O1810" s="84" t="str">
        <f>IFERROR(VLOOKUP(CONCATENATE($B1810,"_",O$3),materiali!$C:$K,5,0),"")</f>
        <v/>
      </c>
      <c r="P1810" s="85" t="str">
        <f>IFERROR(VLOOKUP(CONCATENATE($B1810,"_",P$3),materiali!$C:$K,6,0),"")</f>
        <v/>
      </c>
      <c r="Q1810" s="86"/>
      <c r="R1810" s="84" t="str">
        <f>IFERROR(VLOOKUP(CONCATENATE($B1810,"_",R$3),materiali!$C:$K,5,0),"")</f>
        <v/>
      </c>
      <c r="S1810" s="85" t="str">
        <f>IFERROR(VLOOKUP(CONCATENATE($B1810,"_",S$3),materiali!$C:$K,6,0),"")</f>
        <v/>
      </c>
      <c r="T1810" s="86"/>
      <c r="U1810" s="31"/>
      <c r="AD1810" s="97"/>
    </row>
    <row r="1811" spans="1:30" ht="35.1" hidden="1" customHeight="1" x14ac:dyDescent="0.25">
      <c r="A1811" s="83"/>
      <c r="B1811" s="7"/>
      <c r="C1811" s="8"/>
      <c r="D1811" s="8"/>
      <c r="E1811" s="60"/>
      <c r="F1811" s="84" t="str">
        <f>IFERROR(VLOOKUP(CONCATENATE($B1811,"_",F$3),materiali!$C:$K,5,0),"")</f>
        <v/>
      </c>
      <c r="G1811" s="85" t="str">
        <f>IFERROR(VLOOKUP(CONCATENATE($B1811,"_",G$3),materiali!$C:$K,6,0),"")</f>
        <v/>
      </c>
      <c r="H1811" s="86"/>
      <c r="I1811" s="84" t="str">
        <f>IFERROR(VLOOKUP(CONCATENATE($B1811,"_",I$3),materiali!$C:$K,5,0),"")</f>
        <v/>
      </c>
      <c r="J1811" s="85" t="str">
        <f>IFERROR(VLOOKUP(CONCATENATE($B1811,"_",J$3),materiali!$C:$K,6,0),"")</f>
        <v/>
      </c>
      <c r="K1811" s="86"/>
      <c r="L1811" s="84" t="str">
        <f>IFERROR(VLOOKUP(CONCATENATE($B1811,"_",L$3),materiali!$C:$K,5,0),"")</f>
        <v/>
      </c>
      <c r="M1811" s="85" t="str">
        <f>IFERROR(VLOOKUP(CONCATENATE($B1811,"_",M$3),materiali!$C:$K,6,0),"")</f>
        <v/>
      </c>
      <c r="N1811" s="86"/>
      <c r="O1811" s="84" t="str">
        <f>IFERROR(VLOOKUP(CONCATENATE($B1811,"_",O$3),materiali!$C:$K,5,0),"")</f>
        <v/>
      </c>
      <c r="P1811" s="85" t="str">
        <f>IFERROR(VLOOKUP(CONCATENATE($B1811,"_",P$3),materiali!$C:$K,6,0),"")</f>
        <v/>
      </c>
      <c r="Q1811" s="86"/>
      <c r="R1811" s="84" t="str">
        <f>IFERROR(VLOOKUP(CONCATENATE($B1811,"_",R$3),materiali!$C:$K,5,0),"")</f>
        <v/>
      </c>
      <c r="S1811" s="85" t="str">
        <f>IFERROR(VLOOKUP(CONCATENATE($B1811,"_",S$3),materiali!$C:$K,6,0),"")</f>
        <v/>
      </c>
      <c r="T1811" s="86"/>
      <c r="U1811" s="31"/>
      <c r="AD1811" s="97"/>
    </row>
    <row r="1812" spans="1:30" ht="35.1" hidden="1" customHeight="1" x14ac:dyDescent="0.25">
      <c r="A1812" s="83"/>
      <c r="B1812" s="7"/>
      <c r="C1812" s="8"/>
      <c r="D1812" s="8"/>
      <c r="E1812" s="60"/>
      <c r="F1812" s="84" t="str">
        <f>IFERROR(VLOOKUP(CONCATENATE($B1812,"_",F$3),materiali!$C:$K,5,0),"")</f>
        <v/>
      </c>
      <c r="G1812" s="85" t="str">
        <f>IFERROR(VLOOKUP(CONCATENATE($B1812,"_",G$3),materiali!$C:$K,6,0),"")</f>
        <v/>
      </c>
      <c r="H1812" s="86"/>
      <c r="I1812" s="84" t="str">
        <f>IFERROR(VLOOKUP(CONCATENATE($B1812,"_",I$3),materiali!$C:$K,5,0),"")</f>
        <v/>
      </c>
      <c r="J1812" s="85" t="str">
        <f>IFERROR(VLOOKUP(CONCATENATE($B1812,"_",J$3),materiali!$C:$K,6,0),"")</f>
        <v/>
      </c>
      <c r="K1812" s="86"/>
      <c r="L1812" s="84" t="str">
        <f>IFERROR(VLOOKUP(CONCATENATE($B1812,"_",L$3),materiali!$C:$K,5,0),"")</f>
        <v/>
      </c>
      <c r="M1812" s="85" t="str">
        <f>IFERROR(VLOOKUP(CONCATENATE($B1812,"_",M$3),materiali!$C:$K,6,0),"")</f>
        <v/>
      </c>
      <c r="N1812" s="86"/>
      <c r="O1812" s="84" t="str">
        <f>IFERROR(VLOOKUP(CONCATENATE($B1812,"_",O$3),materiali!$C:$K,5,0),"")</f>
        <v/>
      </c>
      <c r="P1812" s="85" t="str">
        <f>IFERROR(VLOOKUP(CONCATENATE($B1812,"_",P$3),materiali!$C:$K,6,0),"")</f>
        <v/>
      </c>
      <c r="Q1812" s="86"/>
      <c r="R1812" s="84" t="str">
        <f>IFERROR(VLOOKUP(CONCATENATE($B1812,"_",R$3),materiali!$C:$K,5,0),"")</f>
        <v/>
      </c>
      <c r="S1812" s="85" t="str">
        <f>IFERROR(VLOOKUP(CONCATENATE($B1812,"_",S$3),materiali!$C:$K,6,0),"")</f>
        <v/>
      </c>
      <c r="T1812" s="86"/>
      <c r="U1812" s="31"/>
      <c r="AD1812" s="97"/>
    </row>
    <row r="1813" spans="1:30" ht="35.1" hidden="1" customHeight="1" x14ac:dyDescent="0.25">
      <c r="A1813" s="83"/>
      <c r="B1813" s="7"/>
      <c r="C1813" s="8"/>
      <c r="D1813" s="8"/>
      <c r="E1813" s="60"/>
      <c r="F1813" s="84" t="str">
        <f>IFERROR(VLOOKUP(CONCATENATE($B1813,"_",F$3),materiali!$C:$K,5,0),"")</f>
        <v/>
      </c>
      <c r="G1813" s="85" t="str">
        <f>IFERROR(VLOOKUP(CONCATENATE($B1813,"_",G$3),materiali!$C:$K,6,0),"")</f>
        <v/>
      </c>
      <c r="H1813" s="86"/>
      <c r="I1813" s="84" t="str">
        <f>IFERROR(VLOOKUP(CONCATENATE($B1813,"_",I$3),materiali!$C:$K,5,0),"")</f>
        <v/>
      </c>
      <c r="J1813" s="85" t="str">
        <f>IFERROR(VLOOKUP(CONCATENATE($B1813,"_",J$3),materiali!$C:$K,6,0),"")</f>
        <v/>
      </c>
      <c r="K1813" s="86"/>
      <c r="L1813" s="84" t="str">
        <f>IFERROR(VLOOKUP(CONCATENATE($B1813,"_",L$3),materiali!$C:$K,5,0),"")</f>
        <v/>
      </c>
      <c r="M1813" s="85" t="str">
        <f>IFERROR(VLOOKUP(CONCATENATE($B1813,"_",M$3),materiali!$C:$K,6,0),"")</f>
        <v/>
      </c>
      <c r="N1813" s="86"/>
      <c r="O1813" s="84" t="str">
        <f>IFERROR(VLOOKUP(CONCATENATE($B1813,"_",O$3),materiali!$C:$K,5,0),"")</f>
        <v/>
      </c>
      <c r="P1813" s="85" t="str">
        <f>IFERROR(VLOOKUP(CONCATENATE($B1813,"_",P$3),materiali!$C:$K,6,0),"")</f>
        <v/>
      </c>
      <c r="Q1813" s="86"/>
      <c r="R1813" s="84" t="str">
        <f>IFERROR(VLOOKUP(CONCATENATE($B1813,"_",R$3),materiali!$C:$K,5,0),"")</f>
        <v/>
      </c>
      <c r="S1813" s="85" t="str">
        <f>IFERROR(VLOOKUP(CONCATENATE($B1813,"_",S$3),materiali!$C:$K,6,0),"")</f>
        <v/>
      </c>
      <c r="T1813" s="86"/>
      <c r="U1813" s="31"/>
      <c r="AD1813" s="97"/>
    </row>
    <row r="1814" spans="1:30" ht="35.1" hidden="1" customHeight="1" x14ac:dyDescent="0.25">
      <c r="A1814" s="83"/>
      <c r="B1814" s="7"/>
      <c r="C1814" s="8"/>
      <c r="D1814" s="8"/>
      <c r="E1814" s="60"/>
      <c r="F1814" s="84" t="str">
        <f>IFERROR(VLOOKUP(CONCATENATE($B1814,"_",F$3),materiali!$C:$K,5,0),"")</f>
        <v/>
      </c>
      <c r="G1814" s="85" t="str">
        <f>IFERROR(VLOOKUP(CONCATENATE($B1814,"_",G$3),materiali!$C:$K,6,0),"")</f>
        <v/>
      </c>
      <c r="H1814" s="86"/>
      <c r="I1814" s="84" t="str">
        <f>IFERROR(VLOOKUP(CONCATENATE($B1814,"_",I$3),materiali!$C:$K,5,0),"")</f>
        <v/>
      </c>
      <c r="J1814" s="85" t="str">
        <f>IFERROR(VLOOKUP(CONCATENATE($B1814,"_",J$3),materiali!$C:$K,6,0),"")</f>
        <v/>
      </c>
      <c r="K1814" s="86"/>
      <c r="L1814" s="84" t="str">
        <f>IFERROR(VLOOKUP(CONCATENATE($B1814,"_",L$3),materiali!$C:$K,5,0),"")</f>
        <v/>
      </c>
      <c r="M1814" s="85" t="str">
        <f>IFERROR(VLOOKUP(CONCATENATE($B1814,"_",M$3),materiali!$C:$K,6,0),"")</f>
        <v/>
      </c>
      <c r="N1814" s="86"/>
      <c r="O1814" s="84" t="str">
        <f>IFERROR(VLOOKUP(CONCATENATE($B1814,"_",O$3),materiali!$C:$K,5,0),"")</f>
        <v/>
      </c>
      <c r="P1814" s="85" t="str">
        <f>IFERROR(VLOOKUP(CONCATENATE($B1814,"_",P$3),materiali!$C:$K,6,0),"")</f>
        <v/>
      </c>
      <c r="Q1814" s="86"/>
      <c r="R1814" s="84" t="str">
        <f>IFERROR(VLOOKUP(CONCATENATE($B1814,"_",R$3),materiali!$C:$K,5,0),"")</f>
        <v/>
      </c>
      <c r="S1814" s="85" t="str">
        <f>IFERROR(VLOOKUP(CONCATENATE($B1814,"_",S$3),materiali!$C:$K,6,0),"")</f>
        <v/>
      </c>
      <c r="T1814" s="86"/>
      <c r="U1814" s="31"/>
      <c r="AD1814" s="97"/>
    </row>
    <row r="1815" spans="1:30" ht="35.1" hidden="1" customHeight="1" x14ac:dyDescent="0.25">
      <c r="A1815" s="83"/>
      <c r="B1815" s="7"/>
      <c r="C1815" s="8"/>
      <c r="D1815" s="8"/>
      <c r="E1815" s="60"/>
      <c r="F1815" s="84" t="str">
        <f>IFERROR(VLOOKUP(CONCATENATE($B1815,"_",F$3),materiali!$C:$K,5,0),"")</f>
        <v/>
      </c>
      <c r="G1815" s="85" t="str">
        <f>IFERROR(VLOOKUP(CONCATENATE($B1815,"_",G$3),materiali!$C:$K,6,0),"")</f>
        <v/>
      </c>
      <c r="H1815" s="86"/>
      <c r="I1815" s="84" t="str">
        <f>IFERROR(VLOOKUP(CONCATENATE($B1815,"_",I$3),materiali!$C:$K,5,0),"")</f>
        <v/>
      </c>
      <c r="J1815" s="85" t="str">
        <f>IFERROR(VLOOKUP(CONCATENATE($B1815,"_",J$3),materiali!$C:$K,6,0),"")</f>
        <v/>
      </c>
      <c r="K1815" s="86"/>
      <c r="L1815" s="84" t="str">
        <f>IFERROR(VLOOKUP(CONCATENATE($B1815,"_",L$3),materiali!$C:$K,5,0),"")</f>
        <v/>
      </c>
      <c r="M1815" s="85" t="str">
        <f>IFERROR(VLOOKUP(CONCATENATE($B1815,"_",M$3),materiali!$C:$K,6,0),"")</f>
        <v/>
      </c>
      <c r="N1815" s="86"/>
      <c r="O1815" s="84" t="str">
        <f>IFERROR(VLOOKUP(CONCATENATE($B1815,"_",O$3),materiali!$C:$K,5,0),"")</f>
        <v/>
      </c>
      <c r="P1815" s="85" t="str">
        <f>IFERROR(VLOOKUP(CONCATENATE($B1815,"_",P$3),materiali!$C:$K,6,0),"")</f>
        <v/>
      </c>
      <c r="Q1815" s="86"/>
      <c r="R1815" s="84" t="str">
        <f>IFERROR(VLOOKUP(CONCATENATE($B1815,"_",R$3),materiali!$C:$K,5,0),"")</f>
        <v/>
      </c>
      <c r="S1815" s="85" t="str">
        <f>IFERROR(VLOOKUP(CONCATENATE($B1815,"_",S$3),materiali!$C:$K,6,0),"")</f>
        <v/>
      </c>
      <c r="T1815" s="86"/>
      <c r="U1815" s="31"/>
      <c r="AD1815" s="97"/>
    </row>
    <row r="1816" spans="1:30" ht="35.1" hidden="1" customHeight="1" x14ac:dyDescent="0.25">
      <c r="A1816" s="83"/>
      <c r="B1816" s="7"/>
      <c r="C1816" s="8"/>
      <c r="D1816" s="8"/>
      <c r="E1816" s="60"/>
      <c r="F1816" s="84" t="str">
        <f>IFERROR(VLOOKUP(CONCATENATE($B1816,"_",F$3),materiali!$C:$K,5,0),"")</f>
        <v/>
      </c>
      <c r="G1816" s="85" t="str">
        <f>IFERROR(VLOOKUP(CONCATENATE($B1816,"_",G$3),materiali!$C:$K,6,0),"")</f>
        <v/>
      </c>
      <c r="H1816" s="86"/>
      <c r="I1816" s="84" t="str">
        <f>IFERROR(VLOOKUP(CONCATENATE($B1816,"_",I$3),materiali!$C:$K,5,0),"")</f>
        <v/>
      </c>
      <c r="J1816" s="85" t="str">
        <f>IFERROR(VLOOKUP(CONCATENATE($B1816,"_",J$3),materiali!$C:$K,6,0),"")</f>
        <v/>
      </c>
      <c r="K1816" s="86"/>
      <c r="L1816" s="84" t="str">
        <f>IFERROR(VLOOKUP(CONCATENATE($B1816,"_",L$3),materiali!$C:$K,5,0),"")</f>
        <v/>
      </c>
      <c r="M1816" s="85" t="str">
        <f>IFERROR(VLOOKUP(CONCATENATE($B1816,"_",M$3),materiali!$C:$K,6,0),"")</f>
        <v/>
      </c>
      <c r="N1816" s="86"/>
      <c r="O1816" s="84" t="str">
        <f>IFERROR(VLOOKUP(CONCATENATE($B1816,"_",O$3),materiali!$C:$K,5,0),"")</f>
        <v/>
      </c>
      <c r="P1816" s="85" t="str">
        <f>IFERROR(VLOOKUP(CONCATENATE($B1816,"_",P$3),materiali!$C:$K,6,0),"")</f>
        <v/>
      </c>
      <c r="Q1816" s="86"/>
      <c r="R1816" s="84" t="str">
        <f>IFERROR(VLOOKUP(CONCATENATE($B1816,"_",R$3),materiali!$C:$K,5,0),"")</f>
        <v/>
      </c>
      <c r="S1816" s="85" t="str">
        <f>IFERROR(VLOOKUP(CONCATENATE($B1816,"_",S$3),materiali!$C:$K,6,0),"")</f>
        <v/>
      </c>
      <c r="T1816" s="86"/>
      <c r="U1816" s="31"/>
      <c r="AD1816" s="97"/>
    </row>
    <row r="1817" spans="1:30" ht="35.1" hidden="1" customHeight="1" x14ac:dyDescent="0.25">
      <c r="A1817" s="83"/>
      <c r="B1817" s="7"/>
      <c r="C1817" s="8"/>
      <c r="D1817" s="8"/>
      <c r="E1817" s="60"/>
      <c r="F1817" s="84" t="str">
        <f>IFERROR(VLOOKUP(CONCATENATE($B1817,"_",F$3),materiali!$C:$K,5,0),"")</f>
        <v/>
      </c>
      <c r="G1817" s="85" t="str">
        <f>IFERROR(VLOOKUP(CONCATENATE($B1817,"_",G$3),materiali!$C:$K,6,0),"")</f>
        <v/>
      </c>
      <c r="H1817" s="86"/>
      <c r="I1817" s="84" t="str">
        <f>IFERROR(VLOOKUP(CONCATENATE($B1817,"_",I$3),materiali!$C:$K,5,0),"")</f>
        <v/>
      </c>
      <c r="J1817" s="85" t="str">
        <f>IFERROR(VLOOKUP(CONCATENATE($B1817,"_",J$3),materiali!$C:$K,6,0),"")</f>
        <v/>
      </c>
      <c r="K1817" s="86"/>
      <c r="L1817" s="84" t="str">
        <f>IFERROR(VLOOKUP(CONCATENATE($B1817,"_",L$3),materiali!$C:$K,5,0),"")</f>
        <v/>
      </c>
      <c r="M1817" s="85" t="str">
        <f>IFERROR(VLOOKUP(CONCATENATE($B1817,"_",M$3),materiali!$C:$K,6,0),"")</f>
        <v/>
      </c>
      <c r="N1817" s="86"/>
      <c r="O1817" s="84" t="str">
        <f>IFERROR(VLOOKUP(CONCATENATE($B1817,"_",O$3),materiali!$C:$K,5,0),"")</f>
        <v/>
      </c>
      <c r="P1817" s="85" t="str">
        <f>IFERROR(VLOOKUP(CONCATENATE($B1817,"_",P$3),materiali!$C:$K,6,0),"")</f>
        <v/>
      </c>
      <c r="Q1817" s="86"/>
      <c r="R1817" s="84" t="str">
        <f>IFERROR(VLOOKUP(CONCATENATE($B1817,"_",R$3),materiali!$C:$K,5,0),"")</f>
        <v/>
      </c>
      <c r="S1817" s="85" t="str">
        <f>IFERROR(VLOOKUP(CONCATENATE($B1817,"_",S$3),materiali!$C:$K,6,0),"")</f>
        <v/>
      </c>
      <c r="T1817" s="86"/>
      <c r="U1817" s="31"/>
      <c r="AD1817" s="97"/>
    </row>
    <row r="1818" spans="1:30" ht="35.1" hidden="1" customHeight="1" x14ac:dyDescent="0.25">
      <c r="A1818" s="83"/>
      <c r="B1818" s="7"/>
      <c r="C1818" s="8"/>
      <c r="D1818" s="8"/>
      <c r="E1818" s="60"/>
      <c r="F1818" s="84" t="str">
        <f>IFERROR(VLOOKUP(CONCATENATE($B1818,"_",F$3),materiali!$C:$K,5,0),"")</f>
        <v/>
      </c>
      <c r="G1818" s="85" t="str">
        <f>IFERROR(VLOOKUP(CONCATENATE($B1818,"_",G$3),materiali!$C:$K,6,0),"")</f>
        <v/>
      </c>
      <c r="H1818" s="86"/>
      <c r="I1818" s="84" t="str">
        <f>IFERROR(VLOOKUP(CONCATENATE($B1818,"_",I$3),materiali!$C:$K,5,0),"")</f>
        <v/>
      </c>
      <c r="J1818" s="85" t="str">
        <f>IFERROR(VLOOKUP(CONCATENATE($B1818,"_",J$3),materiali!$C:$K,6,0),"")</f>
        <v/>
      </c>
      <c r="K1818" s="86"/>
      <c r="L1818" s="84" t="str">
        <f>IFERROR(VLOOKUP(CONCATENATE($B1818,"_",L$3),materiali!$C:$K,5,0),"")</f>
        <v/>
      </c>
      <c r="M1818" s="85" t="str">
        <f>IFERROR(VLOOKUP(CONCATENATE($B1818,"_",M$3),materiali!$C:$K,6,0),"")</f>
        <v/>
      </c>
      <c r="N1818" s="86"/>
      <c r="O1818" s="84" t="str">
        <f>IFERROR(VLOOKUP(CONCATENATE($B1818,"_",O$3),materiali!$C:$K,5,0),"")</f>
        <v/>
      </c>
      <c r="P1818" s="85" t="str">
        <f>IFERROR(VLOOKUP(CONCATENATE($B1818,"_",P$3),materiali!$C:$K,6,0),"")</f>
        <v/>
      </c>
      <c r="Q1818" s="86"/>
      <c r="R1818" s="84" t="str">
        <f>IFERROR(VLOOKUP(CONCATENATE($B1818,"_",R$3),materiali!$C:$K,5,0),"")</f>
        <v/>
      </c>
      <c r="S1818" s="85" t="str">
        <f>IFERROR(VLOOKUP(CONCATENATE($B1818,"_",S$3),materiali!$C:$K,6,0),"")</f>
        <v/>
      </c>
      <c r="T1818" s="86"/>
      <c r="U1818" s="31"/>
      <c r="AD1818" s="97"/>
    </row>
    <row r="1819" spans="1:30" ht="35.1" hidden="1" customHeight="1" x14ac:dyDescent="0.25">
      <c r="A1819" s="83"/>
      <c r="B1819" s="7"/>
      <c r="C1819" s="8"/>
      <c r="D1819" s="8"/>
      <c r="E1819" s="60"/>
      <c r="F1819" s="84" t="str">
        <f>IFERROR(VLOOKUP(CONCATENATE($B1819,"_",F$3),materiali!$C:$K,5,0),"")</f>
        <v/>
      </c>
      <c r="G1819" s="85" t="str">
        <f>IFERROR(VLOOKUP(CONCATENATE($B1819,"_",G$3),materiali!$C:$K,6,0),"")</f>
        <v/>
      </c>
      <c r="H1819" s="86"/>
      <c r="I1819" s="84" t="str">
        <f>IFERROR(VLOOKUP(CONCATENATE($B1819,"_",I$3),materiali!$C:$K,5,0),"")</f>
        <v/>
      </c>
      <c r="J1819" s="85" t="str">
        <f>IFERROR(VLOOKUP(CONCATENATE($B1819,"_",J$3),materiali!$C:$K,6,0),"")</f>
        <v/>
      </c>
      <c r="K1819" s="86"/>
      <c r="L1819" s="84" t="str">
        <f>IFERROR(VLOOKUP(CONCATENATE($B1819,"_",L$3),materiali!$C:$K,5,0),"")</f>
        <v/>
      </c>
      <c r="M1819" s="85" t="str">
        <f>IFERROR(VLOOKUP(CONCATENATE($B1819,"_",M$3),materiali!$C:$K,6,0),"")</f>
        <v/>
      </c>
      <c r="N1819" s="86"/>
      <c r="O1819" s="84" t="str">
        <f>IFERROR(VLOOKUP(CONCATENATE($B1819,"_",O$3),materiali!$C:$K,5,0),"")</f>
        <v/>
      </c>
      <c r="P1819" s="85" t="str">
        <f>IFERROR(VLOOKUP(CONCATENATE($B1819,"_",P$3),materiali!$C:$K,6,0),"")</f>
        <v/>
      </c>
      <c r="Q1819" s="86"/>
      <c r="R1819" s="84" t="str">
        <f>IFERROR(VLOOKUP(CONCATENATE($B1819,"_",R$3),materiali!$C:$K,5,0),"")</f>
        <v/>
      </c>
      <c r="S1819" s="85" t="str">
        <f>IFERROR(VLOOKUP(CONCATENATE($B1819,"_",S$3),materiali!$C:$K,6,0),"")</f>
        <v/>
      </c>
      <c r="T1819" s="86"/>
      <c r="U1819" s="31"/>
      <c r="AD1819" s="97"/>
    </row>
    <row r="1820" spans="1:30" ht="35.1" hidden="1" customHeight="1" x14ac:dyDescent="0.25">
      <c r="A1820" s="83"/>
      <c r="B1820" s="7"/>
      <c r="C1820" s="8"/>
      <c r="D1820" s="8"/>
      <c r="E1820" s="60"/>
      <c r="F1820" s="84" t="str">
        <f>IFERROR(VLOOKUP(CONCATENATE($B1820,"_",F$3),materiali!$C:$K,5,0),"")</f>
        <v/>
      </c>
      <c r="G1820" s="85" t="str">
        <f>IFERROR(VLOOKUP(CONCATENATE($B1820,"_",G$3),materiali!$C:$K,6,0),"")</f>
        <v/>
      </c>
      <c r="H1820" s="86"/>
      <c r="I1820" s="84" t="str">
        <f>IFERROR(VLOOKUP(CONCATENATE($B1820,"_",I$3),materiali!$C:$K,5,0),"")</f>
        <v/>
      </c>
      <c r="J1820" s="85" t="str">
        <f>IFERROR(VLOOKUP(CONCATENATE($B1820,"_",J$3),materiali!$C:$K,6,0),"")</f>
        <v/>
      </c>
      <c r="K1820" s="86"/>
      <c r="L1820" s="84" t="str">
        <f>IFERROR(VLOOKUP(CONCATENATE($B1820,"_",L$3),materiali!$C:$K,5,0),"")</f>
        <v/>
      </c>
      <c r="M1820" s="85" t="str">
        <f>IFERROR(VLOOKUP(CONCATENATE($B1820,"_",M$3),materiali!$C:$K,6,0),"")</f>
        <v/>
      </c>
      <c r="N1820" s="86"/>
      <c r="O1820" s="84" t="str">
        <f>IFERROR(VLOOKUP(CONCATENATE($B1820,"_",O$3),materiali!$C:$K,5,0),"")</f>
        <v/>
      </c>
      <c r="P1820" s="85" t="str">
        <f>IFERROR(VLOOKUP(CONCATENATE($B1820,"_",P$3),materiali!$C:$K,6,0),"")</f>
        <v/>
      </c>
      <c r="Q1820" s="86"/>
      <c r="R1820" s="84" t="str">
        <f>IFERROR(VLOOKUP(CONCATENATE($B1820,"_",R$3),materiali!$C:$K,5,0),"")</f>
        <v/>
      </c>
      <c r="S1820" s="85" t="str">
        <f>IFERROR(VLOOKUP(CONCATENATE($B1820,"_",S$3),materiali!$C:$K,6,0),"")</f>
        <v/>
      </c>
      <c r="T1820" s="86"/>
      <c r="U1820" s="31"/>
      <c r="AD1820" s="97"/>
    </row>
    <row r="1821" spans="1:30" ht="35.1" hidden="1" customHeight="1" x14ac:dyDescent="0.25">
      <c r="A1821" s="83"/>
      <c r="B1821" s="7"/>
      <c r="C1821" s="8"/>
      <c r="D1821" s="8"/>
      <c r="E1821" s="60"/>
      <c r="F1821" s="84" t="str">
        <f>IFERROR(VLOOKUP(CONCATENATE($B1821,"_",F$3),materiali!$C:$K,5,0),"")</f>
        <v/>
      </c>
      <c r="G1821" s="85" t="str">
        <f>IFERROR(VLOOKUP(CONCATENATE($B1821,"_",G$3),materiali!$C:$K,6,0),"")</f>
        <v/>
      </c>
      <c r="H1821" s="86"/>
      <c r="I1821" s="84" t="str">
        <f>IFERROR(VLOOKUP(CONCATENATE($B1821,"_",I$3),materiali!$C:$K,5,0),"")</f>
        <v/>
      </c>
      <c r="J1821" s="85" t="str">
        <f>IFERROR(VLOOKUP(CONCATENATE($B1821,"_",J$3),materiali!$C:$K,6,0),"")</f>
        <v/>
      </c>
      <c r="K1821" s="86"/>
      <c r="L1821" s="84" t="str">
        <f>IFERROR(VLOOKUP(CONCATENATE($B1821,"_",L$3),materiali!$C:$K,5,0),"")</f>
        <v/>
      </c>
      <c r="M1821" s="85" t="str">
        <f>IFERROR(VLOOKUP(CONCATENATE($B1821,"_",M$3),materiali!$C:$K,6,0),"")</f>
        <v/>
      </c>
      <c r="N1821" s="86"/>
      <c r="O1821" s="84" t="str">
        <f>IFERROR(VLOOKUP(CONCATENATE($B1821,"_",O$3),materiali!$C:$K,5,0),"")</f>
        <v/>
      </c>
      <c r="P1821" s="85" t="str">
        <f>IFERROR(VLOOKUP(CONCATENATE($B1821,"_",P$3),materiali!$C:$K,6,0),"")</f>
        <v/>
      </c>
      <c r="Q1821" s="86"/>
      <c r="R1821" s="84" t="str">
        <f>IFERROR(VLOOKUP(CONCATENATE($B1821,"_",R$3),materiali!$C:$K,5,0),"")</f>
        <v/>
      </c>
      <c r="S1821" s="85" t="str">
        <f>IFERROR(VLOOKUP(CONCATENATE($B1821,"_",S$3),materiali!$C:$K,6,0),"")</f>
        <v/>
      </c>
      <c r="T1821" s="86"/>
      <c r="U1821" s="31"/>
      <c r="AD1821" s="97"/>
    </row>
    <row r="1822" spans="1:30" ht="35.1" hidden="1" customHeight="1" x14ac:dyDescent="0.25">
      <c r="A1822" s="83"/>
      <c r="B1822" s="7"/>
      <c r="C1822" s="8"/>
      <c r="D1822" s="8"/>
      <c r="E1822" s="60"/>
      <c r="F1822" s="84" t="str">
        <f>IFERROR(VLOOKUP(CONCATENATE($B1822,"_",F$3),materiali!$C:$K,5,0),"")</f>
        <v/>
      </c>
      <c r="G1822" s="85" t="str">
        <f>IFERROR(VLOOKUP(CONCATENATE($B1822,"_",G$3),materiali!$C:$K,6,0),"")</f>
        <v/>
      </c>
      <c r="H1822" s="86"/>
      <c r="I1822" s="84" t="str">
        <f>IFERROR(VLOOKUP(CONCATENATE($B1822,"_",I$3),materiali!$C:$K,5,0),"")</f>
        <v/>
      </c>
      <c r="J1822" s="85" t="str">
        <f>IFERROR(VLOOKUP(CONCATENATE($B1822,"_",J$3),materiali!$C:$K,6,0),"")</f>
        <v/>
      </c>
      <c r="K1822" s="86"/>
      <c r="L1822" s="84" t="str">
        <f>IFERROR(VLOOKUP(CONCATENATE($B1822,"_",L$3),materiali!$C:$K,5,0),"")</f>
        <v/>
      </c>
      <c r="M1822" s="85" t="str">
        <f>IFERROR(VLOOKUP(CONCATENATE($B1822,"_",M$3),materiali!$C:$K,6,0),"")</f>
        <v/>
      </c>
      <c r="N1822" s="86"/>
      <c r="O1822" s="84" t="str">
        <f>IFERROR(VLOOKUP(CONCATENATE($B1822,"_",O$3),materiali!$C:$K,5,0),"")</f>
        <v/>
      </c>
      <c r="P1822" s="85" t="str">
        <f>IFERROR(VLOOKUP(CONCATENATE($B1822,"_",P$3),materiali!$C:$K,6,0),"")</f>
        <v/>
      </c>
      <c r="Q1822" s="86"/>
      <c r="R1822" s="84" t="str">
        <f>IFERROR(VLOOKUP(CONCATENATE($B1822,"_",R$3),materiali!$C:$K,5,0),"")</f>
        <v/>
      </c>
      <c r="S1822" s="85" t="str">
        <f>IFERROR(VLOOKUP(CONCATENATE($B1822,"_",S$3),materiali!$C:$K,6,0),"")</f>
        <v/>
      </c>
      <c r="T1822" s="86"/>
      <c r="U1822" s="31"/>
      <c r="AD1822" s="97"/>
    </row>
    <row r="1823" spans="1:30" ht="35.1" hidden="1" customHeight="1" x14ac:dyDescent="0.25">
      <c r="A1823" s="83"/>
      <c r="B1823" s="7"/>
      <c r="C1823" s="8"/>
      <c r="D1823" s="8"/>
      <c r="E1823" s="60"/>
      <c r="F1823" s="84" t="str">
        <f>IFERROR(VLOOKUP(CONCATENATE($B1823,"_",F$3),materiali!$C:$K,5,0),"")</f>
        <v/>
      </c>
      <c r="G1823" s="85" t="str">
        <f>IFERROR(VLOOKUP(CONCATENATE($B1823,"_",G$3),materiali!$C:$K,6,0),"")</f>
        <v/>
      </c>
      <c r="H1823" s="86"/>
      <c r="I1823" s="84" t="str">
        <f>IFERROR(VLOOKUP(CONCATENATE($B1823,"_",I$3),materiali!$C:$K,5,0),"")</f>
        <v/>
      </c>
      <c r="J1823" s="85" t="str">
        <f>IFERROR(VLOOKUP(CONCATENATE($B1823,"_",J$3),materiali!$C:$K,6,0),"")</f>
        <v/>
      </c>
      <c r="K1823" s="86"/>
      <c r="L1823" s="84" t="str">
        <f>IFERROR(VLOOKUP(CONCATENATE($B1823,"_",L$3),materiali!$C:$K,5,0),"")</f>
        <v/>
      </c>
      <c r="M1823" s="85" t="str">
        <f>IFERROR(VLOOKUP(CONCATENATE($B1823,"_",M$3),materiali!$C:$K,6,0),"")</f>
        <v/>
      </c>
      <c r="N1823" s="86"/>
      <c r="O1823" s="84" t="str">
        <f>IFERROR(VLOOKUP(CONCATENATE($B1823,"_",O$3),materiali!$C:$K,5,0),"")</f>
        <v/>
      </c>
      <c r="P1823" s="85" t="str">
        <f>IFERROR(VLOOKUP(CONCATENATE($B1823,"_",P$3),materiali!$C:$K,6,0),"")</f>
        <v/>
      </c>
      <c r="Q1823" s="86"/>
      <c r="R1823" s="84" t="str">
        <f>IFERROR(VLOOKUP(CONCATENATE($B1823,"_",R$3),materiali!$C:$K,5,0),"")</f>
        <v/>
      </c>
      <c r="S1823" s="85" t="str">
        <f>IFERROR(VLOOKUP(CONCATENATE($B1823,"_",S$3),materiali!$C:$K,6,0),"")</f>
        <v/>
      </c>
      <c r="T1823" s="86"/>
      <c r="U1823" s="31"/>
      <c r="AD1823" s="97"/>
    </row>
    <row r="1824" spans="1:30" ht="35.1" hidden="1" customHeight="1" x14ac:dyDescent="0.25">
      <c r="A1824" s="83"/>
      <c r="B1824" s="7"/>
      <c r="C1824" s="8"/>
      <c r="D1824" s="8"/>
      <c r="E1824" s="60"/>
      <c r="F1824" s="84" t="str">
        <f>IFERROR(VLOOKUP(CONCATENATE($B1824,"_",F$3),materiali!$C:$K,5,0),"")</f>
        <v/>
      </c>
      <c r="G1824" s="85" t="str">
        <f>IFERROR(VLOOKUP(CONCATENATE($B1824,"_",G$3),materiali!$C:$K,6,0),"")</f>
        <v/>
      </c>
      <c r="H1824" s="86"/>
      <c r="I1824" s="84" t="str">
        <f>IFERROR(VLOOKUP(CONCATENATE($B1824,"_",I$3),materiali!$C:$K,5,0),"")</f>
        <v/>
      </c>
      <c r="J1824" s="85" t="str">
        <f>IFERROR(VLOOKUP(CONCATENATE($B1824,"_",J$3),materiali!$C:$K,6,0),"")</f>
        <v/>
      </c>
      <c r="K1824" s="86"/>
      <c r="L1824" s="84" t="str">
        <f>IFERROR(VLOOKUP(CONCATENATE($B1824,"_",L$3),materiali!$C:$K,5,0),"")</f>
        <v/>
      </c>
      <c r="M1824" s="85" t="str">
        <f>IFERROR(VLOOKUP(CONCATENATE($B1824,"_",M$3),materiali!$C:$K,6,0),"")</f>
        <v/>
      </c>
      <c r="N1824" s="86"/>
      <c r="O1824" s="84" t="str">
        <f>IFERROR(VLOOKUP(CONCATENATE($B1824,"_",O$3),materiali!$C:$K,5,0),"")</f>
        <v/>
      </c>
      <c r="P1824" s="85" t="str">
        <f>IFERROR(VLOOKUP(CONCATENATE($B1824,"_",P$3),materiali!$C:$K,6,0),"")</f>
        <v/>
      </c>
      <c r="Q1824" s="86"/>
      <c r="R1824" s="84" t="str">
        <f>IFERROR(VLOOKUP(CONCATENATE($B1824,"_",R$3),materiali!$C:$K,5,0),"")</f>
        <v/>
      </c>
      <c r="S1824" s="85" t="str">
        <f>IFERROR(VLOOKUP(CONCATENATE($B1824,"_",S$3),materiali!$C:$K,6,0),"")</f>
        <v/>
      </c>
      <c r="T1824" s="86"/>
      <c r="U1824" s="31"/>
      <c r="AD1824" s="97"/>
    </row>
    <row r="1825" spans="1:30" ht="35.1" hidden="1" customHeight="1" x14ac:dyDescent="0.25">
      <c r="A1825" s="83"/>
      <c r="B1825" s="7"/>
      <c r="C1825" s="8"/>
      <c r="D1825" s="8"/>
      <c r="E1825" s="60"/>
      <c r="F1825" s="84" t="str">
        <f>IFERROR(VLOOKUP(CONCATENATE($B1825,"_",F$3),materiali!$C:$K,5,0),"")</f>
        <v/>
      </c>
      <c r="G1825" s="85" t="str">
        <f>IFERROR(VLOOKUP(CONCATENATE($B1825,"_",G$3),materiali!$C:$K,6,0),"")</f>
        <v/>
      </c>
      <c r="H1825" s="86"/>
      <c r="I1825" s="84" t="str">
        <f>IFERROR(VLOOKUP(CONCATENATE($B1825,"_",I$3),materiali!$C:$K,5,0),"")</f>
        <v/>
      </c>
      <c r="J1825" s="85" t="str">
        <f>IFERROR(VLOOKUP(CONCATENATE($B1825,"_",J$3),materiali!$C:$K,6,0),"")</f>
        <v/>
      </c>
      <c r="K1825" s="86"/>
      <c r="L1825" s="84" t="str">
        <f>IFERROR(VLOOKUP(CONCATENATE($B1825,"_",L$3),materiali!$C:$K,5,0),"")</f>
        <v/>
      </c>
      <c r="M1825" s="85" t="str">
        <f>IFERROR(VLOOKUP(CONCATENATE($B1825,"_",M$3),materiali!$C:$K,6,0),"")</f>
        <v/>
      </c>
      <c r="N1825" s="86"/>
      <c r="O1825" s="84" t="str">
        <f>IFERROR(VLOOKUP(CONCATENATE($B1825,"_",O$3),materiali!$C:$K,5,0),"")</f>
        <v/>
      </c>
      <c r="P1825" s="85" t="str">
        <f>IFERROR(VLOOKUP(CONCATENATE($B1825,"_",P$3),materiali!$C:$K,6,0),"")</f>
        <v/>
      </c>
      <c r="Q1825" s="86"/>
      <c r="R1825" s="84" t="str">
        <f>IFERROR(VLOOKUP(CONCATENATE($B1825,"_",R$3),materiali!$C:$K,5,0),"")</f>
        <v/>
      </c>
      <c r="S1825" s="85" t="str">
        <f>IFERROR(VLOOKUP(CONCATENATE($B1825,"_",S$3),materiali!$C:$K,6,0),"")</f>
        <v/>
      </c>
      <c r="T1825" s="86"/>
      <c r="U1825" s="31"/>
      <c r="AD1825" s="97"/>
    </row>
    <row r="1826" spans="1:30" ht="35.1" hidden="1" customHeight="1" x14ac:dyDescent="0.25">
      <c r="A1826" s="83"/>
      <c r="B1826" s="7"/>
      <c r="C1826" s="8"/>
      <c r="D1826" s="8"/>
      <c r="E1826" s="60"/>
      <c r="F1826" s="84" t="str">
        <f>IFERROR(VLOOKUP(CONCATENATE($B1826,"_",F$3),materiali!$C:$K,5,0),"")</f>
        <v/>
      </c>
      <c r="G1826" s="85" t="str">
        <f>IFERROR(VLOOKUP(CONCATENATE($B1826,"_",G$3),materiali!$C:$K,6,0),"")</f>
        <v/>
      </c>
      <c r="H1826" s="86"/>
      <c r="I1826" s="84" t="str">
        <f>IFERROR(VLOOKUP(CONCATENATE($B1826,"_",I$3),materiali!$C:$K,5,0),"")</f>
        <v/>
      </c>
      <c r="J1826" s="85" t="str">
        <f>IFERROR(VLOOKUP(CONCATENATE($B1826,"_",J$3),materiali!$C:$K,6,0),"")</f>
        <v/>
      </c>
      <c r="K1826" s="86"/>
      <c r="L1826" s="84" t="str">
        <f>IFERROR(VLOOKUP(CONCATENATE($B1826,"_",L$3),materiali!$C:$K,5,0),"")</f>
        <v/>
      </c>
      <c r="M1826" s="85" t="str">
        <f>IFERROR(VLOOKUP(CONCATENATE($B1826,"_",M$3),materiali!$C:$K,6,0),"")</f>
        <v/>
      </c>
      <c r="N1826" s="86"/>
      <c r="O1826" s="84" t="str">
        <f>IFERROR(VLOOKUP(CONCATENATE($B1826,"_",O$3),materiali!$C:$K,5,0),"")</f>
        <v/>
      </c>
      <c r="P1826" s="85" t="str">
        <f>IFERROR(VLOOKUP(CONCATENATE($B1826,"_",P$3),materiali!$C:$K,6,0),"")</f>
        <v/>
      </c>
      <c r="Q1826" s="86"/>
      <c r="R1826" s="84" t="str">
        <f>IFERROR(VLOOKUP(CONCATENATE($B1826,"_",R$3),materiali!$C:$K,5,0),"")</f>
        <v/>
      </c>
      <c r="S1826" s="85" t="str">
        <f>IFERROR(VLOOKUP(CONCATENATE($B1826,"_",S$3),materiali!$C:$K,6,0),"")</f>
        <v/>
      </c>
      <c r="T1826" s="86"/>
      <c r="U1826" s="31"/>
      <c r="AD1826" s="97"/>
    </row>
    <row r="1827" spans="1:30" ht="35.1" hidden="1" customHeight="1" x14ac:dyDescent="0.25">
      <c r="A1827" s="83"/>
      <c r="B1827" s="7"/>
      <c r="C1827" s="8"/>
      <c r="D1827" s="8"/>
      <c r="E1827" s="60"/>
      <c r="F1827" s="84" t="str">
        <f>IFERROR(VLOOKUP(CONCATENATE($B1827,"_",F$3),materiali!$C:$K,5,0),"")</f>
        <v/>
      </c>
      <c r="G1827" s="85" t="str">
        <f>IFERROR(VLOOKUP(CONCATENATE($B1827,"_",G$3),materiali!$C:$K,6,0),"")</f>
        <v/>
      </c>
      <c r="H1827" s="86"/>
      <c r="I1827" s="84" t="str">
        <f>IFERROR(VLOOKUP(CONCATENATE($B1827,"_",I$3),materiali!$C:$K,5,0),"")</f>
        <v/>
      </c>
      <c r="J1827" s="85" t="str">
        <f>IFERROR(VLOOKUP(CONCATENATE($B1827,"_",J$3),materiali!$C:$K,6,0),"")</f>
        <v/>
      </c>
      <c r="K1827" s="86"/>
      <c r="L1827" s="84" t="str">
        <f>IFERROR(VLOOKUP(CONCATENATE($B1827,"_",L$3),materiali!$C:$K,5,0),"")</f>
        <v/>
      </c>
      <c r="M1827" s="85" t="str">
        <f>IFERROR(VLOOKUP(CONCATENATE($B1827,"_",M$3),materiali!$C:$K,6,0),"")</f>
        <v/>
      </c>
      <c r="N1827" s="86"/>
      <c r="O1827" s="84" t="str">
        <f>IFERROR(VLOOKUP(CONCATENATE($B1827,"_",O$3),materiali!$C:$K,5,0),"")</f>
        <v/>
      </c>
      <c r="P1827" s="85" t="str">
        <f>IFERROR(VLOOKUP(CONCATENATE($B1827,"_",P$3),materiali!$C:$K,6,0),"")</f>
        <v/>
      </c>
      <c r="Q1827" s="86"/>
      <c r="R1827" s="84" t="str">
        <f>IFERROR(VLOOKUP(CONCATENATE($B1827,"_",R$3),materiali!$C:$K,5,0),"")</f>
        <v/>
      </c>
      <c r="S1827" s="85" t="str">
        <f>IFERROR(VLOOKUP(CONCATENATE($B1827,"_",S$3),materiali!$C:$K,6,0),"")</f>
        <v/>
      </c>
      <c r="T1827" s="86"/>
      <c r="U1827" s="31"/>
      <c r="AD1827" s="97"/>
    </row>
    <row r="1828" spans="1:30" ht="35.1" hidden="1" customHeight="1" x14ac:dyDescent="0.25">
      <c r="A1828" s="83"/>
      <c r="B1828" s="7"/>
      <c r="C1828" s="8"/>
      <c r="D1828" s="8"/>
      <c r="E1828" s="60"/>
      <c r="F1828" s="84" t="str">
        <f>IFERROR(VLOOKUP(CONCATENATE($B1828,"_",F$3),materiali!$C:$K,5,0),"")</f>
        <v/>
      </c>
      <c r="G1828" s="85" t="str">
        <f>IFERROR(VLOOKUP(CONCATENATE($B1828,"_",G$3),materiali!$C:$K,6,0),"")</f>
        <v/>
      </c>
      <c r="H1828" s="86"/>
      <c r="I1828" s="84" t="str">
        <f>IFERROR(VLOOKUP(CONCATENATE($B1828,"_",I$3),materiali!$C:$K,5,0),"")</f>
        <v/>
      </c>
      <c r="J1828" s="85" t="str">
        <f>IFERROR(VLOOKUP(CONCATENATE($B1828,"_",J$3),materiali!$C:$K,6,0),"")</f>
        <v/>
      </c>
      <c r="K1828" s="86"/>
      <c r="L1828" s="84" t="str">
        <f>IFERROR(VLOOKUP(CONCATENATE($B1828,"_",L$3),materiali!$C:$K,5,0),"")</f>
        <v/>
      </c>
      <c r="M1828" s="85" t="str">
        <f>IFERROR(VLOOKUP(CONCATENATE($B1828,"_",M$3),materiali!$C:$K,6,0),"")</f>
        <v/>
      </c>
      <c r="N1828" s="86"/>
      <c r="O1828" s="84" t="str">
        <f>IFERROR(VLOOKUP(CONCATENATE($B1828,"_",O$3),materiali!$C:$K,5,0),"")</f>
        <v/>
      </c>
      <c r="P1828" s="85" t="str">
        <f>IFERROR(VLOOKUP(CONCATENATE($B1828,"_",P$3),materiali!$C:$K,6,0),"")</f>
        <v/>
      </c>
      <c r="Q1828" s="86"/>
      <c r="R1828" s="84" t="str">
        <f>IFERROR(VLOOKUP(CONCATENATE($B1828,"_",R$3),materiali!$C:$K,5,0),"")</f>
        <v/>
      </c>
      <c r="S1828" s="85" t="str">
        <f>IFERROR(VLOOKUP(CONCATENATE($B1828,"_",S$3),materiali!$C:$K,6,0),"")</f>
        <v/>
      </c>
      <c r="T1828" s="86"/>
      <c r="U1828" s="31"/>
      <c r="AD1828" s="97"/>
    </row>
    <row r="1829" spans="1:30" ht="35.1" hidden="1" customHeight="1" x14ac:dyDescent="0.25">
      <c r="A1829" s="83"/>
      <c r="B1829" s="7"/>
      <c r="C1829" s="8"/>
      <c r="D1829" s="8"/>
      <c r="E1829" s="60"/>
      <c r="F1829" s="84" t="str">
        <f>IFERROR(VLOOKUP(CONCATENATE($B1829,"_",F$3),materiali!$C:$K,5,0),"")</f>
        <v/>
      </c>
      <c r="G1829" s="85" t="str">
        <f>IFERROR(VLOOKUP(CONCATENATE($B1829,"_",G$3),materiali!$C:$K,6,0),"")</f>
        <v/>
      </c>
      <c r="H1829" s="86"/>
      <c r="I1829" s="84" t="str">
        <f>IFERROR(VLOOKUP(CONCATENATE($B1829,"_",I$3),materiali!$C:$K,5,0),"")</f>
        <v/>
      </c>
      <c r="J1829" s="85" t="str">
        <f>IFERROR(VLOOKUP(CONCATENATE($B1829,"_",J$3),materiali!$C:$K,6,0),"")</f>
        <v/>
      </c>
      <c r="K1829" s="86"/>
      <c r="L1829" s="84" t="str">
        <f>IFERROR(VLOOKUP(CONCATENATE($B1829,"_",L$3),materiali!$C:$K,5,0),"")</f>
        <v/>
      </c>
      <c r="M1829" s="85" t="str">
        <f>IFERROR(VLOOKUP(CONCATENATE($B1829,"_",M$3),materiali!$C:$K,6,0),"")</f>
        <v/>
      </c>
      <c r="N1829" s="86"/>
      <c r="O1829" s="84" t="str">
        <f>IFERROR(VLOOKUP(CONCATENATE($B1829,"_",O$3),materiali!$C:$K,5,0),"")</f>
        <v/>
      </c>
      <c r="P1829" s="85" t="str">
        <f>IFERROR(VLOOKUP(CONCATENATE($B1829,"_",P$3),materiali!$C:$K,6,0),"")</f>
        <v/>
      </c>
      <c r="Q1829" s="86"/>
      <c r="R1829" s="84" t="str">
        <f>IFERROR(VLOOKUP(CONCATENATE($B1829,"_",R$3),materiali!$C:$K,5,0),"")</f>
        <v/>
      </c>
      <c r="S1829" s="85" t="str">
        <f>IFERROR(VLOOKUP(CONCATENATE($B1829,"_",S$3),materiali!$C:$K,6,0),"")</f>
        <v/>
      </c>
      <c r="T1829" s="86"/>
      <c r="U1829" s="31"/>
      <c r="AD1829" s="97"/>
    </row>
    <row r="1830" spans="1:30" ht="35.1" hidden="1" customHeight="1" x14ac:dyDescent="0.25">
      <c r="A1830" s="83"/>
      <c r="B1830" s="7"/>
      <c r="C1830" s="8"/>
      <c r="D1830" s="8"/>
      <c r="E1830" s="60"/>
      <c r="F1830" s="84" t="str">
        <f>IFERROR(VLOOKUP(CONCATENATE($B1830,"_",F$3),materiali!$C:$K,5,0),"")</f>
        <v/>
      </c>
      <c r="G1830" s="85" t="str">
        <f>IFERROR(VLOOKUP(CONCATENATE($B1830,"_",G$3),materiali!$C:$K,6,0),"")</f>
        <v/>
      </c>
      <c r="H1830" s="86"/>
      <c r="I1830" s="84" t="str">
        <f>IFERROR(VLOOKUP(CONCATENATE($B1830,"_",I$3),materiali!$C:$K,5,0),"")</f>
        <v/>
      </c>
      <c r="J1830" s="85" t="str">
        <f>IFERROR(VLOOKUP(CONCATENATE($B1830,"_",J$3),materiali!$C:$K,6,0),"")</f>
        <v/>
      </c>
      <c r="K1830" s="86"/>
      <c r="L1830" s="84" t="str">
        <f>IFERROR(VLOOKUP(CONCATENATE($B1830,"_",L$3),materiali!$C:$K,5,0),"")</f>
        <v/>
      </c>
      <c r="M1830" s="85" t="str">
        <f>IFERROR(VLOOKUP(CONCATENATE($B1830,"_",M$3),materiali!$C:$K,6,0),"")</f>
        <v/>
      </c>
      <c r="N1830" s="86"/>
      <c r="O1830" s="84" t="str">
        <f>IFERROR(VLOOKUP(CONCATENATE($B1830,"_",O$3),materiali!$C:$K,5,0),"")</f>
        <v/>
      </c>
      <c r="P1830" s="85" t="str">
        <f>IFERROR(VLOOKUP(CONCATENATE($B1830,"_",P$3),materiali!$C:$K,6,0),"")</f>
        <v/>
      </c>
      <c r="Q1830" s="86"/>
      <c r="R1830" s="84" t="str">
        <f>IFERROR(VLOOKUP(CONCATENATE($B1830,"_",R$3),materiali!$C:$K,5,0),"")</f>
        <v/>
      </c>
      <c r="S1830" s="85" t="str">
        <f>IFERROR(VLOOKUP(CONCATENATE($B1830,"_",S$3),materiali!$C:$K,6,0),"")</f>
        <v/>
      </c>
      <c r="T1830" s="86"/>
      <c r="U1830" s="31"/>
      <c r="AD1830" s="97"/>
    </row>
    <row r="1831" spans="1:30" ht="35.1" hidden="1" customHeight="1" x14ac:dyDescent="0.25">
      <c r="A1831" s="83"/>
      <c r="B1831" s="7"/>
      <c r="C1831" s="8"/>
      <c r="D1831" s="8"/>
      <c r="E1831" s="60"/>
      <c r="F1831" s="84" t="str">
        <f>IFERROR(VLOOKUP(CONCATENATE($B1831,"_",F$3),materiali!$C:$K,5,0),"")</f>
        <v/>
      </c>
      <c r="G1831" s="85" t="str">
        <f>IFERROR(VLOOKUP(CONCATENATE($B1831,"_",G$3),materiali!$C:$K,6,0),"")</f>
        <v/>
      </c>
      <c r="H1831" s="86"/>
      <c r="I1831" s="84" t="str">
        <f>IFERROR(VLOOKUP(CONCATENATE($B1831,"_",I$3),materiali!$C:$K,5,0),"")</f>
        <v/>
      </c>
      <c r="J1831" s="85" t="str">
        <f>IFERROR(VLOOKUP(CONCATENATE($B1831,"_",J$3),materiali!$C:$K,6,0),"")</f>
        <v/>
      </c>
      <c r="K1831" s="86"/>
      <c r="L1831" s="84" t="str">
        <f>IFERROR(VLOOKUP(CONCATENATE($B1831,"_",L$3),materiali!$C:$K,5,0),"")</f>
        <v/>
      </c>
      <c r="M1831" s="85" t="str">
        <f>IFERROR(VLOOKUP(CONCATENATE($B1831,"_",M$3),materiali!$C:$K,6,0),"")</f>
        <v/>
      </c>
      <c r="N1831" s="86"/>
      <c r="O1831" s="84" t="str">
        <f>IFERROR(VLOOKUP(CONCATENATE($B1831,"_",O$3),materiali!$C:$K,5,0),"")</f>
        <v/>
      </c>
      <c r="P1831" s="85" t="str">
        <f>IFERROR(VLOOKUP(CONCATENATE($B1831,"_",P$3),materiali!$C:$K,6,0),"")</f>
        <v/>
      </c>
      <c r="Q1831" s="86"/>
      <c r="R1831" s="84" t="str">
        <f>IFERROR(VLOOKUP(CONCATENATE($B1831,"_",R$3),materiali!$C:$K,5,0),"")</f>
        <v/>
      </c>
      <c r="S1831" s="85" t="str">
        <f>IFERROR(VLOOKUP(CONCATENATE($B1831,"_",S$3),materiali!$C:$K,6,0),"")</f>
        <v/>
      </c>
      <c r="T1831" s="86"/>
      <c r="U1831" s="31"/>
      <c r="AD1831" s="97"/>
    </row>
    <row r="1832" spans="1:30" ht="35.1" hidden="1" customHeight="1" x14ac:dyDescent="0.25">
      <c r="A1832" s="83"/>
      <c r="B1832" s="7"/>
      <c r="C1832" s="8"/>
      <c r="D1832" s="8"/>
      <c r="E1832" s="60"/>
      <c r="F1832" s="84" t="str">
        <f>IFERROR(VLOOKUP(CONCATENATE($B1832,"_",F$3),materiali!$C:$K,5,0),"")</f>
        <v/>
      </c>
      <c r="G1832" s="85" t="str">
        <f>IFERROR(VLOOKUP(CONCATENATE($B1832,"_",G$3),materiali!$C:$K,6,0),"")</f>
        <v/>
      </c>
      <c r="H1832" s="86"/>
      <c r="I1832" s="84" t="str">
        <f>IFERROR(VLOOKUP(CONCATENATE($B1832,"_",I$3),materiali!$C:$K,5,0),"")</f>
        <v/>
      </c>
      <c r="J1832" s="85" t="str">
        <f>IFERROR(VLOOKUP(CONCATENATE($B1832,"_",J$3),materiali!$C:$K,6,0),"")</f>
        <v/>
      </c>
      <c r="K1832" s="86"/>
      <c r="L1832" s="84" t="str">
        <f>IFERROR(VLOOKUP(CONCATENATE($B1832,"_",L$3),materiali!$C:$K,5,0),"")</f>
        <v/>
      </c>
      <c r="M1832" s="85" t="str">
        <f>IFERROR(VLOOKUP(CONCATENATE($B1832,"_",M$3),materiali!$C:$K,6,0),"")</f>
        <v/>
      </c>
      <c r="N1832" s="86"/>
      <c r="O1832" s="84" t="str">
        <f>IFERROR(VLOOKUP(CONCATENATE($B1832,"_",O$3),materiali!$C:$K,5,0),"")</f>
        <v/>
      </c>
      <c r="P1832" s="85" t="str">
        <f>IFERROR(VLOOKUP(CONCATENATE($B1832,"_",P$3),materiali!$C:$K,6,0),"")</f>
        <v/>
      </c>
      <c r="Q1832" s="86"/>
      <c r="R1832" s="84" t="str">
        <f>IFERROR(VLOOKUP(CONCATENATE($B1832,"_",R$3),materiali!$C:$K,5,0),"")</f>
        <v/>
      </c>
      <c r="S1832" s="85" t="str">
        <f>IFERROR(VLOOKUP(CONCATENATE($B1832,"_",S$3),materiali!$C:$K,6,0),"")</f>
        <v/>
      </c>
      <c r="T1832" s="86"/>
      <c r="U1832" s="31"/>
      <c r="AD1832" s="97"/>
    </row>
    <row r="1833" spans="1:30" ht="35.1" hidden="1" customHeight="1" x14ac:dyDescent="0.25">
      <c r="A1833" s="83"/>
      <c r="B1833" s="7"/>
      <c r="C1833" s="8"/>
      <c r="D1833" s="8"/>
      <c r="E1833" s="60"/>
      <c r="F1833" s="84" t="str">
        <f>IFERROR(VLOOKUP(CONCATENATE($B1833,"_",F$3),materiali!$C:$K,5,0),"")</f>
        <v/>
      </c>
      <c r="G1833" s="85" t="str">
        <f>IFERROR(VLOOKUP(CONCATENATE($B1833,"_",G$3),materiali!$C:$K,6,0),"")</f>
        <v/>
      </c>
      <c r="H1833" s="86"/>
      <c r="I1833" s="84" t="str">
        <f>IFERROR(VLOOKUP(CONCATENATE($B1833,"_",I$3),materiali!$C:$K,5,0),"")</f>
        <v/>
      </c>
      <c r="J1833" s="85" t="str">
        <f>IFERROR(VLOOKUP(CONCATENATE($B1833,"_",J$3),materiali!$C:$K,6,0),"")</f>
        <v/>
      </c>
      <c r="K1833" s="86"/>
      <c r="L1833" s="84" t="str">
        <f>IFERROR(VLOOKUP(CONCATENATE($B1833,"_",L$3),materiali!$C:$K,5,0),"")</f>
        <v/>
      </c>
      <c r="M1833" s="85" t="str">
        <f>IFERROR(VLOOKUP(CONCATENATE($B1833,"_",M$3),materiali!$C:$K,6,0),"")</f>
        <v/>
      </c>
      <c r="N1833" s="86"/>
      <c r="O1833" s="84" t="str">
        <f>IFERROR(VLOOKUP(CONCATENATE($B1833,"_",O$3),materiali!$C:$K,5,0),"")</f>
        <v/>
      </c>
      <c r="P1833" s="85" t="str">
        <f>IFERROR(VLOOKUP(CONCATENATE($B1833,"_",P$3),materiali!$C:$K,6,0),"")</f>
        <v/>
      </c>
      <c r="Q1833" s="86"/>
      <c r="R1833" s="84" t="str">
        <f>IFERROR(VLOOKUP(CONCATENATE($B1833,"_",R$3),materiali!$C:$K,5,0),"")</f>
        <v/>
      </c>
      <c r="S1833" s="85" t="str">
        <f>IFERROR(VLOOKUP(CONCATENATE($B1833,"_",S$3),materiali!$C:$K,6,0),"")</f>
        <v/>
      </c>
      <c r="T1833" s="86"/>
      <c r="U1833" s="31"/>
      <c r="AD1833" s="97"/>
    </row>
    <row r="1834" spans="1:30" ht="35.1" hidden="1" customHeight="1" x14ac:dyDescent="0.25">
      <c r="A1834" s="83"/>
      <c r="B1834" s="7"/>
      <c r="C1834" s="8"/>
      <c r="D1834" s="8"/>
      <c r="E1834" s="60"/>
      <c r="F1834" s="84" t="str">
        <f>IFERROR(VLOOKUP(CONCATENATE($B1834,"_",F$3),materiali!$C:$K,5,0),"")</f>
        <v/>
      </c>
      <c r="G1834" s="85" t="str">
        <f>IFERROR(VLOOKUP(CONCATENATE($B1834,"_",G$3),materiali!$C:$K,6,0),"")</f>
        <v/>
      </c>
      <c r="H1834" s="86"/>
      <c r="I1834" s="84" t="str">
        <f>IFERROR(VLOOKUP(CONCATENATE($B1834,"_",I$3),materiali!$C:$K,5,0),"")</f>
        <v/>
      </c>
      <c r="J1834" s="85" t="str">
        <f>IFERROR(VLOOKUP(CONCATENATE($B1834,"_",J$3),materiali!$C:$K,6,0),"")</f>
        <v/>
      </c>
      <c r="K1834" s="86"/>
      <c r="L1834" s="84" t="str">
        <f>IFERROR(VLOOKUP(CONCATENATE($B1834,"_",L$3),materiali!$C:$K,5,0),"")</f>
        <v/>
      </c>
      <c r="M1834" s="85" t="str">
        <f>IFERROR(VLOOKUP(CONCATENATE($B1834,"_",M$3),materiali!$C:$K,6,0),"")</f>
        <v/>
      </c>
      <c r="N1834" s="86"/>
      <c r="O1834" s="84" t="str">
        <f>IFERROR(VLOOKUP(CONCATENATE($B1834,"_",O$3),materiali!$C:$K,5,0),"")</f>
        <v/>
      </c>
      <c r="P1834" s="85" t="str">
        <f>IFERROR(VLOOKUP(CONCATENATE($B1834,"_",P$3),materiali!$C:$K,6,0),"")</f>
        <v/>
      </c>
      <c r="Q1834" s="86"/>
      <c r="R1834" s="84" t="str">
        <f>IFERROR(VLOOKUP(CONCATENATE($B1834,"_",R$3),materiali!$C:$K,5,0),"")</f>
        <v/>
      </c>
      <c r="S1834" s="85" t="str">
        <f>IFERROR(VLOOKUP(CONCATENATE($B1834,"_",S$3),materiali!$C:$K,6,0),"")</f>
        <v/>
      </c>
      <c r="T1834" s="86"/>
      <c r="U1834" s="31"/>
      <c r="AD1834" s="97"/>
    </row>
    <row r="1835" spans="1:30" ht="35.1" hidden="1" customHeight="1" x14ac:dyDescent="0.25">
      <c r="A1835" s="83"/>
      <c r="B1835" s="7"/>
      <c r="C1835" s="8"/>
      <c r="D1835" s="8"/>
      <c r="E1835" s="60"/>
      <c r="F1835" s="84" t="str">
        <f>IFERROR(VLOOKUP(CONCATENATE($B1835,"_",F$3),materiali!$C:$K,5,0),"")</f>
        <v/>
      </c>
      <c r="G1835" s="85" t="str">
        <f>IFERROR(VLOOKUP(CONCATENATE($B1835,"_",G$3),materiali!$C:$K,6,0),"")</f>
        <v/>
      </c>
      <c r="H1835" s="86"/>
      <c r="I1835" s="84" t="str">
        <f>IFERROR(VLOOKUP(CONCATENATE($B1835,"_",I$3),materiali!$C:$K,5,0),"")</f>
        <v/>
      </c>
      <c r="J1835" s="85" t="str">
        <f>IFERROR(VLOOKUP(CONCATENATE($B1835,"_",J$3),materiali!$C:$K,6,0),"")</f>
        <v/>
      </c>
      <c r="K1835" s="86"/>
      <c r="L1835" s="84" t="str">
        <f>IFERROR(VLOOKUP(CONCATENATE($B1835,"_",L$3),materiali!$C:$K,5,0),"")</f>
        <v/>
      </c>
      <c r="M1835" s="85" t="str">
        <f>IFERROR(VLOOKUP(CONCATENATE($B1835,"_",M$3),materiali!$C:$K,6,0),"")</f>
        <v/>
      </c>
      <c r="N1835" s="86"/>
      <c r="O1835" s="84" t="str">
        <f>IFERROR(VLOOKUP(CONCATENATE($B1835,"_",O$3),materiali!$C:$K,5,0),"")</f>
        <v/>
      </c>
      <c r="P1835" s="85" t="str">
        <f>IFERROR(VLOOKUP(CONCATENATE($B1835,"_",P$3),materiali!$C:$K,6,0),"")</f>
        <v/>
      </c>
      <c r="Q1835" s="86"/>
      <c r="R1835" s="84" t="str">
        <f>IFERROR(VLOOKUP(CONCATENATE($B1835,"_",R$3),materiali!$C:$K,5,0),"")</f>
        <v/>
      </c>
      <c r="S1835" s="85" t="str">
        <f>IFERROR(VLOOKUP(CONCATENATE($B1835,"_",S$3),materiali!$C:$K,6,0),"")</f>
        <v/>
      </c>
      <c r="T1835" s="86"/>
      <c r="U1835" s="31"/>
      <c r="AD1835" s="97"/>
    </row>
    <row r="1836" spans="1:30" ht="35.1" hidden="1" customHeight="1" x14ac:dyDescent="0.25">
      <c r="A1836" s="83"/>
      <c r="B1836" s="7"/>
      <c r="C1836" s="8"/>
      <c r="D1836" s="8"/>
      <c r="E1836" s="60"/>
      <c r="F1836" s="84" t="str">
        <f>IFERROR(VLOOKUP(CONCATENATE($B1836,"_",F$3),materiali!$C:$K,5,0),"")</f>
        <v/>
      </c>
      <c r="G1836" s="85" t="str">
        <f>IFERROR(VLOOKUP(CONCATENATE($B1836,"_",G$3),materiali!$C:$K,6,0),"")</f>
        <v/>
      </c>
      <c r="H1836" s="86"/>
      <c r="I1836" s="84" t="str">
        <f>IFERROR(VLOOKUP(CONCATENATE($B1836,"_",I$3),materiali!$C:$K,5,0),"")</f>
        <v/>
      </c>
      <c r="J1836" s="85" t="str">
        <f>IFERROR(VLOOKUP(CONCATENATE($B1836,"_",J$3),materiali!$C:$K,6,0),"")</f>
        <v/>
      </c>
      <c r="K1836" s="86"/>
      <c r="L1836" s="84" t="str">
        <f>IFERROR(VLOOKUP(CONCATENATE($B1836,"_",L$3),materiali!$C:$K,5,0),"")</f>
        <v/>
      </c>
      <c r="M1836" s="85" t="str">
        <f>IFERROR(VLOOKUP(CONCATENATE($B1836,"_",M$3),materiali!$C:$K,6,0),"")</f>
        <v/>
      </c>
      <c r="N1836" s="86"/>
      <c r="O1836" s="84" t="str">
        <f>IFERROR(VLOOKUP(CONCATENATE($B1836,"_",O$3),materiali!$C:$K,5,0),"")</f>
        <v/>
      </c>
      <c r="P1836" s="85" t="str">
        <f>IFERROR(VLOOKUP(CONCATENATE($B1836,"_",P$3),materiali!$C:$K,6,0),"")</f>
        <v/>
      </c>
      <c r="Q1836" s="86"/>
      <c r="R1836" s="84" t="str">
        <f>IFERROR(VLOOKUP(CONCATENATE($B1836,"_",R$3),materiali!$C:$K,5,0),"")</f>
        <v/>
      </c>
      <c r="S1836" s="85" t="str">
        <f>IFERROR(VLOOKUP(CONCATENATE($B1836,"_",S$3),materiali!$C:$K,6,0),"")</f>
        <v/>
      </c>
      <c r="T1836" s="86"/>
      <c r="U1836" s="31"/>
      <c r="AD1836" s="97"/>
    </row>
    <row r="1837" spans="1:30" ht="35.1" hidden="1" customHeight="1" x14ac:dyDescent="0.25">
      <c r="A1837" s="83"/>
      <c r="B1837" s="7"/>
      <c r="C1837" s="8"/>
      <c r="D1837" s="8"/>
      <c r="E1837" s="60"/>
      <c r="F1837" s="84" t="str">
        <f>IFERROR(VLOOKUP(CONCATENATE($B1837,"_",F$3),materiali!$C:$K,5,0),"")</f>
        <v/>
      </c>
      <c r="G1837" s="85" t="str">
        <f>IFERROR(VLOOKUP(CONCATENATE($B1837,"_",G$3),materiali!$C:$K,6,0),"")</f>
        <v/>
      </c>
      <c r="H1837" s="86"/>
      <c r="I1837" s="84" t="str">
        <f>IFERROR(VLOOKUP(CONCATENATE($B1837,"_",I$3),materiali!$C:$K,5,0),"")</f>
        <v/>
      </c>
      <c r="J1837" s="85" t="str">
        <f>IFERROR(VLOOKUP(CONCATENATE($B1837,"_",J$3),materiali!$C:$K,6,0),"")</f>
        <v/>
      </c>
      <c r="K1837" s="86"/>
      <c r="L1837" s="84" t="str">
        <f>IFERROR(VLOOKUP(CONCATENATE($B1837,"_",L$3),materiali!$C:$K,5,0),"")</f>
        <v/>
      </c>
      <c r="M1837" s="85" t="str">
        <f>IFERROR(VLOOKUP(CONCATENATE($B1837,"_",M$3),materiali!$C:$K,6,0),"")</f>
        <v/>
      </c>
      <c r="N1837" s="86"/>
      <c r="O1837" s="84" t="str">
        <f>IFERROR(VLOOKUP(CONCATENATE($B1837,"_",O$3),materiali!$C:$K,5,0),"")</f>
        <v/>
      </c>
      <c r="P1837" s="85" t="str">
        <f>IFERROR(VLOOKUP(CONCATENATE($B1837,"_",P$3),materiali!$C:$K,6,0),"")</f>
        <v/>
      </c>
      <c r="Q1837" s="86"/>
      <c r="R1837" s="84" t="str">
        <f>IFERROR(VLOOKUP(CONCATENATE($B1837,"_",R$3),materiali!$C:$K,5,0),"")</f>
        <v/>
      </c>
      <c r="S1837" s="85" t="str">
        <f>IFERROR(VLOOKUP(CONCATENATE($B1837,"_",S$3),materiali!$C:$K,6,0),"")</f>
        <v/>
      </c>
      <c r="T1837" s="86"/>
      <c r="U1837" s="31"/>
      <c r="AD1837" s="97"/>
    </row>
    <row r="1838" spans="1:30" ht="35.1" hidden="1" customHeight="1" x14ac:dyDescent="0.25">
      <c r="A1838" s="83"/>
      <c r="B1838" s="7"/>
      <c r="C1838" s="8"/>
      <c r="D1838" s="8"/>
      <c r="E1838" s="60"/>
      <c r="F1838" s="84" t="str">
        <f>IFERROR(VLOOKUP(CONCATENATE($B1838,"_",F$3),materiali!$C:$K,5,0),"")</f>
        <v/>
      </c>
      <c r="G1838" s="85" t="str">
        <f>IFERROR(VLOOKUP(CONCATENATE($B1838,"_",G$3),materiali!$C:$K,6,0),"")</f>
        <v/>
      </c>
      <c r="H1838" s="86"/>
      <c r="I1838" s="84" t="str">
        <f>IFERROR(VLOOKUP(CONCATENATE($B1838,"_",I$3),materiali!$C:$K,5,0),"")</f>
        <v/>
      </c>
      <c r="J1838" s="85" t="str">
        <f>IFERROR(VLOOKUP(CONCATENATE($B1838,"_",J$3),materiali!$C:$K,6,0),"")</f>
        <v/>
      </c>
      <c r="K1838" s="86"/>
      <c r="L1838" s="84" t="str">
        <f>IFERROR(VLOOKUP(CONCATENATE($B1838,"_",L$3),materiali!$C:$K,5,0),"")</f>
        <v/>
      </c>
      <c r="M1838" s="85" t="str">
        <f>IFERROR(VLOOKUP(CONCATENATE($B1838,"_",M$3),materiali!$C:$K,6,0),"")</f>
        <v/>
      </c>
      <c r="N1838" s="86"/>
      <c r="O1838" s="84" t="str">
        <f>IFERROR(VLOOKUP(CONCATENATE($B1838,"_",O$3),materiali!$C:$K,5,0),"")</f>
        <v/>
      </c>
      <c r="P1838" s="85" t="str">
        <f>IFERROR(VLOOKUP(CONCATENATE($B1838,"_",P$3),materiali!$C:$K,6,0),"")</f>
        <v/>
      </c>
      <c r="Q1838" s="86"/>
      <c r="R1838" s="84" t="str">
        <f>IFERROR(VLOOKUP(CONCATENATE($B1838,"_",R$3),materiali!$C:$K,5,0),"")</f>
        <v/>
      </c>
      <c r="S1838" s="85" t="str">
        <f>IFERROR(VLOOKUP(CONCATENATE($B1838,"_",S$3),materiali!$C:$K,6,0),"")</f>
        <v/>
      </c>
      <c r="T1838" s="86"/>
      <c r="U1838" s="31"/>
      <c r="AD1838" s="97"/>
    </row>
    <row r="1839" spans="1:30" ht="35.1" hidden="1" customHeight="1" x14ac:dyDescent="0.25">
      <c r="A1839" s="83"/>
      <c r="B1839" s="7"/>
      <c r="C1839" s="8"/>
      <c r="D1839" s="8"/>
      <c r="E1839" s="60"/>
      <c r="F1839" s="84" t="str">
        <f>IFERROR(VLOOKUP(CONCATENATE($B1839,"_",F$3),materiali!$C:$K,5,0),"")</f>
        <v/>
      </c>
      <c r="G1839" s="85" t="str">
        <f>IFERROR(VLOOKUP(CONCATENATE($B1839,"_",G$3),materiali!$C:$K,6,0),"")</f>
        <v/>
      </c>
      <c r="H1839" s="86"/>
      <c r="I1839" s="84" t="str">
        <f>IFERROR(VLOOKUP(CONCATENATE($B1839,"_",I$3),materiali!$C:$K,5,0),"")</f>
        <v/>
      </c>
      <c r="J1839" s="85" t="str">
        <f>IFERROR(VLOOKUP(CONCATENATE($B1839,"_",J$3),materiali!$C:$K,6,0),"")</f>
        <v/>
      </c>
      <c r="K1839" s="86"/>
      <c r="L1839" s="84" t="str">
        <f>IFERROR(VLOOKUP(CONCATENATE($B1839,"_",L$3),materiali!$C:$K,5,0),"")</f>
        <v/>
      </c>
      <c r="M1839" s="85" t="str">
        <f>IFERROR(VLOOKUP(CONCATENATE($B1839,"_",M$3),materiali!$C:$K,6,0),"")</f>
        <v/>
      </c>
      <c r="N1839" s="86"/>
      <c r="O1839" s="84" t="str">
        <f>IFERROR(VLOOKUP(CONCATENATE($B1839,"_",O$3),materiali!$C:$K,5,0),"")</f>
        <v/>
      </c>
      <c r="P1839" s="85" t="str">
        <f>IFERROR(VLOOKUP(CONCATENATE($B1839,"_",P$3),materiali!$C:$K,6,0),"")</f>
        <v/>
      </c>
      <c r="Q1839" s="86"/>
      <c r="R1839" s="84" t="str">
        <f>IFERROR(VLOOKUP(CONCATENATE($B1839,"_",R$3),materiali!$C:$K,5,0),"")</f>
        <v/>
      </c>
      <c r="S1839" s="85" t="str">
        <f>IFERROR(VLOOKUP(CONCATENATE($B1839,"_",S$3),materiali!$C:$K,6,0),"")</f>
        <v/>
      </c>
      <c r="T1839" s="86"/>
      <c r="U1839" s="31"/>
      <c r="AD1839" s="97"/>
    </row>
    <row r="1840" spans="1:30" ht="35.1" hidden="1" customHeight="1" x14ac:dyDescent="0.25">
      <c r="A1840" s="83"/>
      <c r="B1840" s="7"/>
      <c r="C1840" s="8"/>
      <c r="D1840" s="8"/>
      <c r="E1840" s="60"/>
      <c r="F1840" s="84" t="str">
        <f>IFERROR(VLOOKUP(CONCATENATE($B1840,"_",F$3),materiali!$C:$K,5,0),"")</f>
        <v/>
      </c>
      <c r="G1840" s="85" t="str">
        <f>IFERROR(VLOOKUP(CONCATENATE($B1840,"_",G$3),materiali!$C:$K,6,0),"")</f>
        <v/>
      </c>
      <c r="H1840" s="86"/>
      <c r="I1840" s="84" t="str">
        <f>IFERROR(VLOOKUP(CONCATENATE($B1840,"_",I$3),materiali!$C:$K,5,0),"")</f>
        <v/>
      </c>
      <c r="J1840" s="85" t="str">
        <f>IFERROR(VLOOKUP(CONCATENATE($B1840,"_",J$3),materiali!$C:$K,6,0),"")</f>
        <v/>
      </c>
      <c r="K1840" s="86"/>
      <c r="L1840" s="84" t="str">
        <f>IFERROR(VLOOKUP(CONCATENATE($B1840,"_",L$3),materiali!$C:$K,5,0),"")</f>
        <v/>
      </c>
      <c r="M1840" s="85" t="str">
        <f>IFERROR(VLOOKUP(CONCATENATE($B1840,"_",M$3),materiali!$C:$K,6,0),"")</f>
        <v/>
      </c>
      <c r="N1840" s="86"/>
      <c r="O1840" s="84" t="str">
        <f>IFERROR(VLOOKUP(CONCATENATE($B1840,"_",O$3),materiali!$C:$K,5,0),"")</f>
        <v/>
      </c>
      <c r="P1840" s="85" t="str">
        <f>IFERROR(VLOOKUP(CONCATENATE($B1840,"_",P$3),materiali!$C:$K,6,0),"")</f>
        <v/>
      </c>
      <c r="Q1840" s="86"/>
      <c r="R1840" s="84" t="str">
        <f>IFERROR(VLOOKUP(CONCATENATE($B1840,"_",R$3),materiali!$C:$K,5,0),"")</f>
        <v/>
      </c>
      <c r="S1840" s="85" t="str">
        <f>IFERROR(VLOOKUP(CONCATENATE($B1840,"_",S$3),materiali!$C:$K,6,0),"")</f>
        <v/>
      </c>
      <c r="T1840" s="86"/>
      <c r="U1840" s="31"/>
      <c r="AD1840" s="97"/>
    </row>
    <row r="1841" spans="1:30" ht="35.1" hidden="1" customHeight="1" x14ac:dyDescent="0.25">
      <c r="A1841" s="83"/>
      <c r="B1841" s="7"/>
      <c r="C1841" s="8"/>
      <c r="D1841" s="8"/>
      <c r="E1841" s="60"/>
      <c r="F1841" s="84" t="str">
        <f>IFERROR(VLOOKUP(CONCATENATE($B1841,"_",F$3),materiali!$C:$K,5,0),"")</f>
        <v/>
      </c>
      <c r="G1841" s="85" t="str">
        <f>IFERROR(VLOOKUP(CONCATENATE($B1841,"_",G$3),materiali!$C:$K,6,0),"")</f>
        <v/>
      </c>
      <c r="H1841" s="86"/>
      <c r="I1841" s="84" t="str">
        <f>IFERROR(VLOOKUP(CONCATENATE($B1841,"_",I$3),materiali!$C:$K,5,0),"")</f>
        <v/>
      </c>
      <c r="J1841" s="85" t="str">
        <f>IFERROR(VLOOKUP(CONCATENATE($B1841,"_",J$3),materiali!$C:$K,6,0),"")</f>
        <v/>
      </c>
      <c r="K1841" s="86"/>
      <c r="L1841" s="84" t="str">
        <f>IFERROR(VLOOKUP(CONCATENATE($B1841,"_",L$3),materiali!$C:$K,5,0),"")</f>
        <v/>
      </c>
      <c r="M1841" s="85" t="str">
        <f>IFERROR(VLOOKUP(CONCATENATE($B1841,"_",M$3),materiali!$C:$K,6,0),"")</f>
        <v/>
      </c>
      <c r="N1841" s="86"/>
      <c r="O1841" s="84" t="str">
        <f>IFERROR(VLOOKUP(CONCATENATE($B1841,"_",O$3),materiali!$C:$K,5,0),"")</f>
        <v/>
      </c>
      <c r="P1841" s="85" t="str">
        <f>IFERROR(VLOOKUP(CONCATENATE($B1841,"_",P$3),materiali!$C:$K,6,0),"")</f>
        <v/>
      </c>
      <c r="Q1841" s="86"/>
      <c r="R1841" s="84" t="str">
        <f>IFERROR(VLOOKUP(CONCATENATE($B1841,"_",R$3),materiali!$C:$K,5,0),"")</f>
        <v/>
      </c>
      <c r="S1841" s="85" t="str">
        <f>IFERROR(VLOOKUP(CONCATENATE($B1841,"_",S$3),materiali!$C:$K,6,0),"")</f>
        <v/>
      </c>
      <c r="T1841" s="86"/>
      <c r="U1841" s="31"/>
      <c r="AD1841" s="97"/>
    </row>
    <row r="1842" spans="1:30" ht="35.1" hidden="1" customHeight="1" x14ac:dyDescent="0.25">
      <c r="A1842" s="83"/>
      <c r="B1842" s="7"/>
      <c r="C1842" s="8"/>
      <c r="D1842" s="8"/>
      <c r="E1842" s="60"/>
      <c r="F1842" s="84" t="str">
        <f>IFERROR(VLOOKUP(CONCATENATE($B1842,"_",F$3),materiali!$C:$K,5,0),"")</f>
        <v/>
      </c>
      <c r="G1842" s="85" t="str">
        <f>IFERROR(VLOOKUP(CONCATENATE($B1842,"_",G$3),materiali!$C:$K,6,0),"")</f>
        <v/>
      </c>
      <c r="H1842" s="86"/>
      <c r="I1842" s="84" t="str">
        <f>IFERROR(VLOOKUP(CONCATENATE($B1842,"_",I$3),materiali!$C:$K,5,0),"")</f>
        <v/>
      </c>
      <c r="J1842" s="85" t="str">
        <f>IFERROR(VLOOKUP(CONCATENATE($B1842,"_",J$3),materiali!$C:$K,6,0),"")</f>
        <v/>
      </c>
      <c r="K1842" s="86"/>
      <c r="L1842" s="84" t="str">
        <f>IFERROR(VLOOKUP(CONCATENATE($B1842,"_",L$3),materiali!$C:$K,5,0),"")</f>
        <v/>
      </c>
      <c r="M1842" s="85" t="str">
        <f>IFERROR(VLOOKUP(CONCATENATE($B1842,"_",M$3),materiali!$C:$K,6,0),"")</f>
        <v/>
      </c>
      <c r="N1842" s="86"/>
      <c r="O1842" s="84" t="str">
        <f>IFERROR(VLOOKUP(CONCATENATE($B1842,"_",O$3),materiali!$C:$K,5,0),"")</f>
        <v/>
      </c>
      <c r="P1842" s="85" t="str">
        <f>IFERROR(VLOOKUP(CONCATENATE($B1842,"_",P$3),materiali!$C:$K,6,0),"")</f>
        <v/>
      </c>
      <c r="Q1842" s="86"/>
      <c r="R1842" s="84" t="str">
        <f>IFERROR(VLOOKUP(CONCATENATE($B1842,"_",R$3),materiali!$C:$K,5,0),"")</f>
        <v/>
      </c>
      <c r="S1842" s="85" t="str">
        <f>IFERROR(VLOOKUP(CONCATENATE($B1842,"_",S$3),materiali!$C:$K,6,0),"")</f>
        <v/>
      </c>
      <c r="T1842" s="86"/>
      <c r="U1842" s="31"/>
      <c r="AD1842" s="97"/>
    </row>
    <row r="1843" spans="1:30" ht="35.1" hidden="1" customHeight="1" x14ac:dyDescent="0.25">
      <c r="A1843" s="83"/>
      <c r="B1843" s="7"/>
      <c r="C1843" s="8"/>
      <c r="D1843" s="8"/>
      <c r="E1843" s="60"/>
      <c r="F1843" s="84" t="str">
        <f>IFERROR(VLOOKUP(CONCATENATE($B1843,"_",F$3),materiali!$C:$K,5,0),"")</f>
        <v/>
      </c>
      <c r="G1843" s="85" t="str">
        <f>IFERROR(VLOOKUP(CONCATENATE($B1843,"_",G$3),materiali!$C:$K,6,0),"")</f>
        <v/>
      </c>
      <c r="H1843" s="86"/>
      <c r="I1843" s="84" t="str">
        <f>IFERROR(VLOOKUP(CONCATENATE($B1843,"_",I$3),materiali!$C:$K,5,0),"")</f>
        <v/>
      </c>
      <c r="J1843" s="85" t="str">
        <f>IFERROR(VLOOKUP(CONCATENATE($B1843,"_",J$3),materiali!$C:$K,6,0),"")</f>
        <v/>
      </c>
      <c r="K1843" s="86"/>
      <c r="L1843" s="84" t="str">
        <f>IFERROR(VLOOKUP(CONCATENATE($B1843,"_",L$3),materiali!$C:$K,5,0),"")</f>
        <v/>
      </c>
      <c r="M1843" s="85" t="str">
        <f>IFERROR(VLOOKUP(CONCATENATE($B1843,"_",M$3),materiali!$C:$K,6,0),"")</f>
        <v/>
      </c>
      <c r="N1843" s="86"/>
      <c r="O1843" s="84" t="str">
        <f>IFERROR(VLOOKUP(CONCATENATE($B1843,"_",O$3),materiali!$C:$K,5,0),"")</f>
        <v/>
      </c>
      <c r="P1843" s="85" t="str">
        <f>IFERROR(VLOOKUP(CONCATENATE($B1843,"_",P$3),materiali!$C:$K,6,0),"")</f>
        <v/>
      </c>
      <c r="Q1843" s="86"/>
      <c r="R1843" s="84" t="str">
        <f>IFERROR(VLOOKUP(CONCATENATE($B1843,"_",R$3),materiali!$C:$K,5,0),"")</f>
        <v/>
      </c>
      <c r="S1843" s="85" t="str">
        <f>IFERROR(VLOOKUP(CONCATENATE($B1843,"_",S$3),materiali!$C:$K,6,0),"")</f>
        <v/>
      </c>
      <c r="T1843" s="86"/>
      <c r="U1843" s="31"/>
      <c r="AD1843" s="97"/>
    </row>
    <row r="1844" spans="1:30" ht="35.1" hidden="1" customHeight="1" x14ac:dyDescent="0.25">
      <c r="A1844" s="83"/>
      <c r="B1844" s="7"/>
      <c r="C1844" s="8"/>
      <c r="D1844" s="8"/>
      <c r="E1844" s="60"/>
      <c r="F1844" s="84" t="str">
        <f>IFERROR(VLOOKUP(CONCATENATE($B1844,"_",F$3),materiali!$C:$K,5,0),"")</f>
        <v/>
      </c>
      <c r="G1844" s="85" t="str">
        <f>IFERROR(VLOOKUP(CONCATENATE($B1844,"_",G$3),materiali!$C:$K,6,0),"")</f>
        <v/>
      </c>
      <c r="H1844" s="86"/>
      <c r="I1844" s="84" t="str">
        <f>IFERROR(VLOOKUP(CONCATENATE($B1844,"_",I$3),materiali!$C:$K,5,0),"")</f>
        <v/>
      </c>
      <c r="J1844" s="85" t="str">
        <f>IFERROR(VLOOKUP(CONCATENATE($B1844,"_",J$3),materiali!$C:$K,6,0),"")</f>
        <v/>
      </c>
      <c r="K1844" s="86"/>
      <c r="L1844" s="84" t="str">
        <f>IFERROR(VLOOKUP(CONCATENATE($B1844,"_",L$3),materiali!$C:$K,5,0),"")</f>
        <v/>
      </c>
      <c r="M1844" s="85" t="str">
        <f>IFERROR(VLOOKUP(CONCATENATE($B1844,"_",M$3),materiali!$C:$K,6,0),"")</f>
        <v/>
      </c>
      <c r="N1844" s="86"/>
      <c r="O1844" s="84" t="str">
        <f>IFERROR(VLOOKUP(CONCATENATE($B1844,"_",O$3),materiali!$C:$K,5,0),"")</f>
        <v/>
      </c>
      <c r="P1844" s="85" t="str">
        <f>IFERROR(VLOOKUP(CONCATENATE($B1844,"_",P$3),materiali!$C:$K,6,0),"")</f>
        <v/>
      </c>
      <c r="Q1844" s="86"/>
      <c r="R1844" s="84" t="str">
        <f>IFERROR(VLOOKUP(CONCATENATE($B1844,"_",R$3),materiali!$C:$K,5,0),"")</f>
        <v/>
      </c>
      <c r="S1844" s="85" t="str">
        <f>IFERROR(VLOOKUP(CONCATENATE($B1844,"_",S$3),materiali!$C:$K,6,0),"")</f>
        <v/>
      </c>
      <c r="T1844" s="86"/>
      <c r="U1844" s="31"/>
      <c r="AD1844" s="97"/>
    </row>
    <row r="1845" spans="1:30" ht="35.1" hidden="1" customHeight="1" x14ac:dyDescent="0.25">
      <c r="A1845" s="83"/>
      <c r="B1845" s="7"/>
      <c r="C1845" s="8"/>
      <c r="D1845" s="8"/>
      <c r="E1845" s="60"/>
      <c r="F1845" s="84" t="str">
        <f>IFERROR(VLOOKUP(CONCATENATE($B1845,"_",F$3),materiali!$C:$K,5,0),"")</f>
        <v/>
      </c>
      <c r="G1845" s="85" t="str">
        <f>IFERROR(VLOOKUP(CONCATENATE($B1845,"_",G$3),materiali!$C:$K,6,0),"")</f>
        <v/>
      </c>
      <c r="H1845" s="86"/>
      <c r="I1845" s="84" t="str">
        <f>IFERROR(VLOOKUP(CONCATENATE($B1845,"_",I$3),materiali!$C:$K,5,0),"")</f>
        <v/>
      </c>
      <c r="J1845" s="85" t="str">
        <f>IFERROR(VLOOKUP(CONCATENATE($B1845,"_",J$3),materiali!$C:$K,6,0),"")</f>
        <v/>
      </c>
      <c r="K1845" s="86"/>
      <c r="L1845" s="84" t="str">
        <f>IFERROR(VLOOKUP(CONCATENATE($B1845,"_",L$3),materiali!$C:$K,5,0),"")</f>
        <v/>
      </c>
      <c r="M1845" s="85" t="str">
        <f>IFERROR(VLOOKUP(CONCATENATE($B1845,"_",M$3),materiali!$C:$K,6,0),"")</f>
        <v/>
      </c>
      <c r="N1845" s="86"/>
      <c r="O1845" s="84" t="str">
        <f>IFERROR(VLOOKUP(CONCATENATE($B1845,"_",O$3),materiali!$C:$K,5,0),"")</f>
        <v/>
      </c>
      <c r="P1845" s="85" t="str">
        <f>IFERROR(VLOOKUP(CONCATENATE($B1845,"_",P$3),materiali!$C:$K,6,0),"")</f>
        <v/>
      </c>
      <c r="Q1845" s="86"/>
      <c r="R1845" s="84" t="str">
        <f>IFERROR(VLOOKUP(CONCATENATE($B1845,"_",R$3),materiali!$C:$K,5,0),"")</f>
        <v/>
      </c>
      <c r="S1845" s="85" t="str">
        <f>IFERROR(VLOOKUP(CONCATENATE($B1845,"_",S$3),materiali!$C:$K,6,0),"")</f>
        <v/>
      </c>
      <c r="T1845" s="86"/>
      <c r="U1845" s="31"/>
      <c r="AD1845" s="97"/>
    </row>
    <row r="1846" spans="1:30" ht="35.1" hidden="1" customHeight="1" x14ac:dyDescent="0.25">
      <c r="A1846" s="83"/>
      <c r="B1846" s="7"/>
      <c r="C1846" s="8"/>
      <c r="D1846" s="8"/>
      <c r="E1846" s="60"/>
      <c r="F1846" s="84" t="str">
        <f>IFERROR(VLOOKUP(CONCATENATE($B1846,"_",F$3),materiali!$C:$K,5,0),"")</f>
        <v/>
      </c>
      <c r="G1846" s="85" t="str">
        <f>IFERROR(VLOOKUP(CONCATENATE($B1846,"_",G$3),materiali!$C:$K,6,0),"")</f>
        <v/>
      </c>
      <c r="H1846" s="86"/>
      <c r="I1846" s="84" t="str">
        <f>IFERROR(VLOOKUP(CONCATENATE($B1846,"_",I$3),materiali!$C:$K,5,0),"")</f>
        <v/>
      </c>
      <c r="J1846" s="85" t="str">
        <f>IFERROR(VLOOKUP(CONCATENATE($B1846,"_",J$3),materiali!$C:$K,6,0),"")</f>
        <v/>
      </c>
      <c r="K1846" s="86"/>
      <c r="L1846" s="84" t="str">
        <f>IFERROR(VLOOKUP(CONCATENATE($B1846,"_",L$3),materiali!$C:$K,5,0),"")</f>
        <v/>
      </c>
      <c r="M1846" s="85" t="str">
        <f>IFERROR(VLOOKUP(CONCATENATE($B1846,"_",M$3),materiali!$C:$K,6,0),"")</f>
        <v/>
      </c>
      <c r="N1846" s="86"/>
      <c r="O1846" s="84" t="str">
        <f>IFERROR(VLOOKUP(CONCATENATE($B1846,"_",O$3),materiali!$C:$K,5,0),"")</f>
        <v/>
      </c>
      <c r="P1846" s="85" t="str">
        <f>IFERROR(VLOOKUP(CONCATENATE($B1846,"_",P$3),materiali!$C:$K,6,0),"")</f>
        <v/>
      </c>
      <c r="Q1846" s="86"/>
      <c r="R1846" s="84" t="str">
        <f>IFERROR(VLOOKUP(CONCATENATE($B1846,"_",R$3),materiali!$C:$K,5,0),"")</f>
        <v/>
      </c>
      <c r="S1846" s="85" t="str">
        <f>IFERROR(VLOOKUP(CONCATENATE($B1846,"_",S$3),materiali!$C:$K,6,0),"")</f>
        <v/>
      </c>
      <c r="T1846" s="86"/>
      <c r="U1846" s="31"/>
      <c r="AD1846" s="97"/>
    </row>
    <row r="1847" spans="1:30" ht="35.1" hidden="1" customHeight="1" x14ac:dyDescent="0.25">
      <c r="A1847" s="83"/>
      <c r="B1847" s="7"/>
      <c r="C1847" s="8"/>
      <c r="D1847" s="8"/>
      <c r="E1847" s="60"/>
      <c r="F1847" s="84" t="str">
        <f>IFERROR(VLOOKUP(CONCATENATE($B1847,"_",F$3),materiali!$C:$K,5,0),"")</f>
        <v/>
      </c>
      <c r="G1847" s="85" t="str">
        <f>IFERROR(VLOOKUP(CONCATENATE($B1847,"_",G$3),materiali!$C:$K,6,0),"")</f>
        <v/>
      </c>
      <c r="H1847" s="86"/>
      <c r="I1847" s="84" t="str">
        <f>IFERROR(VLOOKUP(CONCATENATE($B1847,"_",I$3),materiali!$C:$K,5,0),"")</f>
        <v/>
      </c>
      <c r="J1847" s="85" t="str">
        <f>IFERROR(VLOOKUP(CONCATENATE($B1847,"_",J$3),materiali!$C:$K,6,0),"")</f>
        <v/>
      </c>
      <c r="K1847" s="86"/>
      <c r="L1847" s="84" t="str">
        <f>IFERROR(VLOOKUP(CONCATENATE($B1847,"_",L$3),materiali!$C:$K,5,0),"")</f>
        <v/>
      </c>
      <c r="M1847" s="85" t="str">
        <f>IFERROR(VLOOKUP(CONCATENATE($B1847,"_",M$3),materiali!$C:$K,6,0),"")</f>
        <v/>
      </c>
      <c r="N1847" s="86"/>
      <c r="O1847" s="84" t="str">
        <f>IFERROR(VLOOKUP(CONCATENATE($B1847,"_",O$3),materiali!$C:$K,5,0),"")</f>
        <v/>
      </c>
      <c r="P1847" s="85" t="str">
        <f>IFERROR(VLOOKUP(CONCATENATE($B1847,"_",P$3),materiali!$C:$K,6,0),"")</f>
        <v/>
      </c>
      <c r="Q1847" s="86"/>
      <c r="R1847" s="84" t="str">
        <f>IFERROR(VLOOKUP(CONCATENATE($B1847,"_",R$3),materiali!$C:$K,5,0),"")</f>
        <v/>
      </c>
      <c r="S1847" s="85" t="str">
        <f>IFERROR(VLOOKUP(CONCATENATE($B1847,"_",S$3),materiali!$C:$K,6,0),"")</f>
        <v/>
      </c>
      <c r="T1847" s="86"/>
      <c r="U1847" s="31"/>
      <c r="AD1847" s="97"/>
    </row>
    <row r="1848" spans="1:30" ht="35.1" hidden="1" customHeight="1" x14ac:dyDescent="0.25">
      <c r="A1848" s="83"/>
      <c r="B1848" s="7"/>
      <c r="C1848" s="8"/>
      <c r="D1848" s="8"/>
      <c r="E1848" s="60"/>
      <c r="F1848" s="84" t="str">
        <f>IFERROR(VLOOKUP(CONCATENATE($B1848,"_",F$3),materiali!$C:$K,5,0),"")</f>
        <v/>
      </c>
      <c r="G1848" s="85" t="str">
        <f>IFERROR(VLOOKUP(CONCATENATE($B1848,"_",G$3),materiali!$C:$K,6,0),"")</f>
        <v/>
      </c>
      <c r="H1848" s="86"/>
      <c r="I1848" s="84" t="str">
        <f>IFERROR(VLOOKUP(CONCATENATE($B1848,"_",I$3),materiali!$C:$K,5,0),"")</f>
        <v/>
      </c>
      <c r="J1848" s="85" t="str">
        <f>IFERROR(VLOOKUP(CONCATENATE($B1848,"_",J$3),materiali!$C:$K,6,0),"")</f>
        <v/>
      </c>
      <c r="K1848" s="86"/>
      <c r="L1848" s="84" t="str">
        <f>IFERROR(VLOOKUP(CONCATENATE($B1848,"_",L$3),materiali!$C:$K,5,0),"")</f>
        <v/>
      </c>
      <c r="M1848" s="85" t="str">
        <f>IFERROR(VLOOKUP(CONCATENATE($B1848,"_",M$3),materiali!$C:$K,6,0),"")</f>
        <v/>
      </c>
      <c r="N1848" s="86"/>
      <c r="O1848" s="84" t="str">
        <f>IFERROR(VLOOKUP(CONCATENATE($B1848,"_",O$3),materiali!$C:$K,5,0),"")</f>
        <v/>
      </c>
      <c r="P1848" s="85" t="str">
        <f>IFERROR(VLOOKUP(CONCATENATE($B1848,"_",P$3),materiali!$C:$K,6,0),"")</f>
        <v/>
      </c>
      <c r="Q1848" s="86"/>
      <c r="R1848" s="84" t="str">
        <f>IFERROR(VLOOKUP(CONCATENATE($B1848,"_",R$3),materiali!$C:$K,5,0),"")</f>
        <v/>
      </c>
      <c r="S1848" s="85" t="str">
        <f>IFERROR(VLOOKUP(CONCATENATE($B1848,"_",S$3),materiali!$C:$K,6,0),"")</f>
        <v/>
      </c>
      <c r="T1848" s="86"/>
      <c r="U1848" s="31"/>
      <c r="AD1848" s="97"/>
    </row>
    <row r="1849" spans="1:30" ht="35.1" hidden="1" customHeight="1" x14ac:dyDescent="0.25">
      <c r="A1849" s="83"/>
      <c r="B1849" s="7"/>
      <c r="C1849" s="8"/>
      <c r="D1849" s="8"/>
      <c r="E1849" s="60"/>
      <c r="F1849" s="84" t="str">
        <f>IFERROR(VLOOKUP(CONCATENATE($B1849,"_",F$3),materiali!$C:$K,5,0),"")</f>
        <v/>
      </c>
      <c r="G1849" s="85" t="str">
        <f>IFERROR(VLOOKUP(CONCATENATE($B1849,"_",G$3),materiali!$C:$K,6,0),"")</f>
        <v/>
      </c>
      <c r="H1849" s="86"/>
      <c r="I1849" s="84" t="str">
        <f>IFERROR(VLOOKUP(CONCATENATE($B1849,"_",I$3),materiali!$C:$K,5,0),"")</f>
        <v/>
      </c>
      <c r="J1849" s="85" t="str">
        <f>IFERROR(VLOOKUP(CONCATENATE($B1849,"_",J$3),materiali!$C:$K,6,0),"")</f>
        <v/>
      </c>
      <c r="K1849" s="86"/>
      <c r="L1849" s="84" t="str">
        <f>IFERROR(VLOOKUP(CONCATENATE($B1849,"_",L$3),materiali!$C:$K,5,0),"")</f>
        <v/>
      </c>
      <c r="M1849" s="85" t="str">
        <f>IFERROR(VLOOKUP(CONCATENATE($B1849,"_",M$3),materiali!$C:$K,6,0),"")</f>
        <v/>
      </c>
      <c r="N1849" s="86"/>
      <c r="O1849" s="84" t="str">
        <f>IFERROR(VLOOKUP(CONCATENATE($B1849,"_",O$3),materiali!$C:$K,5,0),"")</f>
        <v/>
      </c>
      <c r="P1849" s="85" t="str">
        <f>IFERROR(VLOOKUP(CONCATENATE($B1849,"_",P$3),materiali!$C:$K,6,0),"")</f>
        <v/>
      </c>
      <c r="Q1849" s="86"/>
      <c r="R1849" s="84" t="str">
        <f>IFERROR(VLOOKUP(CONCATENATE($B1849,"_",R$3),materiali!$C:$K,5,0),"")</f>
        <v/>
      </c>
      <c r="S1849" s="85" t="str">
        <f>IFERROR(VLOOKUP(CONCATENATE($B1849,"_",S$3),materiali!$C:$K,6,0),"")</f>
        <v/>
      </c>
      <c r="T1849" s="86"/>
      <c r="U1849" s="31"/>
      <c r="AD1849" s="97"/>
    </row>
    <row r="1850" spans="1:30" ht="35.1" hidden="1" customHeight="1" x14ac:dyDescent="0.25">
      <c r="A1850" s="83"/>
      <c r="B1850" s="7"/>
      <c r="C1850" s="8"/>
      <c r="D1850" s="8"/>
      <c r="E1850" s="60"/>
      <c r="F1850" s="84" t="str">
        <f>IFERROR(VLOOKUP(CONCATENATE($B1850,"_",F$3),materiali!$C:$K,5,0),"")</f>
        <v/>
      </c>
      <c r="G1850" s="85" t="str">
        <f>IFERROR(VLOOKUP(CONCATENATE($B1850,"_",G$3),materiali!$C:$K,6,0),"")</f>
        <v/>
      </c>
      <c r="H1850" s="86"/>
      <c r="I1850" s="84" t="str">
        <f>IFERROR(VLOOKUP(CONCATENATE($B1850,"_",I$3),materiali!$C:$K,5,0),"")</f>
        <v/>
      </c>
      <c r="J1850" s="85" t="str">
        <f>IFERROR(VLOOKUP(CONCATENATE($B1850,"_",J$3),materiali!$C:$K,6,0),"")</f>
        <v/>
      </c>
      <c r="K1850" s="86"/>
      <c r="L1850" s="84" t="str">
        <f>IFERROR(VLOOKUP(CONCATENATE($B1850,"_",L$3),materiali!$C:$K,5,0),"")</f>
        <v/>
      </c>
      <c r="M1850" s="85" t="str">
        <f>IFERROR(VLOOKUP(CONCATENATE($B1850,"_",M$3),materiali!$C:$K,6,0),"")</f>
        <v/>
      </c>
      <c r="N1850" s="86"/>
      <c r="O1850" s="84" t="str">
        <f>IFERROR(VLOOKUP(CONCATENATE($B1850,"_",O$3),materiali!$C:$K,5,0),"")</f>
        <v/>
      </c>
      <c r="P1850" s="85" t="str">
        <f>IFERROR(VLOOKUP(CONCATENATE($B1850,"_",P$3),materiali!$C:$K,6,0),"")</f>
        <v/>
      </c>
      <c r="Q1850" s="86"/>
      <c r="R1850" s="84" t="str">
        <f>IFERROR(VLOOKUP(CONCATENATE($B1850,"_",R$3),materiali!$C:$K,5,0),"")</f>
        <v/>
      </c>
      <c r="S1850" s="85" t="str">
        <f>IFERROR(VLOOKUP(CONCATENATE($B1850,"_",S$3),materiali!$C:$K,6,0),"")</f>
        <v/>
      </c>
      <c r="T1850" s="86"/>
      <c r="U1850" s="31"/>
      <c r="AD1850" s="97"/>
    </row>
    <row r="1851" spans="1:30" ht="35.1" hidden="1" customHeight="1" x14ac:dyDescent="0.25">
      <c r="A1851" s="83"/>
      <c r="B1851" s="7"/>
      <c r="C1851" s="8"/>
      <c r="D1851" s="8"/>
      <c r="E1851" s="60"/>
      <c r="F1851" s="84" t="str">
        <f>IFERROR(VLOOKUP(CONCATENATE($B1851,"_",F$3),materiali!$C:$K,5,0),"")</f>
        <v/>
      </c>
      <c r="G1851" s="85" t="str">
        <f>IFERROR(VLOOKUP(CONCATENATE($B1851,"_",G$3),materiali!$C:$K,6,0),"")</f>
        <v/>
      </c>
      <c r="H1851" s="86"/>
      <c r="I1851" s="84" t="str">
        <f>IFERROR(VLOOKUP(CONCATENATE($B1851,"_",I$3),materiali!$C:$K,5,0),"")</f>
        <v/>
      </c>
      <c r="J1851" s="85" t="str">
        <f>IFERROR(VLOOKUP(CONCATENATE($B1851,"_",J$3),materiali!$C:$K,6,0),"")</f>
        <v/>
      </c>
      <c r="K1851" s="86"/>
      <c r="L1851" s="84" t="str">
        <f>IFERROR(VLOOKUP(CONCATENATE($B1851,"_",L$3),materiali!$C:$K,5,0),"")</f>
        <v/>
      </c>
      <c r="M1851" s="85" t="str">
        <f>IFERROR(VLOOKUP(CONCATENATE($B1851,"_",M$3),materiali!$C:$K,6,0),"")</f>
        <v/>
      </c>
      <c r="N1851" s="86"/>
      <c r="O1851" s="84" t="str">
        <f>IFERROR(VLOOKUP(CONCATENATE($B1851,"_",O$3),materiali!$C:$K,5,0),"")</f>
        <v/>
      </c>
      <c r="P1851" s="85" t="str">
        <f>IFERROR(VLOOKUP(CONCATENATE($B1851,"_",P$3),materiali!$C:$K,6,0),"")</f>
        <v/>
      </c>
      <c r="Q1851" s="86"/>
      <c r="R1851" s="84" t="str">
        <f>IFERROR(VLOOKUP(CONCATENATE($B1851,"_",R$3),materiali!$C:$K,5,0),"")</f>
        <v/>
      </c>
      <c r="S1851" s="85" t="str">
        <f>IFERROR(VLOOKUP(CONCATENATE($B1851,"_",S$3),materiali!$C:$K,6,0),"")</f>
        <v/>
      </c>
      <c r="T1851" s="86"/>
      <c r="U1851" s="31"/>
      <c r="AD1851" s="97"/>
    </row>
    <row r="1852" spans="1:30" ht="35.1" hidden="1" customHeight="1" x14ac:dyDescent="0.25">
      <c r="A1852" s="83"/>
      <c r="B1852" s="7"/>
      <c r="C1852" s="8"/>
      <c r="D1852" s="8"/>
      <c r="E1852" s="60"/>
      <c r="F1852" s="84" t="str">
        <f>IFERROR(VLOOKUP(CONCATENATE($B1852,"_",F$3),materiali!$C:$K,5,0),"")</f>
        <v/>
      </c>
      <c r="G1852" s="85" t="str">
        <f>IFERROR(VLOOKUP(CONCATENATE($B1852,"_",G$3),materiali!$C:$K,6,0),"")</f>
        <v/>
      </c>
      <c r="H1852" s="86"/>
      <c r="I1852" s="84" t="str">
        <f>IFERROR(VLOOKUP(CONCATENATE($B1852,"_",I$3),materiali!$C:$K,5,0),"")</f>
        <v/>
      </c>
      <c r="J1852" s="85" t="str">
        <f>IFERROR(VLOOKUP(CONCATENATE($B1852,"_",J$3),materiali!$C:$K,6,0),"")</f>
        <v/>
      </c>
      <c r="K1852" s="86"/>
      <c r="L1852" s="84" t="str">
        <f>IFERROR(VLOOKUP(CONCATENATE($B1852,"_",L$3),materiali!$C:$K,5,0),"")</f>
        <v/>
      </c>
      <c r="M1852" s="85" t="str">
        <f>IFERROR(VLOOKUP(CONCATENATE($B1852,"_",M$3),materiali!$C:$K,6,0),"")</f>
        <v/>
      </c>
      <c r="N1852" s="86"/>
      <c r="O1852" s="84" t="str">
        <f>IFERROR(VLOOKUP(CONCATENATE($B1852,"_",O$3),materiali!$C:$K,5,0),"")</f>
        <v/>
      </c>
      <c r="P1852" s="85" t="str">
        <f>IFERROR(VLOOKUP(CONCATENATE($B1852,"_",P$3),materiali!$C:$K,6,0),"")</f>
        <v/>
      </c>
      <c r="Q1852" s="86"/>
      <c r="R1852" s="84" t="str">
        <f>IFERROR(VLOOKUP(CONCATENATE($B1852,"_",R$3),materiali!$C:$K,5,0),"")</f>
        <v/>
      </c>
      <c r="S1852" s="85" t="str">
        <f>IFERROR(VLOOKUP(CONCATENATE($B1852,"_",S$3),materiali!$C:$K,6,0),"")</f>
        <v/>
      </c>
      <c r="T1852" s="86"/>
      <c r="U1852" s="31"/>
      <c r="AD1852" s="97"/>
    </row>
    <row r="1853" spans="1:30" ht="35.1" hidden="1" customHeight="1" x14ac:dyDescent="0.25">
      <c r="A1853" s="83"/>
      <c r="B1853" s="7"/>
      <c r="C1853" s="8"/>
      <c r="D1853" s="8"/>
      <c r="E1853" s="60"/>
      <c r="F1853" s="84" t="str">
        <f>IFERROR(VLOOKUP(CONCATENATE($B1853,"_",F$3),materiali!$C:$K,5,0),"")</f>
        <v/>
      </c>
      <c r="G1853" s="85" t="str">
        <f>IFERROR(VLOOKUP(CONCATENATE($B1853,"_",G$3),materiali!$C:$K,6,0),"")</f>
        <v/>
      </c>
      <c r="H1853" s="86"/>
      <c r="I1853" s="84" t="str">
        <f>IFERROR(VLOOKUP(CONCATENATE($B1853,"_",I$3),materiali!$C:$K,5,0),"")</f>
        <v/>
      </c>
      <c r="J1853" s="85" t="str">
        <f>IFERROR(VLOOKUP(CONCATENATE($B1853,"_",J$3),materiali!$C:$K,6,0),"")</f>
        <v/>
      </c>
      <c r="K1853" s="86"/>
      <c r="L1853" s="84" t="str">
        <f>IFERROR(VLOOKUP(CONCATENATE($B1853,"_",L$3),materiali!$C:$K,5,0),"")</f>
        <v/>
      </c>
      <c r="M1853" s="85" t="str">
        <f>IFERROR(VLOOKUP(CONCATENATE($B1853,"_",M$3),materiali!$C:$K,6,0),"")</f>
        <v/>
      </c>
      <c r="N1853" s="86"/>
      <c r="O1853" s="84" t="str">
        <f>IFERROR(VLOOKUP(CONCATENATE($B1853,"_",O$3),materiali!$C:$K,5,0),"")</f>
        <v/>
      </c>
      <c r="P1853" s="85" t="str">
        <f>IFERROR(VLOOKUP(CONCATENATE($B1853,"_",P$3),materiali!$C:$K,6,0),"")</f>
        <v/>
      </c>
      <c r="Q1853" s="86"/>
      <c r="R1853" s="84" t="str">
        <f>IFERROR(VLOOKUP(CONCATENATE($B1853,"_",R$3),materiali!$C:$K,5,0),"")</f>
        <v/>
      </c>
      <c r="S1853" s="85" t="str">
        <f>IFERROR(VLOOKUP(CONCATENATE($B1853,"_",S$3),materiali!$C:$K,6,0),"")</f>
        <v/>
      </c>
      <c r="T1853" s="86"/>
      <c r="U1853" s="31"/>
      <c r="AD1853" s="97"/>
    </row>
    <row r="1854" spans="1:30" ht="35.1" hidden="1" customHeight="1" x14ac:dyDescent="0.25">
      <c r="A1854" s="83"/>
      <c r="B1854" s="7"/>
      <c r="C1854" s="8"/>
      <c r="D1854" s="8"/>
      <c r="E1854" s="60"/>
      <c r="F1854" s="84" t="str">
        <f>IFERROR(VLOOKUP(CONCATENATE($B1854,"_",F$3),materiali!$C:$K,5,0),"")</f>
        <v/>
      </c>
      <c r="G1854" s="85" t="str">
        <f>IFERROR(VLOOKUP(CONCATENATE($B1854,"_",G$3),materiali!$C:$K,6,0),"")</f>
        <v/>
      </c>
      <c r="H1854" s="86"/>
      <c r="I1854" s="84" t="str">
        <f>IFERROR(VLOOKUP(CONCATENATE($B1854,"_",I$3),materiali!$C:$K,5,0),"")</f>
        <v/>
      </c>
      <c r="J1854" s="85" t="str">
        <f>IFERROR(VLOOKUP(CONCATENATE($B1854,"_",J$3),materiali!$C:$K,6,0),"")</f>
        <v/>
      </c>
      <c r="K1854" s="86"/>
      <c r="L1854" s="84" t="str">
        <f>IFERROR(VLOOKUP(CONCATENATE($B1854,"_",L$3),materiali!$C:$K,5,0),"")</f>
        <v/>
      </c>
      <c r="M1854" s="85" t="str">
        <f>IFERROR(VLOOKUP(CONCATENATE($B1854,"_",M$3),materiali!$C:$K,6,0),"")</f>
        <v/>
      </c>
      <c r="N1854" s="86"/>
      <c r="O1854" s="84" t="str">
        <f>IFERROR(VLOOKUP(CONCATENATE($B1854,"_",O$3),materiali!$C:$K,5,0),"")</f>
        <v/>
      </c>
      <c r="P1854" s="85" t="str">
        <f>IFERROR(VLOOKUP(CONCATENATE($B1854,"_",P$3),materiali!$C:$K,6,0),"")</f>
        <v/>
      </c>
      <c r="Q1854" s="86"/>
      <c r="R1854" s="84" t="str">
        <f>IFERROR(VLOOKUP(CONCATENATE($B1854,"_",R$3),materiali!$C:$K,5,0),"")</f>
        <v/>
      </c>
      <c r="S1854" s="85" t="str">
        <f>IFERROR(VLOOKUP(CONCATENATE($B1854,"_",S$3),materiali!$C:$K,6,0),"")</f>
        <v/>
      </c>
      <c r="T1854" s="86"/>
      <c r="U1854" s="31"/>
      <c r="AD1854" s="97"/>
    </row>
    <row r="1855" spans="1:30" ht="35.1" hidden="1" customHeight="1" x14ac:dyDescent="0.25">
      <c r="A1855" s="83"/>
      <c r="B1855" s="7"/>
      <c r="C1855" s="8"/>
      <c r="D1855" s="8"/>
      <c r="E1855" s="60"/>
      <c r="F1855" s="84" t="str">
        <f>IFERROR(VLOOKUP(CONCATENATE($B1855,"_",F$3),materiali!$C:$K,5,0),"")</f>
        <v/>
      </c>
      <c r="G1855" s="85" t="str">
        <f>IFERROR(VLOOKUP(CONCATENATE($B1855,"_",G$3),materiali!$C:$K,6,0),"")</f>
        <v/>
      </c>
      <c r="H1855" s="86"/>
      <c r="I1855" s="84" t="str">
        <f>IFERROR(VLOOKUP(CONCATENATE($B1855,"_",I$3),materiali!$C:$K,5,0),"")</f>
        <v/>
      </c>
      <c r="J1855" s="85" t="str">
        <f>IFERROR(VLOOKUP(CONCATENATE($B1855,"_",J$3),materiali!$C:$K,6,0),"")</f>
        <v/>
      </c>
      <c r="K1855" s="86"/>
      <c r="L1855" s="84" t="str">
        <f>IFERROR(VLOOKUP(CONCATENATE($B1855,"_",L$3),materiali!$C:$K,5,0),"")</f>
        <v/>
      </c>
      <c r="M1855" s="85" t="str">
        <f>IFERROR(VLOOKUP(CONCATENATE($B1855,"_",M$3),materiali!$C:$K,6,0),"")</f>
        <v/>
      </c>
      <c r="N1855" s="86"/>
      <c r="O1855" s="84" t="str">
        <f>IFERROR(VLOOKUP(CONCATENATE($B1855,"_",O$3),materiali!$C:$K,5,0),"")</f>
        <v/>
      </c>
      <c r="P1855" s="85" t="str">
        <f>IFERROR(VLOOKUP(CONCATENATE($B1855,"_",P$3),materiali!$C:$K,6,0),"")</f>
        <v/>
      </c>
      <c r="Q1855" s="86"/>
      <c r="R1855" s="84" t="str">
        <f>IFERROR(VLOOKUP(CONCATENATE($B1855,"_",R$3),materiali!$C:$K,5,0),"")</f>
        <v/>
      </c>
      <c r="S1855" s="85" t="str">
        <f>IFERROR(VLOOKUP(CONCATENATE($B1855,"_",S$3),materiali!$C:$K,6,0),"")</f>
        <v/>
      </c>
      <c r="T1855" s="86"/>
      <c r="U1855" s="31"/>
      <c r="AD1855" s="97"/>
    </row>
    <row r="1856" spans="1:30" ht="35.1" hidden="1" customHeight="1" x14ac:dyDescent="0.25">
      <c r="A1856" s="83"/>
      <c r="B1856" s="7"/>
      <c r="C1856" s="8"/>
      <c r="D1856" s="8"/>
      <c r="E1856" s="60"/>
      <c r="F1856" s="84" t="str">
        <f>IFERROR(VLOOKUP(CONCATENATE($B1856,"_",F$3),materiali!$C:$K,5,0),"")</f>
        <v/>
      </c>
      <c r="G1856" s="85" t="str">
        <f>IFERROR(VLOOKUP(CONCATENATE($B1856,"_",G$3),materiali!$C:$K,6,0),"")</f>
        <v/>
      </c>
      <c r="H1856" s="86"/>
      <c r="I1856" s="84" t="str">
        <f>IFERROR(VLOOKUP(CONCATENATE($B1856,"_",I$3),materiali!$C:$K,5,0),"")</f>
        <v/>
      </c>
      <c r="J1856" s="85" t="str">
        <f>IFERROR(VLOOKUP(CONCATENATE($B1856,"_",J$3),materiali!$C:$K,6,0),"")</f>
        <v/>
      </c>
      <c r="K1856" s="86"/>
      <c r="L1856" s="84" t="str">
        <f>IFERROR(VLOOKUP(CONCATENATE($B1856,"_",L$3),materiali!$C:$K,5,0),"")</f>
        <v/>
      </c>
      <c r="M1856" s="85" t="str">
        <f>IFERROR(VLOOKUP(CONCATENATE($B1856,"_",M$3),materiali!$C:$K,6,0),"")</f>
        <v/>
      </c>
      <c r="N1856" s="86"/>
      <c r="O1856" s="84" t="str">
        <f>IFERROR(VLOOKUP(CONCATENATE($B1856,"_",O$3),materiali!$C:$K,5,0),"")</f>
        <v/>
      </c>
      <c r="P1856" s="85" t="str">
        <f>IFERROR(VLOOKUP(CONCATENATE($B1856,"_",P$3),materiali!$C:$K,6,0),"")</f>
        <v/>
      </c>
      <c r="Q1856" s="86"/>
      <c r="R1856" s="84" t="str">
        <f>IFERROR(VLOOKUP(CONCATENATE($B1856,"_",R$3),materiali!$C:$K,5,0),"")</f>
        <v/>
      </c>
      <c r="S1856" s="85" t="str">
        <f>IFERROR(VLOOKUP(CONCATENATE($B1856,"_",S$3),materiali!$C:$K,6,0),"")</f>
        <v/>
      </c>
      <c r="T1856" s="86"/>
      <c r="U1856" s="31"/>
      <c r="AD1856" s="97"/>
    </row>
    <row r="1857" spans="1:30" ht="35.1" hidden="1" customHeight="1" x14ac:dyDescent="0.25">
      <c r="A1857" s="83"/>
      <c r="B1857" s="7"/>
      <c r="C1857" s="8"/>
      <c r="D1857" s="8"/>
      <c r="E1857" s="60"/>
      <c r="F1857" s="84" t="str">
        <f>IFERROR(VLOOKUP(CONCATENATE($B1857,"_",F$3),materiali!$C:$K,5,0),"")</f>
        <v/>
      </c>
      <c r="G1857" s="85" t="str">
        <f>IFERROR(VLOOKUP(CONCATENATE($B1857,"_",G$3),materiali!$C:$K,6,0),"")</f>
        <v/>
      </c>
      <c r="H1857" s="86"/>
      <c r="I1857" s="84" t="str">
        <f>IFERROR(VLOOKUP(CONCATENATE($B1857,"_",I$3),materiali!$C:$K,5,0),"")</f>
        <v/>
      </c>
      <c r="J1857" s="85" t="str">
        <f>IFERROR(VLOOKUP(CONCATENATE($B1857,"_",J$3),materiali!$C:$K,6,0),"")</f>
        <v/>
      </c>
      <c r="K1857" s="86"/>
      <c r="L1857" s="84" t="str">
        <f>IFERROR(VLOOKUP(CONCATENATE($B1857,"_",L$3),materiali!$C:$K,5,0),"")</f>
        <v/>
      </c>
      <c r="M1857" s="85" t="str">
        <f>IFERROR(VLOOKUP(CONCATENATE($B1857,"_",M$3),materiali!$C:$K,6,0),"")</f>
        <v/>
      </c>
      <c r="N1857" s="86"/>
      <c r="O1857" s="84" t="str">
        <f>IFERROR(VLOOKUP(CONCATENATE($B1857,"_",O$3),materiali!$C:$K,5,0),"")</f>
        <v/>
      </c>
      <c r="P1857" s="85" t="str">
        <f>IFERROR(VLOOKUP(CONCATENATE($B1857,"_",P$3),materiali!$C:$K,6,0),"")</f>
        <v/>
      </c>
      <c r="Q1857" s="86"/>
      <c r="R1857" s="84" t="str">
        <f>IFERROR(VLOOKUP(CONCATENATE($B1857,"_",R$3),materiali!$C:$K,5,0),"")</f>
        <v/>
      </c>
      <c r="S1857" s="85" t="str">
        <f>IFERROR(VLOOKUP(CONCATENATE($B1857,"_",S$3),materiali!$C:$K,6,0),"")</f>
        <v/>
      </c>
      <c r="T1857" s="86"/>
      <c r="U1857" s="31"/>
      <c r="AD1857" s="97"/>
    </row>
    <row r="1858" spans="1:30" ht="35.1" hidden="1" customHeight="1" x14ac:dyDescent="0.25">
      <c r="A1858" s="83"/>
      <c r="B1858" s="7"/>
      <c r="C1858" s="8"/>
      <c r="D1858" s="8"/>
      <c r="E1858" s="60"/>
      <c r="F1858" s="84" t="str">
        <f>IFERROR(VLOOKUP(CONCATENATE($B1858,"_",F$3),materiali!$C:$K,5,0),"")</f>
        <v/>
      </c>
      <c r="G1858" s="85" t="str">
        <f>IFERROR(VLOOKUP(CONCATENATE($B1858,"_",G$3),materiali!$C:$K,6,0),"")</f>
        <v/>
      </c>
      <c r="H1858" s="86"/>
      <c r="I1858" s="84" t="str">
        <f>IFERROR(VLOOKUP(CONCATENATE($B1858,"_",I$3),materiali!$C:$K,5,0),"")</f>
        <v/>
      </c>
      <c r="J1858" s="85" t="str">
        <f>IFERROR(VLOOKUP(CONCATENATE($B1858,"_",J$3),materiali!$C:$K,6,0),"")</f>
        <v/>
      </c>
      <c r="K1858" s="86"/>
      <c r="L1858" s="84" t="str">
        <f>IFERROR(VLOOKUP(CONCATENATE($B1858,"_",L$3),materiali!$C:$K,5,0),"")</f>
        <v/>
      </c>
      <c r="M1858" s="85" t="str">
        <f>IFERROR(VLOOKUP(CONCATENATE($B1858,"_",M$3),materiali!$C:$K,6,0),"")</f>
        <v/>
      </c>
      <c r="N1858" s="86"/>
      <c r="O1858" s="84" t="str">
        <f>IFERROR(VLOOKUP(CONCATENATE($B1858,"_",O$3),materiali!$C:$K,5,0),"")</f>
        <v/>
      </c>
      <c r="P1858" s="85" t="str">
        <f>IFERROR(VLOOKUP(CONCATENATE($B1858,"_",P$3),materiali!$C:$K,6,0),"")</f>
        <v/>
      </c>
      <c r="Q1858" s="86"/>
      <c r="R1858" s="84" t="str">
        <f>IFERROR(VLOOKUP(CONCATENATE($B1858,"_",R$3),materiali!$C:$K,5,0),"")</f>
        <v/>
      </c>
      <c r="S1858" s="85" t="str">
        <f>IFERROR(VLOOKUP(CONCATENATE($B1858,"_",S$3),materiali!$C:$K,6,0),"")</f>
        <v/>
      </c>
      <c r="T1858" s="86"/>
      <c r="U1858" s="31"/>
      <c r="AD1858" s="97"/>
    </row>
    <row r="1859" spans="1:30" ht="35.1" hidden="1" customHeight="1" x14ac:dyDescent="0.25">
      <c r="A1859" s="83"/>
      <c r="B1859" s="7"/>
      <c r="C1859" s="8"/>
      <c r="D1859" s="8"/>
      <c r="E1859" s="60"/>
      <c r="F1859" s="84" t="str">
        <f>IFERROR(VLOOKUP(CONCATENATE($B1859,"_",F$3),materiali!$C:$K,5,0),"")</f>
        <v/>
      </c>
      <c r="G1859" s="85" t="str">
        <f>IFERROR(VLOOKUP(CONCATENATE($B1859,"_",G$3),materiali!$C:$K,6,0),"")</f>
        <v/>
      </c>
      <c r="H1859" s="86"/>
      <c r="I1859" s="84" t="str">
        <f>IFERROR(VLOOKUP(CONCATENATE($B1859,"_",I$3),materiali!$C:$K,5,0),"")</f>
        <v/>
      </c>
      <c r="J1859" s="85" t="str">
        <f>IFERROR(VLOOKUP(CONCATENATE($B1859,"_",J$3),materiali!$C:$K,6,0),"")</f>
        <v/>
      </c>
      <c r="K1859" s="86"/>
      <c r="L1859" s="84" t="str">
        <f>IFERROR(VLOOKUP(CONCATENATE($B1859,"_",L$3),materiali!$C:$K,5,0),"")</f>
        <v/>
      </c>
      <c r="M1859" s="85" t="str">
        <f>IFERROR(VLOOKUP(CONCATENATE($B1859,"_",M$3),materiali!$C:$K,6,0),"")</f>
        <v/>
      </c>
      <c r="N1859" s="86"/>
      <c r="O1859" s="84" t="str">
        <f>IFERROR(VLOOKUP(CONCATENATE($B1859,"_",O$3),materiali!$C:$K,5,0),"")</f>
        <v/>
      </c>
      <c r="P1859" s="85" t="str">
        <f>IFERROR(VLOOKUP(CONCATENATE($B1859,"_",P$3),materiali!$C:$K,6,0),"")</f>
        <v/>
      </c>
      <c r="Q1859" s="86"/>
      <c r="R1859" s="84" t="str">
        <f>IFERROR(VLOOKUP(CONCATENATE($B1859,"_",R$3),materiali!$C:$K,5,0),"")</f>
        <v/>
      </c>
      <c r="S1859" s="85" t="str">
        <f>IFERROR(VLOOKUP(CONCATENATE($B1859,"_",S$3),materiali!$C:$K,6,0),"")</f>
        <v/>
      </c>
      <c r="T1859" s="86"/>
      <c r="U1859" s="31"/>
      <c r="AD1859" s="97"/>
    </row>
    <row r="1860" spans="1:30" ht="35.1" hidden="1" customHeight="1" x14ac:dyDescent="0.25">
      <c r="A1860" s="83"/>
      <c r="B1860" s="7"/>
      <c r="C1860" s="8"/>
      <c r="D1860" s="8"/>
      <c r="E1860" s="60"/>
      <c r="F1860" s="84" t="str">
        <f>IFERROR(VLOOKUP(CONCATENATE($B1860,"_",F$3),materiali!$C:$K,5,0),"")</f>
        <v/>
      </c>
      <c r="G1860" s="85" t="str">
        <f>IFERROR(VLOOKUP(CONCATENATE($B1860,"_",G$3),materiali!$C:$K,6,0),"")</f>
        <v/>
      </c>
      <c r="H1860" s="86"/>
      <c r="I1860" s="84" t="str">
        <f>IFERROR(VLOOKUP(CONCATENATE($B1860,"_",I$3),materiali!$C:$K,5,0),"")</f>
        <v/>
      </c>
      <c r="J1860" s="85" t="str">
        <f>IFERROR(VLOOKUP(CONCATENATE($B1860,"_",J$3),materiali!$C:$K,6,0),"")</f>
        <v/>
      </c>
      <c r="K1860" s="86"/>
      <c r="L1860" s="84" t="str">
        <f>IFERROR(VLOOKUP(CONCATENATE($B1860,"_",L$3),materiali!$C:$K,5,0),"")</f>
        <v/>
      </c>
      <c r="M1860" s="85" t="str">
        <f>IFERROR(VLOOKUP(CONCATENATE($B1860,"_",M$3),materiali!$C:$K,6,0),"")</f>
        <v/>
      </c>
      <c r="N1860" s="86"/>
      <c r="O1860" s="84" t="str">
        <f>IFERROR(VLOOKUP(CONCATENATE($B1860,"_",O$3),materiali!$C:$K,5,0),"")</f>
        <v/>
      </c>
      <c r="P1860" s="85" t="str">
        <f>IFERROR(VLOOKUP(CONCATENATE($B1860,"_",P$3),materiali!$C:$K,6,0),"")</f>
        <v/>
      </c>
      <c r="Q1860" s="86"/>
      <c r="R1860" s="84" t="str">
        <f>IFERROR(VLOOKUP(CONCATENATE($B1860,"_",R$3),materiali!$C:$K,5,0),"")</f>
        <v/>
      </c>
      <c r="S1860" s="85" t="str">
        <f>IFERROR(VLOOKUP(CONCATENATE($B1860,"_",S$3),materiali!$C:$K,6,0),"")</f>
        <v/>
      </c>
      <c r="T1860" s="86"/>
      <c r="U1860" s="31"/>
      <c r="AD1860" s="97"/>
    </row>
    <row r="1861" spans="1:30" ht="35.1" hidden="1" customHeight="1" x14ac:dyDescent="0.25">
      <c r="A1861" s="83"/>
      <c r="B1861" s="7"/>
      <c r="C1861" s="8"/>
      <c r="D1861" s="8"/>
      <c r="E1861" s="60"/>
      <c r="F1861" s="84" t="str">
        <f>IFERROR(VLOOKUP(CONCATENATE($B1861,"_",F$3),materiali!$C:$K,5,0),"")</f>
        <v/>
      </c>
      <c r="G1861" s="85" t="str">
        <f>IFERROR(VLOOKUP(CONCATENATE($B1861,"_",G$3),materiali!$C:$K,6,0),"")</f>
        <v/>
      </c>
      <c r="H1861" s="86"/>
      <c r="I1861" s="84" t="str">
        <f>IFERROR(VLOOKUP(CONCATENATE($B1861,"_",I$3),materiali!$C:$K,5,0),"")</f>
        <v/>
      </c>
      <c r="J1861" s="85" t="str">
        <f>IFERROR(VLOOKUP(CONCATENATE($B1861,"_",J$3),materiali!$C:$K,6,0),"")</f>
        <v/>
      </c>
      <c r="K1861" s="86"/>
      <c r="L1861" s="84" t="str">
        <f>IFERROR(VLOOKUP(CONCATENATE($B1861,"_",L$3),materiali!$C:$K,5,0),"")</f>
        <v/>
      </c>
      <c r="M1861" s="85" t="str">
        <f>IFERROR(VLOOKUP(CONCATENATE($B1861,"_",M$3),materiali!$C:$K,6,0),"")</f>
        <v/>
      </c>
      <c r="N1861" s="86"/>
      <c r="O1861" s="84" t="str">
        <f>IFERROR(VLOOKUP(CONCATENATE($B1861,"_",O$3),materiali!$C:$K,5,0),"")</f>
        <v/>
      </c>
      <c r="P1861" s="85" t="str">
        <f>IFERROR(VLOOKUP(CONCATENATE($B1861,"_",P$3),materiali!$C:$K,6,0),"")</f>
        <v/>
      </c>
      <c r="Q1861" s="86"/>
      <c r="R1861" s="84" t="str">
        <f>IFERROR(VLOOKUP(CONCATENATE($B1861,"_",R$3),materiali!$C:$K,5,0),"")</f>
        <v/>
      </c>
      <c r="S1861" s="85" t="str">
        <f>IFERROR(VLOOKUP(CONCATENATE($B1861,"_",S$3),materiali!$C:$K,6,0),"")</f>
        <v/>
      </c>
      <c r="T1861" s="86"/>
      <c r="U1861" s="31"/>
      <c r="AD1861" s="97"/>
    </row>
    <row r="1862" spans="1:30" ht="35.1" hidden="1" customHeight="1" x14ac:dyDescent="0.25">
      <c r="A1862" s="83"/>
      <c r="B1862" s="7"/>
      <c r="C1862" s="8"/>
      <c r="D1862" s="8"/>
      <c r="E1862" s="60"/>
      <c r="F1862" s="84" t="str">
        <f>IFERROR(VLOOKUP(CONCATENATE($B1862,"_",F$3),materiali!$C:$K,5,0),"")</f>
        <v/>
      </c>
      <c r="G1862" s="85" t="str">
        <f>IFERROR(VLOOKUP(CONCATENATE($B1862,"_",G$3),materiali!$C:$K,6,0),"")</f>
        <v/>
      </c>
      <c r="H1862" s="86"/>
      <c r="I1862" s="84" t="str">
        <f>IFERROR(VLOOKUP(CONCATENATE($B1862,"_",I$3),materiali!$C:$K,5,0),"")</f>
        <v/>
      </c>
      <c r="J1862" s="85" t="str">
        <f>IFERROR(VLOOKUP(CONCATENATE($B1862,"_",J$3),materiali!$C:$K,6,0),"")</f>
        <v/>
      </c>
      <c r="K1862" s="86"/>
      <c r="L1862" s="84" t="str">
        <f>IFERROR(VLOOKUP(CONCATENATE($B1862,"_",L$3),materiali!$C:$K,5,0),"")</f>
        <v/>
      </c>
      <c r="M1862" s="85" t="str">
        <f>IFERROR(VLOOKUP(CONCATENATE($B1862,"_",M$3),materiali!$C:$K,6,0),"")</f>
        <v/>
      </c>
      <c r="N1862" s="86"/>
      <c r="O1862" s="84" t="str">
        <f>IFERROR(VLOOKUP(CONCATENATE($B1862,"_",O$3),materiali!$C:$K,5,0),"")</f>
        <v/>
      </c>
      <c r="P1862" s="85" t="str">
        <f>IFERROR(VLOOKUP(CONCATENATE($B1862,"_",P$3),materiali!$C:$K,6,0),"")</f>
        <v/>
      </c>
      <c r="Q1862" s="86"/>
      <c r="R1862" s="84" t="str">
        <f>IFERROR(VLOOKUP(CONCATENATE($B1862,"_",R$3),materiali!$C:$K,5,0),"")</f>
        <v/>
      </c>
      <c r="S1862" s="85" t="str">
        <f>IFERROR(VLOOKUP(CONCATENATE($B1862,"_",S$3),materiali!$C:$K,6,0),"")</f>
        <v/>
      </c>
      <c r="T1862" s="86"/>
      <c r="U1862" s="31"/>
      <c r="AD1862" s="97"/>
    </row>
    <row r="1863" spans="1:30" ht="35.1" hidden="1" customHeight="1" x14ac:dyDescent="0.25">
      <c r="A1863" s="83"/>
      <c r="B1863" s="7"/>
      <c r="C1863" s="8"/>
      <c r="D1863" s="8"/>
      <c r="E1863" s="60"/>
      <c r="F1863" s="84" t="str">
        <f>IFERROR(VLOOKUP(CONCATENATE($B1863,"_",F$3),materiali!$C:$K,5,0),"")</f>
        <v/>
      </c>
      <c r="G1863" s="85" t="str">
        <f>IFERROR(VLOOKUP(CONCATENATE($B1863,"_",G$3),materiali!$C:$K,6,0),"")</f>
        <v/>
      </c>
      <c r="H1863" s="86"/>
      <c r="I1863" s="84" t="str">
        <f>IFERROR(VLOOKUP(CONCATENATE($B1863,"_",I$3),materiali!$C:$K,5,0),"")</f>
        <v/>
      </c>
      <c r="J1863" s="85" t="str">
        <f>IFERROR(VLOOKUP(CONCATENATE($B1863,"_",J$3),materiali!$C:$K,6,0),"")</f>
        <v/>
      </c>
      <c r="K1863" s="86"/>
      <c r="L1863" s="84" t="str">
        <f>IFERROR(VLOOKUP(CONCATENATE($B1863,"_",L$3),materiali!$C:$K,5,0),"")</f>
        <v/>
      </c>
      <c r="M1863" s="85" t="str">
        <f>IFERROR(VLOOKUP(CONCATENATE($B1863,"_",M$3),materiali!$C:$K,6,0),"")</f>
        <v/>
      </c>
      <c r="N1863" s="86"/>
      <c r="O1863" s="84" t="str">
        <f>IFERROR(VLOOKUP(CONCATENATE($B1863,"_",O$3),materiali!$C:$K,5,0),"")</f>
        <v/>
      </c>
      <c r="P1863" s="85" t="str">
        <f>IFERROR(VLOOKUP(CONCATENATE($B1863,"_",P$3),materiali!$C:$K,6,0),"")</f>
        <v/>
      </c>
      <c r="Q1863" s="86"/>
      <c r="R1863" s="84" t="str">
        <f>IFERROR(VLOOKUP(CONCATENATE($B1863,"_",R$3),materiali!$C:$K,5,0),"")</f>
        <v/>
      </c>
      <c r="S1863" s="85" t="str">
        <f>IFERROR(VLOOKUP(CONCATENATE($B1863,"_",S$3),materiali!$C:$K,6,0),"")</f>
        <v/>
      </c>
      <c r="T1863" s="86"/>
      <c r="U1863" s="31"/>
      <c r="AD1863" s="97"/>
    </row>
    <row r="1864" spans="1:30" ht="35.1" hidden="1" customHeight="1" x14ac:dyDescent="0.25">
      <c r="A1864" s="83"/>
      <c r="B1864" s="7"/>
      <c r="C1864" s="8"/>
      <c r="D1864" s="8"/>
      <c r="E1864" s="60"/>
      <c r="F1864" s="84" t="str">
        <f>IFERROR(VLOOKUP(CONCATENATE($B1864,"_",F$3),materiali!$C:$K,5,0),"")</f>
        <v/>
      </c>
      <c r="G1864" s="85" t="str">
        <f>IFERROR(VLOOKUP(CONCATENATE($B1864,"_",G$3),materiali!$C:$K,6,0),"")</f>
        <v/>
      </c>
      <c r="H1864" s="86"/>
      <c r="I1864" s="84" t="str">
        <f>IFERROR(VLOOKUP(CONCATENATE($B1864,"_",I$3),materiali!$C:$K,5,0),"")</f>
        <v/>
      </c>
      <c r="J1864" s="85" t="str">
        <f>IFERROR(VLOOKUP(CONCATENATE($B1864,"_",J$3),materiali!$C:$K,6,0),"")</f>
        <v/>
      </c>
      <c r="K1864" s="86"/>
      <c r="L1864" s="84" t="str">
        <f>IFERROR(VLOOKUP(CONCATENATE($B1864,"_",L$3),materiali!$C:$K,5,0),"")</f>
        <v/>
      </c>
      <c r="M1864" s="85" t="str">
        <f>IFERROR(VLOOKUP(CONCATENATE($B1864,"_",M$3),materiali!$C:$K,6,0),"")</f>
        <v/>
      </c>
      <c r="N1864" s="86"/>
      <c r="O1864" s="84" t="str">
        <f>IFERROR(VLOOKUP(CONCATENATE($B1864,"_",O$3),materiali!$C:$K,5,0),"")</f>
        <v/>
      </c>
      <c r="P1864" s="85" t="str">
        <f>IFERROR(VLOOKUP(CONCATENATE($B1864,"_",P$3),materiali!$C:$K,6,0),"")</f>
        <v/>
      </c>
      <c r="Q1864" s="86"/>
      <c r="R1864" s="84" t="str">
        <f>IFERROR(VLOOKUP(CONCATENATE($B1864,"_",R$3),materiali!$C:$K,5,0),"")</f>
        <v/>
      </c>
      <c r="S1864" s="85" t="str">
        <f>IFERROR(VLOOKUP(CONCATENATE($B1864,"_",S$3),materiali!$C:$K,6,0),"")</f>
        <v/>
      </c>
      <c r="T1864" s="86"/>
      <c r="U1864" s="31"/>
      <c r="AD1864" s="97"/>
    </row>
    <row r="1865" spans="1:30" ht="35.1" hidden="1" customHeight="1" x14ac:dyDescent="0.25">
      <c r="A1865" s="83"/>
      <c r="B1865" s="7"/>
      <c r="C1865" s="8"/>
      <c r="D1865" s="8"/>
      <c r="E1865" s="60"/>
      <c r="F1865" s="84" t="str">
        <f>IFERROR(VLOOKUP(CONCATENATE($B1865,"_",F$3),materiali!$C:$K,5,0),"")</f>
        <v/>
      </c>
      <c r="G1865" s="85" t="str">
        <f>IFERROR(VLOOKUP(CONCATENATE($B1865,"_",G$3),materiali!$C:$K,6,0),"")</f>
        <v/>
      </c>
      <c r="H1865" s="86"/>
      <c r="I1865" s="84" t="str">
        <f>IFERROR(VLOOKUP(CONCATENATE($B1865,"_",I$3),materiali!$C:$K,5,0),"")</f>
        <v/>
      </c>
      <c r="J1865" s="85" t="str">
        <f>IFERROR(VLOOKUP(CONCATENATE($B1865,"_",J$3),materiali!$C:$K,6,0),"")</f>
        <v/>
      </c>
      <c r="K1865" s="86"/>
      <c r="L1865" s="84" t="str">
        <f>IFERROR(VLOOKUP(CONCATENATE($B1865,"_",L$3),materiali!$C:$K,5,0),"")</f>
        <v/>
      </c>
      <c r="M1865" s="85" t="str">
        <f>IFERROR(VLOOKUP(CONCATENATE($B1865,"_",M$3),materiali!$C:$K,6,0),"")</f>
        <v/>
      </c>
      <c r="N1865" s="86"/>
      <c r="O1865" s="84" t="str">
        <f>IFERROR(VLOOKUP(CONCATENATE($B1865,"_",O$3),materiali!$C:$K,5,0),"")</f>
        <v/>
      </c>
      <c r="P1865" s="85" t="str">
        <f>IFERROR(VLOOKUP(CONCATENATE($B1865,"_",P$3),materiali!$C:$K,6,0),"")</f>
        <v/>
      </c>
      <c r="Q1865" s="86"/>
      <c r="R1865" s="84" t="str">
        <f>IFERROR(VLOOKUP(CONCATENATE($B1865,"_",R$3),materiali!$C:$K,5,0),"")</f>
        <v/>
      </c>
      <c r="S1865" s="85" t="str">
        <f>IFERROR(VLOOKUP(CONCATENATE($B1865,"_",S$3),materiali!$C:$K,6,0),"")</f>
        <v/>
      </c>
      <c r="T1865" s="86"/>
      <c r="U1865" s="31"/>
      <c r="AD1865" s="97"/>
    </row>
    <row r="1866" spans="1:30" ht="35.1" hidden="1" customHeight="1" x14ac:dyDescent="0.25">
      <c r="A1866" s="83"/>
      <c r="B1866" s="7"/>
      <c r="C1866" s="8"/>
      <c r="D1866" s="8"/>
      <c r="E1866" s="60"/>
      <c r="F1866" s="84" t="str">
        <f>IFERROR(VLOOKUP(CONCATENATE($B1866,"_",F$3),materiali!$C:$K,5,0),"")</f>
        <v/>
      </c>
      <c r="G1866" s="85" t="str">
        <f>IFERROR(VLOOKUP(CONCATENATE($B1866,"_",G$3),materiali!$C:$K,6,0),"")</f>
        <v/>
      </c>
      <c r="H1866" s="86"/>
      <c r="I1866" s="84" t="str">
        <f>IFERROR(VLOOKUP(CONCATENATE($B1866,"_",I$3),materiali!$C:$K,5,0),"")</f>
        <v/>
      </c>
      <c r="J1866" s="85" t="str">
        <f>IFERROR(VLOOKUP(CONCATENATE($B1866,"_",J$3),materiali!$C:$K,6,0),"")</f>
        <v/>
      </c>
      <c r="K1866" s="86"/>
      <c r="L1866" s="84" t="str">
        <f>IFERROR(VLOOKUP(CONCATENATE($B1866,"_",L$3),materiali!$C:$K,5,0),"")</f>
        <v/>
      </c>
      <c r="M1866" s="85" t="str">
        <f>IFERROR(VLOOKUP(CONCATENATE($B1866,"_",M$3),materiali!$C:$K,6,0),"")</f>
        <v/>
      </c>
      <c r="N1866" s="86"/>
      <c r="O1866" s="84" t="str">
        <f>IFERROR(VLOOKUP(CONCATENATE($B1866,"_",O$3),materiali!$C:$K,5,0),"")</f>
        <v/>
      </c>
      <c r="P1866" s="85" t="str">
        <f>IFERROR(VLOOKUP(CONCATENATE($B1866,"_",P$3),materiali!$C:$K,6,0),"")</f>
        <v/>
      </c>
      <c r="Q1866" s="86"/>
      <c r="R1866" s="84" t="str">
        <f>IFERROR(VLOOKUP(CONCATENATE($B1866,"_",R$3),materiali!$C:$K,5,0),"")</f>
        <v/>
      </c>
      <c r="S1866" s="85" t="str">
        <f>IFERROR(VLOOKUP(CONCATENATE($B1866,"_",S$3),materiali!$C:$K,6,0),"")</f>
        <v/>
      </c>
      <c r="T1866" s="86"/>
      <c r="U1866" s="31"/>
      <c r="AD1866" s="97"/>
    </row>
    <row r="1867" spans="1:30" ht="35.1" hidden="1" customHeight="1" x14ac:dyDescent="0.25">
      <c r="A1867" s="83"/>
      <c r="B1867" s="7"/>
      <c r="C1867" s="8"/>
      <c r="D1867" s="8"/>
      <c r="E1867" s="60"/>
      <c r="F1867" s="84" t="str">
        <f>IFERROR(VLOOKUP(CONCATENATE($B1867,"_",F$3),materiali!$C:$K,5,0),"")</f>
        <v/>
      </c>
      <c r="G1867" s="85" t="str">
        <f>IFERROR(VLOOKUP(CONCATENATE($B1867,"_",G$3),materiali!$C:$K,6,0),"")</f>
        <v/>
      </c>
      <c r="H1867" s="86"/>
      <c r="I1867" s="84" t="str">
        <f>IFERROR(VLOOKUP(CONCATENATE($B1867,"_",I$3),materiali!$C:$K,5,0),"")</f>
        <v/>
      </c>
      <c r="J1867" s="85" t="str">
        <f>IFERROR(VLOOKUP(CONCATENATE($B1867,"_",J$3),materiali!$C:$K,6,0),"")</f>
        <v/>
      </c>
      <c r="K1867" s="86"/>
      <c r="L1867" s="84" t="str">
        <f>IFERROR(VLOOKUP(CONCATENATE($B1867,"_",L$3),materiali!$C:$K,5,0),"")</f>
        <v/>
      </c>
      <c r="M1867" s="85" t="str">
        <f>IFERROR(VLOOKUP(CONCATENATE($B1867,"_",M$3),materiali!$C:$K,6,0),"")</f>
        <v/>
      </c>
      <c r="N1867" s="86"/>
      <c r="O1867" s="84" t="str">
        <f>IFERROR(VLOOKUP(CONCATENATE($B1867,"_",O$3),materiali!$C:$K,5,0),"")</f>
        <v/>
      </c>
      <c r="P1867" s="85" t="str">
        <f>IFERROR(VLOOKUP(CONCATENATE($B1867,"_",P$3),materiali!$C:$K,6,0),"")</f>
        <v/>
      </c>
      <c r="Q1867" s="86"/>
      <c r="R1867" s="84" t="str">
        <f>IFERROR(VLOOKUP(CONCATENATE($B1867,"_",R$3),materiali!$C:$K,5,0),"")</f>
        <v/>
      </c>
      <c r="S1867" s="85" t="str">
        <f>IFERROR(VLOOKUP(CONCATENATE($B1867,"_",S$3),materiali!$C:$K,6,0),"")</f>
        <v/>
      </c>
      <c r="T1867" s="86"/>
      <c r="U1867" s="31"/>
      <c r="AD1867" s="97"/>
    </row>
    <row r="1868" spans="1:30" ht="35.1" hidden="1" customHeight="1" x14ac:dyDescent="0.25">
      <c r="A1868" s="83"/>
      <c r="B1868" s="7"/>
      <c r="C1868" s="8"/>
      <c r="D1868" s="8"/>
      <c r="E1868" s="60"/>
      <c r="F1868" s="84" t="str">
        <f>IFERROR(VLOOKUP(CONCATENATE($B1868,"_",F$3),materiali!$C:$K,5,0),"")</f>
        <v/>
      </c>
      <c r="G1868" s="85" t="str">
        <f>IFERROR(VLOOKUP(CONCATENATE($B1868,"_",G$3),materiali!$C:$K,6,0),"")</f>
        <v/>
      </c>
      <c r="H1868" s="86"/>
      <c r="I1868" s="84" t="str">
        <f>IFERROR(VLOOKUP(CONCATENATE($B1868,"_",I$3),materiali!$C:$K,5,0),"")</f>
        <v/>
      </c>
      <c r="J1868" s="85" t="str">
        <f>IFERROR(VLOOKUP(CONCATENATE($B1868,"_",J$3),materiali!$C:$K,6,0),"")</f>
        <v/>
      </c>
      <c r="K1868" s="86"/>
      <c r="L1868" s="84" t="str">
        <f>IFERROR(VLOOKUP(CONCATENATE($B1868,"_",L$3),materiali!$C:$K,5,0),"")</f>
        <v/>
      </c>
      <c r="M1868" s="85" t="str">
        <f>IFERROR(VLOOKUP(CONCATENATE($B1868,"_",M$3),materiali!$C:$K,6,0),"")</f>
        <v/>
      </c>
      <c r="N1868" s="86"/>
      <c r="O1868" s="84" t="str">
        <f>IFERROR(VLOOKUP(CONCATENATE($B1868,"_",O$3),materiali!$C:$K,5,0),"")</f>
        <v/>
      </c>
      <c r="P1868" s="85" t="str">
        <f>IFERROR(VLOOKUP(CONCATENATE($B1868,"_",P$3),materiali!$C:$K,6,0),"")</f>
        <v/>
      </c>
      <c r="Q1868" s="86"/>
      <c r="R1868" s="84" t="str">
        <f>IFERROR(VLOOKUP(CONCATENATE($B1868,"_",R$3),materiali!$C:$K,5,0),"")</f>
        <v/>
      </c>
      <c r="S1868" s="85" t="str">
        <f>IFERROR(VLOOKUP(CONCATENATE($B1868,"_",S$3),materiali!$C:$K,6,0),"")</f>
        <v/>
      </c>
      <c r="T1868" s="86"/>
      <c r="U1868" s="31"/>
      <c r="AD1868" s="97"/>
    </row>
    <row r="1869" spans="1:30" ht="35.1" hidden="1" customHeight="1" x14ac:dyDescent="0.25">
      <c r="A1869" s="83"/>
      <c r="B1869" s="7"/>
      <c r="C1869" s="8"/>
      <c r="D1869" s="8"/>
      <c r="E1869" s="60"/>
      <c r="F1869" s="84" t="str">
        <f>IFERROR(VLOOKUP(CONCATENATE($B1869,"_",F$3),materiali!$C:$K,5,0),"")</f>
        <v/>
      </c>
      <c r="G1869" s="85" t="str">
        <f>IFERROR(VLOOKUP(CONCATENATE($B1869,"_",G$3),materiali!$C:$K,6,0),"")</f>
        <v/>
      </c>
      <c r="H1869" s="86"/>
      <c r="I1869" s="84" t="str">
        <f>IFERROR(VLOOKUP(CONCATENATE($B1869,"_",I$3),materiali!$C:$K,5,0),"")</f>
        <v/>
      </c>
      <c r="J1869" s="85" t="str">
        <f>IFERROR(VLOOKUP(CONCATENATE($B1869,"_",J$3),materiali!$C:$K,6,0),"")</f>
        <v/>
      </c>
      <c r="K1869" s="86"/>
      <c r="L1869" s="84" t="str">
        <f>IFERROR(VLOOKUP(CONCATENATE($B1869,"_",L$3),materiali!$C:$K,5,0),"")</f>
        <v/>
      </c>
      <c r="M1869" s="85" t="str">
        <f>IFERROR(VLOOKUP(CONCATENATE($B1869,"_",M$3),materiali!$C:$K,6,0),"")</f>
        <v/>
      </c>
      <c r="N1869" s="86"/>
      <c r="O1869" s="84" t="str">
        <f>IFERROR(VLOOKUP(CONCATENATE($B1869,"_",O$3),materiali!$C:$K,5,0),"")</f>
        <v/>
      </c>
      <c r="P1869" s="85" t="str">
        <f>IFERROR(VLOOKUP(CONCATENATE($B1869,"_",P$3),materiali!$C:$K,6,0),"")</f>
        <v/>
      </c>
      <c r="Q1869" s="86"/>
      <c r="R1869" s="84" t="str">
        <f>IFERROR(VLOOKUP(CONCATENATE($B1869,"_",R$3),materiali!$C:$K,5,0),"")</f>
        <v/>
      </c>
      <c r="S1869" s="85" t="str">
        <f>IFERROR(VLOOKUP(CONCATENATE($B1869,"_",S$3),materiali!$C:$K,6,0),"")</f>
        <v/>
      </c>
      <c r="T1869" s="86"/>
      <c r="U1869" s="31"/>
      <c r="AD1869" s="97"/>
    </row>
    <row r="1870" spans="1:30" ht="35.1" hidden="1" customHeight="1" x14ac:dyDescent="0.25">
      <c r="A1870" s="83"/>
      <c r="B1870" s="7"/>
      <c r="C1870" s="8"/>
      <c r="D1870" s="8"/>
      <c r="E1870" s="60"/>
      <c r="F1870" s="84" t="str">
        <f>IFERROR(VLOOKUP(CONCATENATE($B1870,"_",F$3),materiali!$C:$K,5,0),"")</f>
        <v/>
      </c>
      <c r="G1870" s="85" t="str">
        <f>IFERROR(VLOOKUP(CONCATENATE($B1870,"_",G$3),materiali!$C:$K,6,0),"")</f>
        <v/>
      </c>
      <c r="H1870" s="86"/>
      <c r="I1870" s="84" t="str">
        <f>IFERROR(VLOOKUP(CONCATENATE($B1870,"_",I$3),materiali!$C:$K,5,0),"")</f>
        <v/>
      </c>
      <c r="J1870" s="85" t="str">
        <f>IFERROR(VLOOKUP(CONCATENATE($B1870,"_",J$3),materiali!$C:$K,6,0),"")</f>
        <v/>
      </c>
      <c r="K1870" s="86"/>
      <c r="L1870" s="84" t="str">
        <f>IFERROR(VLOOKUP(CONCATENATE($B1870,"_",L$3),materiali!$C:$K,5,0),"")</f>
        <v/>
      </c>
      <c r="M1870" s="85" t="str">
        <f>IFERROR(VLOOKUP(CONCATENATE($B1870,"_",M$3),materiali!$C:$K,6,0),"")</f>
        <v/>
      </c>
      <c r="N1870" s="86"/>
      <c r="O1870" s="84" t="str">
        <f>IFERROR(VLOOKUP(CONCATENATE($B1870,"_",O$3),materiali!$C:$K,5,0),"")</f>
        <v/>
      </c>
      <c r="P1870" s="85" t="str">
        <f>IFERROR(VLOOKUP(CONCATENATE($B1870,"_",P$3),materiali!$C:$K,6,0),"")</f>
        <v/>
      </c>
      <c r="Q1870" s="86"/>
      <c r="R1870" s="84" t="str">
        <f>IFERROR(VLOOKUP(CONCATENATE($B1870,"_",R$3),materiali!$C:$K,5,0),"")</f>
        <v/>
      </c>
      <c r="S1870" s="85" t="str">
        <f>IFERROR(VLOOKUP(CONCATENATE($B1870,"_",S$3),materiali!$C:$K,6,0),"")</f>
        <v/>
      </c>
      <c r="T1870" s="86"/>
      <c r="U1870" s="31"/>
      <c r="AD1870" s="97"/>
    </row>
    <row r="1871" spans="1:30" ht="35.1" hidden="1" customHeight="1" x14ac:dyDescent="0.25">
      <c r="A1871" s="83"/>
      <c r="B1871" s="7"/>
      <c r="C1871" s="8"/>
      <c r="D1871" s="8"/>
      <c r="E1871" s="60"/>
      <c r="F1871" s="84" t="str">
        <f>IFERROR(VLOOKUP(CONCATENATE($B1871,"_",F$3),materiali!$C:$K,5,0),"")</f>
        <v/>
      </c>
      <c r="G1871" s="85" t="str">
        <f>IFERROR(VLOOKUP(CONCATENATE($B1871,"_",G$3),materiali!$C:$K,6,0),"")</f>
        <v/>
      </c>
      <c r="H1871" s="86"/>
      <c r="I1871" s="84" t="str">
        <f>IFERROR(VLOOKUP(CONCATENATE($B1871,"_",I$3),materiali!$C:$K,5,0),"")</f>
        <v/>
      </c>
      <c r="J1871" s="85" t="str">
        <f>IFERROR(VLOOKUP(CONCATENATE($B1871,"_",J$3),materiali!$C:$K,6,0),"")</f>
        <v/>
      </c>
      <c r="K1871" s="86"/>
      <c r="L1871" s="84" t="str">
        <f>IFERROR(VLOOKUP(CONCATENATE($B1871,"_",L$3),materiali!$C:$K,5,0),"")</f>
        <v/>
      </c>
      <c r="M1871" s="85" t="str">
        <f>IFERROR(VLOOKUP(CONCATENATE($B1871,"_",M$3),materiali!$C:$K,6,0),"")</f>
        <v/>
      </c>
      <c r="N1871" s="86"/>
      <c r="O1871" s="84" t="str">
        <f>IFERROR(VLOOKUP(CONCATENATE($B1871,"_",O$3),materiali!$C:$K,5,0),"")</f>
        <v/>
      </c>
      <c r="P1871" s="85" t="str">
        <f>IFERROR(VLOOKUP(CONCATENATE($B1871,"_",P$3),materiali!$C:$K,6,0),"")</f>
        <v/>
      </c>
      <c r="Q1871" s="86"/>
      <c r="R1871" s="84" t="str">
        <f>IFERROR(VLOOKUP(CONCATENATE($B1871,"_",R$3),materiali!$C:$K,5,0),"")</f>
        <v/>
      </c>
      <c r="S1871" s="85" t="str">
        <f>IFERROR(VLOOKUP(CONCATENATE($B1871,"_",S$3),materiali!$C:$K,6,0),"")</f>
        <v/>
      </c>
      <c r="T1871" s="86"/>
      <c r="U1871" s="31"/>
      <c r="AD1871" s="97"/>
    </row>
    <row r="1872" spans="1:30" ht="35.1" hidden="1" customHeight="1" x14ac:dyDescent="0.25">
      <c r="A1872" s="83"/>
      <c r="B1872" s="7"/>
      <c r="C1872" s="8"/>
      <c r="D1872" s="8"/>
      <c r="E1872" s="60"/>
      <c r="F1872" s="84" t="str">
        <f>IFERROR(VLOOKUP(CONCATENATE($B1872,"_",F$3),materiali!$C:$K,5,0),"")</f>
        <v/>
      </c>
      <c r="G1872" s="85" t="str">
        <f>IFERROR(VLOOKUP(CONCATENATE($B1872,"_",G$3),materiali!$C:$K,6,0),"")</f>
        <v/>
      </c>
      <c r="H1872" s="86"/>
      <c r="I1872" s="84" t="str">
        <f>IFERROR(VLOOKUP(CONCATENATE($B1872,"_",I$3),materiali!$C:$K,5,0),"")</f>
        <v/>
      </c>
      <c r="J1872" s="85" t="str">
        <f>IFERROR(VLOOKUP(CONCATENATE($B1872,"_",J$3),materiali!$C:$K,6,0),"")</f>
        <v/>
      </c>
      <c r="K1872" s="86"/>
      <c r="L1872" s="84" t="str">
        <f>IFERROR(VLOOKUP(CONCATENATE($B1872,"_",L$3),materiali!$C:$K,5,0),"")</f>
        <v/>
      </c>
      <c r="M1872" s="85" t="str">
        <f>IFERROR(VLOOKUP(CONCATENATE($B1872,"_",M$3),materiali!$C:$K,6,0),"")</f>
        <v/>
      </c>
      <c r="N1872" s="86"/>
      <c r="O1872" s="84" t="str">
        <f>IFERROR(VLOOKUP(CONCATENATE($B1872,"_",O$3),materiali!$C:$K,5,0),"")</f>
        <v/>
      </c>
      <c r="P1872" s="85" t="str">
        <f>IFERROR(VLOOKUP(CONCATENATE($B1872,"_",P$3),materiali!$C:$K,6,0),"")</f>
        <v/>
      </c>
      <c r="Q1872" s="86"/>
      <c r="R1872" s="84" t="str">
        <f>IFERROR(VLOOKUP(CONCATENATE($B1872,"_",R$3),materiali!$C:$K,5,0),"")</f>
        <v/>
      </c>
      <c r="S1872" s="85" t="str">
        <f>IFERROR(VLOOKUP(CONCATENATE($B1872,"_",S$3),materiali!$C:$K,6,0),"")</f>
        <v/>
      </c>
      <c r="T1872" s="86"/>
      <c r="U1872" s="31"/>
      <c r="AD1872" s="97"/>
    </row>
    <row r="1873" spans="1:30" ht="35.1" hidden="1" customHeight="1" x14ac:dyDescent="0.25">
      <c r="A1873" s="83"/>
      <c r="B1873" s="7"/>
      <c r="C1873" s="8"/>
      <c r="D1873" s="8"/>
      <c r="E1873" s="60"/>
      <c r="F1873" s="84" t="str">
        <f>IFERROR(VLOOKUP(CONCATENATE($B1873,"_",F$3),materiali!$C:$K,5,0),"")</f>
        <v/>
      </c>
      <c r="G1873" s="85" t="str">
        <f>IFERROR(VLOOKUP(CONCATENATE($B1873,"_",G$3),materiali!$C:$K,6,0),"")</f>
        <v/>
      </c>
      <c r="H1873" s="86"/>
      <c r="I1873" s="84" t="str">
        <f>IFERROR(VLOOKUP(CONCATENATE($B1873,"_",I$3),materiali!$C:$K,5,0),"")</f>
        <v/>
      </c>
      <c r="J1873" s="85" t="str">
        <f>IFERROR(VLOOKUP(CONCATENATE($B1873,"_",J$3),materiali!$C:$K,6,0),"")</f>
        <v/>
      </c>
      <c r="K1873" s="86"/>
      <c r="L1873" s="84" t="str">
        <f>IFERROR(VLOOKUP(CONCATENATE($B1873,"_",L$3),materiali!$C:$K,5,0),"")</f>
        <v/>
      </c>
      <c r="M1873" s="85" t="str">
        <f>IFERROR(VLOOKUP(CONCATENATE($B1873,"_",M$3),materiali!$C:$K,6,0),"")</f>
        <v/>
      </c>
      <c r="N1873" s="86"/>
      <c r="O1873" s="84" t="str">
        <f>IFERROR(VLOOKUP(CONCATENATE($B1873,"_",O$3),materiali!$C:$K,5,0),"")</f>
        <v/>
      </c>
      <c r="P1873" s="85" t="str">
        <f>IFERROR(VLOOKUP(CONCATENATE($B1873,"_",P$3),materiali!$C:$K,6,0),"")</f>
        <v/>
      </c>
      <c r="Q1873" s="86"/>
      <c r="R1873" s="84" t="str">
        <f>IFERROR(VLOOKUP(CONCATENATE($B1873,"_",R$3),materiali!$C:$K,5,0),"")</f>
        <v/>
      </c>
      <c r="S1873" s="85" t="str">
        <f>IFERROR(VLOOKUP(CONCATENATE($B1873,"_",S$3),materiali!$C:$K,6,0),"")</f>
        <v/>
      </c>
      <c r="T1873" s="86"/>
      <c r="U1873" s="31"/>
      <c r="AD1873" s="97"/>
    </row>
    <row r="1874" spans="1:30" ht="35.1" hidden="1" customHeight="1" x14ac:dyDescent="0.25">
      <c r="A1874" s="83"/>
      <c r="B1874" s="7"/>
      <c r="C1874" s="8"/>
      <c r="D1874" s="8"/>
      <c r="E1874" s="60"/>
      <c r="F1874" s="84" t="str">
        <f>IFERROR(VLOOKUP(CONCATENATE($B1874,"_",F$3),materiali!$C:$K,5,0),"")</f>
        <v/>
      </c>
      <c r="G1874" s="85" t="str">
        <f>IFERROR(VLOOKUP(CONCATENATE($B1874,"_",G$3),materiali!$C:$K,6,0),"")</f>
        <v/>
      </c>
      <c r="H1874" s="86"/>
      <c r="I1874" s="84" t="str">
        <f>IFERROR(VLOOKUP(CONCATENATE($B1874,"_",I$3),materiali!$C:$K,5,0),"")</f>
        <v/>
      </c>
      <c r="J1874" s="85" t="str">
        <f>IFERROR(VLOOKUP(CONCATENATE($B1874,"_",J$3),materiali!$C:$K,6,0),"")</f>
        <v/>
      </c>
      <c r="K1874" s="86"/>
      <c r="L1874" s="84" t="str">
        <f>IFERROR(VLOOKUP(CONCATENATE($B1874,"_",L$3),materiali!$C:$K,5,0),"")</f>
        <v/>
      </c>
      <c r="M1874" s="85" t="str">
        <f>IFERROR(VLOOKUP(CONCATENATE($B1874,"_",M$3),materiali!$C:$K,6,0),"")</f>
        <v/>
      </c>
      <c r="N1874" s="86"/>
      <c r="O1874" s="84" t="str">
        <f>IFERROR(VLOOKUP(CONCATENATE($B1874,"_",O$3),materiali!$C:$K,5,0),"")</f>
        <v/>
      </c>
      <c r="P1874" s="85" t="str">
        <f>IFERROR(VLOOKUP(CONCATENATE($B1874,"_",P$3),materiali!$C:$K,6,0),"")</f>
        <v/>
      </c>
      <c r="Q1874" s="86"/>
      <c r="R1874" s="84" t="str">
        <f>IFERROR(VLOOKUP(CONCATENATE($B1874,"_",R$3),materiali!$C:$K,5,0),"")</f>
        <v/>
      </c>
      <c r="S1874" s="85" t="str">
        <f>IFERROR(VLOOKUP(CONCATENATE($B1874,"_",S$3),materiali!$C:$K,6,0),"")</f>
        <v/>
      </c>
      <c r="T1874" s="86"/>
      <c r="U1874" s="31"/>
      <c r="AD1874" s="97"/>
    </row>
    <row r="1875" spans="1:30" ht="35.1" hidden="1" customHeight="1" x14ac:dyDescent="0.25">
      <c r="A1875" s="83"/>
      <c r="B1875" s="7"/>
      <c r="C1875" s="8"/>
      <c r="D1875" s="8"/>
      <c r="E1875" s="60"/>
      <c r="F1875" s="84" t="str">
        <f>IFERROR(VLOOKUP(CONCATENATE($B1875,"_",F$3),materiali!$C:$K,5,0),"")</f>
        <v/>
      </c>
      <c r="G1875" s="85" t="str">
        <f>IFERROR(VLOOKUP(CONCATENATE($B1875,"_",G$3),materiali!$C:$K,6,0),"")</f>
        <v/>
      </c>
      <c r="H1875" s="86"/>
      <c r="I1875" s="84" t="str">
        <f>IFERROR(VLOOKUP(CONCATENATE($B1875,"_",I$3),materiali!$C:$K,5,0),"")</f>
        <v/>
      </c>
      <c r="J1875" s="85" t="str">
        <f>IFERROR(VLOOKUP(CONCATENATE($B1875,"_",J$3),materiali!$C:$K,6,0),"")</f>
        <v/>
      </c>
      <c r="K1875" s="86"/>
      <c r="L1875" s="84" t="str">
        <f>IFERROR(VLOOKUP(CONCATENATE($B1875,"_",L$3),materiali!$C:$K,5,0),"")</f>
        <v/>
      </c>
      <c r="M1875" s="85" t="str">
        <f>IFERROR(VLOOKUP(CONCATENATE($B1875,"_",M$3),materiali!$C:$K,6,0),"")</f>
        <v/>
      </c>
      <c r="N1875" s="86"/>
      <c r="O1875" s="84" t="str">
        <f>IFERROR(VLOOKUP(CONCATENATE($B1875,"_",O$3),materiali!$C:$K,5,0),"")</f>
        <v/>
      </c>
      <c r="P1875" s="85" t="str">
        <f>IFERROR(VLOOKUP(CONCATENATE($B1875,"_",P$3),materiali!$C:$K,6,0),"")</f>
        <v/>
      </c>
      <c r="Q1875" s="86"/>
      <c r="R1875" s="84" t="str">
        <f>IFERROR(VLOOKUP(CONCATENATE($B1875,"_",R$3),materiali!$C:$K,5,0),"")</f>
        <v/>
      </c>
      <c r="S1875" s="85" t="str">
        <f>IFERROR(VLOOKUP(CONCATENATE($B1875,"_",S$3),materiali!$C:$K,6,0),"")</f>
        <v/>
      </c>
      <c r="T1875" s="86"/>
      <c r="U1875" s="31"/>
      <c r="AD1875" s="97"/>
    </row>
    <row r="1876" spans="1:30" ht="35.1" hidden="1" customHeight="1" x14ac:dyDescent="0.25">
      <c r="A1876" s="83"/>
      <c r="B1876" s="7"/>
      <c r="C1876" s="8"/>
      <c r="D1876" s="8"/>
      <c r="E1876" s="60"/>
      <c r="F1876" s="84" t="str">
        <f>IFERROR(VLOOKUP(CONCATENATE($B1876,"_",F$3),materiali!$C:$K,5,0),"")</f>
        <v/>
      </c>
      <c r="G1876" s="85" t="str">
        <f>IFERROR(VLOOKUP(CONCATENATE($B1876,"_",G$3),materiali!$C:$K,6,0),"")</f>
        <v/>
      </c>
      <c r="H1876" s="86"/>
      <c r="I1876" s="84" t="str">
        <f>IFERROR(VLOOKUP(CONCATENATE($B1876,"_",I$3),materiali!$C:$K,5,0),"")</f>
        <v/>
      </c>
      <c r="J1876" s="85" t="str">
        <f>IFERROR(VLOOKUP(CONCATENATE($B1876,"_",J$3),materiali!$C:$K,6,0),"")</f>
        <v/>
      </c>
      <c r="K1876" s="86"/>
      <c r="L1876" s="84" t="str">
        <f>IFERROR(VLOOKUP(CONCATENATE($B1876,"_",L$3),materiali!$C:$K,5,0),"")</f>
        <v/>
      </c>
      <c r="M1876" s="85" t="str">
        <f>IFERROR(VLOOKUP(CONCATENATE($B1876,"_",M$3),materiali!$C:$K,6,0),"")</f>
        <v/>
      </c>
      <c r="N1876" s="86"/>
      <c r="O1876" s="84" t="str">
        <f>IFERROR(VLOOKUP(CONCATENATE($B1876,"_",O$3),materiali!$C:$K,5,0),"")</f>
        <v/>
      </c>
      <c r="P1876" s="85" t="str">
        <f>IFERROR(VLOOKUP(CONCATENATE($B1876,"_",P$3),materiali!$C:$K,6,0),"")</f>
        <v/>
      </c>
      <c r="Q1876" s="86"/>
      <c r="R1876" s="84" t="str">
        <f>IFERROR(VLOOKUP(CONCATENATE($B1876,"_",R$3),materiali!$C:$K,5,0),"")</f>
        <v/>
      </c>
      <c r="S1876" s="85" t="str">
        <f>IFERROR(VLOOKUP(CONCATENATE($B1876,"_",S$3),materiali!$C:$K,6,0),"")</f>
        <v/>
      </c>
      <c r="T1876" s="86"/>
      <c r="U1876" s="31"/>
      <c r="AD1876" s="97"/>
    </row>
    <row r="1877" spans="1:30" ht="35.1" hidden="1" customHeight="1" x14ac:dyDescent="0.25">
      <c r="A1877" s="83"/>
      <c r="B1877" s="7"/>
      <c r="C1877" s="8"/>
      <c r="D1877" s="8"/>
      <c r="E1877" s="60"/>
      <c r="F1877" s="84" t="str">
        <f>IFERROR(VLOOKUP(CONCATENATE($B1877,"_",F$3),materiali!$C:$K,5,0),"")</f>
        <v/>
      </c>
      <c r="G1877" s="85" t="str">
        <f>IFERROR(VLOOKUP(CONCATENATE($B1877,"_",G$3),materiali!$C:$K,6,0),"")</f>
        <v/>
      </c>
      <c r="H1877" s="86"/>
      <c r="I1877" s="84" t="str">
        <f>IFERROR(VLOOKUP(CONCATENATE($B1877,"_",I$3),materiali!$C:$K,5,0),"")</f>
        <v/>
      </c>
      <c r="J1877" s="85" t="str">
        <f>IFERROR(VLOOKUP(CONCATENATE($B1877,"_",J$3),materiali!$C:$K,6,0),"")</f>
        <v/>
      </c>
      <c r="K1877" s="86"/>
      <c r="L1877" s="84" t="str">
        <f>IFERROR(VLOOKUP(CONCATENATE($B1877,"_",L$3),materiali!$C:$K,5,0),"")</f>
        <v/>
      </c>
      <c r="M1877" s="85" t="str">
        <f>IFERROR(VLOOKUP(CONCATENATE($B1877,"_",M$3),materiali!$C:$K,6,0),"")</f>
        <v/>
      </c>
      <c r="N1877" s="86"/>
      <c r="O1877" s="84" t="str">
        <f>IFERROR(VLOOKUP(CONCATENATE($B1877,"_",O$3),materiali!$C:$K,5,0),"")</f>
        <v/>
      </c>
      <c r="P1877" s="85" t="str">
        <f>IFERROR(VLOOKUP(CONCATENATE($B1877,"_",P$3),materiali!$C:$K,6,0),"")</f>
        <v/>
      </c>
      <c r="Q1877" s="86"/>
      <c r="R1877" s="84" t="str">
        <f>IFERROR(VLOOKUP(CONCATENATE($B1877,"_",R$3),materiali!$C:$K,5,0),"")</f>
        <v/>
      </c>
      <c r="S1877" s="85" t="str">
        <f>IFERROR(VLOOKUP(CONCATENATE($B1877,"_",S$3),materiali!$C:$K,6,0),"")</f>
        <v/>
      </c>
      <c r="T1877" s="86"/>
      <c r="U1877" s="31"/>
      <c r="AD1877" s="97"/>
    </row>
    <row r="1878" spans="1:30" ht="35.1" hidden="1" customHeight="1" x14ac:dyDescent="0.25">
      <c r="A1878" s="83"/>
      <c r="B1878" s="7"/>
      <c r="C1878" s="8"/>
      <c r="D1878" s="8"/>
      <c r="E1878" s="60"/>
      <c r="F1878" s="84" t="str">
        <f>IFERROR(VLOOKUP(CONCATENATE($B1878,"_",F$3),materiali!$C:$K,5,0),"")</f>
        <v/>
      </c>
      <c r="G1878" s="85" t="str">
        <f>IFERROR(VLOOKUP(CONCATENATE($B1878,"_",G$3),materiali!$C:$K,6,0),"")</f>
        <v/>
      </c>
      <c r="H1878" s="86"/>
      <c r="I1878" s="84" t="str">
        <f>IFERROR(VLOOKUP(CONCATENATE($B1878,"_",I$3),materiali!$C:$K,5,0),"")</f>
        <v/>
      </c>
      <c r="J1878" s="85" t="str">
        <f>IFERROR(VLOOKUP(CONCATENATE($B1878,"_",J$3),materiali!$C:$K,6,0),"")</f>
        <v/>
      </c>
      <c r="K1878" s="86"/>
      <c r="L1878" s="84" t="str">
        <f>IFERROR(VLOOKUP(CONCATENATE($B1878,"_",L$3),materiali!$C:$K,5,0),"")</f>
        <v/>
      </c>
      <c r="M1878" s="85" t="str">
        <f>IFERROR(VLOOKUP(CONCATENATE($B1878,"_",M$3),materiali!$C:$K,6,0),"")</f>
        <v/>
      </c>
      <c r="N1878" s="86"/>
      <c r="O1878" s="84" t="str">
        <f>IFERROR(VLOOKUP(CONCATENATE($B1878,"_",O$3),materiali!$C:$K,5,0),"")</f>
        <v/>
      </c>
      <c r="P1878" s="85" t="str">
        <f>IFERROR(VLOOKUP(CONCATENATE($B1878,"_",P$3),materiali!$C:$K,6,0),"")</f>
        <v/>
      </c>
      <c r="Q1878" s="86"/>
      <c r="R1878" s="84" t="str">
        <f>IFERROR(VLOOKUP(CONCATENATE($B1878,"_",R$3),materiali!$C:$K,5,0),"")</f>
        <v/>
      </c>
      <c r="S1878" s="85" t="str">
        <f>IFERROR(VLOOKUP(CONCATENATE($B1878,"_",S$3),materiali!$C:$K,6,0),"")</f>
        <v/>
      </c>
      <c r="T1878" s="86"/>
      <c r="U1878" s="31"/>
      <c r="AD1878" s="97"/>
    </row>
    <row r="1879" spans="1:30" ht="35.1" hidden="1" customHeight="1" x14ac:dyDescent="0.25">
      <c r="A1879" s="83"/>
      <c r="B1879" s="7"/>
      <c r="C1879" s="8"/>
      <c r="D1879" s="8"/>
      <c r="E1879" s="60"/>
      <c r="F1879" s="84" t="str">
        <f>IFERROR(VLOOKUP(CONCATENATE($B1879,"_",F$3),materiali!$C:$K,5,0),"")</f>
        <v/>
      </c>
      <c r="G1879" s="85" t="str">
        <f>IFERROR(VLOOKUP(CONCATENATE($B1879,"_",G$3),materiali!$C:$K,6,0),"")</f>
        <v/>
      </c>
      <c r="H1879" s="86"/>
      <c r="I1879" s="84" t="str">
        <f>IFERROR(VLOOKUP(CONCATENATE($B1879,"_",I$3),materiali!$C:$K,5,0),"")</f>
        <v/>
      </c>
      <c r="J1879" s="85" t="str">
        <f>IFERROR(VLOOKUP(CONCATENATE($B1879,"_",J$3),materiali!$C:$K,6,0),"")</f>
        <v/>
      </c>
      <c r="K1879" s="86"/>
      <c r="L1879" s="84" t="str">
        <f>IFERROR(VLOOKUP(CONCATENATE($B1879,"_",L$3),materiali!$C:$K,5,0),"")</f>
        <v/>
      </c>
      <c r="M1879" s="85" t="str">
        <f>IFERROR(VLOOKUP(CONCATENATE($B1879,"_",M$3),materiali!$C:$K,6,0),"")</f>
        <v/>
      </c>
      <c r="N1879" s="86"/>
      <c r="O1879" s="84" t="str">
        <f>IFERROR(VLOOKUP(CONCATENATE($B1879,"_",O$3),materiali!$C:$K,5,0),"")</f>
        <v/>
      </c>
      <c r="P1879" s="85" t="str">
        <f>IFERROR(VLOOKUP(CONCATENATE($B1879,"_",P$3),materiali!$C:$K,6,0),"")</f>
        <v/>
      </c>
      <c r="Q1879" s="86"/>
      <c r="R1879" s="84" t="str">
        <f>IFERROR(VLOOKUP(CONCATENATE($B1879,"_",R$3),materiali!$C:$K,5,0),"")</f>
        <v/>
      </c>
      <c r="S1879" s="85" t="str">
        <f>IFERROR(VLOOKUP(CONCATENATE($B1879,"_",S$3),materiali!$C:$K,6,0),"")</f>
        <v/>
      </c>
      <c r="T1879" s="86"/>
      <c r="U1879" s="31"/>
      <c r="AD1879" s="97"/>
    </row>
    <row r="1880" spans="1:30" ht="35.1" hidden="1" customHeight="1" x14ac:dyDescent="0.25">
      <c r="A1880" s="83"/>
      <c r="B1880" s="7"/>
      <c r="C1880" s="8"/>
      <c r="D1880" s="8"/>
      <c r="E1880" s="60"/>
      <c r="F1880" s="84" t="str">
        <f>IFERROR(VLOOKUP(CONCATENATE($B1880,"_",F$3),materiali!$C:$K,5,0),"")</f>
        <v/>
      </c>
      <c r="G1880" s="85" t="str">
        <f>IFERROR(VLOOKUP(CONCATENATE($B1880,"_",G$3),materiali!$C:$K,6,0),"")</f>
        <v/>
      </c>
      <c r="H1880" s="86"/>
      <c r="I1880" s="84" t="str">
        <f>IFERROR(VLOOKUP(CONCATENATE($B1880,"_",I$3),materiali!$C:$K,5,0),"")</f>
        <v/>
      </c>
      <c r="J1880" s="85" t="str">
        <f>IFERROR(VLOOKUP(CONCATENATE($B1880,"_",J$3),materiali!$C:$K,6,0),"")</f>
        <v/>
      </c>
      <c r="K1880" s="86"/>
      <c r="L1880" s="84" t="str">
        <f>IFERROR(VLOOKUP(CONCATENATE($B1880,"_",L$3),materiali!$C:$K,5,0),"")</f>
        <v/>
      </c>
      <c r="M1880" s="85" t="str">
        <f>IFERROR(VLOOKUP(CONCATENATE($B1880,"_",M$3),materiali!$C:$K,6,0),"")</f>
        <v/>
      </c>
      <c r="N1880" s="86"/>
      <c r="O1880" s="84" t="str">
        <f>IFERROR(VLOOKUP(CONCATENATE($B1880,"_",O$3),materiali!$C:$K,5,0),"")</f>
        <v/>
      </c>
      <c r="P1880" s="85" t="str">
        <f>IFERROR(VLOOKUP(CONCATENATE($B1880,"_",P$3),materiali!$C:$K,6,0),"")</f>
        <v/>
      </c>
      <c r="Q1880" s="86"/>
      <c r="R1880" s="84" t="str">
        <f>IFERROR(VLOOKUP(CONCATENATE($B1880,"_",R$3),materiali!$C:$K,5,0),"")</f>
        <v/>
      </c>
      <c r="S1880" s="85" t="str">
        <f>IFERROR(VLOOKUP(CONCATENATE($B1880,"_",S$3),materiali!$C:$K,6,0),"")</f>
        <v/>
      </c>
      <c r="T1880" s="86"/>
      <c r="U1880" s="31"/>
      <c r="AD1880" s="97"/>
    </row>
    <row r="1881" spans="1:30" ht="35.1" hidden="1" customHeight="1" x14ac:dyDescent="0.25">
      <c r="A1881" s="83"/>
      <c r="B1881" s="7"/>
      <c r="C1881" s="8"/>
      <c r="D1881" s="8"/>
      <c r="E1881" s="60"/>
      <c r="F1881" s="84" t="str">
        <f>IFERROR(VLOOKUP(CONCATENATE($B1881,"_",F$3),materiali!$C:$K,5,0),"")</f>
        <v/>
      </c>
      <c r="G1881" s="85" t="str">
        <f>IFERROR(VLOOKUP(CONCATENATE($B1881,"_",G$3),materiali!$C:$K,6,0),"")</f>
        <v/>
      </c>
      <c r="H1881" s="86"/>
      <c r="I1881" s="84" t="str">
        <f>IFERROR(VLOOKUP(CONCATENATE($B1881,"_",I$3),materiali!$C:$K,5,0),"")</f>
        <v/>
      </c>
      <c r="J1881" s="85" t="str">
        <f>IFERROR(VLOOKUP(CONCATENATE($B1881,"_",J$3),materiali!$C:$K,6,0),"")</f>
        <v/>
      </c>
      <c r="K1881" s="86"/>
      <c r="L1881" s="84" t="str">
        <f>IFERROR(VLOOKUP(CONCATENATE($B1881,"_",L$3),materiali!$C:$K,5,0),"")</f>
        <v/>
      </c>
      <c r="M1881" s="85" t="str">
        <f>IFERROR(VLOOKUP(CONCATENATE($B1881,"_",M$3),materiali!$C:$K,6,0),"")</f>
        <v/>
      </c>
      <c r="N1881" s="86"/>
      <c r="O1881" s="84" t="str">
        <f>IFERROR(VLOOKUP(CONCATENATE($B1881,"_",O$3),materiali!$C:$K,5,0),"")</f>
        <v/>
      </c>
      <c r="P1881" s="85" t="str">
        <f>IFERROR(VLOOKUP(CONCATENATE($B1881,"_",P$3),materiali!$C:$K,6,0),"")</f>
        <v/>
      </c>
      <c r="Q1881" s="86"/>
      <c r="R1881" s="84" t="str">
        <f>IFERROR(VLOOKUP(CONCATENATE($B1881,"_",R$3),materiali!$C:$K,5,0),"")</f>
        <v/>
      </c>
      <c r="S1881" s="85" t="str">
        <f>IFERROR(VLOOKUP(CONCATENATE($B1881,"_",S$3),materiali!$C:$K,6,0),"")</f>
        <v/>
      </c>
      <c r="T1881" s="86"/>
      <c r="U1881" s="31"/>
      <c r="AD1881" s="97"/>
    </row>
    <row r="1882" spans="1:30" ht="35.1" hidden="1" customHeight="1" x14ac:dyDescent="0.25">
      <c r="A1882" s="83"/>
      <c r="B1882" s="7"/>
      <c r="C1882" s="8"/>
      <c r="D1882" s="8"/>
      <c r="E1882" s="60"/>
      <c r="F1882" s="84" t="str">
        <f>IFERROR(VLOOKUP(CONCATENATE($B1882,"_",F$3),materiali!$C:$K,5,0),"")</f>
        <v/>
      </c>
      <c r="G1882" s="85" t="str">
        <f>IFERROR(VLOOKUP(CONCATENATE($B1882,"_",G$3),materiali!$C:$K,6,0),"")</f>
        <v/>
      </c>
      <c r="H1882" s="86"/>
      <c r="I1882" s="84" t="str">
        <f>IFERROR(VLOOKUP(CONCATENATE($B1882,"_",I$3),materiali!$C:$K,5,0),"")</f>
        <v/>
      </c>
      <c r="J1882" s="85" t="str">
        <f>IFERROR(VLOOKUP(CONCATENATE($B1882,"_",J$3),materiali!$C:$K,6,0),"")</f>
        <v/>
      </c>
      <c r="K1882" s="86"/>
      <c r="L1882" s="84" t="str">
        <f>IFERROR(VLOOKUP(CONCATENATE($B1882,"_",L$3),materiali!$C:$K,5,0),"")</f>
        <v/>
      </c>
      <c r="M1882" s="85" t="str">
        <f>IFERROR(VLOOKUP(CONCATENATE($B1882,"_",M$3),materiali!$C:$K,6,0),"")</f>
        <v/>
      </c>
      <c r="N1882" s="86"/>
      <c r="O1882" s="84" t="str">
        <f>IFERROR(VLOOKUP(CONCATENATE($B1882,"_",O$3),materiali!$C:$K,5,0),"")</f>
        <v/>
      </c>
      <c r="P1882" s="85" t="str">
        <f>IFERROR(VLOOKUP(CONCATENATE($B1882,"_",P$3),materiali!$C:$K,6,0),"")</f>
        <v/>
      </c>
      <c r="Q1882" s="86"/>
      <c r="R1882" s="84" t="str">
        <f>IFERROR(VLOOKUP(CONCATENATE($B1882,"_",R$3),materiali!$C:$K,5,0),"")</f>
        <v/>
      </c>
      <c r="S1882" s="85" t="str">
        <f>IFERROR(VLOOKUP(CONCATENATE($B1882,"_",S$3),materiali!$C:$K,6,0),"")</f>
        <v/>
      </c>
      <c r="T1882" s="86"/>
      <c r="U1882" s="31"/>
      <c r="AD1882" s="97"/>
    </row>
    <row r="1883" spans="1:30" ht="35.1" hidden="1" customHeight="1" x14ac:dyDescent="0.25">
      <c r="A1883" s="83"/>
      <c r="B1883" s="7"/>
      <c r="C1883" s="8"/>
      <c r="D1883" s="8"/>
      <c r="E1883" s="60"/>
      <c r="F1883" s="84" t="str">
        <f>IFERROR(VLOOKUP(CONCATENATE($B1883,"_",F$3),materiali!$C:$K,5,0),"")</f>
        <v/>
      </c>
      <c r="G1883" s="85" t="str">
        <f>IFERROR(VLOOKUP(CONCATENATE($B1883,"_",G$3),materiali!$C:$K,6,0),"")</f>
        <v/>
      </c>
      <c r="H1883" s="86"/>
      <c r="I1883" s="84" t="str">
        <f>IFERROR(VLOOKUP(CONCATENATE($B1883,"_",I$3),materiali!$C:$K,5,0),"")</f>
        <v/>
      </c>
      <c r="J1883" s="85" t="str">
        <f>IFERROR(VLOOKUP(CONCATENATE($B1883,"_",J$3),materiali!$C:$K,6,0),"")</f>
        <v/>
      </c>
      <c r="K1883" s="86"/>
      <c r="L1883" s="84" t="str">
        <f>IFERROR(VLOOKUP(CONCATENATE($B1883,"_",L$3),materiali!$C:$K,5,0),"")</f>
        <v/>
      </c>
      <c r="M1883" s="85" t="str">
        <f>IFERROR(VLOOKUP(CONCATENATE($B1883,"_",M$3),materiali!$C:$K,6,0),"")</f>
        <v/>
      </c>
      <c r="N1883" s="86"/>
      <c r="O1883" s="84" t="str">
        <f>IFERROR(VLOOKUP(CONCATENATE($B1883,"_",O$3),materiali!$C:$K,5,0),"")</f>
        <v/>
      </c>
      <c r="P1883" s="85" t="str">
        <f>IFERROR(VLOOKUP(CONCATENATE($B1883,"_",P$3),materiali!$C:$K,6,0),"")</f>
        <v/>
      </c>
      <c r="Q1883" s="86"/>
      <c r="R1883" s="84" t="str">
        <f>IFERROR(VLOOKUP(CONCATENATE($B1883,"_",R$3),materiali!$C:$K,5,0),"")</f>
        <v/>
      </c>
      <c r="S1883" s="85" t="str">
        <f>IFERROR(VLOOKUP(CONCATENATE($B1883,"_",S$3),materiali!$C:$K,6,0),"")</f>
        <v/>
      </c>
      <c r="T1883" s="86"/>
      <c r="U1883" s="31"/>
      <c r="AD1883" s="97"/>
    </row>
    <row r="1884" spans="1:30" ht="35.1" hidden="1" customHeight="1" x14ac:dyDescent="0.25">
      <c r="A1884" s="83"/>
      <c r="B1884" s="7"/>
      <c r="C1884" s="8"/>
      <c r="D1884" s="8"/>
      <c r="E1884" s="60"/>
      <c r="F1884" s="84" t="str">
        <f>IFERROR(VLOOKUP(CONCATENATE($B1884,"_",F$3),materiali!$C:$K,5,0),"")</f>
        <v/>
      </c>
      <c r="G1884" s="85" t="str">
        <f>IFERROR(VLOOKUP(CONCATENATE($B1884,"_",G$3),materiali!$C:$K,6,0),"")</f>
        <v/>
      </c>
      <c r="H1884" s="86"/>
      <c r="I1884" s="84" t="str">
        <f>IFERROR(VLOOKUP(CONCATENATE($B1884,"_",I$3),materiali!$C:$K,5,0),"")</f>
        <v/>
      </c>
      <c r="J1884" s="85" t="str">
        <f>IFERROR(VLOOKUP(CONCATENATE($B1884,"_",J$3),materiali!$C:$K,6,0),"")</f>
        <v/>
      </c>
      <c r="K1884" s="86"/>
      <c r="L1884" s="84" t="str">
        <f>IFERROR(VLOOKUP(CONCATENATE($B1884,"_",L$3),materiali!$C:$K,5,0),"")</f>
        <v/>
      </c>
      <c r="M1884" s="85" t="str">
        <f>IFERROR(VLOOKUP(CONCATENATE($B1884,"_",M$3),materiali!$C:$K,6,0),"")</f>
        <v/>
      </c>
      <c r="N1884" s="86"/>
      <c r="O1884" s="84" t="str">
        <f>IFERROR(VLOOKUP(CONCATENATE($B1884,"_",O$3),materiali!$C:$K,5,0),"")</f>
        <v/>
      </c>
      <c r="P1884" s="85" t="str">
        <f>IFERROR(VLOOKUP(CONCATENATE($B1884,"_",P$3),materiali!$C:$K,6,0),"")</f>
        <v/>
      </c>
      <c r="Q1884" s="86"/>
      <c r="R1884" s="84" t="str">
        <f>IFERROR(VLOOKUP(CONCATENATE($B1884,"_",R$3),materiali!$C:$K,5,0),"")</f>
        <v/>
      </c>
      <c r="S1884" s="85" t="str">
        <f>IFERROR(VLOOKUP(CONCATENATE($B1884,"_",S$3),materiali!$C:$K,6,0),"")</f>
        <v/>
      </c>
      <c r="T1884" s="86"/>
      <c r="U1884" s="31"/>
      <c r="AD1884" s="97"/>
    </row>
    <row r="1885" spans="1:30" ht="35.1" hidden="1" customHeight="1" x14ac:dyDescent="0.25">
      <c r="A1885" s="83"/>
      <c r="B1885" s="7"/>
      <c r="C1885" s="8"/>
      <c r="D1885" s="8"/>
      <c r="E1885" s="60"/>
      <c r="F1885" s="84" t="str">
        <f>IFERROR(VLOOKUP(CONCATENATE($B1885,"_",F$3),materiali!$C:$K,5,0),"")</f>
        <v/>
      </c>
      <c r="G1885" s="85" t="str">
        <f>IFERROR(VLOOKUP(CONCATENATE($B1885,"_",G$3),materiali!$C:$K,6,0),"")</f>
        <v/>
      </c>
      <c r="H1885" s="86"/>
      <c r="I1885" s="84" t="str">
        <f>IFERROR(VLOOKUP(CONCATENATE($B1885,"_",I$3),materiali!$C:$K,5,0),"")</f>
        <v/>
      </c>
      <c r="J1885" s="85" t="str">
        <f>IFERROR(VLOOKUP(CONCATENATE($B1885,"_",J$3),materiali!$C:$K,6,0),"")</f>
        <v/>
      </c>
      <c r="K1885" s="86"/>
      <c r="L1885" s="84" t="str">
        <f>IFERROR(VLOOKUP(CONCATENATE($B1885,"_",L$3),materiali!$C:$K,5,0),"")</f>
        <v/>
      </c>
      <c r="M1885" s="85" t="str">
        <f>IFERROR(VLOOKUP(CONCATENATE($B1885,"_",M$3),materiali!$C:$K,6,0),"")</f>
        <v/>
      </c>
      <c r="N1885" s="86"/>
      <c r="O1885" s="84" t="str">
        <f>IFERROR(VLOOKUP(CONCATENATE($B1885,"_",O$3),materiali!$C:$K,5,0),"")</f>
        <v/>
      </c>
      <c r="P1885" s="85" t="str">
        <f>IFERROR(VLOOKUP(CONCATENATE($B1885,"_",P$3),materiali!$C:$K,6,0),"")</f>
        <v/>
      </c>
      <c r="Q1885" s="86"/>
      <c r="R1885" s="84" t="str">
        <f>IFERROR(VLOOKUP(CONCATENATE($B1885,"_",R$3),materiali!$C:$K,5,0),"")</f>
        <v/>
      </c>
      <c r="S1885" s="85" t="str">
        <f>IFERROR(VLOOKUP(CONCATENATE($B1885,"_",S$3),materiali!$C:$K,6,0),"")</f>
        <v/>
      </c>
      <c r="T1885" s="86"/>
      <c r="U1885" s="31"/>
      <c r="AD1885" s="97"/>
    </row>
    <row r="1886" spans="1:30" ht="35.1" hidden="1" customHeight="1" x14ac:dyDescent="0.25">
      <c r="A1886" s="83"/>
      <c r="B1886" s="7"/>
      <c r="C1886" s="8"/>
      <c r="D1886" s="8"/>
      <c r="E1886" s="60"/>
      <c r="F1886" s="84" t="str">
        <f>IFERROR(VLOOKUP(CONCATENATE($B1886,"_",F$3),materiali!$C:$K,5,0),"")</f>
        <v/>
      </c>
      <c r="G1886" s="85" t="str">
        <f>IFERROR(VLOOKUP(CONCATENATE($B1886,"_",G$3),materiali!$C:$K,6,0),"")</f>
        <v/>
      </c>
      <c r="H1886" s="86"/>
      <c r="I1886" s="84" t="str">
        <f>IFERROR(VLOOKUP(CONCATENATE($B1886,"_",I$3),materiali!$C:$K,5,0),"")</f>
        <v/>
      </c>
      <c r="J1886" s="85" t="str">
        <f>IFERROR(VLOOKUP(CONCATENATE($B1886,"_",J$3),materiali!$C:$K,6,0),"")</f>
        <v/>
      </c>
      <c r="K1886" s="86"/>
      <c r="L1886" s="84" t="str">
        <f>IFERROR(VLOOKUP(CONCATENATE($B1886,"_",L$3),materiali!$C:$K,5,0),"")</f>
        <v/>
      </c>
      <c r="M1886" s="85" t="str">
        <f>IFERROR(VLOOKUP(CONCATENATE($B1886,"_",M$3),materiali!$C:$K,6,0),"")</f>
        <v/>
      </c>
      <c r="N1886" s="86"/>
      <c r="O1886" s="84" t="str">
        <f>IFERROR(VLOOKUP(CONCATENATE($B1886,"_",O$3),materiali!$C:$K,5,0),"")</f>
        <v/>
      </c>
      <c r="P1886" s="85" t="str">
        <f>IFERROR(VLOOKUP(CONCATENATE($B1886,"_",P$3),materiali!$C:$K,6,0),"")</f>
        <v/>
      </c>
      <c r="Q1886" s="86"/>
      <c r="R1886" s="84" t="str">
        <f>IFERROR(VLOOKUP(CONCATENATE($B1886,"_",R$3),materiali!$C:$K,5,0),"")</f>
        <v/>
      </c>
      <c r="S1886" s="85" t="str">
        <f>IFERROR(VLOOKUP(CONCATENATE($B1886,"_",S$3),materiali!$C:$K,6,0),"")</f>
        <v/>
      </c>
      <c r="T1886" s="86"/>
      <c r="U1886" s="31"/>
      <c r="AD1886" s="97"/>
    </row>
    <row r="1887" spans="1:30" ht="35.1" hidden="1" customHeight="1" x14ac:dyDescent="0.25">
      <c r="A1887" s="83"/>
      <c r="B1887" s="7"/>
      <c r="C1887" s="8"/>
      <c r="D1887" s="8"/>
      <c r="E1887" s="60"/>
      <c r="F1887" s="84" t="str">
        <f>IFERROR(VLOOKUP(CONCATENATE($B1887,"_",F$3),materiali!$C:$K,5,0),"")</f>
        <v/>
      </c>
      <c r="G1887" s="85" t="str">
        <f>IFERROR(VLOOKUP(CONCATENATE($B1887,"_",G$3),materiali!$C:$K,6,0),"")</f>
        <v/>
      </c>
      <c r="H1887" s="86"/>
      <c r="I1887" s="84" t="str">
        <f>IFERROR(VLOOKUP(CONCATENATE($B1887,"_",I$3),materiali!$C:$K,5,0),"")</f>
        <v/>
      </c>
      <c r="J1887" s="85" t="str">
        <f>IFERROR(VLOOKUP(CONCATENATE($B1887,"_",J$3),materiali!$C:$K,6,0),"")</f>
        <v/>
      </c>
      <c r="K1887" s="86"/>
      <c r="L1887" s="84" t="str">
        <f>IFERROR(VLOOKUP(CONCATENATE($B1887,"_",L$3),materiali!$C:$K,5,0),"")</f>
        <v/>
      </c>
      <c r="M1887" s="85" t="str">
        <f>IFERROR(VLOOKUP(CONCATENATE($B1887,"_",M$3),materiali!$C:$K,6,0),"")</f>
        <v/>
      </c>
      <c r="N1887" s="86"/>
      <c r="O1887" s="84" t="str">
        <f>IFERROR(VLOOKUP(CONCATENATE($B1887,"_",O$3),materiali!$C:$K,5,0),"")</f>
        <v/>
      </c>
      <c r="P1887" s="85" t="str">
        <f>IFERROR(VLOOKUP(CONCATENATE($B1887,"_",P$3),materiali!$C:$K,6,0),"")</f>
        <v/>
      </c>
      <c r="Q1887" s="86"/>
      <c r="R1887" s="84" t="str">
        <f>IFERROR(VLOOKUP(CONCATENATE($B1887,"_",R$3),materiali!$C:$K,5,0),"")</f>
        <v/>
      </c>
      <c r="S1887" s="85" t="str">
        <f>IFERROR(VLOOKUP(CONCATENATE($B1887,"_",S$3),materiali!$C:$K,6,0),"")</f>
        <v/>
      </c>
      <c r="T1887" s="86"/>
      <c r="U1887" s="31"/>
      <c r="AD1887" s="97"/>
    </row>
    <row r="1888" spans="1:30" ht="35.1" hidden="1" customHeight="1" x14ac:dyDescent="0.25">
      <c r="A1888" s="83"/>
      <c r="B1888" s="7"/>
      <c r="C1888" s="8"/>
      <c r="D1888" s="8"/>
      <c r="E1888" s="60"/>
      <c r="F1888" s="84" t="str">
        <f>IFERROR(VLOOKUP(CONCATENATE($B1888,"_",F$3),materiali!$C:$K,5,0),"")</f>
        <v/>
      </c>
      <c r="G1888" s="85" t="str">
        <f>IFERROR(VLOOKUP(CONCATENATE($B1888,"_",G$3),materiali!$C:$K,6,0),"")</f>
        <v/>
      </c>
      <c r="H1888" s="86"/>
      <c r="I1888" s="84" t="str">
        <f>IFERROR(VLOOKUP(CONCATENATE($B1888,"_",I$3),materiali!$C:$K,5,0),"")</f>
        <v/>
      </c>
      <c r="J1888" s="85" t="str">
        <f>IFERROR(VLOOKUP(CONCATENATE($B1888,"_",J$3),materiali!$C:$K,6,0),"")</f>
        <v/>
      </c>
      <c r="K1888" s="86"/>
      <c r="L1888" s="84" t="str">
        <f>IFERROR(VLOOKUP(CONCATENATE($B1888,"_",L$3),materiali!$C:$K,5,0),"")</f>
        <v/>
      </c>
      <c r="M1888" s="85" t="str">
        <f>IFERROR(VLOOKUP(CONCATENATE($B1888,"_",M$3),materiali!$C:$K,6,0),"")</f>
        <v/>
      </c>
      <c r="N1888" s="86"/>
      <c r="O1888" s="84" t="str">
        <f>IFERROR(VLOOKUP(CONCATENATE($B1888,"_",O$3),materiali!$C:$K,5,0),"")</f>
        <v/>
      </c>
      <c r="P1888" s="85" t="str">
        <f>IFERROR(VLOOKUP(CONCATENATE($B1888,"_",P$3),materiali!$C:$K,6,0),"")</f>
        <v/>
      </c>
      <c r="Q1888" s="86"/>
      <c r="R1888" s="84" t="str">
        <f>IFERROR(VLOOKUP(CONCATENATE($B1888,"_",R$3),materiali!$C:$K,5,0),"")</f>
        <v/>
      </c>
      <c r="S1888" s="85" t="str">
        <f>IFERROR(VLOOKUP(CONCATENATE($B1888,"_",S$3),materiali!$C:$K,6,0),"")</f>
        <v/>
      </c>
      <c r="T1888" s="86"/>
      <c r="U1888" s="31"/>
      <c r="AD1888" s="97"/>
    </row>
    <row r="1889" spans="1:30" ht="35.1" hidden="1" customHeight="1" x14ac:dyDescent="0.25">
      <c r="A1889" s="83"/>
      <c r="B1889" s="7"/>
      <c r="C1889" s="8"/>
      <c r="D1889" s="8"/>
      <c r="E1889" s="60"/>
      <c r="F1889" s="84" t="str">
        <f>IFERROR(VLOOKUP(CONCATENATE($B1889,"_",F$3),materiali!$C:$K,5,0),"")</f>
        <v/>
      </c>
      <c r="G1889" s="85" t="str">
        <f>IFERROR(VLOOKUP(CONCATENATE($B1889,"_",G$3),materiali!$C:$K,6,0),"")</f>
        <v/>
      </c>
      <c r="H1889" s="86"/>
      <c r="I1889" s="84" t="str">
        <f>IFERROR(VLOOKUP(CONCATENATE($B1889,"_",I$3),materiali!$C:$K,5,0),"")</f>
        <v/>
      </c>
      <c r="J1889" s="85" t="str">
        <f>IFERROR(VLOOKUP(CONCATENATE($B1889,"_",J$3),materiali!$C:$K,6,0),"")</f>
        <v/>
      </c>
      <c r="K1889" s="86"/>
      <c r="L1889" s="84" t="str">
        <f>IFERROR(VLOOKUP(CONCATENATE($B1889,"_",L$3),materiali!$C:$K,5,0),"")</f>
        <v/>
      </c>
      <c r="M1889" s="85" t="str">
        <f>IFERROR(VLOOKUP(CONCATENATE($B1889,"_",M$3),materiali!$C:$K,6,0),"")</f>
        <v/>
      </c>
      <c r="N1889" s="86"/>
      <c r="O1889" s="84" t="str">
        <f>IFERROR(VLOOKUP(CONCATENATE($B1889,"_",O$3),materiali!$C:$K,5,0),"")</f>
        <v/>
      </c>
      <c r="P1889" s="85" t="str">
        <f>IFERROR(VLOOKUP(CONCATENATE($B1889,"_",P$3),materiali!$C:$K,6,0),"")</f>
        <v/>
      </c>
      <c r="Q1889" s="86"/>
      <c r="R1889" s="84" t="str">
        <f>IFERROR(VLOOKUP(CONCATENATE($B1889,"_",R$3),materiali!$C:$K,5,0),"")</f>
        <v/>
      </c>
      <c r="S1889" s="85" t="str">
        <f>IFERROR(VLOOKUP(CONCATENATE($B1889,"_",S$3),materiali!$C:$K,6,0),"")</f>
        <v/>
      </c>
      <c r="T1889" s="86"/>
      <c r="U1889" s="31"/>
      <c r="AD1889" s="97"/>
    </row>
    <row r="1890" spans="1:30" ht="35.1" hidden="1" customHeight="1" x14ac:dyDescent="0.25">
      <c r="A1890" s="83"/>
      <c r="B1890" s="7"/>
      <c r="C1890" s="8"/>
      <c r="D1890" s="8"/>
      <c r="E1890" s="60"/>
      <c r="F1890" s="84" t="str">
        <f>IFERROR(VLOOKUP(CONCATENATE($B1890,"_",F$3),materiali!$C:$K,5,0),"")</f>
        <v/>
      </c>
      <c r="G1890" s="85" t="str">
        <f>IFERROR(VLOOKUP(CONCATENATE($B1890,"_",G$3),materiali!$C:$K,6,0),"")</f>
        <v/>
      </c>
      <c r="H1890" s="86"/>
      <c r="I1890" s="84" t="str">
        <f>IFERROR(VLOOKUP(CONCATENATE($B1890,"_",I$3),materiali!$C:$K,5,0),"")</f>
        <v/>
      </c>
      <c r="J1890" s="85" t="str">
        <f>IFERROR(VLOOKUP(CONCATENATE($B1890,"_",J$3),materiali!$C:$K,6,0),"")</f>
        <v/>
      </c>
      <c r="K1890" s="86"/>
      <c r="L1890" s="84" t="str">
        <f>IFERROR(VLOOKUP(CONCATENATE($B1890,"_",L$3),materiali!$C:$K,5,0),"")</f>
        <v/>
      </c>
      <c r="M1890" s="85" t="str">
        <f>IFERROR(VLOOKUP(CONCATENATE($B1890,"_",M$3),materiali!$C:$K,6,0),"")</f>
        <v/>
      </c>
      <c r="N1890" s="86"/>
      <c r="O1890" s="84" t="str">
        <f>IFERROR(VLOOKUP(CONCATENATE($B1890,"_",O$3),materiali!$C:$K,5,0),"")</f>
        <v/>
      </c>
      <c r="P1890" s="85" t="str">
        <f>IFERROR(VLOOKUP(CONCATENATE($B1890,"_",P$3),materiali!$C:$K,6,0),"")</f>
        <v/>
      </c>
      <c r="Q1890" s="86"/>
      <c r="R1890" s="84" t="str">
        <f>IFERROR(VLOOKUP(CONCATENATE($B1890,"_",R$3),materiali!$C:$K,5,0),"")</f>
        <v/>
      </c>
      <c r="S1890" s="85" t="str">
        <f>IFERROR(VLOOKUP(CONCATENATE($B1890,"_",S$3),materiali!$C:$K,6,0),"")</f>
        <v/>
      </c>
      <c r="T1890" s="86"/>
      <c r="U1890" s="31"/>
      <c r="AD1890" s="97"/>
    </row>
    <row r="1891" spans="1:30" ht="35.1" hidden="1" customHeight="1" x14ac:dyDescent="0.25">
      <c r="A1891" s="83"/>
      <c r="B1891" s="7"/>
      <c r="C1891" s="8"/>
      <c r="D1891" s="8"/>
      <c r="E1891" s="60"/>
      <c r="F1891" s="84" t="str">
        <f>IFERROR(VLOOKUP(CONCATENATE($B1891,"_",F$3),materiali!$C:$K,5,0),"")</f>
        <v/>
      </c>
      <c r="G1891" s="85" t="str">
        <f>IFERROR(VLOOKUP(CONCATENATE($B1891,"_",G$3),materiali!$C:$K,6,0),"")</f>
        <v/>
      </c>
      <c r="H1891" s="86"/>
      <c r="I1891" s="84" t="str">
        <f>IFERROR(VLOOKUP(CONCATENATE($B1891,"_",I$3),materiali!$C:$K,5,0),"")</f>
        <v/>
      </c>
      <c r="J1891" s="85" t="str">
        <f>IFERROR(VLOOKUP(CONCATENATE($B1891,"_",J$3),materiali!$C:$K,6,0),"")</f>
        <v/>
      </c>
      <c r="K1891" s="86"/>
      <c r="L1891" s="84" t="str">
        <f>IFERROR(VLOOKUP(CONCATENATE($B1891,"_",L$3),materiali!$C:$K,5,0),"")</f>
        <v/>
      </c>
      <c r="M1891" s="85" t="str">
        <f>IFERROR(VLOOKUP(CONCATENATE($B1891,"_",M$3),materiali!$C:$K,6,0),"")</f>
        <v/>
      </c>
      <c r="N1891" s="86"/>
      <c r="O1891" s="84" t="str">
        <f>IFERROR(VLOOKUP(CONCATENATE($B1891,"_",O$3),materiali!$C:$K,5,0),"")</f>
        <v/>
      </c>
      <c r="P1891" s="85" t="str">
        <f>IFERROR(VLOOKUP(CONCATENATE($B1891,"_",P$3),materiali!$C:$K,6,0),"")</f>
        <v/>
      </c>
      <c r="Q1891" s="86"/>
      <c r="R1891" s="84" t="str">
        <f>IFERROR(VLOOKUP(CONCATENATE($B1891,"_",R$3),materiali!$C:$K,5,0),"")</f>
        <v/>
      </c>
      <c r="S1891" s="85" t="str">
        <f>IFERROR(VLOOKUP(CONCATENATE($B1891,"_",S$3),materiali!$C:$K,6,0),"")</f>
        <v/>
      </c>
      <c r="T1891" s="86"/>
      <c r="U1891" s="31"/>
      <c r="AD1891" s="97"/>
    </row>
    <row r="1892" spans="1:30" ht="35.1" hidden="1" customHeight="1" x14ac:dyDescent="0.25">
      <c r="A1892" s="83"/>
      <c r="B1892" s="7"/>
      <c r="C1892" s="8"/>
      <c r="D1892" s="8"/>
      <c r="E1892" s="60"/>
      <c r="F1892" s="84" t="str">
        <f>IFERROR(VLOOKUP(CONCATENATE($B1892,"_",F$3),materiali!$C:$K,5,0),"")</f>
        <v/>
      </c>
      <c r="G1892" s="85" t="str">
        <f>IFERROR(VLOOKUP(CONCATENATE($B1892,"_",G$3),materiali!$C:$K,6,0),"")</f>
        <v/>
      </c>
      <c r="H1892" s="86"/>
      <c r="I1892" s="84" t="str">
        <f>IFERROR(VLOOKUP(CONCATENATE($B1892,"_",I$3),materiali!$C:$K,5,0),"")</f>
        <v/>
      </c>
      <c r="J1892" s="85" t="str">
        <f>IFERROR(VLOOKUP(CONCATENATE($B1892,"_",J$3),materiali!$C:$K,6,0),"")</f>
        <v/>
      </c>
      <c r="K1892" s="86"/>
      <c r="L1892" s="84" t="str">
        <f>IFERROR(VLOOKUP(CONCATENATE($B1892,"_",L$3),materiali!$C:$K,5,0),"")</f>
        <v/>
      </c>
      <c r="M1892" s="85" t="str">
        <f>IFERROR(VLOOKUP(CONCATENATE($B1892,"_",M$3),materiali!$C:$K,6,0),"")</f>
        <v/>
      </c>
      <c r="N1892" s="86"/>
      <c r="O1892" s="84" t="str">
        <f>IFERROR(VLOOKUP(CONCATENATE($B1892,"_",O$3),materiali!$C:$K,5,0),"")</f>
        <v/>
      </c>
      <c r="P1892" s="85" t="str">
        <f>IFERROR(VLOOKUP(CONCATENATE($B1892,"_",P$3),materiali!$C:$K,6,0),"")</f>
        <v/>
      </c>
      <c r="Q1892" s="86"/>
      <c r="R1892" s="84" t="str">
        <f>IFERROR(VLOOKUP(CONCATENATE($B1892,"_",R$3),materiali!$C:$K,5,0),"")</f>
        <v/>
      </c>
      <c r="S1892" s="85" t="str">
        <f>IFERROR(VLOOKUP(CONCATENATE($B1892,"_",S$3),materiali!$C:$K,6,0),"")</f>
        <v/>
      </c>
      <c r="T1892" s="86"/>
      <c r="U1892" s="31"/>
      <c r="AD1892" s="97"/>
    </row>
    <row r="1893" spans="1:30" ht="35.1" hidden="1" customHeight="1" x14ac:dyDescent="0.25">
      <c r="A1893" s="83"/>
      <c r="B1893" s="7"/>
      <c r="C1893" s="8"/>
      <c r="D1893" s="8"/>
      <c r="E1893" s="60"/>
      <c r="F1893" s="84" t="str">
        <f>IFERROR(VLOOKUP(CONCATENATE($B1893,"_",F$3),materiali!$C:$K,5,0),"")</f>
        <v/>
      </c>
      <c r="G1893" s="85" t="str">
        <f>IFERROR(VLOOKUP(CONCATENATE($B1893,"_",G$3),materiali!$C:$K,6,0),"")</f>
        <v/>
      </c>
      <c r="H1893" s="86"/>
      <c r="I1893" s="84" t="str">
        <f>IFERROR(VLOOKUP(CONCATENATE($B1893,"_",I$3),materiali!$C:$K,5,0),"")</f>
        <v/>
      </c>
      <c r="J1893" s="85" t="str">
        <f>IFERROR(VLOOKUP(CONCATENATE($B1893,"_",J$3),materiali!$C:$K,6,0),"")</f>
        <v/>
      </c>
      <c r="K1893" s="86"/>
      <c r="L1893" s="84" t="str">
        <f>IFERROR(VLOOKUP(CONCATENATE($B1893,"_",L$3),materiali!$C:$K,5,0),"")</f>
        <v/>
      </c>
      <c r="M1893" s="85" t="str">
        <f>IFERROR(VLOOKUP(CONCATENATE($B1893,"_",M$3),materiali!$C:$K,6,0),"")</f>
        <v/>
      </c>
      <c r="N1893" s="86"/>
      <c r="O1893" s="84" t="str">
        <f>IFERROR(VLOOKUP(CONCATENATE($B1893,"_",O$3),materiali!$C:$K,5,0),"")</f>
        <v/>
      </c>
      <c r="P1893" s="85" t="str">
        <f>IFERROR(VLOOKUP(CONCATENATE($B1893,"_",P$3),materiali!$C:$K,6,0),"")</f>
        <v/>
      </c>
      <c r="Q1893" s="86"/>
      <c r="R1893" s="84" t="str">
        <f>IFERROR(VLOOKUP(CONCATENATE($B1893,"_",R$3),materiali!$C:$K,5,0),"")</f>
        <v/>
      </c>
      <c r="S1893" s="85" t="str">
        <f>IFERROR(VLOOKUP(CONCATENATE($B1893,"_",S$3),materiali!$C:$K,6,0),"")</f>
        <v/>
      </c>
      <c r="T1893" s="86"/>
      <c r="U1893" s="31"/>
      <c r="AD1893" s="97"/>
    </row>
    <row r="1894" spans="1:30" ht="35.1" hidden="1" customHeight="1" x14ac:dyDescent="0.25">
      <c r="A1894" s="83"/>
      <c r="B1894" s="7"/>
      <c r="C1894" s="8"/>
      <c r="D1894" s="8"/>
      <c r="E1894" s="60"/>
      <c r="F1894" s="84" t="str">
        <f>IFERROR(VLOOKUP(CONCATENATE($B1894,"_",F$3),materiali!$C:$K,5,0),"")</f>
        <v/>
      </c>
      <c r="G1894" s="85" t="str">
        <f>IFERROR(VLOOKUP(CONCATENATE($B1894,"_",G$3),materiali!$C:$K,6,0),"")</f>
        <v/>
      </c>
      <c r="H1894" s="86"/>
      <c r="I1894" s="84" t="str">
        <f>IFERROR(VLOOKUP(CONCATENATE($B1894,"_",I$3),materiali!$C:$K,5,0),"")</f>
        <v/>
      </c>
      <c r="J1894" s="85" t="str">
        <f>IFERROR(VLOOKUP(CONCATENATE($B1894,"_",J$3),materiali!$C:$K,6,0),"")</f>
        <v/>
      </c>
      <c r="K1894" s="86"/>
      <c r="L1894" s="84" t="str">
        <f>IFERROR(VLOOKUP(CONCATENATE($B1894,"_",L$3),materiali!$C:$K,5,0),"")</f>
        <v/>
      </c>
      <c r="M1894" s="85" t="str">
        <f>IFERROR(VLOOKUP(CONCATENATE($B1894,"_",M$3),materiali!$C:$K,6,0),"")</f>
        <v/>
      </c>
      <c r="N1894" s="86"/>
      <c r="O1894" s="84" t="str">
        <f>IFERROR(VLOOKUP(CONCATENATE($B1894,"_",O$3),materiali!$C:$K,5,0),"")</f>
        <v/>
      </c>
      <c r="P1894" s="85" t="str">
        <f>IFERROR(VLOOKUP(CONCATENATE($B1894,"_",P$3),materiali!$C:$K,6,0),"")</f>
        <v/>
      </c>
      <c r="Q1894" s="86"/>
      <c r="R1894" s="84" t="str">
        <f>IFERROR(VLOOKUP(CONCATENATE($B1894,"_",R$3),materiali!$C:$K,5,0),"")</f>
        <v/>
      </c>
      <c r="S1894" s="85" t="str">
        <f>IFERROR(VLOOKUP(CONCATENATE($B1894,"_",S$3),materiali!$C:$K,6,0),"")</f>
        <v/>
      </c>
      <c r="T1894" s="86"/>
      <c r="U1894" s="31"/>
      <c r="AD1894" s="97"/>
    </row>
    <row r="1895" spans="1:30" ht="35.1" hidden="1" customHeight="1" x14ac:dyDescent="0.25">
      <c r="A1895" s="83"/>
      <c r="B1895" s="7"/>
      <c r="C1895" s="8"/>
      <c r="D1895" s="8"/>
      <c r="E1895" s="60"/>
      <c r="F1895" s="84" t="str">
        <f>IFERROR(VLOOKUP(CONCATENATE($B1895,"_",F$3),materiali!$C:$K,5,0),"")</f>
        <v/>
      </c>
      <c r="G1895" s="85" t="str">
        <f>IFERROR(VLOOKUP(CONCATENATE($B1895,"_",G$3),materiali!$C:$K,6,0),"")</f>
        <v/>
      </c>
      <c r="H1895" s="86"/>
      <c r="I1895" s="84" t="str">
        <f>IFERROR(VLOOKUP(CONCATENATE($B1895,"_",I$3),materiali!$C:$K,5,0),"")</f>
        <v/>
      </c>
      <c r="J1895" s="85" t="str">
        <f>IFERROR(VLOOKUP(CONCATENATE($B1895,"_",J$3),materiali!$C:$K,6,0),"")</f>
        <v/>
      </c>
      <c r="K1895" s="86"/>
      <c r="L1895" s="84" t="str">
        <f>IFERROR(VLOOKUP(CONCATENATE($B1895,"_",L$3),materiali!$C:$K,5,0),"")</f>
        <v/>
      </c>
      <c r="M1895" s="85" t="str">
        <f>IFERROR(VLOOKUP(CONCATENATE($B1895,"_",M$3),materiali!$C:$K,6,0),"")</f>
        <v/>
      </c>
      <c r="N1895" s="86"/>
      <c r="O1895" s="84" t="str">
        <f>IFERROR(VLOOKUP(CONCATENATE($B1895,"_",O$3),materiali!$C:$K,5,0),"")</f>
        <v/>
      </c>
      <c r="P1895" s="85" t="str">
        <f>IFERROR(VLOOKUP(CONCATENATE($B1895,"_",P$3),materiali!$C:$K,6,0),"")</f>
        <v/>
      </c>
      <c r="Q1895" s="86"/>
      <c r="R1895" s="84" t="str">
        <f>IFERROR(VLOOKUP(CONCATENATE($B1895,"_",R$3),materiali!$C:$K,5,0),"")</f>
        <v/>
      </c>
      <c r="S1895" s="85" t="str">
        <f>IFERROR(VLOOKUP(CONCATENATE($B1895,"_",S$3),materiali!$C:$K,6,0),"")</f>
        <v/>
      </c>
      <c r="T1895" s="86"/>
      <c r="U1895" s="31"/>
      <c r="AD1895" s="97"/>
    </row>
    <row r="1896" spans="1:30" ht="35.1" hidden="1" customHeight="1" x14ac:dyDescent="0.25">
      <c r="A1896" s="83"/>
      <c r="B1896" s="7"/>
      <c r="C1896" s="8"/>
      <c r="D1896" s="8"/>
      <c r="E1896" s="60"/>
      <c r="F1896" s="84" t="str">
        <f>IFERROR(VLOOKUP(CONCATENATE($B1896,"_",F$3),materiali!$C:$K,5,0),"")</f>
        <v/>
      </c>
      <c r="G1896" s="85" t="str">
        <f>IFERROR(VLOOKUP(CONCATENATE($B1896,"_",G$3),materiali!$C:$K,6,0),"")</f>
        <v/>
      </c>
      <c r="H1896" s="86"/>
      <c r="I1896" s="84" t="str">
        <f>IFERROR(VLOOKUP(CONCATENATE($B1896,"_",I$3),materiali!$C:$K,5,0),"")</f>
        <v/>
      </c>
      <c r="J1896" s="85" t="str">
        <f>IFERROR(VLOOKUP(CONCATENATE($B1896,"_",J$3),materiali!$C:$K,6,0),"")</f>
        <v/>
      </c>
      <c r="K1896" s="86"/>
      <c r="L1896" s="84" t="str">
        <f>IFERROR(VLOOKUP(CONCATENATE($B1896,"_",L$3),materiali!$C:$K,5,0),"")</f>
        <v/>
      </c>
      <c r="M1896" s="85" t="str">
        <f>IFERROR(VLOOKUP(CONCATENATE($B1896,"_",M$3),materiali!$C:$K,6,0),"")</f>
        <v/>
      </c>
      <c r="N1896" s="86"/>
      <c r="O1896" s="84" t="str">
        <f>IFERROR(VLOOKUP(CONCATENATE($B1896,"_",O$3),materiali!$C:$K,5,0),"")</f>
        <v/>
      </c>
      <c r="P1896" s="85" t="str">
        <f>IFERROR(VLOOKUP(CONCATENATE($B1896,"_",P$3),materiali!$C:$K,6,0),"")</f>
        <v/>
      </c>
      <c r="Q1896" s="86"/>
      <c r="R1896" s="84" t="str">
        <f>IFERROR(VLOOKUP(CONCATENATE($B1896,"_",R$3),materiali!$C:$K,5,0),"")</f>
        <v/>
      </c>
      <c r="S1896" s="85" t="str">
        <f>IFERROR(VLOOKUP(CONCATENATE($B1896,"_",S$3),materiali!$C:$K,6,0),"")</f>
        <v/>
      </c>
      <c r="T1896" s="86"/>
      <c r="U1896" s="31"/>
      <c r="AD1896" s="97"/>
    </row>
    <row r="1897" spans="1:30" ht="35.1" hidden="1" customHeight="1" x14ac:dyDescent="0.25">
      <c r="A1897" s="83"/>
      <c r="B1897" s="7"/>
      <c r="C1897" s="8"/>
      <c r="D1897" s="8"/>
      <c r="E1897" s="60"/>
      <c r="F1897" s="84" t="str">
        <f>IFERROR(VLOOKUP(CONCATENATE($B1897,"_",F$3),materiali!$C:$K,5,0),"")</f>
        <v/>
      </c>
      <c r="G1897" s="85" t="str">
        <f>IFERROR(VLOOKUP(CONCATENATE($B1897,"_",G$3),materiali!$C:$K,6,0),"")</f>
        <v/>
      </c>
      <c r="H1897" s="86"/>
      <c r="I1897" s="84" t="str">
        <f>IFERROR(VLOOKUP(CONCATENATE($B1897,"_",I$3),materiali!$C:$K,5,0),"")</f>
        <v/>
      </c>
      <c r="J1897" s="85" t="str">
        <f>IFERROR(VLOOKUP(CONCATENATE($B1897,"_",J$3),materiali!$C:$K,6,0),"")</f>
        <v/>
      </c>
      <c r="K1897" s="86"/>
      <c r="L1897" s="84" t="str">
        <f>IFERROR(VLOOKUP(CONCATENATE($B1897,"_",L$3),materiali!$C:$K,5,0),"")</f>
        <v/>
      </c>
      <c r="M1897" s="85" t="str">
        <f>IFERROR(VLOOKUP(CONCATENATE($B1897,"_",M$3),materiali!$C:$K,6,0),"")</f>
        <v/>
      </c>
      <c r="N1897" s="86"/>
      <c r="O1897" s="84" t="str">
        <f>IFERROR(VLOOKUP(CONCATENATE($B1897,"_",O$3),materiali!$C:$K,5,0),"")</f>
        <v/>
      </c>
      <c r="P1897" s="85" t="str">
        <f>IFERROR(VLOOKUP(CONCATENATE($B1897,"_",P$3),materiali!$C:$K,6,0),"")</f>
        <v/>
      </c>
      <c r="Q1897" s="86"/>
      <c r="R1897" s="84" t="str">
        <f>IFERROR(VLOOKUP(CONCATENATE($B1897,"_",R$3),materiali!$C:$K,5,0),"")</f>
        <v/>
      </c>
      <c r="S1897" s="85" t="str">
        <f>IFERROR(VLOOKUP(CONCATENATE($B1897,"_",S$3),materiali!$C:$K,6,0),"")</f>
        <v/>
      </c>
      <c r="T1897" s="86"/>
      <c r="U1897" s="31"/>
      <c r="AD1897" s="97"/>
    </row>
    <row r="1898" spans="1:30" ht="35.1" hidden="1" customHeight="1" x14ac:dyDescent="0.25">
      <c r="A1898" s="83"/>
      <c r="B1898" s="7"/>
      <c r="C1898" s="8"/>
      <c r="D1898" s="8"/>
      <c r="E1898" s="60"/>
      <c r="F1898" s="84" t="str">
        <f>IFERROR(VLOOKUP(CONCATENATE($B1898,"_",F$3),materiali!$C:$K,5,0),"")</f>
        <v/>
      </c>
      <c r="G1898" s="85" t="str">
        <f>IFERROR(VLOOKUP(CONCATENATE($B1898,"_",G$3),materiali!$C:$K,6,0),"")</f>
        <v/>
      </c>
      <c r="H1898" s="86"/>
      <c r="I1898" s="84" t="str">
        <f>IFERROR(VLOOKUP(CONCATENATE($B1898,"_",I$3),materiali!$C:$K,5,0),"")</f>
        <v/>
      </c>
      <c r="J1898" s="85" t="str">
        <f>IFERROR(VLOOKUP(CONCATENATE($B1898,"_",J$3),materiali!$C:$K,6,0),"")</f>
        <v/>
      </c>
      <c r="K1898" s="86"/>
      <c r="L1898" s="84" t="str">
        <f>IFERROR(VLOOKUP(CONCATENATE($B1898,"_",L$3),materiali!$C:$K,5,0),"")</f>
        <v/>
      </c>
      <c r="M1898" s="85" t="str">
        <f>IFERROR(VLOOKUP(CONCATENATE($B1898,"_",M$3),materiali!$C:$K,6,0),"")</f>
        <v/>
      </c>
      <c r="N1898" s="86"/>
      <c r="O1898" s="84" t="str">
        <f>IFERROR(VLOOKUP(CONCATENATE($B1898,"_",O$3),materiali!$C:$K,5,0),"")</f>
        <v/>
      </c>
      <c r="P1898" s="85" t="str">
        <f>IFERROR(VLOOKUP(CONCATENATE($B1898,"_",P$3),materiali!$C:$K,6,0),"")</f>
        <v/>
      </c>
      <c r="Q1898" s="86"/>
      <c r="R1898" s="84" t="str">
        <f>IFERROR(VLOOKUP(CONCATENATE($B1898,"_",R$3),materiali!$C:$K,5,0),"")</f>
        <v/>
      </c>
      <c r="S1898" s="85" t="str">
        <f>IFERROR(VLOOKUP(CONCATENATE($B1898,"_",S$3),materiali!$C:$K,6,0),"")</f>
        <v/>
      </c>
      <c r="T1898" s="86"/>
      <c r="U1898" s="31"/>
      <c r="AD1898" s="97"/>
    </row>
    <row r="1899" spans="1:30" ht="35.1" hidden="1" customHeight="1" x14ac:dyDescent="0.25">
      <c r="A1899" s="83"/>
      <c r="B1899" s="7"/>
      <c r="C1899" s="8"/>
      <c r="D1899" s="8"/>
      <c r="E1899" s="60"/>
      <c r="F1899" s="84" t="str">
        <f>IFERROR(VLOOKUP(CONCATENATE($B1899,"_",F$3),materiali!$C:$K,5,0),"")</f>
        <v/>
      </c>
      <c r="G1899" s="85" t="str">
        <f>IFERROR(VLOOKUP(CONCATENATE($B1899,"_",G$3),materiali!$C:$K,6,0),"")</f>
        <v/>
      </c>
      <c r="H1899" s="86"/>
      <c r="I1899" s="84" t="str">
        <f>IFERROR(VLOOKUP(CONCATENATE($B1899,"_",I$3),materiali!$C:$K,5,0),"")</f>
        <v/>
      </c>
      <c r="J1899" s="85" t="str">
        <f>IFERROR(VLOOKUP(CONCATENATE($B1899,"_",J$3),materiali!$C:$K,6,0),"")</f>
        <v/>
      </c>
      <c r="K1899" s="86"/>
      <c r="L1899" s="84" t="str">
        <f>IFERROR(VLOOKUP(CONCATENATE($B1899,"_",L$3),materiali!$C:$K,5,0),"")</f>
        <v/>
      </c>
      <c r="M1899" s="85" t="str">
        <f>IFERROR(VLOOKUP(CONCATENATE($B1899,"_",M$3),materiali!$C:$K,6,0),"")</f>
        <v/>
      </c>
      <c r="N1899" s="86"/>
      <c r="O1899" s="84" t="str">
        <f>IFERROR(VLOOKUP(CONCATENATE($B1899,"_",O$3),materiali!$C:$K,5,0),"")</f>
        <v/>
      </c>
      <c r="P1899" s="85" t="str">
        <f>IFERROR(VLOOKUP(CONCATENATE($B1899,"_",P$3),materiali!$C:$K,6,0),"")</f>
        <v/>
      </c>
      <c r="Q1899" s="86"/>
      <c r="R1899" s="84" t="str">
        <f>IFERROR(VLOOKUP(CONCATENATE($B1899,"_",R$3),materiali!$C:$K,5,0),"")</f>
        <v/>
      </c>
      <c r="S1899" s="85" t="str">
        <f>IFERROR(VLOOKUP(CONCATENATE($B1899,"_",S$3),materiali!$C:$K,6,0),"")</f>
        <v/>
      </c>
      <c r="T1899" s="86"/>
      <c r="U1899" s="31"/>
      <c r="AD1899" s="97"/>
    </row>
    <row r="1900" spans="1:30" ht="35.1" hidden="1" customHeight="1" x14ac:dyDescent="0.25">
      <c r="A1900" s="83"/>
      <c r="B1900" s="7"/>
      <c r="C1900" s="8"/>
      <c r="D1900" s="8"/>
      <c r="E1900" s="60"/>
      <c r="F1900" s="84" t="str">
        <f>IFERROR(VLOOKUP(CONCATENATE($B1900,"_",F$3),materiali!$C:$K,5,0),"")</f>
        <v/>
      </c>
      <c r="G1900" s="85" t="str">
        <f>IFERROR(VLOOKUP(CONCATENATE($B1900,"_",G$3),materiali!$C:$K,6,0),"")</f>
        <v/>
      </c>
      <c r="H1900" s="86"/>
      <c r="I1900" s="84" t="str">
        <f>IFERROR(VLOOKUP(CONCATENATE($B1900,"_",I$3),materiali!$C:$K,5,0),"")</f>
        <v/>
      </c>
      <c r="J1900" s="85" t="str">
        <f>IFERROR(VLOOKUP(CONCATENATE($B1900,"_",J$3),materiali!$C:$K,6,0),"")</f>
        <v/>
      </c>
      <c r="K1900" s="86"/>
      <c r="L1900" s="84" t="str">
        <f>IFERROR(VLOOKUP(CONCATENATE($B1900,"_",L$3),materiali!$C:$K,5,0),"")</f>
        <v/>
      </c>
      <c r="M1900" s="85" t="str">
        <f>IFERROR(VLOOKUP(CONCATENATE($B1900,"_",M$3),materiali!$C:$K,6,0),"")</f>
        <v/>
      </c>
      <c r="N1900" s="86"/>
      <c r="O1900" s="84" t="str">
        <f>IFERROR(VLOOKUP(CONCATENATE($B1900,"_",O$3),materiali!$C:$K,5,0),"")</f>
        <v/>
      </c>
      <c r="P1900" s="85" t="str">
        <f>IFERROR(VLOOKUP(CONCATENATE($B1900,"_",P$3),materiali!$C:$K,6,0),"")</f>
        <v/>
      </c>
      <c r="Q1900" s="86"/>
      <c r="R1900" s="84" t="str">
        <f>IFERROR(VLOOKUP(CONCATENATE($B1900,"_",R$3),materiali!$C:$K,5,0),"")</f>
        <v/>
      </c>
      <c r="S1900" s="85" t="str">
        <f>IFERROR(VLOOKUP(CONCATENATE($B1900,"_",S$3),materiali!$C:$K,6,0),"")</f>
        <v/>
      </c>
      <c r="T1900" s="86"/>
      <c r="U1900" s="31"/>
      <c r="AD1900" s="97"/>
    </row>
    <row r="1901" spans="1:30" ht="35.1" hidden="1" customHeight="1" x14ac:dyDescent="0.25">
      <c r="A1901" s="83"/>
      <c r="B1901" s="7"/>
      <c r="C1901" s="8"/>
      <c r="D1901" s="8"/>
      <c r="E1901" s="60"/>
      <c r="F1901" s="84" t="str">
        <f>IFERROR(VLOOKUP(CONCATENATE($B1901,"_",F$3),materiali!$C:$K,5,0),"")</f>
        <v/>
      </c>
      <c r="G1901" s="85" t="str">
        <f>IFERROR(VLOOKUP(CONCATENATE($B1901,"_",G$3),materiali!$C:$K,6,0),"")</f>
        <v/>
      </c>
      <c r="H1901" s="86"/>
      <c r="I1901" s="84" t="str">
        <f>IFERROR(VLOOKUP(CONCATENATE($B1901,"_",I$3),materiali!$C:$K,5,0),"")</f>
        <v/>
      </c>
      <c r="J1901" s="85" t="str">
        <f>IFERROR(VLOOKUP(CONCATENATE($B1901,"_",J$3),materiali!$C:$K,6,0),"")</f>
        <v/>
      </c>
      <c r="K1901" s="86"/>
      <c r="L1901" s="84" t="str">
        <f>IFERROR(VLOOKUP(CONCATENATE($B1901,"_",L$3),materiali!$C:$K,5,0),"")</f>
        <v/>
      </c>
      <c r="M1901" s="85" t="str">
        <f>IFERROR(VLOOKUP(CONCATENATE($B1901,"_",M$3),materiali!$C:$K,6,0),"")</f>
        <v/>
      </c>
      <c r="N1901" s="86"/>
      <c r="O1901" s="84" t="str">
        <f>IFERROR(VLOOKUP(CONCATENATE($B1901,"_",O$3),materiali!$C:$K,5,0),"")</f>
        <v/>
      </c>
      <c r="P1901" s="85" t="str">
        <f>IFERROR(VLOOKUP(CONCATENATE($B1901,"_",P$3),materiali!$C:$K,6,0),"")</f>
        <v/>
      </c>
      <c r="Q1901" s="86"/>
      <c r="R1901" s="84" t="str">
        <f>IFERROR(VLOOKUP(CONCATENATE($B1901,"_",R$3),materiali!$C:$K,5,0),"")</f>
        <v/>
      </c>
      <c r="S1901" s="85" t="str">
        <f>IFERROR(VLOOKUP(CONCATENATE($B1901,"_",S$3),materiali!$C:$K,6,0),"")</f>
        <v/>
      </c>
      <c r="T1901" s="86"/>
      <c r="U1901" s="31"/>
      <c r="AD1901" s="97"/>
    </row>
    <row r="1902" spans="1:30" ht="35.1" hidden="1" customHeight="1" x14ac:dyDescent="0.25">
      <c r="A1902" s="83"/>
      <c r="B1902" s="7"/>
      <c r="C1902" s="8"/>
      <c r="D1902" s="8"/>
      <c r="E1902" s="60"/>
      <c r="F1902" s="84" t="str">
        <f>IFERROR(VLOOKUP(CONCATENATE($B1902,"_",F$3),materiali!$C:$K,5,0),"")</f>
        <v/>
      </c>
      <c r="G1902" s="85" t="str">
        <f>IFERROR(VLOOKUP(CONCATENATE($B1902,"_",G$3),materiali!$C:$K,6,0),"")</f>
        <v/>
      </c>
      <c r="H1902" s="86"/>
      <c r="I1902" s="84" t="str">
        <f>IFERROR(VLOOKUP(CONCATENATE($B1902,"_",I$3),materiali!$C:$K,5,0),"")</f>
        <v/>
      </c>
      <c r="J1902" s="85" t="str">
        <f>IFERROR(VLOOKUP(CONCATENATE($B1902,"_",J$3),materiali!$C:$K,6,0),"")</f>
        <v/>
      </c>
      <c r="K1902" s="86"/>
      <c r="L1902" s="84" t="str">
        <f>IFERROR(VLOOKUP(CONCATENATE($B1902,"_",L$3),materiali!$C:$K,5,0),"")</f>
        <v/>
      </c>
      <c r="M1902" s="85" t="str">
        <f>IFERROR(VLOOKUP(CONCATENATE($B1902,"_",M$3),materiali!$C:$K,6,0),"")</f>
        <v/>
      </c>
      <c r="N1902" s="86"/>
      <c r="O1902" s="84" t="str">
        <f>IFERROR(VLOOKUP(CONCATENATE($B1902,"_",O$3),materiali!$C:$K,5,0),"")</f>
        <v/>
      </c>
      <c r="P1902" s="85" t="str">
        <f>IFERROR(VLOOKUP(CONCATENATE($B1902,"_",P$3),materiali!$C:$K,6,0),"")</f>
        <v/>
      </c>
      <c r="Q1902" s="86"/>
      <c r="R1902" s="84" t="str">
        <f>IFERROR(VLOOKUP(CONCATENATE($B1902,"_",R$3),materiali!$C:$K,5,0),"")</f>
        <v/>
      </c>
      <c r="S1902" s="85" t="str">
        <f>IFERROR(VLOOKUP(CONCATENATE($B1902,"_",S$3),materiali!$C:$K,6,0),"")</f>
        <v/>
      </c>
      <c r="T1902" s="86"/>
      <c r="U1902" s="31"/>
      <c r="AD1902" s="97"/>
    </row>
    <row r="1903" spans="1:30" ht="35.1" hidden="1" customHeight="1" x14ac:dyDescent="0.25">
      <c r="A1903" s="83"/>
      <c r="B1903" s="7"/>
      <c r="C1903" s="8"/>
      <c r="D1903" s="8"/>
      <c r="E1903" s="60"/>
      <c r="F1903" s="84" t="str">
        <f>IFERROR(VLOOKUP(CONCATENATE($B1903,"_",F$3),materiali!$C:$K,5,0),"")</f>
        <v/>
      </c>
      <c r="G1903" s="85" t="str">
        <f>IFERROR(VLOOKUP(CONCATENATE($B1903,"_",G$3),materiali!$C:$K,6,0),"")</f>
        <v/>
      </c>
      <c r="H1903" s="86"/>
      <c r="I1903" s="84" t="str">
        <f>IFERROR(VLOOKUP(CONCATENATE($B1903,"_",I$3),materiali!$C:$K,5,0),"")</f>
        <v/>
      </c>
      <c r="J1903" s="85" t="str">
        <f>IFERROR(VLOOKUP(CONCATENATE($B1903,"_",J$3),materiali!$C:$K,6,0),"")</f>
        <v/>
      </c>
      <c r="K1903" s="86"/>
      <c r="L1903" s="84" t="str">
        <f>IFERROR(VLOOKUP(CONCATENATE($B1903,"_",L$3),materiali!$C:$K,5,0),"")</f>
        <v/>
      </c>
      <c r="M1903" s="85" t="str">
        <f>IFERROR(VLOOKUP(CONCATENATE($B1903,"_",M$3),materiali!$C:$K,6,0),"")</f>
        <v/>
      </c>
      <c r="N1903" s="86"/>
      <c r="O1903" s="84" t="str">
        <f>IFERROR(VLOOKUP(CONCATENATE($B1903,"_",O$3),materiali!$C:$K,5,0),"")</f>
        <v/>
      </c>
      <c r="P1903" s="85" t="str">
        <f>IFERROR(VLOOKUP(CONCATENATE($B1903,"_",P$3),materiali!$C:$K,6,0),"")</f>
        <v/>
      </c>
      <c r="Q1903" s="86"/>
      <c r="R1903" s="84" t="str">
        <f>IFERROR(VLOOKUP(CONCATENATE($B1903,"_",R$3),materiali!$C:$K,5,0),"")</f>
        <v/>
      </c>
      <c r="S1903" s="85" t="str">
        <f>IFERROR(VLOOKUP(CONCATENATE($B1903,"_",S$3),materiali!$C:$K,6,0),"")</f>
        <v/>
      </c>
      <c r="T1903" s="86"/>
      <c r="U1903" s="31"/>
      <c r="AD1903" s="97"/>
    </row>
    <row r="1904" spans="1:30" ht="35.1" hidden="1" customHeight="1" x14ac:dyDescent="0.25">
      <c r="A1904" s="83"/>
      <c r="B1904" s="7"/>
      <c r="C1904" s="8"/>
      <c r="D1904" s="8"/>
      <c r="E1904" s="60"/>
      <c r="F1904" s="84" t="str">
        <f>IFERROR(VLOOKUP(CONCATENATE($B1904,"_",F$3),materiali!$C:$K,5,0),"")</f>
        <v/>
      </c>
      <c r="G1904" s="85" t="str">
        <f>IFERROR(VLOOKUP(CONCATENATE($B1904,"_",G$3),materiali!$C:$K,6,0),"")</f>
        <v/>
      </c>
      <c r="H1904" s="86"/>
      <c r="I1904" s="84" t="str">
        <f>IFERROR(VLOOKUP(CONCATENATE($B1904,"_",I$3),materiali!$C:$K,5,0),"")</f>
        <v/>
      </c>
      <c r="J1904" s="85" t="str">
        <f>IFERROR(VLOOKUP(CONCATENATE($B1904,"_",J$3),materiali!$C:$K,6,0),"")</f>
        <v/>
      </c>
      <c r="K1904" s="86"/>
      <c r="L1904" s="84" t="str">
        <f>IFERROR(VLOOKUP(CONCATENATE($B1904,"_",L$3),materiali!$C:$K,5,0),"")</f>
        <v/>
      </c>
      <c r="M1904" s="85" t="str">
        <f>IFERROR(VLOOKUP(CONCATENATE($B1904,"_",M$3),materiali!$C:$K,6,0),"")</f>
        <v/>
      </c>
      <c r="N1904" s="86"/>
      <c r="O1904" s="84" t="str">
        <f>IFERROR(VLOOKUP(CONCATENATE($B1904,"_",O$3),materiali!$C:$K,5,0),"")</f>
        <v/>
      </c>
      <c r="P1904" s="85" t="str">
        <f>IFERROR(VLOOKUP(CONCATENATE($B1904,"_",P$3),materiali!$C:$K,6,0),"")</f>
        <v/>
      </c>
      <c r="Q1904" s="86"/>
      <c r="R1904" s="84" t="str">
        <f>IFERROR(VLOOKUP(CONCATENATE($B1904,"_",R$3),materiali!$C:$K,5,0),"")</f>
        <v/>
      </c>
      <c r="S1904" s="85" t="str">
        <f>IFERROR(VLOOKUP(CONCATENATE($B1904,"_",S$3),materiali!$C:$K,6,0),"")</f>
        <v/>
      </c>
      <c r="T1904" s="86"/>
      <c r="U1904" s="31"/>
      <c r="AD1904" s="97"/>
    </row>
    <row r="1905" spans="1:30" ht="35.1" hidden="1" customHeight="1" x14ac:dyDescent="0.25">
      <c r="A1905" s="83"/>
      <c r="B1905" s="7"/>
      <c r="C1905" s="8"/>
      <c r="D1905" s="8"/>
      <c r="E1905" s="60"/>
      <c r="F1905" s="84" t="str">
        <f>IFERROR(VLOOKUP(CONCATENATE($B1905,"_",F$3),materiali!$C:$K,5,0),"")</f>
        <v/>
      </c>
      <c r="G1905" s="85" t="str">
        <f>IFERROR(VLOOKUP(CONCATENATE($B1905,"_",G$3),materiali!$C:$K,6,0),"")</f>
        <v/>
      </c>
      <c r="H1905" s="86"/>
      <c r="I1905" s="84" t="str">
        <f>IFERROR(VLOOKUP(CONCATENATE($B1905,"_",I$3),materiali!$C:$K,5,0),"")</f>
        <v/>
      </c>
      <c r="J1905" s="85" t="str">
        <f>IFERROR(VLOOKUP(CONCATENATE($B1905,"_",J$3),materiali!$C:$K,6,0),"")</f>
        <v/>
      </c>
      <c r="K1905" s="86"/>
      <c r="L1905" s="84" t="str">
        <f>IFERROR(VLOOKUP(CONCATENATE($B1905,"_",L$3),materiali!$C:$K,5,0),"")</f>
        <v/>
      </c>
      <c r="M1905" s="85" t="str">
        <f>IFERROR(VLOOKUP(CONCATENATE($B1905,"_",M$3),materiali!$C:$K,6,0),"")</f>
        <v/>
      </c>
      <c r="N1905" s="86"/>
      <c r="O1905" s="84" t="str">
        <f>IFERROR(VLOOKUP(CONCATENATE($B1905,"_",O$3),materiali!$C:$K,5,0),"")</f>
        <v/>
      </c>
      <c r="P1905" s="85" t="str">
        <f>IFERROR(VLOOKUP(CONCATENATE($B1905,"_",P$3),materiali!$C:$K,6,0),"")</f>
        <v/>
      </c>
      <c r="Q1905" s="86"/>
      <c r="R1905" s="84" t="str">
        <f>IFERROR(VLOOKUP(CONCATENATE($B1905,"_",R$3),materiali!$C:$K,5,0),"")</f>
        <v/>
      </c>
      <c r="S1905" s="85" t="str">
        <f>IFERROR(VLOOKUP(CONCATENATE($B1905,"_",S$3),materiali!$C:$K,6,0),"")</f>
        <v/>
      </c>
      <c r="T1905" s="86"/>
      <c r="U1905" s="31"/>
      <c r="AD1905" s="97"/>
    </row>
    <row r="1906" spans="1:30" ht="35.1" hidden="1" customHeight="1" x14ac:dyDescent="0.25">
      <c r="A1906" s="83"/>
      <c r="B1906" s="7"/>
      <c r="C1906" s="8"/>
      <c r="D1906" s="8"/>
      <c r="E1906" s="60"/>
      <c r="F1906" s="84" t="str">
        <f>IFERROR(VLOOKUP(CONCATENATE($B1906,"_",F$3),materiali!$C:$K,5,0),"")</f>
        <v/>
      </c>
      <c r="G1906" s="85" t="str">
        <f>IFERROR(VLOOKUP(CONCATENATE($B1906,"_",G$3),materiali!$C:$K,6,0),"")</f>
        <v/>
      </c>
      <c r="H1906" s="86"/>
      <c r="I1906" s="84" t="str">
        <f>IFERROR(VLOOKUP(CONCATENATE($B1906,"_",I$3),materiali!$C:$K,5,0),"")</f>
        <v/>
      </c>
      <c r="J1906" s="85" t="str">
        <f>IFERROR(VLOOKUP(CONCATENATE($B1906,"_",J$3),materiali!$C:$K,6,0),"")</f>
        <v/>
      </c>
      <c r="K1906" s="86"/>
      <c r="L1906" s="84" t="str">
        <f>IFERROR(VLOOKUP(CONCATENATE($B1906,"_",L$3),materiali!$C:$K,5,0),"")</f>
        <v/>
      </c>
      <c r="M1906" s="85" t="str">
        <f>IFERROR(VLOOKUP(CONCATENATE($B1906,"_",M$3),materiali!$C:$K,6,0),"")</f>
        <v/>
      </c>
      <c r="N1906" s="86"/>
      <c r="O1906" s="84" t="str">
        <f>IFERROR(VLOOKUP(CONCATENATE($B1906,"_",O$3),materiali!$C:$K,5,0),"")</f>
        <v/>
      </c>
      <c r="P1906" s="85" t="str">
        <f>IFERROR(VLOOKUP(CONCATENATE($B1906,"_",P$3),materiali!$C:$K,6,0),"")</f>
        <v/>
      </c>
      <c r="Q1906" s="86"/>
      <c r="R1906" s="84" t="str">
        <f>IFERROR(VLOOKUP(CONCATENATE($B1906,"_",R$3),materiali!$C:$K,5,0),"")</f>
        <v/>
      </c>
      <c r="S1906" s="85" t="str">
        <f>IFERROR(VLOOKUP(CONCATENATE($B1906,"_",S$3),materiali!$C:$K,6,0),"")</f>
        <v/>
      </c>
      <c r="T1906" s="86"/>
      <c r="U1906" s="31"/>
      <c r="AD1906" s="97"/>
    </row>
    <row r="1907" spans="1:30" ht="35.1" hidden="1" customHeight="1" x14ac:dyDescent="0.25">
      <c r="A1907" s="83"/>
      <c r="B1907" s="7"/>
      <c r="C1907" s="8"/>
      <c r="D1907" s="8"/>
      <c r="E1907" s="60"/>
      <c r="F1907" s="84" t="str">
        <f>IFERROR(VLOOKUP(CONCATENATE($B1907,"_",F$3),materiali!$C:$K,5,0),"")</f>
        <v/>
      </c>
      <c r="G1907" s="85" t="str">
        <f>IFERROR(VLOOKUP(CONCATENATE($B1907,"_",G$3),materiali!$C:$K,6,0),"")</f>
        <v/>
      </c>
      <c r="H1907" s="86"/>
      <c r="I1907" s="84" t="str">
        <f>IFERROR(VLOOKUP(CONCATENATE($B1907,"_",I$3),materiali!$C:$K,5,0),"")</f>
        <v/>
      </c>
      <c r="J1907" s="85" t="str">
        <f>IFERROR(VLOOKUP(CONCATENATE($B1907,"_",J$3),materiali!$C:$K,6,0),"")</f>
        <v/>
      </c>
      <c r="K1907" s="86"/>
      <c r="L1907" s="84" t="str">
        <f>IFERROR(VLOOKUP(CONCATENATE($B1907,"_",L$3),materiali!$C:$K,5,0),"")</f>
        <v/>
      </c>
      <c r="M1907" s="85" t="str">
        <f>IFERROR(VLOOKUP(CONCATENATE($B1907,"_",M$3),materiali!$C:$K,6,0),"")</f>
        <v/>
      </c>
      <c r="N1907" s="86"/>
      <c r="O1907" s="84" t="str">
        <f>IFERROR(VLOOKUP(CONCATENATE($B1907,"_",O$3),materiali!$C:$K,5,0),"")</f>
        <v/>
      </c>
      <c r="P1907" s="85" t="str">
        <f>IFERROR(VLOOKUP(CONCATENATE($B1907,"_",P$3),materiali!$C:$K,6,0),"")</f>
        <v/>
      </c>
      <c r="Q1907" s="86"/>
      <c r="R1907" s="84" t="str">
        <f>IFERROR(VLOOKUP(CONCATENATE($B1907,"_",R$3),materiali!$C:$K,5,0),"")</f>
        <v/>
      </c>
      <c r="S1907" s="85" t="str">
        <f>IFERROR(VLOOKUP(CONCATENATE($B1907,"_",S$3),materiali!$C:$K,6,0),"")</f>
        <v/>
      </c>
      <c r="T1907" s="86"/>
      <c r="U1907" s="31"/>
      <c r="AD1907" s="97"/>
    </row>
    <row r="1908" spans="1:30" ht="35.1" hidden="1" customHeight="1" x14ac:dyDescent="0.25">
      <c r="A1908" s="83"/>
      <c r="B1908" s="7"/>
      <c r="C1908" s="8"/>
      <c r="D1908" s="8"/>
      <c r="E1908" s="60"/>
      <c r="F1908" s="84" t="str">
        <f>IFERROR(VLOOKUP(CONCATENATE($B1908,"_",F$3),materiali!$C:$K,5,0),"")</f>
        <v/>
      </c>
      <c r="G1908" s="85" t="str">
        <f>IFERROR(VLOOKUP(CONCATENATE($B1908,"_",G$3),materiali!$C:$K,6,0),"")</f>
        <v/>
      </c>
      <c r="H1908" s="86"/>
      <c r="I1908" s="84" t="str">
        <f>IFERROR(VLOOKUP(CONCATENATE($B1908,"_",I$3),materiali!$C:$K,5,0),"")</f>
        <v/>
      </c>
      <c r="J1908" s="85" t="str">
        <f>IFERROR(VLOOKUP(CONCATENATE($B1908,"_",J$3),materiali!$C:$K,6,0),"")</f>
        <v/>
      </c>
      <c r="K1908" s="86"/>
      <c r="L1908" s="84" t="str">
        <f>IFERROR(VLOOKUP(CONCATENATE($B1908,"_",L$3),materiali!$C:$K,5,0),"")</f>
        <v/>
      </c>
      <c r="M1908" s="85" t="str">
        <f>IFERROR(VLOOKUP(CONCATENATE($B1908,"_",M$3),materiali!$C:$K,6,0),"")</f>
        <v/>
      </c>
      <c r="N1908" s="86"/>
      <c r="O1908" s="84" t="str">
        <f>IFERROR(VLOOKUP(CONCATENATE($B1908,"_",O$3),materiali!$C:$K,5,0),"")</f>
        <v/>
      </c>
      <c r="P1908" s="85" t="str">
        <f>IFERROR(VLOOKUP(CONCATENATE($B1908,"_",P$3),materiali!$C:$K,6,0),"")</f>
        <v/>
      </c>
      <c r="Q1908" s="86"/>
      <c r="R1908" s="84" t="str">
        <f>IFERROR(VLOOKUP(CONCATENATE($B1908,"_",R$3),materiali!$C:$K,5,0),"")</f>
        <v/>
      </c>
      <c r="S1908" s="85" t="str">
        <f>IFERROR(VLOOKUP(CONCATENATE($B1908,"_",S$3),materiali!$C:$K,6,0),"")</f>
        <v/>
      </c>
      <c r="T1908" s="86"/>
      <c r="U1908" s="31"/>
      <c r="AD1908" s="97"/>
    </row>
    <row r="1909" spans="1:30" ht="35.1" hidden="1" customHeight="1" x14ac:dyDescent="0.25">
      <c r="A1909" s="83"/>
      <c r="B1909" s="7"/>
      <c r="C1909" s="8"/>
      <c r="D1909" s="8"/>
      <c r="E1909" s="60"/>
      <c r="F1909" s="84" t="str">
        <f>IFERROR(VLOOKUP(CONCATENATE($B1909,"_",F$3),materiali!$C:$K,5,0),"")</f>
        <v/>
      </c>
      <c r="G1909" s="85" t="str">
        <f>IFERROR(VLOOKUP(CONCATENATE($B1909,"_",G$3),materiali!$C:$K,6,0),"")</f>
        <v/>
      </c>
      <c r="H1909" s="86"/>
      <c r="I1909" s="84" t="str">
        <f>IFERROR(VLOOKUP(CONCATENATE($B1909,"_",I$3),materiali!$C:$K,5,0),"")</f>
        <v/>
      </c>
      <c r="J1909" s="85" t="str">
        <f>IFERROR(VLOOKUP(CONCATENATE($B1909,"_",J$3),materiali!$C:$K,6,0),"")</f>
        <v/>
      </c>
      <c r="K1909" s="86"/>
      <c r="L1909" s="84" t="str">
        <f>IFERROR(VLOOKUP(CONCATENATE($B1909,"_",L$3),materiali!$C:$K,5,0),"")</f>
        <v/>
      </c>
      <c r="M1909" s="85" t="str">
        <f>IFERROR(VLOOKUP(CONCATENATE($B1909,"_",M$3),materiali!$C:$K,6,0),"")</f>
        <v/>
      </c>
      <c r="N1909" s="86"/>
      <c r="O1909" s="84" t="str">
        <f>IFERROR(VLOOKUP(CONCATENATE($B1909,"_",O$3),materiali!$C:$K,5,0),"")</f>
        <v/>
      </c>
      <c r="P1909" s="85" t="str">
        <f>IFERROR(VLOOKUP(CONCATENATE($B1909,"_",P$3),materiali!$C:$K,6,0),"")</f>
        <v/>
      </c>
      <c r="Q1909" s="86"/>
      <c r="R1909" s="84" t="str">
        <f>IFERROR(VLOOKUP(CONCATENATE($B1909,"_",R$3),materiali!$C:$K,5,0),"")</f>
        <v/>
      </c>
      <c r="S1909" s="85" t="str">
        <f>IFERROR(VLOOKUP(CONCATENATE($B1909,"_",S$3),materiali!$C:$K,6,0),"")</f>
        <v/>
      </c>
      <c r="T1909" s="86"/>
      <c r="U1909" s="31"/>
      <c r="AD1909" s="97"/>
    </row>
    <row r="1910" spans="1:30" ht="35.1" hidden="1" customHeight="1" x14ac:dyDescent="0.25">
      <c r="A1910" s="83"/>
      <c r="B1910" s="7"/>
      <c r="C1910" s="8"/>
      <c r="D1910" s="8"/>
      <c r="E1910" s="60"/>
      <c r="F1910" s="84" t="str">
        <f>IFERROR(VLOOKUP(CONCATENATE($B1910,"_",F$3),materiali!$C:$K,5,0),"")</f>
        <v/>
      </c>
      <c r="G1910" s="85" t="str">
        <f>IFERROR(VLOOKUP(CONCATENATE($B1910,"_",G$3),materiali!$C:$K,6,0),"")</f>
        <v/>
      </c>
      <c r="H1910" s="86"/>
      <c r="I1910" s="84" t="str">
        <f>IFERROR(VLOOKUP(CONCATENATE($B1910,"_",I$3),materiali!$C:$K,5,0),"")</f>
        <v/>
      </c>
      <c r="J1910" s="85" t="str">
        <f>IFERROR(VLOOKUP(CONCATENATE($B1910,"_",J$3),materiali!$C:$K,6,0),"")</f>
        <v/>
      </c>
      <c r="K1910" s="86"/>
      <c r="L1910" s="84" t="str">
        <f>IFERROR(VLOOKUP(CONCATENATE($B1910,"_",L$3),materiali!$C:$K,5,0),"")</f>
        <v/>
      </c>
      <c r="M1910" s="85" t="str">
        <f>IFERROR(VLOOKUP(CONCATENATE($B1910,"_",M$3),materiali!$C:$K,6,0),"")</f>
        <v/>
      </c>
      <c r="N1910" s="86"/>
      <c r="O1910" s="84" t="str">
        <f>IFERROR(VLOOKUP(CONCATENATE($B1910,"_",O$3),materiali!$C:$K,5,0),"")</f>
        <v/>
      </c>
      <c r="P1910" s="85" t="str">
        <f>IFERROR(VLOOKUP(CONCATENATE($B1910,"_",P$3),materiali!$C:$K,6,0),"")</f>
        <v/>
      </c>
      <c r="Q1910" s="86"/>
      <c r="R1910" s="84" t="str">
        <f>IFERROR(VLOOKUP(CONCATENATE($B1910,"_",R$3),materiali!$C:$K,5,0),"")</f>
        <v/>
      </c>
      <c r="S1910" s="85" t="str">
        <f>IFERROR(VLOOKUP(CONCATENATE($B1910,"_",S$3),materiali!$C:$K,6,0),"")</f>
        <v/>
      </c>
      <c r="T1910" s="86"/>
      <c r="U1910" s="31"/>
      <c r="AD1910" s="97"/>
    </row>
    <row r="1911" spans="1:30" ht="35.1" hidden="1" customHeight="1" x14ac:dyDescent="0.25">
      <c r="A1911" s="83"/>
      <c r="B1911" s="7"/>
      <c r="C1911" s="8"/>
      <c r="D1911" s="8"/>
      <c r="E1911" s="60"/>
      <c r="F1911" s="84" t="str">
        <f>IFERROR(VLOOKUP(CONCATENATE($B1911,"_",F$3),materiali!$C:$K,5,0),"")</f>
        <v/>
      </c>
      <c r="G1911" s="85" t="str">
        <f>IFERROR(VLOOKUP(CONCATENATE($B1911,"_",G$3),materiali!$C:$K,6,0),"")</f>
        <v/>
      </c>
      <c r="H1911" s="86"/>
      <c r="I1911" s="84" t="str">
        <f>IFERROR(VLOOKUP(CONCATENATE($B1911,"_",I$3),materiali!$C:$K,5,0),"")</f>
        <v/>
      </c>
      <c r="J1911" s="85" t="str">
        <f>IFERROR(VLOOKUP(CONCATENATE($B1911,"_",J$3),materiali!$C:$K,6,0),"")</f>
        <v/>
      </c>
      <c r="K1911" s="86"/>
      <c r="L1911" s="84" t="str">
        <f>IFERROR(VLOOKUP(CONCATENATE($B1911,"_",L$3),materiali!$C:$K,5,0),"")</f>
        <v/>
      </c>
      <c r="M1911" s="85" t="str">
        <f>IFERROR(VLOOKUP(CONCATENATE($B1911,"_",M$3),materiali!$C:$K,6,0),"")</f>
        <v/>
      </c>
      <c r="N1911" s="86"/>
      <c r="O1911" s="84" t="str">
        <f>IFERROR(VLOOKUP(CONCATENATE($B1911,"_",O$3),materiali!$C:$K,5,0),"")</f>
        <v/>
      </c>
      <c r="P1911" s="85" t="str">
        <f>IFERROR(VLOOKUP(CONCATENATE($B1911,"_",P$3),materiali!$C:$K,6,0),"")</f>
        <v/>
      </c>
      <c r="Q1911" s="86"/>
      <c r="R1911" s="84" t="str">
        <f>IFERROR(VLOOKUP(CONCATENATE($B1911,"_",R$3),materiali!$C:$K,5,0),"")</f>
        <v/>
      </c>
      <c r="S1911" s="85" t="str">
        <f>IFERROR(VLOOKUP(CONCATENATE($B1911,"_",S$3),materiali!$C:$K,6,0),"")</f>
        <v/>
      </c>
      <c r="T1911" s="86"/>
      <c r="U1911" s="31"/>
      <c r="AD1911" s="97"/>
    </row>
    <row r="1912" spans="1:30" ht="35.1" hidden="1" customHeight="1" x14ac:dyDescent="0.25">
      <c r="A1912" s="83"/>
      <c r="B1912" s="7"/>
      <c r="C1912" s="8"/>
      <c r="D1912" s="8"/>
      <c r="E1912" s="60"/>
      <c r="F1912" s="84" t="str">
        <f>IFERROR(VLOOKUP(CONCATENATE($B1912,"_",F$3),materiali!$C:$K,5,0),"")</f>
        <v/>
      </c>
      <c r="G1912" s="85" t="str">
        <f>IFERROR(VLOOKUP(CONCATENATE($B1912,"_",G$3),materiali!$C:$K,6,0),"")</f>
        <v/>
      </c>
      <c r="H1912" s="86"/>
      <c r="I1912" s="84" t="str">
        <f>IFERROR(VLOOKUP(CONCATENATE($B1912,"_",I$3),materiali!$C:$K,5,0),"")</f>
        <v/>
      </c>
      <c r="J1912" s="85" t="str">
        <f>IFERROR(VLOOKUP(CONCATENATE($B1912,"_",J$3),materiali!$C:$K,6,0),"")</f>
        <v/>
      </c>
      <c r="K1912" s="86"/>
      <c r="L1912" s="84" t="str">
        <f>IFERROR(VLOOKUP(CONCATENATE($B1912,"_",L$3),materiali!$C:$K,5,0),"")</f>
        <v/>
      </c>
      <c r="M1912" s="85" t="str">
        <f>IFERROR(VLOOKUP(CONCATENATE($B1912,"_",M$3),materiali!$C:$K,6,0),"")</f>
        <v/>
      </c>
      <c r="N1912" s="86"/>
      <c r="O1912" s="84" t="str">
        <f>IFERROR(VLOOKUP(CONCATENATE($B1912,"_",O$3),materiali!$C:$K,5,0),"")</f>
        <v/>
      </c>
      <c r="P1912" s="85" t="str">
        <f>IFERROR(VLOOKUP(CONCATENATE($B1912,"_",P$3),materiali!$C:$K,6,0),"")</f>
        <v/>
      </c>
      <c r="Q1912" s="86"/>
      <c r="R1912" s="84" t="str">
        <f>IFERROR(VLOOKUP(CONCATENATE($B1912,"_",R$3),materiali!$C:$K,5,0),"")</f>
        <v/>
      </c>
      <c r="S1912" s="85" t="str">
        <f>IFERROR(VLOOKUP(CONCATENATE($B1912,"_",S$3),materiali!$C:$K,6,0),"")</f>
        <v/>
      </c>
      <c r="T1912" s="86"/>
      <c r="U1912" s="31"/>
      <c r="AD1912" s="97"/>
    </row>
    <row r="1913" spans="1:30" ht="35.1" hidden="1" customHeight="1" x14ac:dyDescent="0.25">
      <c r="A1913" s="83"/>
      <c r="B1913" s="7"/>
      <c r="C1913" s="8"/>
      <c r="D1913" s="8"/>
      <c r="E1913" s="60"/>
      <c r="F1913" s="84" t="str">
        <f>IFERROR(VLOOKUP(CONCATENATE($B1913,"_",F$3),materiali!$C:$K,5,0),"")</f>
        <v/>
      </c>
      <c r="G1913" s="85" t="str">
        <f>IFERROR(VLOOKUP(CONCATENATE($B1913,"_",G$3),materiali!$C:$K,6,0),"")</f>
        <v/>
      </c>
      <c r="H1913" s="86"/>
      <c r="I1913" s="84" t="str">
        <f>IFERROR(VLOOKUP(CONCATENATE($B1913,"_",I$3),materiali!$C:$K,5,0),"")</f>
        <v/>
      </c>
      <c r="J1913" s="85" t="str">
        <f>IFERROR(VLOOKUP(CONCATENATE($B1913,"_",J$3),materiali!$C:$K,6,0),"")</f>
        <v/>
      </c>
      <c r="K1913" s="86"/>
      <c r="L1913" s="84" t="str">
        <f>IFERROR(VLOOKUP(CONCATENATE($B1913,"_",L$3),materiali!$C:$K,5,0),"")</f>
        <v/>
      </c>
      <c r="M1913" s="85" t="str">
        <f>IFERROR(VLOOKUP(CONCATENATE($B1913,"_",M$3),materiali!$C:$K,6,0),"")</f>
        <v/>
      </c>
      <c r="N1913" s="86"/>
      <c r="O1913" s="84" t="str">
        <f>IFERROR(VLOOKUP(CONCATENATE($B1913,"_",O$3),materiali!$C:$K,5,0),"")</f>
        <v/>
      </c>
      <c r="P1913" s="85" t="str">
        <f>IFERROR(VLOOKUP(CONCATENATE($B1913,"_",P$3),materiali!$C:$K,6,0),"")</f>
        <v/>
      </c>
      <c r="Q1913" s="86"/>
      <c r="R1913" s="84" t="str">
        <f>IFERROR(VLOOKUP(CONCATENATE($B1913,"_",R$3),materiali!$C:$K,5,0),"")</f>
        <v/>
      </c>
      <c r="S1913" s="85" t="str">
        <f>IFERROR(VLOOKUP(CONCATENATE($B1913,"_",S$3),materiali!$C:$K,6,0),"")</f>
        <v/>
      </c>
      <c r="T1913" s="86"/>
      <c r="U1913" s="31"/>
      <c r="AD1913" s="97"/>
    </row>
    <row r="1914" spans="1:30" ht="35.1" hidden="1" customHeight="1" x14ac:dyDescent="0.25">
      <c r="A1914" s="83"/>
      <c r="B1914" s="7"/>
      <c r="C1914" s="8"/>
      <c r="D1914" s="8"/>
      <c r="E1914" s="60"/>
      <c r="F1914" s="84" t="str">
        <f>IFERROR(VLOOKUP(CONCATENATE($B1914,"_",F$3),materiali!$C:$K,5,0),"")</f>
        <v/>
      </c>
      <c r="G1914" s="85" t="str">
        <f>IFERROR(VLOOKUP(CONCATENATE($B1914,"_",G$3),materiali!$C:$K,6,0),"")</f>
        <v/>
      </c>
      <c r="H1914" s="86"/>
      <c r="I1914" s="84" t="str">
        <f>IFERROR(VLOOKUP(CONCATENATE($B1914,"_",I$3),materiali!$C:$K,5,0),"")</f>
        <v/>
      </c>
      <c r="J1914" s="85" t="str">
        <f>IFERROR(VLOOKUP(CONCATENATE($B1914,"_",J$3),materiali!$C:$K,6,0),"")</f>
        <v/>
      </c>
      <c r="K1914" s="86"/>
      <c r="L1914" s="84" t="str">
        <f>IFERROR(VLOOKUP(CONCATENATE($B1914,"_",L$3),materiali!$C:$K,5,0),"")</f>
        <v/>
      </c>
      <c r="M1914" s="85" t="str">
        <f>IFERROR(VLOOKUP(CONCATENATE($B1914,"_",M$3),materiali!$C:$K,6,0),"")</f>
        <v/>
      </c>
      <c r="N1914" s="86"/>
      <c r="O1914" s="84" t="str">
        <f>IFERROR(VLOOKUP(CONCATENATE($B1914,"_",O$3),materiali!$C:$K,5,0),"")</f>
        <v/>
      </c>
      <c r="P1914" s="85" t="str">
        <f>IFERROR(VLOOKUP(CONCATENATE($B1914,"_",P$3),materiali!$C:$K,6,0),"")</f>
        <v/>
      </c>
      <c r="Q1914" s="86"/>
      <c r="R1914" s="84" t="str">
        <f>IFERROR(VLOOKUP(CONCATENATE($B1914,"_",R$3),materiali!$C:$K,5,0),"")</f>
        <v/>
      </c>
      <c r="S1914" s="85" t="str">
        <f>IFERROR(VLOOKUP(CONCATENATE($B1914,"_",S$3),materiali!$C:$K,6,0),"")</f>
        <v/>
      </c>
      <c r="T1914" s="86"/>
      <c r="U1914" s="31"/>
      <c r="AD1914" s="97"/>
    </row>
    <row r="1915" spans="1:30" ht="35.1" hidden="1" customHeight="1" x14ac:dyDescent="0.25">
      <c r="A1915" s="83"/>
      <c r="B1915" s="7"/>
      <c r="C1915" s="8"/>
      <c r="D1915" s="8"/>
      <c r="E1915" s="60"/>
      <c r="F1915" s="84" t="str">
        <f>IFERROR(VLOOKUP(CONCATENATE($B1915,"_",F$3),materiali!$C:$K,5,0),"")</f>
        <v/>
      </c>
      <c r="G1915" s="85" t="str">
        <f>IFERROR(VLOOKUP(CONCATENATE($B1915,"_",G$3),materiali!$C:$K,6,0),"")</f>
        <v/>
      </c>
      <c r="H1915" s="86"/>
      <c r="I1915" s="84" t="str">
        <f>IFERROR(VLOOKUP(CONCATENATE($B1915,"_",I$3),materiali!$C:$K,5,0),"")</f>
        <v/>
      </c>
      <c r="J1915" s="85" t="str">
        <f>IFERROR(VLOOKUP(CONCATENATE($B1915,"_",J$3),materiali!$C:$K,6,0),"")</f>
        <v/>
      </c>
      <c r="K1915" s="86"/>
      <c r="L1915" s="84" t="str">
        <f>IFERROR(VLOOKUP(CONCATENATE($B1915,"_",L$3),materiali!$C:$K,5,0),"")</f>
        <v/>
      </c>
      <c r="M1915" s="85" t="str">
        <f>IFERROR(VLOOKUP(CONCATENATE($B1915,"_",M$3),materiali!$C:$K,6,0),"")</f>
        <v/>
      </c>
      <c r="N1915" s="86"/>
      <c r="O1915" s="84" t="str">
        <f>IFERROR(VLOOKUP(CONCATENATE($B1915,"_",O$3),materiali!$C:$K,5,0),"")</f>
        <v/>
      </c>
      <c r="P1915" s="85" t="str">
        <f>IFERROR(VLOOKUP(CONCATENATE($B1915,"_",P$3),materiali!$C:$K,6,0),"")</f>
        <v/>
      </c>
      <c r="Q1915" s="86"/>
      <c r="R1915" s="84" t="str">
        <f>IFERROR(VLOOKUP(CONCATENATE($B1915,"_",R$3),materiali!$C:$K,5,0),"")</f>
        <v/>
      </c>
      <c r="S1915" s="85" t="str">
        <f>IFERROR(VLOOKUP(CONCATENATE($B1915,"_",S$3),materiali!$C:$K,6,0),"")</f>
        <v/>
      </c>
      <c r="T1915" s="86"/>
      <c r="U1915" s="31"/>
      <c r="AD1915" s="97"/>
    </row>
    <row r="1916" spans="1:30" ht="35.1" hidden="1" customHeight="1" x14ac:dyDescent="0.25">
      <c r="A1916" s="83"/>
      <c r="B1916" s="7"/>
      <c r="C1916" s="8"/>
      <c r="D1916" s="8"/>
      <c r="E1916" s="60"/>
      <c r="F1916" s="84" t="str">
        <f>IFERROR(VLOOKUP(CONCATENATE($B1916,"_",F$3),materiali!$C:$K,5,0),"")</f>
        <v/>
      </c>
      <c r="G1916" s="85" t="str">
        <f>IFERROR(VLOOKUP(CONCATENATE($B1916,"_",G$3),materiali!$C:$K,6,0),"")</f>
        <v/>
      </c>
      <c r="H1916" s="86"/>
      <c r="I1916" s="84" t="str">
        <f>IFERROR(VLOOKUP(CONCATENATE($B1916,"_",I$3),materiali!$C:$K,5,0),"")</f>
        <v/>
      </c>
      <c r="J1916" s="85" t="str">
        <f>IFERROR(VLOOKUP(CONCATENATE($B1916,"_",J$3),materiali!$C:$K,6,0),"")</f>
        <v/>
      </c>
      <c r="K1916" s="86"/>
      <c r="L1916" s="84" t="str">
        <f>IFERROR(VLOOKUP(CONCATENATE($B1916,"_",L$3),materiali!$C:$K,5,0),"")</f>
        <v/>
      </c>
      <c r="M1916" s="85" t="str">
        <f>IFERROR(VLOOKUP(CONCATENATE($B1916,"_",M$3),materiali!$C:$K,6,0),"")</f>
        <v/>
      </c>
      <c r="N1916" s="86"/>
      <c r="O1916" s="84" t="str">
        <f>IFERROR(VLOOKUP(CONCATENATE($B1916,"_",O$3),materiali!$C:$K,5,0),"")</f>
        <v/>
      </c>
      <c r="P1916" s="85" t="str">
        <f>IFERROR(VLOOKUP(CONCATENATE($B1916,"_",P$3),materiali!$C:$K,6,0),"")</f>
        <v/>
      </c>
      <c r="Q1916" s="86"/>
      <c r="R1916" s="84" t="str">
        <f>IFERROR(VLOOKUP(CONCATENATE($B1916,"_",R$3),materiali!$C:$K,5,0),"")</f>
        <v/>
      </c>
      <c r="S1916" s="85" t="str">
        <f>IFERROR(VLOOKUP(CONCATENATE($B1916,"_",S$3),materiali!$C:$K,6,0),"")</f>
        <v/>
      </c>
      <c r="T1916" s="86"/>
      <c r="U1916" s="31"/>
      <c r="AD1916" s="97"/>
    </row>
    <row r="1917" spans="1:30" ht="35.1" hidden="1" customHeight="1" x14ac:dyDescent="0.25">
      <c r="A1917" s="83"/>
      <c r="B1917" s="7"/>
      <c r="C1917" s="8"/>
      <c r="D1917" s="8"/>
      <c r="E1917" s="60"/>
      <c r="F1917" s="84" t="str">
        <f>IFERROR(VLOOKUP(CONCATENATE($B1917,"_",F$3),materiali!$C:$K,5,0),"")</f>
        <v/>
      </c>
      <c r="G1917" s="85" t="str">
        <f>IFERROR(VLOOKUP(CONCATENATE($B1917,"_",G$3),materiali!$C:$K,6,0),"")</f>
        <v/>
      </c>
      <c r="H1917" s="86"/>
      <c r="I1917" s="84" t="str">
        <f>IFERROR(VLOOKUP(CONCATENATE($B1917,"_",I$3),materiali!$C:$K,5,0),"")</f>
        <v/>
      </c>
      <c r="J1917" s="85" t="str">
        <f>IFERROR(VLOOKUP(CONCATENATE($B1917,"_",J$3),materiali!$C:$K,6,0),"")</f>
        <v/>
      </c>
      <c r="K1917" s="86"/>
      <c r="L1917" s="84" t="str">
        <f>IFERROR(VLOOKUP(CONCATENATE($B1917,"_",L$3),materiali!$C:$K,5,0),"")</f>
        <v/>
      </c>
      <c r="M1917" s="85" t="str">
        <f>IFERROR(VLOOKUP(CONCATENATE($B1917,"_",M$3),materiali!$C:$K,6,0),"")</f>
        <v/>
      </c>
      <c r="N1917" s="86"/>
      <c r="O1917" s="84" t="str">
        <f>IFERROR(VLOOKUP(CONCATENATE($B1917,"_",O$3),materiali!$C:$K,5,0),"")</f>
        <v/>
      </c>
      <c r="P1917" s="85" t="str">
        <f>IFERROR(VLOOKUP(CONCATENATE($B1917,"_",P$3),materiali!$C:$K,6,0),"")</f>
        <v/>
      </c>
      <c r="Q1917" s="86"/>
      <c r="R1917" s="84" t="str">
        <f>IFERROR(VLOOKUP(CONCATENATE($B1917,"_",R$3),materiali!$C:$K,5,0),"")</f>
        <v/>
      </c>
      <c r="S1917" s="85" t="str">
        <f>IFERROR(VLOOKUP(CONCATENATE($B1917,"_",S$3),materiali!$C:$K,6,0),"")</f>
        <v/>
      </c>
      <c r="T1917" s="86"/>
      <c r="U1917" s="31"/>
      <c r="AD1917" s="97"/>
    </row>
    <row r="1918" spans="1:30" ht="35.1" hidden="1" customHeight="1" x14ac:dyDescent="0.25">
      <c r="A1918" s="83"/>
      <c r="B1918" s="7"/>
      <c r="C1918" s="8"/>
      <c r="D1918" s="8"/>
      <c r="E1918" s="60"/>
      <c r="F1918" s="84" t="str">
        <f>IFERROR(VLOOKUP(CONCATENATE($B1918,"_",F$3),materiali!$C:$K,5,0),"")</f>
        <v/>
      </c>
      <c r="G1918" s="85" t="str">
        <f>IFERROR(VLOOKUP(CONCATENATE($B1918,"_",G$3),materiali!$C:$K,6,0),"")</f>
        <v/>
      </c>
      <c r="H1918" s="86"/>
      <c r="I1918" s="84" t="str">
        <f>IFERROR(VLOOKUP(CONCATENATE($B1918,"_",I$3),materiali!$C:$K,5,0),"")</f>
        <v/>
      </c>
      <c r="J1918" s="85" t="str">
        <f>IFERROR(VLOOKUP(CONCATENATE($B1918,"_",J$3),materiali!$C:$K,6,0),"")</f>
        <v/>
      </c>
      <c r="K1918" s="86"/>
      <c r="L1918" s="84" t="str">
        <f>IFERROR(VLOOKUP(CONCATENATE($B1918,"_",L$3),materiali!$C:$K,5,0),"")</f>
        <v/>
      </c>
      <c r="M1918" s="85" t="str">
        <f>IFERROR(VLOOKUP(CONCATENATE($B1918,"_",M$3),materiali!$C:$K,6,0),"")</f>
        <v/>
      </c>
      <c r="N1918" s="86"/>
      <c r="O1918" s="84" t="str">
        <f>IFERROR(VLOOKUP(CONCATENATE($B1918,"_",O$3),materiali!$C:$K,5,0),"")</f>
        <v/>
      </c>
      <c r="P1918" s="85" t="str">
        <f>IFERROR(VLOOKUP(CONCATENATE($B1918,"_",P$3),materiali!$C:$K,6,0),"")</f>
        <v/>
      </c>
      <c r="Q1918" s="86"/>
      <c r="R1918" s="84" t="str">
        <f>IFERROR(VLOOKUP(CONCATENATE($B1918,"_",R$3),materiali!$C:$K,5,0),"")</f>
        <v/>
      </c>
      <c r="S1918" s="85" t="str">
        <f>IFERROR(VLOOKUP(CONCATENATE($B1918,"_",S$3),materiali!$C:$K,6,0),"")</f>
        <v/>
      </c>
      <c r="T1918" s="86"/>
      <c r="U1918" s="31"/>
      <c r="AD1918" s="97"/>
    </row>
    <row r="1919" spans="1:30" ht="35.1" hidden="1" customHeight="1" x14ac:dyDescent="0.25">
      <c r="A1919" s="83"/>
      <c r="B1919" s="7"/>
      <c r="C1919" s="8"/>
      <c r="D1919" s="8"/>
      <c r="E1919" s="60"/>
      <c r="F1919" s="84" t="str">
        <f>IFERROR(VLOOKUP(CONCATENATE($B1919,"_",F$3),materiali!$C:$K,5,0),"")</f>
        <v/>
      </c>
      <c r="G1919" s="85" t="str">
        <f>IFERROR(VLOOKUP(CONCATENATE($B1919,"_",G$3),materiali!$C:$K,6,0),"")</f>
        <v/>
      </c>
      <c r="H1919" s="86"/>
      <c r="I1919" s="84" t="str">
        <f>IFERROR(VLOOKUP(CONCATENATE($B1919,"_",I$3),materiali!$C:$K,5,0),"")</f>
        <v/>
      </c>
      <c r="J1919" s="85" t="str">
        <f>IFERROR(VLOOKUP(CONCATENATE($B1919,"_",J$3),materiali!$C:$K,6,0),"")</f>
        <v/>
      </c>
      <c r="K1919" s="86"/>
      <c r="L1919" s="84" t="str">
        <f>IFERROR(VLOOKUP(CONCATENATE($B1919,"_",L$3),materiali!$C:$K,5,0),"")</f>
        <v/>
      </c>
      <c r="M1919" s="85" t="str">
        <f>IFERROR(VLOOKUP(CONCATENATE($B1919,"_",M$3),materiali!$C:$K,6,0),"")</f>
        <v/>
      </c>
      <c r="N1919" s="86"/>
      <c r="O1919" s="84" t="str">
        <f>IFERROR(VLOOKUP(CONCATENATE($B1919,"_",O$3),materiali!$C:$K,5,0),"")</f>
        <v/>
      </c>
      <c r="P1919" s="85" t="str">
        <f>IFERROR(VLOOKUP(CONCATENATE($B1919,"_",P$3),materiali!$C:$K,6,0),"")</f>
        <v/>
      </c>
      <c r="Q1919" s="86"/>
      <c r="R1919" s="84" t="str">
        <f>IFERROR(VLOOKUP(CONCATENATE($B1919,"_",R$3),materiali!$C:$K,5,0),"")</f>
        <v/>
      </c>
      <c r="S1919" s="85" t="str">
        <f>IFERROR(VLOOKUP(CONCATENATE($B1919,"_",S$3),materiali!$C:$K,6,0),"")</f>
        <v/>
      </c>
      <c r="T1919" s="86"/>
      <c r="U1919" s="31"/>
      <c r="AD1919" s="97"/>
    </row>
    <row r="1920" spans="1:30" ht="35.1" hidden="1" customHeight="1" x14ac:dyDescent="0.25">
      <c r="A1920" s="83"/>
      <c r="B1920" s="7"/>
      <c r="C1920" s="8"/>
      <c r="D1920" s="8"/>
      <c r="E1920" s="60"/>
      <c r="F1920" s="84" t="str">
        <f>IFERROR(VLOOKUP(CONCATENATE($B1920,"_",F$3),materiali!$C:$K,5,0),"")</f>
        <v/>
      </c>
      <c r="G1920" s="85" t="str">
        <f>IFERROR(VLOOKUP(CONCATENATE($B1920,"_",G$3),materiali!$C:$K,6,0),"")</f>
        <v/>
      </c>
      <c r="H1920" s="86"/>
      <c r="I1920" s="84" t="str">
        <f>IFERROR(VLOOKUP(CONCATENATE($B1920,"_",I$3),materiali!$C:$K,5,0),"")</f>
        <v/>
      </c>
      <c r="J1920" s="85" t="str">
        <f>IFERROR(VLOOKUP(CONCATENATE($B1920,"_",J$3),materiali!$C:$K,6,0),"")</f>
        <v/>
      </c>
      <c r="K1920" s="86"/>
      <c r="L1920" s="84" t="str">
        <f>IFERROR(VLOOKUP(CONCATENATE($B1920,"_",L$3),materiali!$C:$K,5,0),"")</f>
        <v/>
      </c>
      <c r="M1920" s="85" t="str">
        <f>IFERROR(VLOOKUP(CONCATENATE($B1920,"_",M$3),materiali!$C:$K,6,0),"")</f>
        <v/>
      </c>
      <c r="N1920" s="86"/>
      <c r="O1920" s="84" t="str">
        <f>IFERROR(VLOOKUP(CONCATENATE($B1920,"_",O$3),materiali!$C:$K,5,0),"")</f>
        <v/>
      </c>
      <c r="P1920" s="85" t="str">
        <f>IFERROR(VLOOKUP(CONCATENATE($B1920,"_",P$3),materiali!$C:$K,6,0),"")</f>
        <v/>
      </c>
      <c r="Q1920" s="86"/>
      <c r="R1920" s="84" t="str">
        <f>IFERROR(VLOOKUP(CONCATENATE($B1920,"_",R$3),materiali!$C:$K,5,0),"")</f>
        <v/>
      </c>
      <c r="S1920" s="85" t="str">
        <f>IFERROR(VLOOKUP(CONCATENATE($B1920,"_",S$3),materiali!$C:$K,6,0),"")</f>
        <v/>
      </c>
      <c r="T1920" s="86"/>
      <c r="U1920" s="31"/>
      <c r="AD1920" s="97"/>
    </row>
    <row r="1921" spans="1:30" ht="35.1" hidden="1" customHeight="1" x14ac:dyDescent="0.25">
      <c r="A1921" s="83"/>
      <c r="B1921" s="7"/>
      <c r="C1921" s="8"/>
      <c r="D1921" s="8"/>
      <c r="E1921" s="60"/>
      <c r="F1921" s="84" t="str">
        <f>IFERROR(VLOOKUP(CONCATENATE($B1921,"_",F$3),materiali!$C:$K,5,0),"")</f>
        <v/>
      </c>
      <c r="G1921" s="85" t="str">
        <f>IFERROR(VLOOKUP(CONCATENATE($B1921,"_",G$3),materiali!$C:$K,6,0),"")</f>
        <v/>
      </c>
      <c r="H1921" s="86"/>
      <c r="I1921" s="84" t="str">
        <f>IFERROR(VLOOKUP(CONCATENATE($B1921,"_",I$3),materiali!$C:$K,5,0),"")</f>
        <v/>
      </c>
      <c r="J1921" s="85" t="str">
        <f>IFERROR(VLOOKUP(CONCATENATE($B1921,"_",J$3),materiali!$C:$K,6,0),"")</f>
        <v/>
      </c>
      <c r="K1921" s="86"/>
      <c r="L1921" s="84" t="str">
        <f>IFERROR(VLOOKUP(CONCATENATE($B1921,"_",L$3),materiali!$C:$K,5,0),"")</f>
        <v/>
      </c>
      <c r="M1921" s="85" t="str">
        <f>IFERROR(VLOOKUP(CONCATENATE($B1921,"_",M$3),materiali!$C:$K,6,0),"")</f>
        <v/>
      </c>
      <c r="N1921" s="86"/>
      <c r="O1921" s="84" t="str">
        <f>IFERROR(VLOOKUP(CONCATENATE($B1921,"_",O$3),materiali!$C:$K,5,0),"")</f>
        <v/>
      </c>
      <c r="P1921" s="85" t="str">
        <f>IFERROR(VLOOKUP(CONCATENATE($B1921,"_",P$3),materiali!$C:$K,6,0),"")</f>
        <v/>
      </c>
      <c r="Q1921" s="86"/>
      <c r="R1921" s="84" t="str">
        <f>IFERROR(VLOOKUP(CONCATENATE($B1921,"_",R$3),materiali!$C:$K,5,0),"")</f>
        <v/>
      </c>
      <c r="S1921" s="85" t="str">
        <f>IFERROR(VLOOKUP(CONCATENATE($B1921,"_",S$3),materiali!$C:$K,6,0),"")</f>
        <v/>
      </c>
      <c r="T1921" s="86"/>
      <c r="U1921" s="31"/>
      <c r="AD1921" s="97"/>
    </row>
    <row r="1922" spans="1:30" ht="35.1" hidden="1" customHeight="1" x14ac:dyDescent="0.25">
      <c r="A1922" s="83"/>
      <c r="B1922" s="7"/>
      <c r="C1922" s="8"/>
      <c r="D1922" s="8"/>
      <c r="E1922" s="60"/>
      <c r="F1922" s="84" t="str">
        <f>IFERROR(VLOOKUP(CONCATENATE($B1922,"_",F$3),materiali!$C:$K,5,0),"")</f>
        <v/>
      </c>
      <c r="G1922" s="85" t="str">
        <f>IFERROR(VLOOKUP(CONCATENATE($B1922,"_",G$3),materiali!$C:$K,6,0),"")</f>
        <v/>
      </c>
      <c r="H1922" s="86"/>
      <c r="I1922" s="84" t="str">
        <f>IFERROR(VLOOKUP(CONCATENATE($B1922,"_",I$3),materiali!$C:$K,5,0),"")</f>
        <v/>
      </c>
      <c r="J1922" s="85" t="str">
        <f>IFERROR(VLOOKUP(CONCATENATE($B1922,"_",J$3),materiali!$C:$K,6,0),"")</f>
        <v/>
      </c>
      <c r="K1922" s="86"/>
      <c r="L1922" s="84" t="str">
        <f>IFERROR(VLOOKUP(CONCATENATE($B1922,"_",L$3),materiali!$C:$K,5,0),"")</f>
        <v/>
      </c>
      <c r="M1922" s="85" t="str">
        <f>IFERROR(VLOOKUP(CONCATENATE($B1922,"_",M$3),materiali!$C:$K,6,0),"")</f>
        <v/>
      </c>
      <c r="N1922" s="86"/>
      <c r="O1922" s="84" t="str">
        <f>IFERROR(VLOOKUP(CONCATENATE($B1922,"_",O$3),materiali!$C:$K,5,0),"")</f>
        <v/>
      </c>
      <c r="P1922" s="85" t="str">
        <f>IFERROR(VLOOKUP(CONCATENATE($B1922,"_",P$3),materiali!$C:$K,6,0),"")</f>
        <v/>
      </c>
      <c r="Q1922" s="86"/>
      <c r="R1922" s="84" t="str">
        <f>IFERROR(VLOOKUP(CONCATENATE($B1922,"_",R$3),materiali!$C:$K,5,0),"")</f>
        <v/>
      </c>
      <c r="S1922" s="85" t="str">
        <f>IFERROR(VLOOKUP(CONCATENATE($B1922,"_",S$3),materiali!$C:$K,6,0),"")</f>
        <v/>
      </c>
      <c r="T1922" s="86"/>
      <c r="U1922" s="31"/>
      <c r="AD1922" s="97"/>
    </row>
    <row r="1923" spans="1:30" ht="35.1" hidden="1" customHeight="1" x14ac:dyDescent="0.25">
      <c r="A1923" s="83"/>
      <c r="B1923" s="7"/>
      <c r="C1923" s="8"/>
      <c r="D1923" s="8"/>
      <c r="E1923" s="60"/>
      <c r="F1923" s="84" t="str">
        <f>IFERROR(VLOOKUP(CONCATENATE($B1923,"_",F$3),materiali!$C:$K,5,0),"")</f>
        <v/>
      </c>
      <c r="G1923" s="85" t="str">
        <f>IFERROR(VLOOKUP(CONCATENATE($B1923,"_",G$3),materiali!$C:$K,6,0),"")</f>
        <v/>
      </c>
      <c r="H1923" s="86"/>
      <c r="I1923" s="84" t="str">
        <f>IFERROR(VLOOKUP(CONCATENATE($B1923,"_",I$3),materiali!$C:$K,5,0),"")</f>
        <v/>
      </c>
      <c r="J1923" s="85" t="str">
        <f>IFERROR(VLOOKUP(CONCATENATE($B1923,"_",J$3),materiali!$C:$K,6,0),"")</f>
        <v/>
      </c>
      <c r="K1923" s="86"/>
      <c r="L1923" s="84" t="str">
        <f>IFERROR(VLOOKUP(CONCATENATE($B1923,"_",L$3),materiali!$C:$K,5,0),"")</f>
        <v/>
      </c>
      <c r="M1923" s="85" t="str">
        <f>IFERROR(VLOOKUP(CONCATENATE($B1923,"_",M$3),materiali!$C:$K,6,0),"")</f>
        <v/>
      </c>
      <c r="N1923" s="86"/>
      <c r="O1923" s="84" t="str">
        <f>IFERROR(VLOOKUP(CONCATENATE($B1923,"_",O$3),materiali!$C:$K,5,0),"")</f>
        <v/>
      </c>
      <c r="P1923" s="85" t="str">
        <f>IFERROR(VLOOKUP(CONCATENATE($B1923,"_",P$3),materiali!$C:$K,6,0),"")</f>
        <v/>
      </c>
      <c r="Q1923" s="86"/>
      <c r="R1923" s="84" t="str">
        <f>IFERROR(VLOOKUP(CONCATENATE($B1923,"_",R$3),materiali!$C:$K,5,0),"")</f>
        <v/>
      </c>
      <c r="S1923" s="85" t="str">
        <f>IFERROR(VLOOKUP(CONCATENATE($B1923,"_",S$3),materiali!$C:$K,6,0),"")</f>
        <v/>
      </c>
      <c r="T1923" s="86"/>
      <c r="U1923" s="31"/>
      <c r="AD1923" s="97"/>
    </row>
    <row r="1924" spans="1:30" ht="35.1" hidden="1" customHeight="1" x14ac:dyDescent="0.25">
      <c r="A1924" s="83"/>
      <c r="B1924" s="7"/>
      <c r="C1924" s="8"/>
      <c r="D1924" s="8"/>
      <c r="E1924" s="60"/>
      <c r="F1924" s="84" t="str">
        <f>IFERROR(VLOOKUP(CONCATENATE($B1924,"_",F$3),materiali!$C:$K,5,0),"")</f>
        <v/>
      </c>
      <c r="G1924" s="85" t="str">
        <f>IFERROR(VLOOKUP(CONCATENATE($B1924,"_",G$3),materiali!$C:$K,6,0),"")</f>
        <v/>
      </c>
      <c r="H1924" s="86"/>
      <c r="I1924" s="84" t="str">
        <f>IFERROR(VLOOKUP(CONCATENATE($B1924,"_",I$3),materiali!$C:$K,5,0),"")</f>
        <v/>
      </c>
      <c r="J1924" s="85" t="str">
        <f>IFERROR(VLOOKUP(CONCATENATE($B1924,"_",J$3),materiali!$C:$K,6,0),"")</f>
        <v/>
      </c>
      <c r="K1924" s="86"/>
      <c r="L1924" s="84" t="str">
        <f>IFERROR(VLOOKUP(CONCATENATE($B1924,"_",L$3),materiali!$C:$K,5,0),"")</f>
        <v/>
      </c>
      <c r="M1924" s="85" t="str">
        <f>IFERROR(VLOOKUP(CONCATENATE($B1924,"_",M$3),materiali!$C:$K,6,0),"")</f>
        <v/>
      </c>
      <c r="N1924" s="86"/>
      <c r="O1924" s="84" t="str">
        <f>IFERROR(VLOOKUP(CONCATENATE($B1924,"_",O$3),materiali!$C:$K,5,0),"")</f>
        <v/>
      </c>
      <c r="P1924" s="85" t="str">
        <f>IFERROR(VLOOKUP(CONCATENATE($B1924,"_",P$3),materiali!$C:$K,6,0),"")</f>
        <v/>
      </c>
      <c r="Q1924" s="86"/>
      <c r="R1924" s="84" t="str">
        <f>IFERROR(VLOOKUP(CONCATENATE($B1924,"_",R$3),materiali!$C:$K,5,0),"")</f>
        <v/>
      </c>
      <c r="S1924" s="85" t="str">
        <f>IFERROR(VLOOKUP(CONCATENATE($B1924,"_",S$3),materiali!$C:$K,6,0),"")</f>
        <v/>
      </c>
      <c r="T1924" s="86"/>
      <c r="U1924" s="31"/>
      <c r="AD1924" s="97"/>
    </row>
    <row r="1925" spans="1:30" ht="35.1" hidden="1" customHeight="1" x14ac:dyDescent="0.25">
      <c r="A1925" s="83"/>
      <c r="B1925" s="7"/>
      <c r="C1925" s="8"/>
      <c r="D1925" s="8"/>
      <c r="E1925" s="60"/>
      <c r="F1925" s="84" t="str">
        <f>IFERROR(VLOOKUP(CONCATENATE($B1925,"_",F$3),materiali!$C:$K,5,0),"")</f>
        <v/>
      </c>
      <c r="G1925" s="85" t="str">
        <f>IFERROR(VLOOKUP(CONCATENATE($B1925,"_",G$3),materiali!$C:$K,6,0),"")</f>
        <v/>
      </c>
      <c r="H1925" s="86"/>
      <c r="I1925" s="84" t="str">
        <f>IFERROR(VLOOKUP(CONCATENATE($B1925,"_",I$3),materiali!$C:$K,5,0),"")</f>
        <v/>
      </c>
      <c r="J1925" s="85" t="str">
        <f>IFERROR(VLOOKUP(CONCATENATE($B1925,"_",J$3),materiali!$C:$K,6,0),"")</f>
        <v/>
      </c>
      <c r="K1925" s="86"/>
      <c r="L1925" s="84" t="str">
        <f>IFERROR(VLOOKUP(CONCATENATE($B1925,"_",L$3),materiali!$C:$K,5,0),"")</f>
        <v/>
      </c>
      <c r="M1925" s="85" t="str">
        <f>IFERROR(VLOOKUP(CONCATENATE($B1925,"_",M$3),materiali!$C:$K,6,0),"")</f>
        <v/>
      </c>
      <c r="N1925" s="86"/>
      <c r="O1925" s="84" t="str">
        <f>IFERROR(VLOOKUP(CONCATENATE($B1925,"_",O$3),materiali!$C:$K,5,0),"")</f>
        <v/>
      </c>
      <c r="P1925" s="85" t="str">
        <f>IFERROR(VLOOKUP(CONCATENATE($B1925,"_",P$3),materiali!$C:$K,6,0),"")</f>
        <v/>
      </c>
      <c r="Q1925" s="86"/>
      <c r="R1925" s="84" t="str">
        <f>IFERROR(VLOOKUP(CONCATENATE($B1925,"_",R$3),materiali!$C:$K,5,0),"")</f>
        <v/>
      </c>
      <c r="S1925" s="85" t="str">
        <f>IFERROR(VLOOKUP(CONCATENATE($B1925,"_",S$3),materiali!$C:$K,6,0),"")</f>
        <v/>
      </c>
      <c r="T1925" s="86"/>
      <c r="U1925" s="31"/>
      <c r="AD1925" s="97"/>
    </row>
    <row r="1926" spans="1:30" ht="35.1" hidden="1" customHeight="1" x14ac:dyDescent="0.25">
      <c r="A1926" s="83"/>
      <c r="B1926" s="7"/>
      <c r="C1926" s="8"/>
      <c r="D1926" s="8"/>
      <c r="E1926" s="60"/>
      <c r="F1926" s="84" t="str">
        <f>IFERROR(VLOOKUP(CONCATENATE($B1926,"_",F$3),materiali!$C:$K,5,0),"")</f>
        <v/>
      </c>
      <c r="G1926" s="85" t="str">
        <f>IFERROR(VLOOKUP(CONCATENATE($B1926,"_",G$3),materiali!$C:$K,6,0),"")</f>
        <v/>
      </c>
      <c r="H1926" s="86"/>
      <c r="I1926" s="84" t="str">
        <f>IFERROR(VLOOKUP(CONCATENATE($B1926,"_",I$3),materiali!$C:$K,5,0),"")</f>
        <v/>
      </c>
      <c r="J1926" s="85" t="str">
        <f>IFERROR(VLOOKUP(CONCATENATE($B1926,"_",J$3),materiali!$C:$K,6,0),"")</f>
        <v/>
      </c>
      <c r="K1926" s="86"/>
      <c r="L1926" s="84" t="str">
        <f>IFERROR(VLOOKUP(CONCATENATE($B1926,"_",L$3),materiali!$C:$K,5,0),"")</f>
        <v/>
      </c>
      <c r="M1926" s="85" t="str">
        <f>IFERROR(VLOOKUP(CONCATENATE($B1926,"_",M$3),materiali!$C:$K,6,0),"")</f>
        <v/>
      </c>
      <c r="N1926" s="86"/>
      <c r="O1926" s="84" t="str">
        <f>IFERROR(VLOOKUP(CONCATENATE($B1926,"_",O$3),materiali!$C:$K,5,0),"")</f>
        <v/>
      </c>
      <c r="P1926" s="85" t="str">
        <f>IFERROR(VLOOKUP(CONCATENATE($B1926,"_",P$3),materiali!$C:$K,6,0),"")</f>
        <v/>
      </c>
      <c r="Q1926" s="86"/>
      <c r="R1926" s="84" t="str">
        <f>IFERROR(VLOOKUP(CONCATENATE($B1926,"_",R$3),materiali!$C:$K,5,0),"")</f>
        <v/>
      </c>
      <c r="S1926" s="85" t="str">
        <f>IFERROR(VLOOKUP(CONCATENATE($B1926,"_",S$3),materiali!$C:$K,6,0),"")</f>
        <v/>
      </c>
      <c r="T1926" s="86"/>
      <c r="U1926" s="31"/>
      <c r="AD1926" s="97"/>
    </row>
    <row r="1927" spans="1:30" ht="35.1" hidden="1" customHeight="1" x14ac:dyDescent="0.25">
      <c r="A1927" s="83"/>
      <c r="B1927" s="7"/>
      <c r="C1927" s="8"/>
      <c r="D1927" s="8"/>
      <c r="E1927" s="60"/>
      <c r="F1927" s="84" t="str">
        <f>IFERROR(VLOOKUP(CONCATENATE($B1927,"_",F$3),materiali!$C:$K,5,0),"")</f>
        <v/>
      </c>
      <c r="G1927" s="85" t="str">
        <f>IFERROR(VLOOKUP(CONCATENATE($B1927,"_",G$3),materiali!$C:$K,6,0),"")</f>
        <v/>
      </c>
      <c r="H1927" s="86"/>
      <c r="I1927" s="84" t="str">
        <f>IFERROR(VLOOKUP(CONCATENATE($B1927,"_",I$3),materiali!$C:$K,5,0),"")</f>
        <v/>
      </c>
      <c r="J1927" s="85" t="str">
        <f>IFERROR(VLOOKUP(CONCATENATE($B1927,"_",J$3),materiali!$C:$K,6,0),"")</f>
        <v/>
      </c>
      <c r="K1927" s="86"/>
      <c r="L1927" s="84" t="str">
        <f>IFERROR(VLOOKUP(CONCATENATE($B1927,"_",L$3),materiali!$C:$K,5,0),"")</f>
        <v/>
      </c>
      <c r="M1927" s="85" t="str">
        <f>IFERROR(VLOOKUP(CONCATENATE($B1927,"_",M$3),materiali!$C:$K,6,0),"")</f>
        <v/>
      </c>
      <c r="N1927" s="86"/>
      <c r="O1927" s="84" t="str">
        <f>IFERROR(VLOOKUP(CONCATENATE($B1927,"_",O$3),materiali!$C:$K,5,0),"")</f>
        <v/>
      </c>
      <c r="P1927" s="85" t="str">
        <f>IFERROR(VLOOKUP(CONCATENATE($B1927,"_",P$3),materiali!$C:$K,6,0),"")</f>
        <v/>
      </c>
      <c r="Q1927" s="86"/>
      <c r="R1927" s="84" t="str">
        <f>IFERROR(VLOOKUP(CONCATENATE($B1927,"_",R$3),materiali!$C:$K,5,0),"")</f>
        <v/>
      </c>
      <c r="S1927" s="85" t="str">
        <f>IFERROR(VLOOKUP(CONCATENATE($B1927,"_",S$3),materiali!$C:$K,6,0),"")</f>
        <v/>
      </c>
      <c r="T1927" s="86"/>
      <c r="U1927" s="31"/>
      <c r="AD1927" s="97"/>
    </row>
    <row r="1928" spans="1:30" ht="35.1" hidden="1" customHeight="1" x14ac:dyDescent="0.25">
      <c r="A1928" s="83"/>
      <c r="B1928" s="7"/>
      <c r="C1928" s="8"/>
      <c r="D1928" s="8"/>
      <c r="E1928" s="60"/>
      <c r="F1928" s="84" t="str">
        <f>IFERROR(VLOOKUP(CONCATENATE($B1928,"_",F$3),materiali!$C:$K,5,0),"")</f>
        <v/>
      </c>
      <c r="G1928" s="85" t="str">
        <f>IFERROR(VLOOKUP(CONCATENATE($B1928,"_",G$3),materiali!$C:$K,6,0),"")</f>
        <v/>
      </c>
      <c r="H1928" s="86"/>
      <c r="I1928" s="84" t="str">
        <f>IFERROR(VLOOKUP(CONCATENATE($B1928,"_",I$3),materiali!$C:$K,5,0),"")</f>
        <v/>
      </c>
      <c r="J1928" s="85" t="str">
        <f>IFERROR(VLOOKUP(CONCATENATE($B1928,"_",J$3),materiali!$C:$K,6,0),"")</f>
        <v/>
      </c>
      <c r="K1928" s="86"/>
      <c r="L1928" s="84" t="str">
        <f>IFERROR(VLOOKUP(CONCATENATE($B1928,"_",L$3),materiali!$C:$K,5,0),"")</f>
        <v/>
      </c>
      <c r="M1928" s="85" t="str">
        <f>IFERROR(VLOOKUP(CONCATENATE($B1928,"_",M$3),materiali!$C:$K,6,0),"")</f>
        <v/>
      </c>
      <c r="N1928" s="86"/>
      <c r="O1928" s="84" t="str">
        <f>IFERROR(VLOOKUP(CONCATENATE($B1928,"_",O$3),materiali!$C:$K,5,0),"")</f>
        <v/>
      </c>
      <c r="P1928" s="85" t="str">
        <f>IFERROR(VLOOKUP(CONCATENATE($B1928,"_",P$3),materiali!$C:$K,6,0),"")</f>
        <v/>
      </c>
      <c r="Q1928" s="86"/>
      <c r="R1928" s="84" t="str">
        <f>IFERROR(VLOOKUP(CONCATENATE($B1928,"_",R$3),materiali!$C:$K,5,0),"")</f>
        <v/>
      </c>
      <c r="S1928" s="85" t="str">
        <f>IFERROR(VLOOKUP(CONCATENATE($B1928,"_",S$3),materiali!$C:$K,6,0),"")</f>
        <v/>
      </c>
      <c r="T1928" s="86"/>
      <c r="U1928" s="31"/>
      <c r="AD1928" s="97"/>
    </row>
    <row r="1929" spans="1:30" ht="35.1" hidden="1" customHeight="1" x14ac:dyDescent="0.25">
      <c r="A1929" s="83"/>
      <c r="B1929" s="7"/>
      <c r="C1929" s="8"/>
      <c r="D1929" s="8"/>
      <c r="E1929" s="60"/>
      <c r="F1929" s="84" t="str">
        <f>IFERROR(VLOOKUP(CONCATENATE($B1929,"_",F$3),materiali!$C:$K,5,0),"")</f>
        <v/>
      </c>
      <c r="G1929" s="85" t="str">
        <f>IFERROR(VLOOKUP(CONCATENATE($B1929,"_",G$3),materiali!$C:$K,6,0),"")</f>
        <v/>
      </c>
      <c r="H1929" s="86"/>
      <c r="I1929" s="84" t="str">
        <f>IFERROR(VLOOKUP(CONCATENATE($B1929,"_",I$3),materiali!$C:$K,5,0),"")</f>
        <v/>
      </c>
      <c r="J1929" s="85" t="str">
        <f>IFERROR(VLOOKUP(CONCATENATE($B1929,"_",J$3),materiali!$C:$K,6,0),"")</f>
        <v/>
      </c>
      <c r="K1929" s="86"/>
      <c r="L1929" s="84" t="str">
        <f>IFERROR(VLOOKUP(CONCATENATE($B1929,"_",L$3),materiali!$C:$K,5,0),"")</f>
        <v/>
      </c>
      <c r="M1929" s="85" t="str">
        <f>IFERROR(VLOOKUP(CONCATENATE($B1929,"_",M$3),materiali!$C:$K,6,0),"")</f>
        <v/>
      </c>
      <c r="N1929" s="86"/>
      <c r="O1929" s="84" t="str">
        <f>IFERROR(VLOOKUP(CONCATENATE($B1929,"_",O$3),materiali!$C:$K,5,0),"")</f>
        <v/>
      </c>
      <c r="P1929" s="85" t="str">
        <f>IFERROR(VLOOKUP(CONCATENATE($B1929,"_",P$3),materiali!$C:$K,6,0),"")</f>
        <v/>
      </c>
      <c r="Q1929" s="86"/>
      <c r="R1929" s="84" t="str">
        <f>IFERROR(VLOOKUP(CONCATENATE($B1929,"_",R$3),materiali!$C:$K,5,0),"")</f>
        <v/>
      </c>
      <c r="S1929" s="85" t="str">
        <f>IFERROR(VLOOKUP(CONCATENATE($B1929,"_",S$3),materiali!$C:$K,6,0),"")</f>
        <v/>
      </c>
      <c r="T1929" s="86"/>
      <c r="U1929" s="31"/>
      <c r="AD1929" s="97"/>
    </row>
    <row r="1930" spans="1:30" ht="35.1" hidden="1" customHeight="1" x14ac:dyDescent="0.25">
      <c r="A1930" s="83"/>
      <c r="B1930" s="7"/>
      <c r="C1930" s="8"/>
      <c r="D1930" s="8"/>
      <c r="E1930" s="60"/>
      <c r="F1930" s="84" t="str">
        <f>IFERROR(VLOOKUP(CONCATENATE($B1930,"_",F$3),materiali!$C:$K,5,0),"")</f>
        <v/>
      </c>
      <c r="G1930" s="85" t="str">
        <f>IFERROR(VLOOKUP(CONCATENATE($B1930,"_",G$3),materiali!$C:$K,6,0),"")</f>
        <v/>
      </c>
      <c r="H1930" s="86"/>
      <c r="I1930" s="84" t="str">
        <f>IFERROR(VLOOKUP(CONCATENATE($B1930,"_",I$3),materiali!$C:$K,5,0),"")</f>
        <v/>
      </c>
      <c r="J1930" s="85" t="str">
        <f>IFERROR(VLOOKUP(CONCATENATE($B1930,"_",J$3),materiali!$C:$K,6,0),"")</f>
        <v/>
      </c>
      <c r="K1930" s="86"/>
      <c r="L1930" s="84" t="str">
        <f>IFERROR(VLOOKUP(CONCATENATE($B1930,"_",L$3),materiali!$C:$K,5,0),"")</f>
        <v/>
      </c>
      <c r="M1930" s="85" t="str">
        <f>IFERROR(VLOOKUP(CONCATENATE($B1930,"_",M$3),materiali!$C:$K,6,0),"")</f>
        <v/>
      </c>
      <c r="N1930" s="86"/>
      <c r="O1930" s="84" t="str">
        <f>IFERROR(VLOOKUP(CONCATENATE($B1930,"_",O$3),materiali!$C:$K,5,0),"")</f>
        <v/>
      </c>
      <c r="P1930" s="85" t="str">
        <f>IFERROR(VLOOKUP(CONCATENATE($B1930,"_",P$3),materiali!$C:$K,6,0),"")</f>
        <v/>
      </c>
      <c r="Q1930" s="86"/>
      <c r="R1930" s="84" t="str">
        <f>IFERROR(VLOOKUP(CONCATENATE($B1930,"_",R$3),materiali!$C:$K,5,0),"")</f>
        <v/>
      </c>
      <c r="S1930" s="85" t="str">
        <f>IFERROR(VLOOKUP(CONCATENATE($B1930,"_",S$3),materiali!$C:$K,6,0),"")</f>
        <v/>
      </c>
      <c r="T1930" s="86"/>
      <c r="U1930" s="31"/>
      <c r="AD1930" s="97"/>
    </row>
    <row r="1931" spans="1:30" ht="35.1" hidden="1" customHeight="1" x14ac:dyDescent="0.25">
      <c r="A1931" s="83"/>
      <c r="B1931" s="7"/>
      <c r="C1931" s="8"/>
      <c r="D1931" s="8"/>
      <c r="E1931" s="60"/>
      <c r="F1931" s="84" t="str">
        <f>IFERROR(VLOOKUP(CONCATENATE($B1931,"_",F$3),materiali!$C:$K,5,0),"")</f>
        <v/>
      </c>
      <c r="G1931" s="85" t="str">
        <f>IFERROR(VLOOKUP(CONCATENATE($B1931,"_",G$3),materiali!$C:$K,6,0),"")</f>
        <v/>
      </c>
      <c r="H1931" s="86"/>
      <c r="I1931" s="84" t="str">
        <f>IFERROR(VLOOKUP(CONCATENATE($B1931,"_",I$3),materiali!$C:$K,5,0),"")</f>
        <v/>
      </c>
      <c r="J1931" s="85" t="str">
        <f>IFERROR(VLOOKUP(CONCATENATE($B1931,"_",J$3),materiali!$C:$K,6,0),"")</f>
        <v/>
      </c>
      <c r="K1931" s="86"/>
      <c r="L1931" s="84" t="str">
        <f>IFERROR(VLOOKUP(CONCATENATE($B1931,"_",L$3),materiali!$C:$K,5,0),"")</f>
        <v/>
      </c>
      <c r="M1931" s="85" t="str">
        <f>IFERROR(VLOOKUP(CONCATENATE($B1931,"_",M$3),materiali!$C:$K,6,0),"")</f>
        <v/>
      </c>
      <c r="N1931" s="86"/>
      <c r="O1931" s="84" t="str">
        <f>IFERROR(VLOOKUP(CONCATENATE($B1931,"_",O$3),materiali!$C:$K,5,0),"")</f>
        <v/>
      </c>
      <c r="P1931" s="85" t="str">
        <f>IFERROR(VLOOKUP(CONCATENATE($B1931,"_",P$3),materiali!$C:$K,6,0),"")</f>
        <v/>
      </c>
      <c r="Q1931" s="86"/>
      <c r="R1931" s="84" t="str">
        <f>IFERROR(VLOOKUP(CONCATENATE($B1931,"_",R$3),materiali!$C:$K,5,0),"")</f>
        <v/>
      </c>
      <c r="S1931" s="85" t="str">
        <f>IFERROR(VLOOKUP(CONCATENATE($B1931,"_",S$3),materiali!$C:$K,6,0),"")</f>
        <v/>
      </c>
      <c r="T1931" s="86"/>
      <c r="U1931" s="31"/>
      <c r="AD1931" s="97"/>
    </row>
    <row r="1932" spans="1:30" ht="35.1" hidden="1" customHeight="1" x14ac:dyDescent="0.25">
      <c r="A1932" s="83"/>
      <c r="B1932" s="7"/>
      <c r="C1932" s="8"/>
      <c r="D1932" s="8"/>
      <c r="E1932" s="60"/>
      <c r="F1932" s="84" t="str">
        <f>IFERROR(VLOOKUP(CONCATENATE($B1932,"_",F$3),materiali!$C:$K,5,0),"")</f>
        <v/>
      </c>
      <c r="G1932" s="85" t="str">
        <f>IFERROR(VLOOKUP(CONCATENATE($B1932,"_",G$3),materiali!$C:$K,6,0),"")</f>
        <v/>
      </c>
      <c r="H1932" s="86"/>
      <c r="I1932" s="84" t="str">
        <f>IFERROR(VLOOKUP(CONCATENATE($B1932,"_",I$3),materiali!$C:$K,5,0),"")</f>
        <v/>
      </c>
      <c r="J1932" s="85" t="str">
        <f>IFERROR(VLOOKUP(CONCATENATE($B1932,"_",J$3),materiali!$C:$K,6,0),"")</f>
        <v/>
      </c>
      <c r="K1932" s="86"/>
      <c r="L1932" s="84" t="str">
        <f>IFERROR(VLOOKUP(CONCATENATE($B1932,"_",L$3),materiali!$C:$K,5,0),"")</f>
        <v/>
      </c>
      <c r="M1932" s="85" t="str">
        <f>IFERROR(VLOOKUP(CONCATENATE($B1932,"_",M$3),materiali!$C:$K,6,0),"")</f>
        <v/>
      </c>
      <c r="N1932" s="86"/>
      <c r="O1932" s="84" t="str">
        <f>IFERROR(VLOOKUP(CONCATENATE($B1932,"_",O$3),materiali!$C:$K,5,0),"")</f>
        <v/>
      </c>
      <c r="P1932" s="85" t="str">
        <f>IFERROR(VLOOKUP(CONCATENATE($B1932,"_",P$3),materiali!$C:$K,6,0),"")</f>
        <v/>
      </c>
      <c r="Q1932" s="86"/>
      <c r="R1932" s="84" t="str">
        <f>IFERROR(VLOOKUP(CONCATENATE($B1932,"_",R$3),materiali!$C:$K,5,0),"")</f>
        <v/>
      </c>
      <c r="S1932" s="85" t="str">
        <f>IFERROR(VLOOKUP(CONCATENATE($B1932,"_",S$3),materiali!$C:$K,6,0),"")</f>
        <v/>
      </c>
      <c r="T1932" s="86"/>
      <c r="U1932" s="31"/>
      <c r="AD1932" s="97"/>
    </row>
    <row r="1933" spans="1:30" ht="35.1" hidden="1" customHeight="1" x14ac:dyDescent="0.25">
      <c r="A1933" s="83"/>
      <c r="B1933" s="7"/>
      <c r="C1933" s="8"/>
      <c r="D1933" s="8"/>
      <c r="E1933" s="60"/>
      <c r="F1933" s="84" t="str">
        <f>IFERROR(VLOOKUP(CONCATENATE($B1933,"_",F$3),materiali!$C:$K,5,0),"")</f>
        <v/>
      </c>
      <c r="G1933" s="85" t="str">
        <f>IFERROR(VLOOKUP(CONCATENATE($B1933,"_",G$3),materiali!$C:$K,6,0),"")</f>
        <v/>
      </c>
      <c r="H1933" s="86"/>
      <c r="I1933" s="84" t="str">
        <f>IFERROR(VLOOKUP(CONCATENATE($B1933,"_",I$3),materiali!$C:$K,5,0),"")</f>
        <v/>
      </c>
      <c r="J1933" s="85" t="str">
        <f>IFERROR(VLOOKUP(CONCATENATE($B1933,"_",J$3),materiali!$C:$K,6,0),"")</f>
        <v/>
      </c>
      <c r="K1933" s="86"/>
      <c r="L1933" s="84" t="str">
        <f>IFERROR(VLOOKUP(CONCATENATE($B1933,"_",L$3),materiali!$C:$K,5,0),"")</f>
        <v/>
      </c>
      <c r="M1933" s="85" t="str">
        <f>IFERROR(VLOOKUP(CONCATENATE($B1933,"_",M$3),materiali!$C:$K,6,0),"")</f>
        <v/>
      </c>
      <c r="N1933" s="86"/>
      <c r="O1933" s="84" t="str">
        <f>IFERROR(VLOOKUP(CONCATENATE($B1933,"_",O$3),materiali!$C:$K,5,0),"")</f>
        <v/>
      </c>
      <c r="P1933" s="85" t="str">
        <f>IFERROR(VLOOKUP(CONCATENATE($B1933,"_",P$3),materiali!$C:$K,6,0),"")</f>
        <v/>
      </c>
      <c r="Q1933" s="86"/>
      <c r="R1933" s="84" t="str">
        <f>IFERROR(VLOOKUP(CONCATENATE($B1933,"_",R$3),materiali!$C:$K,5,0),"")</f>
        <v/>
      </c>
      <c r="S1933" s="85" t="str">
        <f>IFERROR(VLOOKUP(CONCATENATE($B1933,"_",S$3),materiali!$C:$K,6,0),"")</f>
        <v/>
      </c>
      <c r="T1933" s="86"/>
      <c r="U1933" s="31"/>
      <c r="AD1933" s="97"/>
    </row>
    <row r="1934" spans="1:30" ht="35.1" hidden="1" customHeight="1" x14ac:dyDescent="0.25">
      <c r="A1934" s="83"/>
      <c r="B1934" s="7"/>
      <c r="C1934" s="8"/>
      <c r="D1934" s="8"/>
      <c r="E1934" s="60"/>
      <c r="F1934" s="84" t="str">
        <f>IFERROR(VLOOKUP(CONCATENATE($B1934,"_",F$3),materiali!$C:$K,5,0),"")</f>
        <v/>
      </c>
      <c r="G1934" s="85" t="str">
        <f>IFERROR(VLOOKUP(CONCATENATE($B1934,"_",G$3),materiali!$C:$K,6,0),"")</f>
        <v/>
      </c>
      <c r="H1934" s="86"/>
      <c r="I1934" s="84" t="str">
        <f>IFERROR(VLOOKUP(CONCATENATE($B1934,"_",I$3),materiali!$C:$K,5,0),"")</f>
        <v/>
      </c>
      <c r="J1934" s="85" t="str">
        <f>IFERROR(VLOOKUP(CONCATENATE($B1934,"_",J$3),materiali!$C:$K,6,0),"")</f>
        <v/>
      </c>
      <c r="K1934" s="86"/>
      <c r="L1934" s="84" t="str">
        <f>IFERROR(VLOOKUP(CONCATENATE($B1934,"_",L$3),materiali!$C:$K,5,0),"")</f>
        <v/>
      </c>
      <c r="M1934" s="85" t="str">
        <f>IFERROR(VLOOKUP(CONCATENATE($B1934,"_",M$3),materiali!$C:$K,6,0),"")</f>
        <v/>
      </c>
      <c r="N1934" s="86"/>
      <c r="O1934" s="84" t="str">
        <f>IFERROR(VLOOKUP(CONCATENATE($B1934,"_",O$3),materiali!$C:$K,5,0),"")</f>
        <v/>
      </c>
      <c r="P1934" s="85" t="str">
        <f>IFERROR(VLOOKUP(CONCATENATE($B1934,"_",P$3),materiali!$C:$K,6,0),"")</f>
        <v/>
      </c>
      <c r="Q1934" s="86"/>
      <c r="R1934" s="84" t="str">
        <f>IFERROR(VLOOKUP(CONCATENATE($B1934,"_",R$3),materiali!$C:$K,5,0),"")</f>
        <v/>
      </c>
      <c r="S1934" s="85" t="str">
        <f>IFERROR(VLOOKUP(CONCATENATE($B1934,"_",S$3),materiali!$C:$K,6,0),"")</f>
        <v/>
      </c>
      <c r="T1934" s="86"/>
      <c r="U1934" s="31"/>
      <c r="AD1934" s="97"/>
    </row>
    <row r="1935" spans="1:30" ht="35.1" hidden="1" customHeight="1" x14ac:dyDescent="0.25">
      <c r="A1935" s="83"/>
      <c r="B1935" s="7"/>
      <c r="C1935" s="8"/>
      <c r="D1935" s="8"/>
      <c r="E1935" s="60"/>
      <c r="F1935" s="84" t="str">
        <f>IFERROR(VLOOKUP(CONCATENATE($B1935,"_",F$3),materiali!$C:$K,5,0),"")</f>
        <v/>
      </c>
      <c r="G1935" s="85" t="str">
        <f>IFERROR(VLOOKUP(CONCATENATE($B1935,"_",G$3),materiali!$C:$K,6,0),"")</f>
        <v/>
      </c>
      <c r="H1935" s="86"/>
      <c r="I1935" s="84" t="str">
        <f>IFERROR(VLOOKUP(CONCATENATE($B1935,"_",I$3),materiali!$C:$K,5,0),"")</f>
        <v/>
      </c>
      <c r="J1935" s="85" t="str">
        <f>IFERROR(VLOOKUP(CONCATENATE($B1935,"_",J$3),materiali!$C:$K,6,0),"")</f>
        <v/>
      </c>
      <c r="K1935" s="86"/>
      <c r="L1935" s="84" t="str">
        <f>IFERROR(VLOOKUP(CONCATENATE($B1935,"_",L$3),materiali!$C:$K,5,0),"")</f>
        <v/>
      </c>
      <c r="M1935" s="85" t="str">
        <f>IFERROR(VLOOKUP(CONCATENATE($B1935,"_",M$3),materiali!$C:$K,6,0),"")</f>
        <v/>
      </c>
      <c r="N1935" s="86"/>
      <c r="O1935" s="84" t="str">
        <f>IFERROR(VLOOKUP(CONCATENATE($B1935,"_",O$3),materiali!$C:$K,5,0),"")</f>
        <v/>
      </c>
      <c r="P1935" s="85" t="str">
        <f>IFERROR(VLOOKUP(CONCATENATE($B1935,"_",P$3),materiali!$C:$K,6,0),"")</f>
        <v/>
      </c>
      <c r="Q1935" s="86"/>
      <c r="R1935" s="84" t="str">
        <f>IFERROR(VLOOKUP(CONCATENATE($B1935,"_",R$3),materiali!$C:$K,5,0),"")</f>
        <v/>
      </c>
      <c r="S1935" s="85" t="str">
        <f>IFERROR(VLOOKUP(CONCATENATE($B1935,"_",S$3),materiali!$C:$K,6,0),"")</f>
        <v/>
      </c>
      <c r="T1935" s="86"/>
      <c r="U1935" s="31"/>
      <c r="AD1935" s="97"/>
    </row>
    <row r="1936" spans="1:30" ht="35.1" hidden="1" customHeight="1" x14ac:dyDescent="0.25">
      <c r="A1936" s="83"/>
      <c r="B1936" s="7"/>
      <c r="C1936" s="8"/>
      <c r="D1936" s="8"/>
      <c r="E1936" s="60"/>
      <c r="F1936" s="84" t="str">
        <f>IFERROR(VLOOKUP(CONCATENATE($B1936,"_",F$3),materiali!$C:$K,5,0),"")</f>
        <v/>
      </c>
      <c r="G1936" s="85" t="str">
        <f>IFERROR(VLOOKUP(CONCATENATE($B1936,"_",G$3),materiali!$C:$K,6,0),"")</f>
        <v/>
      </c>
      <c r="H1936" s="86"/>
      <c r="I1936" s="84" t="str">
        <f>IFERROR(VLOOKUP(CONCATENATE($B1936,"_",I$3),materiali!$C:$K,5,0),"")</f>
        <v/>
      </c>
      <c r="J1936" s="85" t="str">
        <f>IFERROR(VLOOKUP(CONCATENATE($B1936,"_",J$3),materiali!$C:$K,6,0),"")</f>
        <v/>
      </c>
      <c r="K1936" s="86"/>
      <c r="L1936" s="84" t="str">
        <f>IFERROR(VLOOKUP(CONCATENATE($B1936,"_",L$3),materiali!$C:$K,5,0),"")</f>
        <v/>
      </c>
      <c r="M1936" s="85" t="str">
        <f>IFERROR(VLOOKUP(CONCATENATE($B1936,"_",M$3),materiali!$C:$K,6,0),"")</f>
        <v/>
      </c>
      <c r="N1936" s="86"/>
      <c r="O1936" s="84" t="str">
        <f>IFERROR(VLOOKUP(CONCATENATE($B1936,"_",O$3),materiali!$C:$K,5,0),"")</f>
        <v/>
      </c>
      <c r="P1936" s="85" t="str">
        <f>IFERROR(VLOOKUP(CONCATENATE($B1936,"_",P$3),materiali!$C:$K,6,0),"")</f>
        <v/>
      </c>
      <c r="Q1936" s="86"/>
      <c r="R1936" s="84" t="str">
        <f>IFERROR(VLOOKUP(CONCATENATE($B1936,"_",R$3),materiali!$C:$K,5,0),"")</f>
        <v/>
      </c>
      <c r="S1936" s="85" t="str">
        <f>IFERROR(VLOOKUP(CONCATENATE($B1936,"_",S$3),materiali!$C:$K,6,0),"")</f>
        <v/>
      </c>
      <c r="T1936" s="86"/>
      <c r="U1936" s="31"/>
      <c r="AD1936" s="97"/>
    </row>
    <row r="1937" spans="1:30" ht="35.1" hidden="1" customHeight="1" x14ac:dyDescent="0.25">
      <c r="A1937" s="83"/>
      <c r="B1937" s="7"/>
      <c r="C1937" s="8"/>
      <c r="D1937" s="8"/>
      <c r="E1937" s="60"/>
      <c r="F1937" s="84" t="str">
        <f>IFERROR(VLOOKUP(CONCATENATE($B1937,"_",F$3),materiali!$C:$K,5,0),"")</f>
        <v/>
      </c>
      <c r="G1937" s="85" t="str">
        <f>IFERROR(VLOOKUP(CONCATENATE($B1937,"_",G$3),materiali!$C:$K,6,0),"")</f>
        <v/>
      </c>
      <c r="H1937" s="86"/>
      <c r="I1937" s="84" t="str">
        <f>IFERROR(VLOOKUP(CONCATENATE($B1937,"_",I$3),materiali!$C:$K,5,0),"")</f>
        <v/>
      </c>
      <c r="J1937" s="85" t="str">
        <f>IFERROR(VLOOKUP(CONCATENATE($B1937,"_",J$3),materiali!$C:$K,6,0),"")</f>
        <v/>
      </c>
      <c r="K1937" s="86"/>
      <c r="L1937" s="84" t="str">
        <f>IFERROR(VLOOKUP(CONCATENATE($B1937,"_",L$3),materiali!$C:$K,5,0),"")</f>
        <v/>
      </c>
      <c r="M1937" s="85" t="str">
        <f>IFERROR(VLOOKUP(CONCATENATE($B1937,"_",M$3),materiali!$C:$K,6,0),"")</f>
        <v/>
      </c>
      <c r="N1937" s="86"/>
      <c r="O1937" s="84" t="str">
        <f>IFERROR(VLOOKUP(CONCATENATE($B1937,"_",O$3),materiali!$C:$K,5,0),"")</f>
        <v/>
      </c>
      <c r="P1937" s="85" t="str">
        <f>IFERROR(VLOOKUP(CONCATENATE($B1937,"_",P$3),materiali!$C:$K,6,0),"")</f>
        <v/>
      </c>
      <c r="Q1937" s="86"/>
      <c r="R1937" s="84" t="str">
        <f>IFERROR(VLOOKUP(CONCATENATE($B1937,"_",R$3),materiali!$C:$K,5,0),"")</f>
        <v/>
      </c>
      <c r="S1937" s="85" t="str">
        <f>IFERROR(VLOOKUP(CONCATENATE($B1937,"_",S$3),materiali!$C:$K,6,0),"")</f>
        <v/>
      </c>
      <c r="T1937" s="86"/>
      <c r="U1937" s="31"/>
      <c r="AD1937" s="97"/>
    </row>
    <row r="1938" spans="1:30" ht="35.1" hidden="1" customHeight="1" x14ac:dyDescent="0.25">
      <c r="A1938" s="83"/>
      <c r="B1938" s="7"/>
      <c r="C1938" s="8"/>
      <c r="D1938" s="8"/>
      <c r="E1938" s="60"/>
      <c r="F1938" s="84" t="str">
        <f>IFERROR(VLOOKUP(CONCATENATE($B1938,"_",F$3),materiali!$C:$K,5,0),"")</f>
        <v/>
      </c>
      <c r="G1938" s="85" t="str">
        <f>IFERROR(VLOOKUP(CONCATENATE($B1938,"_",G$3),materiali!$C:$K,6,0),"")</f>
        <v/>
      </c>
      <c r="H1938" s="86"/>
      <c r="I1938" s="84" t="str">
        <f>IFERROR(VLOOKUP(CONCATENATE($B1938,"_",I$3),materiali!$C:$K,5,0),"")</f>
        <v/>
      </c>
      <c r="J1938" s="85" t="str">
        <f>IFERROR(VLOOKUP(CONCATENATE($B1938,"_",J$3),materiali!$C:$K,6,0),"")</f>
        <v/>
      </c>
      <c r="K1938" s="86"/>
      <c r="L1938" s="84" t="str">
        <f>IFERROR(VLOOKUP(CONCATENATE($B1938,"_",L$3),materiali!$C:$K,5,0),"")</f>
        <v/>
      </c>
      <c r="M1938" s="85" t="str">
        <f>IFERROR(VLOOKUP(CONCATENATE($B1938,"_",M$3),materiali!$C:$K,6,0),"")</f>
        <v/>
      </c>
      <c r="N1938" s="86"/>
      <c r="O1938" s="84" t="str">
        <f>IFERROR(VLOOKUP(CONCATENATE($B1938,"_",O$3),materiali!$C:$K,5,0),"")</f>
        <v/>
      </c>
      <c r="P1938" s="85" t="str">
        <f>IFERROR(VLOOKUP(CONCATENATE($B1938,"_",P$3),materiali!$C:$K,6,0),"")</f>
        <v/>
      </c>
      <c r="Q1938" s="86"/>
      <c r="R1938" s="84" t="str">
        <f>IFERROR(VLOOKUP(CONCATENATE($B1938,"_",R$3),materiali!$C:$K,5,0),"")</f>
        <v/>
      </c>
      <c r="S1938" s="85" t="str">
        <f>IFERROR(VLOOKUP(CONCATENATE($B1938,"_",S$3),materiali!$C:$K,6,0),"")</f>
        <v/>
      </c>
      <c r="T1938" s="86"/>
      <c r="U1938" s="31"/>
      <c r="AD1938" s="97"/>
    </row>
    <row r="1939" spans="1:30" ht="35.1" hidden="1" customHeight="1" x14ac:dyDescent="0.25">
      <c r="A1939" s="83"/>
      <c r="B1939" s="7"/>
      <c r="C1939" s="8"/>
      <c r="D1939" s="8"/>
      <c r="E1939" s="60"/>
      <c r="F1939" s="84" t="str">
        <f>IFERROR(VLOOKUP(CONCATENATE($B1939,"_",F$3),materiali!$C:$K,5,0),"")</f>
        <v/>
      </c>
      <c r="G1939" s="85" t="str">
        <f>IFERROR(VLOOKUP(CONCATENATE($B1939,"_",G$3),materiali!$C:$K,6,0),"")</f>
        <v/>
      </c>
      <c r="H1939" s="86"/>
      <c r="I1939" s="84" t="str">
        <f>IFERROR(VLOOKUP(CONCATENATE($B1939,"_",I$3),materiali!$C:$K,5,0),"")</f>
        <v/>
      </c>
      <c r="J1939" s="85" t="str">
        <f>IFERROR(VLOOKUP(CONCATENATE($B1939,"_",J$3),materiali!$C:$K,6,0),"")</f>
        <v/>
      </c>
      <c r="K1939" s="86"/>
      <c r="L1939" s="84" t="str">
        <f>IFERROR(VLOOKUP(CONCATENATE($B1939,"_",L$3),materiali!$C:$K,5,0),"")</f>
        <v/>
      </c>
      <c r="M1939" s="85" t="str">
        <f>IFERROR(VLOOKUP(CONCATENATE($B1939,"_",M$3),materiali!$C:$K,6,0),"")</f>
        <v/>
      </c>
      <c r="N1939" s="86"/>
      <c r="O1939" s="84" t="str">
        <f>IFERROR(VLOOKUP(CONCATENATE($B1939,"_",O$3),materiali!$C:$K,5,0),"")</f>
        <v/>
      </c>
      <c r="P1939" s="85" t="str">
        <f>IFERROR(VLOOKUP(CONCATENATE($B1939,"_",P$3),materiali!$C:$K,6,0),"")</f>
        <v/>
      </c>
      <c r="Q1939" s="86"/>
      <c r="R1939" s="84" t="str">
        <f>IFERROR(VLOOKUP(CONCATENATE($B1939,"_",R$3),materiali!$C:$K,5,0),"")</f>
        <v/>
      </c>
      <c r="S1939" s="85" t="str">
        <f>IFERROR(VLOOKUP(CONCATENATE($B1939,"_",S$3),materiali!$C:$K,6,0),"")</f>
        <v/>
      </c>
      <c r="T1939" s="86"/>
      <c r="U1939" s="31"/>
      <c r="AD1939" s="97"/>
    </row>
    <row r="1940" spans="1:30" ht="35.1" hidden="1" customHeight="1" x14ac:dyDescent="0.25">
      <c r="A1940" s="83"/>
      <c r="B1940" s="7"/>
      <c r="C1940" s="8"/>
      <c r="D1940" s="8"/>
      <c r="E1940" s="60"/>
      <c r="F1940" s="84" t="str">
        <f>IFERROR(VLOOKUP(CONCATENATE($B1940,"_",F$3),materiali!$C:$K,5,0),"")</f>
        <v/>
      </c>
      <c r="G1940" s="85" t="str">
        <f>IFERROR(VLOOKUP(CONCATENATE($B1940,"_",G$3),materiali!$C:$K,6,0),"")</f>
        <v/>
      </c>
      <c r="H1940" s="86"/>
      <c r="I1940" s="84" t="str">
        <f>IFERROR(VLOOKUP(CONCATENATE($B1940,"_",I$3),materiali!$C:$K,5,0),"")</f>
        <v/>
      </c>
      <c r="J1940" s="85" t="str">
        <f>IFERROR(VLOOKUP(CONCATENATE($B1940,"_",J$3),materiali!$C:$K,6,0),"")</f>
        <v/>
      </c>
      <c r="K1940" s="86"/>
      <c r="L1940" s="84" t="str">
        <f>IFERROR(VLOOKUP(CONCATENATE($B1940,"_",L$3),materiali!$C:$K,5,0),"")</f>
        <v/>
      </c>
      <c r="M1940" s="85" t="str">
        <f>IFERROR(VLOOKUP(CONCATENATE($B1940,"_",M$3),materiali!$C:$K,6,0),"")</f>
        <v/>
      </c>
      <c r="N1940" s="86"/>
      <c r="O1940" s="84" t="str">
        <f>IFERROR(VLOOKUP(CONCATENATE($B1940,"_",O$3),materiali!$C:$K,5,0),"")</f>
        <v/>
      </c>
      <c r="P1940" s="85" t="str">
        <f>IFERROR(VLOOKUP(CONCATENATE($B1940,"_",P$3),materiali!$C:$K,6,0),"")</f>
        <v/>
      </c>
      <c r="Q1940" s="86"/>
      <c r="R1940" s="84" t="str">
        <f>IFERROR(VLOOKUP(CONCATENATE($B1940,"_",R$3),materiali!$C:$K,5,0),"")</f>
        <v/>
      </c>
      <c r="S1940" s="85" t="str">
        <f>IFERROR(VLOOKUP(CONCATENATE($B1940,"_",S$3),materiali!$C:$K,6,0),"")</f>
        <v/>
      </c>
      <c r="T1940" s="86"/>
      <c r="U1940" s="31"/>
      <c r="AD1940" s="97"/>
    </row>
    <row r="1941" spans="1:30" ht="35.1" hidden="1" customHeight="1" x14ac:dyDescent="0.25">
      <c r="A1941" s="83"/>
      <c r="B1941" s="7"/>
      <c r="C1941" s="8"/>
      <c r="D1941" s="8"/>
      <c r="E1941" s="60"/>
      <c r="F1941" s="84" t="str">
        <f>IFERROR(VLOOKUP(CONCATENATE($B1941,"_",F$3),materiali!$C:$K,5,0),"")</f>
        <v/>
      </c>
      <c r="G1941" s="85" t="str">
        <f>IFERROR(VLOOKUP(CONCATENATE($B1941,"_",G$3),materiali!$C:$K,6,0),"")</f>
        <v/>
      </c>
      <c r="H1941" s="86"/>
      <c r="I1941" s="84" t="str">
        <f>IFERROR(VLOOKUP(CONCATENATE($B1941,"_",I$3),materiali!$C:$K,5,0),"")</f>
        <v/>
      </c>
      <c r="J1941" s="85" t="str">
        <f>IFERROR(VLOOKUP(CONCATENATE($B1941,"_",J$3),materiali!$C:$K,6,0),"")</f>
        <v/>
      </c>
      <c r="K1941" s="86"/>
      <c r="L1941" s="84" t="str">
        <f>IFERROR(VLOOKUP(CONCATENATE($B1941,"_",L$3),materiali!$C:$K,5,0),"")</f>
        <v/>
      </c>
      <c r="M1941" s="85" t="str">
        <f>IFERROR(VLOOKUP(CONCATENATE($B1941,"_",M$3),materiali!$C:$K,6,0),"")</f>
        <v/>
      </c>
      <c r="N1941" s="86"/>
      <c r="O1941" s="84" t="str">
        <f>IFERROR(VLOOKUP(CONCATENATE($B1941,"_",O$3),materiali!$C:$K,5,0),"")</f>
        <v/>
      </c>
      <c r="P1941" s="85" t="str">
        <f>IFERROR(VLOOKUP(CONCATENATE($B1941,"_",P$3),materiali!$C:$K,6,0),"")</f>
        <v/>
      </c>
      <c r="Q1941" s="86"/>
      <c r="R1941" s="84" t="str">
        <f>IFERROR(VLOOKUP(CONCATENATE($B1941,"_",R$3),materiali!$C:$K,5,0),"")</f>
        <v/>
      </c>
      <c r="S1941" s="85" t="str">
        <f>IFERROR(VLOOKUP(CONCATENATE($B1941,"_",S$3),materiali!$C:$K,6,0),"")</f>
        <v/>
      </c>
      <c r="T1941" s="86"/>
      <c r="U1941" s="31"/>
      <c r="AD1941" s="97"/>
    </row>
    <row r="1942" spans="1:30" ht="35.1" hidden="1" customHeight="1" x14ac:dyDescent="0.25">
      <c r="A1942" s="83"/>
      <c r="B1942" s="7"/>
      <c r="C1942" s="8"/>
      <c r="D1942" s="8"/>
      <c r="E1942" s="60"/>
      <c r="F1942" s="84" t="str">
        <f>IFERROR(VLOOKUP(CONCATENATE($B1942,"_",F$3),materiali!$C:$K,5,0),"")</f>
        <v/>
      </c>
      <c r="G1942" s="85" t="str">
        <f>IFERROR(VLOOKUP(CONCATENATE($B1942,"_",G$3),materiali!$C:$K,6,0),"")</f>
        <v/>
      </c>
      <c r="H1942" s="86"/>
      <c r="I1942" s="84" t="str">
        <f>IFERROR(VLOOKUP(CONCATENATE($B1942,"_",I$3),materiali!$C:$K,5,0),"")</f>
        <v/>
      </c>
      <c r="J1942" s="85" t="str">
        <f>IFERROR(VLOOKUP(CONCATENATE($B1942,"_",J$3),materiali!$C:$K,6,0),"")</f>
        <v/>
      </c>
      <c r="K1942" s="86"/>
      <c r="L1942" s="84" t="str">
        <f>IFERROR(VLOOKUP(CONCATENATE($B1942,"_",L$3),materiali!$C:$K,5,0),"")</f>
        <v/>
      </c>
      <c r="M1942" s="85" t="str">
        <f>IFERROR(VLOOKUP(CONCATENATE($B1942,"_",M$3),materiali!$C:$K,6,0),"")</f>
        <v/>
      </c>
      <c r="N1942" s="86"/>
      <c r="O1942" s="84" t="str">
        <f>IFERROR(VLOOKUP(CONCATENATE($B1942,"_",O$3),materiali!$C:$K,5,0),"")</f>
        <v/>
      </c>
      <c r="P1942" s="85" t="str">
        <f>IFERROR(VLOOKUP(CONCATENATE($B1942,"_",P$3),materiali!$C:$K,6,0),"")</f>
        <v/>
      </c>
      <c r="Q1942" s="86"/>
      <c r="R1942" s="84" t="str">
        <f>IFERROR(VLOOKUP(CONCATENATE($B1942,"_",R$3),materiali!$C:$K,5,0),"")</f>
        <v/>
      </c>
      <c r="S1942" s="85" t="str">
        <f>IFERROR(VLOOKUP(CONCATENATE($B1942,"_",S$3),materiali!$C:$K,6,0),"")</f>
        <v/>
      </c>
      <c r="T1942" s="86"/>
      <c r="U1942" s="31"/>
      <c r="AD1942" s="97"/>
    </row>
    <row r="1943" spans="1:30" ht="35.1" hidden="1" customHeight="1" x14ac:dyDescent="0.25">
      <c r="A1943" s="83"/>
      <c r="B1943" s="7"/>
      <c r="C1943" s="8"/>
      <c r="D1943" s="8"/>
      <c r="E1943" s="60"/>
      <c r="F1943" s="84" t="str">
        <f>IFERROR(VLOOKUP(CONCATENATE($B1943,"_",F$3),materiali!$C:$K,5,0),"")</f>
        <v/>
      </c>
      <c r="G1943" s="85" t="str">
        <f>IFERROR(VLOOKUP(CONCATENATE($B1943,"_",G$3),materiali!$C:$K,6,0),"")</f>
        <v/>
      </c>
      <c r="H1943" s="86"/>
      <c r="I1943" s="84" t="str">
        <f>IFERROR(VLOOKUP(CONCATENATE($B1943,"_",I$3),materiali!$C:$K,5,0),"")</f>
        <v/>
      </c>
      <c r="J1943" s="85" t="str">
        <f>IFERROR(VLOOKUP(CONCATENATE($B1943,"_",J$3),materiali!$C:$K,6,0),"")</f>
        <v/>
      </c>
      <c r="K1943" s="86"/>
      <c r="L1943" s="84" t="str">
        <f>IFERROR(VLOOKUP(CONCATENATE($B1943,"_",L$3),materiali!$C:$K,5,0),"")</f>
        <v/>
      </c>
      <c r="M1943" s="85" t="str">
        <f>IFERROR(VLOOKUP(CONCATENATE($B1943,"_",M$3),materiali!$C:$K,6,0),"")</f>
        <v/>
      </c>
      <c r="N1943" s="86"/>
      <c r="O1943" s="84" t="str">
        <f>IFERROR(VLOOKUP(CONCATENATE($B1943,"_",O$3),materiali!$C:$K,5,0),"")</f>
        <v/>
      </c>
      <c r="P1943" s="85" t="str">
        <f>IFERROR(VLOOKUP(CONCATENATE($B1943,"_",P$3),materiali!$C:$K,6,0),"")</f>
        <v/>
      </c>
      <c r="Q1943" s="86"/>
      <c r="R1943" s="84" t="str">
        <f>IFERROR(VLOOKUP(CONCATENATE($B1943,"_",R$3),materiali!$C:$K,5,0),"")</f>
        <v/>
      </c>
      <c r="S1943" s="85" t="str">
        <f>IFERROR(VLOOKUP(CONCATENATE($B1943,"_",S$3),materiali!$C:$K,6,0),"")</f>
        <v/>
      </c>
      <c r="T1943" s="86"/>
      <c r="U1943" s="31"/>
      <c r="AD1943" s="97"/>
    </row>
    <row r="1944" spans="1:30" ht="35.1" hidden="1" customHeight="1" x14ac:dyDescent="0.25">
      <c r="A1944" s="83"/>
      <c r="B1944" s="7"/>
      <c r="C1944" s="8"/>
      <c r="D1944" s="8"/>
      <c r="E1944" s="60"/>
      <c r="F1944" s="84" t="str">
        <f>IFERROR(VLOOKUP(CONCATENATE($B1944,"_",F$3),materiali!$C:$K,5,0),"")</f>
        <v/>
      </c>
      <c r="G1944" s="85" t="str">
        <f>IFERROR(VLOOKUP(CONCATENATE($B1944,"_",G$3),materiali!$C:$K,6,0),"")</f>
        <v/>
      </c>
      <c r="H1944" s="86"/>
      <c r="I1944" s="84" t="str">
        <f>IFERROR(VLOOKUP(CONCATENATE($B1944,"_",I$3),materiali!$C:$K,5,0),"")</f>
        <v/>
      </c>
      <c r="J1944" s="85" t="str">
        <f>IFERROR(VLOOKUP(CONCATENATE($B1944,"_",J$3),materiali!$C:$K,6,0),"")</f>
        <v/>
      </c>
      <c r="K1944" s="86"/>
      <c r="L1944" s="84" t="str">
        <f>IFERROR(VLOOKUP(CONCATENATE($B1944,"_",L$3),materiali!$C:$K,5,0),"")</f>
        <v/>
      </c>
      <c r="M1944" s="85" t="str">
        <f>IFERROR(VLOOKUP(CONCATENATE($B1944,"_",M$3),materiali!$C:$K,6,0),"")</f>
        <v/>
      </c>
      <c r="N1944" s="86"/>
      <c r="O1944" s="84" t="str">
        <f>IFERROR(VLOOKUP(CONCATENATE($B1944,"_",O$3),materiali!$C:$K,5,0),"")</f>
        <v/>
      </c>
      <c r="P1944" s="85" t="str">
        <f>IFERROR(VLOOKUP(CONCATENATE($B1944,"_",P$3),materiali!$C:$K,6,0),"")</f>
        <v/>
      </c>
      <c r="Q1944" s="86"/>
      <c r="R1944" s="84" t="str">
        <f>IFERROR(VLOOKUP(CONCATENATE($B1944,"_",R$3),materiali!$C:$K,5,0),"")</f>
        <v/>
      </c>
      <c r="S1944" s="85" t="str">
        <f>IFERROR(VLOOKUP(CONCATENATE($B1944,"_",S$3),materiali!$C:$K,6,0),"")</f>
        <v/>
      </c>
      <c r="T1944" s="86"/>
      <c r="U1944" s="31"/>
      <c r="AD1944" s="97"/>
    </row>
    <row r="1945" spans="1:30" ht="35.1" hidden="1" customHeight="1" x14ac:dyDescent="0.25">
      <c r="A1945" s="83"/>
      <c r="B1945" s="7"/>
      <c r="C1945" s="8"/>
      <c r="D1945" s="8"/>
      <c r="E1945" s="60"/>
      <c r="F1945" s="84" t="str">
        <f>IFERROR(VLOOKUP(CONCATENATE($B1945,"_",F$3),materiali!$C:$K,5,0),"")</f>
        <v/>
      </c>
      <c r="G1945" s="85" t="str">
        <f>IFERROR(VLOOKUP(CONCATENATE($B1945,"_",G$3),materiali!$C:$K,6,0),"")</f>
        <v/>
      </c>
      <c r="H1945" s="86"/>
      <c r="I1945" s="84" t="str">
        <f>IFERROR(VLOOKUP(CONCATENATE($B1945,"_",I$3),materiali!$C:$K,5,0),"")</f>
        <v/>
      </c>
      <c r="J1945" s="85" t="str">
        <f>IFERROR(VLOOKUP(CONCATENATE($B1945,"_",J$3),materiali!$C:$K,6,0),"")</f>
        <v/>
      </c>
      <c r="K1945" s="86"/>
      <c r="L1945" s="84" t="str">
        <f>IFERROR(VLOOKUP(CONCATENATE($B1945,"_",L$3),materiali!$C:$K,5,0),"")</f>
        <v/>
      </c>
      <c r="M1945" s="85" t="str">
        <f>IFERROR(VLOOKUP(CONCATENATE($B1945,"_",M$3),materiali!$C:$K,6,0),"")</f>
        <v/>
      </c>
      <c r="N1945" s="86"/>
      <c r="O1945" s="84" t="str">
        <f>IFERROR(VLOOKUP(CONCATENATE($B1945,"_",O$3),materiali!$C:$K,5,0),"")</f>
        <v/>
      </c>
      <c r="P1945" s="85" t="str">
        <f>IFERROR(VLOOKUP(CONCATENATE($B1945,"_",P$3),materiali!$C:$K,6,0),"")</f>
        <v/>
      </c>
      <c r="Q1945" s="86"/>
      <c r="R1945" s="84" t="str">
        <f>IFERROR(VLOOKUP(CONCATENATE($B1945,"_",R$3),materiali!$C:$K,5,0),"")</f>
        <v/>
      </c>
      <c r="S1945" s="85" t="str">
        <f>IFERROR(VLOOKUP(CONCATENATE($B1945,"_",S$3),materiali!$C:$K,6,0),"")</f>
        <v/>
      </c>
      <c r="T1945" s="86"/>
      <c r="U1945" s="31"/>
      <c r="AD1945" s="97"/>
    </row>
    <row r="1946" spans="1:30" ht="35.1" hidden="1" customHeight="1" x14ac:dyDescent="0.25">
      <c r="A1946" s="83"/>
      <c r="B1946" s="7"/>
      <c r="C1946" s="8"/>
      <c r="D1946" s="8"/>
      <c r="E1946" s="60"/>
      <c r="F1946" s="84" t="str">
        <f>IFERROR(VLOOKUP(CONCATENATE($B1946,"_",F$3),materiali!$C:$K,5,0),"")</f>
        <v/>
      </c>
      <c r="G1946" s="85" t="str">
        <f>IFERROR(VLOOKUP(CONCATENATE($B1946,"_",G$3),materiali!$C:$K,6,0),"")</f>
        <v/>
      </c>
      <c r="H1946" s="86"/>
      <c r="I1946" s="84" t="str">
        <f>IFERROR(VLOOKUP(CONCATENATE($B1946,"_",I$3),materiali!$C:$K,5,0),"")</f>
        <v/>
      </c>
      <c r="J1946" s="85" t="str">
        <f>IFERROR(VLOOKUP(CONCATENATE($B1946,"_",J$3),materiali!$C:$K,6,0),"")</f>
        <v/>
      </c>
      <c r="K1946" s="86"/>
      <c r="L1946" s="84" t="str">
        <f>IFERROR(VLOOKUP(CONCATENATE($B1946,"_",L$3),materiali!$C:$K,5,0),"")</f>
        <v/>
      </c>
      <c r="M1946" s="85" t="str">
        <f>IFERROR(VLOOKUP(CONCATENATE($B1946,"_",M$3),materiali!$C:$K,6,0),"")</f>
        <v/>
      </c>
      <c r="N1946" s="86"/>
      <c r="O1946" s="84" t="str">
        <f>IFERROR(VLOOKUP(CONCATENATE($B1946,"_",O$3),materiali!$C:$K,5,0),"")</f>
        <v/>
      </c>
      <c r="P1946" s="85" t="str">
        <f>IFERROR(VLOOKUP(CONCATENATE($B1946,"_",P$3),materiali!$C:$K,6,0),"")</f>
        <v/>
      </c>
      <c r="Q1946" s="86"/>
      <c r="R1946" s="84" t="str">
        <f>IFERROR(VLOOKUP(CONCATENATE($B1946,"_",R$3),materiali!$C:$K,5,0),"")</f>
        <v/>
      </c>
      <c r="S1946" s="85" t="str">
        <f>IFERROR(VLOOKUP(CONCATENATE($B1946,"_",S$3),materiali!$C:$K,6,0),"")</f>
        <v/>
      </c>
      <c r="T1946" s="86"/>
      <c r="U1946" s="31"/>
      <c r="AD1946" s="97"/>
    </row>
    <row r="1947" spans="1:30" ht="35.1" hidden="1" customHeight="1" x14ac:dyDescent="0.25">
      <c r="A1947" s="83"/>
      <c r="B1947" s="7"/>
      <c r="C1947" s="8"/>
      <c r="D1947" s="8"/>
      <c r="E1947" s="60"/>
      <c r="F1947" s="84" t="str">
        <f>IFERROR(VLOOKUP(CONCATENATE($B1947,"_",F$3),materiali!$C:$K,5,0),"")</f>
        <v/>
      </c>
      <c r="G1947" s="85" t="str">
        <f>IFERROR(VLOOKUP(CONCATENATE($B1947,"_",G$3),materiali!$C:$K,6,0),"")</f>
        <v/>
      </c>
      <c r="H1947" s="86"/>
      <c r="I1947" s="84" t="str">
        <f>IFERROR(VLOOKUP(CONCATENATE($B1947,"_",I$3),materiali!$C:$K,5,0),"")</f>
        <v/>
      </c>
      <c r="J1947" s="85" t="str">
        <f>IFERROR(VLOOKUP(CONCATENATE($B1947,"_",J$3),materiali!$C:$K,6,0),"")</f>
        <v/>
      </c>
      <c r="K1947" s="86"/>
      <c r="L1947" s="84" t="str">
        <f>IFERROR(VLOOKUP(CONCATENATE($B1947,"_",L$3),materiali!$C:$K,5,0),"")</f>
        <v/>
      </c>
      <c r="M1947" s="85" t="str">
        <f>IFERROR(VLOOKUP(CONCATENATE($B1947,"_",M$3),materiali!$C:$K,6,0),"")</f>
        <v/>
      </c>
      <c r="N1947" s="86"/>
      <c r="O1947" s="84" t="str">
        <f>IFERROR(VLOOKUP(CONCATENATE($B1947,"_",O$3),materiali!$C:$K,5,0),"")</f>
        <v/>
      </c>
      <c r="P1947" s="85" t="str">
        <f>IFERROR(VLOOKUP(CONCATENATE($B1947,"_",P$3),materiali!$C:$K,6,0),"")</f>
        <v/>
      </c>
      <c r="Q1947" s="86"/>
      <c r="R1947" s="84" t="str">
        <f>IFERROR(VLOOKUP(CONCATENATE($B1947,"_",R$3),materiali!$C:$K,5,0),"")</f>
        <v/>
      </c>
      <c r="S1947" s="85" t="str">
        <f>IFERROR(VLOOKUP(CONCATENATE($B1947,"_",S$3),materiali!$C:$K,6,0),"")</f>
        <v/>
      </c>
      <c r="T1947" s="86"/>
      <c r="U1947" s="31"/>
      <c r="AD1947" s="97"/>
    </row>
    <row r="1948" spans="1:30" ht="35.1" hidden="1" customHeight="1" x14ac:dyDescent="0.25">
      <c r="A1948" s="83"/>
      <c r="B1948" s="7"/>
      <c r="C1948" s="8"/>
      <c r="D1948" s="8"/>
      <c r="E1948" s="60"/>
      <c r="F1948" s="84" t="str">
        <f>IFERROR(VLOOKUP(CONCATENATE($B1948,"_",F$3),materiali!$C:$K,5,0),"")</f>
        <v/>
      </c>
      <c r="G1948" s="85" t="str">
        <f>IFERROR(VLOOKUP(CONCATENATE($B1948,"_",G$3),materiali!$C:$K,6,0),"")</f>
        <v/>
      </c>
      <c r="H1948" s="86"/>
      <c r="I1948" s="84" t="str">
        <f>IFERROR(VLOOKUP(CONCATENATE($B1948,"_",I$3),materiali!$C:$K,5,0),"")</f>
        <v/>
      </c>
      <c r="J1948" s="85" t="str">
        <f>IFERROR(VLOOKUP(CONCATENATE($B1948,"_",J$3),materiali!$C:$K,6,0),"")</f>
        <v/>
      </c>
      <c r="K1948" s="86"/>
      <c r="L1948" s="84" t="str">
        <f>IFERROR(VLOOKUP(CONCATENATE($B1948,"_",L$3),materiali!$C:$K,5,0),"")</f>
        <v/>
      </c>
      <c r="M1948" s="85" t="str">
        <f>IFERROR(VLOOKUP(CONCATENATE($B1948,"_",M$3),materiali!$C:$K,6,0),"")</f>
        <v/>
      </c>
      <c r="N1948" s="86"/>
      <c r="O1948" s="84" t="str">
        <f>IFERROR(VLOOKUP(CONCATENATE($B1948,"_",O$3),materiali!$C:$K,5,0),"")</f>
        <v/>
      </c>
      <c r="P1948" s="85" t="str">
        <f>IFERROR(VLOOKUP(CONCATENATE($B1948,"_",P$3),materiali!$C:$K,6,0),"")</f>
        <v/>
      </c>
      <c r="Q1948" s="86"/>
      <c r="R1948" s="84" t="str">
        <f>IFERROR(VLOOKUP(CONCATENATE($B1948,"_",R$3),materiali!$C:$K,5,0),"")</f>
        <v/>
      </c>
      <c r="S1948" s="85" t="str">
        <f>IFERROR(VLOOKUP(CONCATENATE($B1948,"_",S$3),materiali!$C:$K,6,0),"")</f>
        <v/>
      </c>
      <c r="T1948" s="86"/>
      <c r="U1948" s="31"/>
      <c r="AD1948" s="97"/>
    </row>
    <row r="1949" spans="1:30" ht="35.1" hidden="1" customHeight="1" x14ac:dyDescent="0.25">
      <c r="A1949" s="83"/>
      <c r="B1949" s="7"/>
      <c r="C1949" s="8"/>
      <c r="D1949" s="8"/>
      <c r="E1949" s="60"/>
      <c r="F1949" s="84" t="str">
        <f>IFERROR(VLOOKUP(CONCATENATE($B1949,"_",F$3),materiali!$C:$K,5,0),"")</f>
        <v/>
      </c>
      <c r="G1949" s="85" t="str">
        <f>IFERROR(VLOOKUP(CONCATENATE($B1949,"_",G$3),materiali!$C:$K,6,0),"")</f>
        <v/>
      </c>
      <c r="H1949" s="86"/>
      <c r="I1949" s="84" t="str">
        <f>IFERROR(VLOOKUP(CONCATENATE($B1949,"_",I$3),materiali!$C:$K,5,0),"")</f>
        <v/>
      </c>
      <c r="J1949" s="85" t="str">
        <f>IFERROR(VLOOKUP(CONCATENATE($B1949,"_",J$3),materiali!$C:$K,6,0),"")</f>
        <v/>
      </c>
      <c r="K1949" s="86"/>
      <c r="L1949" s="84" t="str">
        <f>IFERROR(VLOOKUP(CONCATENATE($B1949,"_",L$3),materiali!$C:$K,5,0),"")</f>
        <v/>
      </c>
      <c r="M1949" s="85" t="str">
        <f>IFERROR(VLOOKUP(CONCATENATE($B1949,"_",M$3),materiali!$C:$K,6,0),"")</f>
        <v/>
      </c>
      <c r="N1949" s="86"/>
      <c r="O1949" s="84" t="str">
        <f>IFERROR(VLOOKUP(CONCATENATE($B1949,"_",O$3),materiali!$C:$K,5,0),"")</f>
        <v/>
      </c>
      <c r="P1949" s="85" t="str">
        <f>IFERROR(VLOOKUP(CONCATENATE($B1949,"_",P$3),materiali!$C:$K,6,0),"")</f>
        <v/>
      </c>
      <c r="Q1949" s="86"/>
      <c r="R1949" s="84" t="str">
        <f>IFERROR(VLOOKUP(CONCATENATE($B1949,"_",R$3),materiali!$C:$K,5,0),"")</f>
        <v/>
      </c>
      <c r="S1949" s="85" t="str">
        <f>IFERROR(VLOOKUP(CONCATENATE($B1949,"_",S$3),materiali!$C:$K,6,0),"")</f>
        <v/>
      </c>
      <c r="T1949" s="86"/>
      <c r="U1949" s="31"/>
      <c r="AD1949" s="97"/>
    </row>
    <row r="1950" spans="1:30" ht="35.1" hidden="1" customHeight="1" x14ac:dyDescent="0.25">
      <c r="A1950" s="83"/>
      <c r="B1950" s="7"/>
      <c r="C1950" s="8"/>
      <c r="D1950" s="8"/>
      <c r="E1950" s="60"/>
      <c r="F1950" s="84" t="str">
        <f>IFERROR(VLOOKUP(CONCATENATE($B1950,"_",F$3),materiali!$C:$K,5,0),"")</f>
        <v/>
      </c>
      <c r="G1950" s="85" t="str">
        <f>IFERROR(VLOOKUP(CONCATENATE($B1950,"_",G$3),materiali!$C:$K,6,0),"")</f>
        <v/>
      </c>
      <c r="H1950" s="86"/>
      <c r="I1950" s="84" t="str">
        <f>IFERROR(VLOOKUP(CONCATENATE($B1950,"_",I$3),materiali!$C:$K,5,0),"")</f>
        <v/>
      </c>
      <c r="J1950" s="85" t="str">
        <f>IFERROR(VLOOKUP(CONCATENATE($B1950,"_",J$3),materiali!$C:$K,6,0),"")</f>
        <v/>
      </c>
      <c r="K1950" s="86"/>
      <c r="L1950" s="84" t="str">
        <f>IFERROR(VLOOKUP(CONCATENATE($B1950,"_",L$3),materiali!$C:$K,5,0),"")</f>
        <v/>
      </c>
      <c r="M1950" s="85" t="str">
        <f>IFERROR(VLOOKUP(CONCATENATE($B1950,"_",M$3),materiali!$C:$K,6,0),"")</f>
        <v/>
      </c>
      <c r="N1950" s="86"/>
      <c r="O1950" s="84" t="str">
        <f>IFERROR(VLOOKUP(CONCATENATE($B1950,"_",O$3),materiali!$C:$K,5,0),"")</f>
        <v/>
      </c>
      <c r="P1950" s="85" t="str">
        <f>IFERROR(VLOOKUP(CONCATENATE($B1950,"_",P$3),materiali!$C:$K,6,0),"")</f>
        <v/>
      </c>
      <c r="Q1950" s="86"/>
      <c r="R1950" s="84" t="str">
        <f>IFERROR(VLOOKUP(CONCATENATE($B1950,"_",R$3),materiali!$C:$K,5,0),"")</f>
        <v/>
      </c>
      <c r="S1950" s="85" t="str">
        <f>IFERROR(VLOOKUP(CONCATENATE($B1950,"_",S$3),materiali!$C:$K,6,0),"")</f>
        <v/>
      </c>
      <c r="T1950" s="86"/>
      <c r="U1950" s="31"/>
      <c r="AD1950" s="97"/>
    </row>
    <row r="1951" spans="1:30" ht="35.1" hidden="1" customHeight="1" x14ac:dyDescent="0.25">
      <c r="A1951" s="83"/>
      <c r="B1951" s="7"/>
      <c r="C1951" s="8"/>
      <c r="D1951" s="8"/>
      <c r="E1951" s="60"/>
      <c r="F1951" s="84" t="str">
        <f>IFERROR(VLOOKUP(CONCATENATE($B1951,"_",F$3),materiali!$C:$K,5,0),"")</f>
        <v/>
      </c>
      <c r="G1951" s="85" t="str">
        <f>IFERROR(VLOOKUP(CONCATENATE($B1951,"_",G$3),materiali!$C:$K,6,0),"")</f>
        <v/>
      </c>
      <c r="H1951" s="86"/>
      <c r="I1951" s="84" t="str">
        <f>IFERROR(VLOOKUP(CONCATENATE($B1951,"_",I$3),materiali!$C:$K,5,0),"")</f>
        <v/>
      </c>
      <c r="J1951" s="85" t="str">
        <f>IFERROR(VLOOKUP(CONCATENATE($B1951,"_",J$3),materiali!$C:$K,6,0),"")</f>
        <v/>
      </c>
      <c r="K1951" s="86"/>
      <c r="L1951" s="84" t="str">
        <f>IFERROR(VLOOKUP(CONCATENATE($B1951,"_",L$3),materiali!$C:$K,5,0),"")</f>
        <v/>
      </c>
      <c r="M1951" s="85" t="str">
        <f>IFERROR(VLOOKUP(CONCATENATE($B1951,"_",M$3),materiali!$C:$K,6,0),"")</f>
        <v/>
      </c>
      <c r="N1951" s="86"/>
      <c r="O1951" s="84" t="str">
        <f>IFERROR(VLOOKUP(CONCATENATE($B1951,"_",O$3),materiali!$C:$K,5,0),"")</f>
        <v/>
      </c>
      <c r="P1951" s="85" t="str">
        <f>IFERROR(VLOOKUP(CONCATENATE($B1951,"_",P$3),materiali!$C:$K,6,0),"")</f>
        <v/>
      </c>
      <c r="Q1951" s="86"/>
      <c r="R1951" s="84" t="str">
        <f>IFERROR(VLOOKUP(CONCATENATE($B1951,"_",R$3),materiali!$C:$K,5,0),"")</f>
        <v/>
      </c>
      <c r="S1951" s="85" t="str">
        <f>IFERROR(VLOOKUP(CONCATENATE($B1951,"_",S$3),materiali!$C:$K,6,0),"")</f>
        <v/>
      </c>
      <c r="T1951" s="86"/>
      <c r="U1951" s="31"/>
      <c r="AD1951" s="97"/>
    </row>
    <row r="1952" spans="1:30" ht="35.1" hidden="1" customHeight="1" x14ac:dyDescent="0.25">
      <c r="A1952" s="83"/>
      <c r="B1952" s="7"/>
      <c r="C1952" s="8"/>
      <c r="D1952" s="8"/>
      <c r="E1952" s="60"/>
      <c r="F1952" s="84" t="str">
        <f>IFERROR(VLOOKUP(CONCATENATE($B1952,"_",F$3),materiali!$C:$K,5,0),"")</f>
        <v/>
      </c>
      <c r="G1952" s="85" t="str">
        <f>IFERROR(VLOOKUP(CONCATENATE($B1952,"_",G$3),materiali!$C:$K,6,0),"")</f>
        <v/>
      </c>
      <c r="H1952" s="86"/>
      <c r="I1952" s="84" t="str">
        <f>IFERROR(VLOOKUP(CONCATENATE($B1952,"_",I$3),materiali!$C:$K,5,0),"")</f>
        <v/>
      </c>
      <c r="J1952" s="85" t="str">
        <f>IFERROR(VLOOKUP(CONCATENATE($B1952,"_",J$3),materiali!$C:$K,6,0),"")</f>
        <v/>
      </c>
      <c r="K1952" s="86"/>
      <c r="L1952" s="84" t="str">
        <f>IFERROR(VLOOKUP(CONCATENATE($B1952,"_",L$3),materiali!$C:$K,5,0),"")</f>
        <v/>
      </c>
      <c r="M1952" s="85" t="str">
        <f>IFERROR(VLOOKUP(CONCATENATE($B1952,"_",M$3),materiali!$C:$K,6,0),"")</f>
        <v/>
      </c>
      <c r="N1952" s="86"/>
      <c r="O1952" s="84" t="str">
        <f>IFERROR(VLOOKUP(CONCATENATE($B1952,"_",O$3),materiali!$C:$K,5,0),"")</f>
        <v/>
      </c>
      <c r="P1952" s="85" t="str">
        <f>IFERROR(VLOOKUP(CONCATENATE($B1952,"_",P$3),materiali!$C:$K,6,0),"")</f>
        <v/>
      </c>
      <c r="Q1952" s="86"/>
      <c r="R1952" s="84" t="str">
        <f>IFERROR(VLOOKUP(CONCATENATE($B1952,"_",R$3),materiali!$C:$K,5,0),"")</f>
        <v/>
      </c>
      <c r="S1952" s="85" t="str">
        <f>IFERROR(VLOOKUP(CONCATENATE($B1952,"_",S$3),materiali!$C:$K,6,0),"")</f>
        <v/>
      </c>
      <c r="T1952" s="86"/>
      <c r="U1952" s="31"/>
      <c r="AD1952" s="97"/>
    </row>
    <row r="1953" spans="1:30" ht="35.1" hidden="1" customHeight="1" x14ac:dyDescent="0.25">
      <c r="A1953" s="83"/>
      <c r="B1953" s="7"/>
      <c r="C1953" s="8"/>
      <c r="D1953" s="8"/>
      <c r="E1953" s="60"/>
      <c r="F1953" s="84" t="str">
        <f>IFERROR(VLOOKUP(CONCATENATE($B1953,"_",F$3),materiali!$C:$K,5,0),"")</f>
        <v/>
      </c>
      <c r="G1953" s="85" t="str">
        <f>IFERROR(VLOOKUP(CONCATENATE($B1953,"_",G$3),materiali!$C:$K,6,0),"")</f>
        <v/>
      </c>
      <c r="H1953" s="86"/>
      <c r="I1953" s="84" t="str">
        <f>IFERROR(VLOOKUP(CONCATENATE($B1953,"_",I$3),materiali!$C:$K,5,0),"")</f>
        <v/>
      </c>
      <c r="J1953" s="85" t="str">
        <f>IFERROR(VLOOKUP(CONCATENATE($B1953,"_",J$3),materiali!$C:$K,6,0),"")</f>
        <v/>
      </c>
      <c r="K1953" s="86"/>
      <c r="L1953" s="84" t="str">
        <f>IFERROR(VLOOKUP(CONCATENATE($B1953,"_",L$3),materiali!$C:$K,5,0),"")</f>
        <v/>
      </c>
      <c r="M1953" s="85" t="str">
        <f>IFERROR(VLOOKUP(CONCATENATE($B1953,"_",M$3),materiali!$C:$K,6,0),"")</f>
        <v/>
      </c>
      <c r="N1953" s="86"/>
      <c r="O1953" s="84" t="str">
        <f>IFERROR(VLOOKUP(CONCATENATE($B1953,"_",O$3),materiali!$C:$K,5,0),"")</f>
        <v/>
      </c>
      <c r="P1953" s="85" t="str">
        <f>IFERROR(VLOOKUP(CONCATENATE($B1953,"_",P$3),materiali!$C:$K,6,0),"")</f>
        <v/>
      </c>
      <c r="Q1953" s="86"/>
      <c r="R1953" s="84" t="str">
        <f>IFERROR(VLOOKUP(CONCATENATE($B1953,"_",R$3),materiali!$C:$K,5,0),"")</f>
        <v/>
      </c>
      <c r="S1953" s="85" t="str">
        <f>IFERROR(VLOOKUP(CONCATENATE($B1953,"_",S$3),materiali!$C:$K,6,0),"")</f>
        <v/>
      </c>
      <c r="T1953" s="86"/>
      <c r="U1953" s="31"/>
      <c r="AD1953" s="97"/>
    </row>
    <row r="1954" spans="1:30" ht="35.1" hidden="1" customHeight="1" x14ac:dyDescent="0.25">
      <c r="A1954" s="83"/>
      <c r="B1954" s="7"/>
      <c r="C1954" s="8"/>
      <c r="D1954" s="8"/>
      <c r="E1954" s="60"/>
      <c r="F1954" s="84" t="str">
        <f>IFERROR(VLOOKUP(CONCATENATE($B1954,"_",F$3),materiali!$C:$K,5,0),"")</f>
        <v/>
      </c>
      <c r="G1954" s="85" t="str">
        <f>IFERROR(VLOOKUP(CONCATENATE($B1954,"_",G$3),materiali!$C:$K,6,0),"")</f>
        <v/>
      </c>
      <c r="H1954" s="86"/>
      <c r="I1954" s="84" t="str">
        <f>IFERROR(VLOOKUP(CONCATENATE($B1954,"_",I$3),materiali!$C:$K,5,0),"")</f>
        <v/>
      </c>
      <c r="J1954" s="85" t="str">
        <f>IFERROR(VLOOKUP(CONCATENATE($B1954,"_",J$3),materiali!$C:$K,6,0),"")</f>
        <v/>
      </c>
      <c r="K1954" s="86"/>
      <c r="L1954" s="84" t="str">
        <f>IFERROR(VLOOKUP(CONCATENATE($B1954,"_",L$3),materiali!$C:$K,5,0),"")</f>
        <v/>
      </c>
      <c r="M1954" s="85" t="str">
        <f>IFERROR(VLOOKUP(CONCATENATE($B1954,"_",M$3),materiali!$C:$K,6,0),"")</f>
        <v/>
      </c>
      <c r="N1954" s="86"/>
      <c r="O1954" s="84" t="str">
        <f>IFERROR(VLOOKUP(CONCATENATE($B1954,"_",O$3),materiali!$C:$K,5,0),"")</f>
        <v/>
      </c>
      <c r="P1954" s="85" t="str">
        <f>IFERROR(VLOOKUP(CONCATENATE($B1954,"_",P$3),materiali!$C:$K,6,0),"")</f>
        <v/>
      </c>
      <c r="Q1954" s="86"/>
      <c r="R1954" s="84" t="str">
        <f>IFERROR(VLOOKUP(CONCATENATE($B1954,"_",R$3),materiali!$C:$K,5,0),"")</f>
        <v/>
      </c>
      <c r="S1954" s="85" t="str">
        <f>IFERROR(VLOOKUP(CONCATENATE($B1954,"_",S$3),materiali!$C:$K,6,0),"")</f>
        <v/>
      </c>
      <c r="T1954" s="86"/>
      <c r="U1954" s="31"/>
      <c r="AD1954" s="97"/>
    </row>
    <row r="1955" spans="1:30" ht="35.1" hidden="1" customHeight="1" x14ac:dyDescent="0.25">
      <c r="A1955" s="83"/>
      <c r="B1955" s="7"/>
      <c r="C1955" s="8"/>
      <c r="D1955" s="8"/>
      <c r="E1955" s="60"/>
      <c r="F1955" s="84" t="str">
        <f>IFERROR(VLOOKUP(CONCATENATE($B1955,"_",F$3),materiali!$C:$K,5,0),"")</f>
        <v/>
      </c>
      <c r="G1955" s="85" t="str">
        <f>IFERROR(VLOOKUP(CONCATENATE($B1955,"_",G$3),materiali!$C:$K,6,0),"")</f>
        <v/>
      </c>
      <c r="H1955" s="86"/>
      <c r="I1955" s="84" t="str">
        <f>IFERROR(VLOOKUP(CONCATENATE($B1955,"_",I$3),materiali!$C:$K,5,0),"")</f>
        <v/>
      </c>
      <c r="J1955" s="85" t="str">
        <f>IFERROR(VLOOKUP(CONCATENATE($B1955,"_",J$3),materiali!$C:$K,6,0),"")</f>
        <v/>
      </c>
      <c r="K1955" s="86"/>
      <c r="L1955" s="84" t="str">
        <f>IFERROR(VLOOKUP(CONCATENATE($B1955,"_",L$3),materiali!$C:$K,5,0),"")</f>
        <v/>
      </c>
      <c r="M1955" s="85" t="str">
        <f>IFERROR(VLOOKUP(CONCATENATE($B1955,"_",M$3),materiali!$C:$K,6,0),"")</f>
        <v/>
      </c>
      <c r="N1955" s="86"/>
      <c r="O1955" s="84" t="str">
        <f>IFERROR(VLOOKUP(CONCATENATE($B1955,"_",O$3),materiali!$C:$K,5,0),"")</f>
        <v/>
      </c>
      <c r="P1955" s="85" t="str">
        <f>IFERROR(VLOOKUP(CONCATENATE($B1955,"_",P$3),materiali!$C:$K,6,0),"")</f>
        <v/>
      </c>
      <c r="Q1955" s="86"/>
      <c r="R1955" s="84" t="str">
        <f>IFERROR(VLOOKUP(CONCATENATE($B1955,"_",R$3),materiali!$C:$K,5,0),"")</f>
        <v/>
      </c>
      <c r="S1955" s="85" t="str">
        <f>IFERROR(VLOOKUP(CONCATENATE($B1955,"_",S$3),materiali!$C:$K,6,0),"")</f>
        <v/>
      </c>
      <c r="T1955" s="86"/>
      <c r="U1955" s="31"/>
      <c r="AD1955" s="97"/>
    </row>
    <row r="1956" spans="1:30" ht="35.1" hidden="1" customHeight="1" x14ac:dyDescent="0.25">
      <c r="A1956" s="83"/>
      <c r="B1956" s="7"/>
      <c r="C1956" s="8"/>
      <c r="D1956" s="8"/>
      <c r="E1956" s="60"/>
      <c r="F1956" s="84" t="str">
        <f>IFERROR(VLOOKUP(CONCATENATE($B1956,"_",F$3),materiali!$C:$K,5,0),"")</f>
        <v/>
      </c>
      <c r="G1956" s="85" t="str">
        <f>IFERROR(VLOOKUP(CONCATENATE($B1956,"_",G$3),materiali!$C:$K,6,0),"")</f>
        <v/>
      </c>
      <c r="H1956" s="86"/>
      <c r="I1956" s="84" t="str">
        <f>IFERROR(VLOOKUP(CONCATENATE($B1956,"_",I$3),materiali!$C:$K,5,0),"")</f>
        <v/>
      </c>
      <c r="J1956" s="85" t="str">
        <f>IFERROR(VLOOKUP(CONCATENATE($B1956,"_",J$3),materiali!$C:$K,6,0),"")</f>
        <v/>
      </c>
      <c r="K1956" s="86"/>
      <c r="L1956" s="84" t="str">
        <f>IFERROR(VLOOKUP(CONCATENATE($B1956,"_",L$3),materiali!$C:$K,5,0),"")</f>
        <v/>
      </c>
      <c r="M1956" s="85" t="str">
        <f>IFERROR(VLOOKUP(CONCATENATE($B1956,"_",M$3),materiali!$C:$K,6,0),"")</f>
        <v/>
      </c>
      <c r="N1956" s="86"/>
      <c r="O1956" s="84" t="str">
        <f>IFERROR(VLOOKUP(CONCATENATE($B1956,"_",O$3),materiali!$C:$K,5,0),"")</f>
        <v/>
      </c>
      <c r="P1956" s="85" t="str">
        <f>IFERROR(VLOOKUP(CONCATENATE($B1956,"_",P$3),materiali!$C:$K,6,0),"")</f>
        <v/>
      </c>
      <c r="Q1956" s="86"/>
      <c r="R1956" s="84" t="str">
        <f>IFERROR(VLOOKUP(CONCATENATE($B1956,"_",R$3),materiali!$C:$K,5,0),"")</f>
        <v/>
      </c>
      <c r="S1956" s="85" t="str">
        <f>IFERROR(VLOOKUP(CONCATENATE($B1956,"_",S$3),materiali!$C:$K,6,0),"")</f>
        <v/>
      </c>
      <c r="T1956" s="86"/>
      <c r="U1956" s="31"/>
      <c r="AD1956" s="97"/>
    </row>
    <row r="1957" spans="1:30" ht="35.1" hidden="1" customHeight="1" x14ac:dyDescent="0.25">
      <c r="A1957" s="83"/>
      <c r="B1957" s="7"/>
      <c r="C1957" s="8"/>
      <c r="D1957" s="8"/>
      <c r="E1957" s="60"/>
      <c r="F1957" s="84" t="str">
        <f>IFERROR(VLOOKUP(CONCATENATE($B1957,"_",F$3),materiali!$C:$K,5,0),"")</f>
        <v/>
      </c>
      <c r="G1957" s="85" t="str">
        <f>IFERROR(VLOOKUP(CONCATENATE($B1957,"_",G$3),materiali!$C:$K,6,0),"")</f>
        <v/>
      </c>
      <c r="H1957" s="86"/>
      <c r="I1957" s="84" t="str">
        <f>IFERROR(VLOOKUP(CONCATENATE($B1957,"_",I$3),materiali!$C:$K,5,0),"")</f>
        <v/>
      </c>
      <c r="J1957" s="85" t="str">
        <f>IFERROR(VLOOKUP(CONCATENATE($B1957,"_",J$3),materiali!$C:$K,6,0),"")</f>
        <v/>
      </c>
      <c r="K1957" s="86"/>
      <c r="L1957" s="84" t="str">
        <f>IFERROR(VLOOKUP(CONCATENATE($B1957,"_",L$3),materiali!$C:$K,5,0),"")</f>
        <v/>
      </c>
      <c r="M1957" s="85" t="str">
        <f>IFERROR(VLOOKUP(CONCATENATE($B1957,"_",M$3),materiali!$C:$K,6,0),"")</f>
        <v/>
      </c>
      <c r="N1957" s="86"/>
      <c r="O1957" s="84" t="str">
        <f>IFERROR(VLOOKUP(CONCATENATE($B1957,"_",O$3),materiali!$C:$K,5,0),"")</f>
        <v/>
      </c>
      <c r="P1957" s="85" t="str">
        <f>IFERROR(VLOOKUP(CONCATENATE($B1957,"_",P$3),materiali!$C:$K,6,0),"")</f>
        <v/>
      </c>
      <c r="Q1957" s="86"/>
      <c r="R1957" s="84" t="str">
        <f>IFERROR(VLOOKUP(CONCATENATE($B1957,"_",R$3),materiali!$C:$K,5,0),"")</f>
        <v/>
      </c>
      <c r="S1957" s="85" t="str">
        <f>IFERROR(VLOOKUP(CONCATENATE($B1957,"_",S$3),materiali!$C:$K,6,0),"")</f>
        <v/>
      </c>
      <c r="T1957" s="86"/>
      <c r="U1957" s="31"/>
      <c r="AD1957" s="97"/>
    </row>
    <row r="1958" spans="1:30" ht="35.1" hidden="1" customHeight="1" x14ac:dyDescent="0.25">
      <c r="A1958" s="83"/>
      <c r="B1958" s="7"/>
      <c r="C1958" s="8"/>
      <c r="D1958" s="8"/>
      <c r="E1958" s="60"/>
      <c r="F1958" s="84" t="str">
        <f>IFERROR(VLOOKUP(CONCATENATE($B1958,"_",F$3),materiali!$C:$K,5,0),"")</f>
        <v/>
      </c>
      <c r="G1958" s="85" t="str">
        <f>IFERROR(VLOOKUP(CONCATENATE($B1958,"_",G$3),materiali!$C:$K,6,0),"")</f>
        <v/>
      </c>
      <c r="H1958" s="86"/>
      <c r="I1958" s="84" t="str">
        <f>IFERROR(VLOOKUP(CONCATENATE($B1958,"_",I$3),materiali!$C:$K,5,0),"")</f>
        <v/>
      </c>
      <c r="J1958" s="85" t="str">
        <f>IFERROR(VLOOKUP(CONCATENATE($B1958,"_",J$3),materiali!$C:$K,6,0),"")</f>
        <v/>
      </c>
      <c r="K1958" s="86"/>
      <c r="L1958" s="84" t="str">
        <f>IFERROR(VLOOKUP(CONCATENATE($B1958,"_",L$3),materiali!$C:$K,5,0),"")</f>
        <v/>
      </c>
      <c r="M1958" s="85" t="str">
        <f>IFERROR(VLOOKUP(CONCATENATE($B1958,"_",M$3),materiali!$C:$K,6,0),"")</f>
        <v/>
      </c>
      <c r="N1958" s="86"/>
      <c r="O1958" s="84" t="str">
        <f>IFERROR(VLOOKUP(CONCATENATE($B1958,"_",O$3),materiali!$C:$K,5,0),"")</f>
        <v/>
      </c>
      <c r="P1958" s="85" t="str">
        <f>IFERROR(VLOOKUP(CONCATENATE($B1958,"_",P$3),materiali!$C:$K,6,0),"")</f>
        <v/>
      </c>
      <c r="Q1958" s="86"/>
      <c r="R1958" s="84" t="str">
        <f>IFERROR(VLOOKUP(CONCATENATE($B1958,"_",R$3),materiali!$C:$K,5,0),"")</f>
        <v/>
      </c>
      <c r="S1958" s="85" t="str">
        <f>IFERROR(VLOOKUP(CONCATENATE($B1958,"_",S$3),materiali!$C:$K,6,0),"")</f>
        <v/>
      </c>
      <c r="T1958" s="86"/>
      <c r="U1958" s="31"/>
      <c r="AD1958" s="97"/>
    </row>
    <row r="1959" spans="1:30" ht="35.1" hidden="1" customHeight="1" x14ac:dyDescent="0.25">
      <c r="A1959" s="83"/>
      <c r="B1959" s="7"/>
      <c r="C1959" s="8"/>
      <c r="D1959" s="8"/>
      <c r="E1959" s="60"/>
      <c r="F1959" s="84" t="str">
        <f>IFERROR(VLOOKUP(CONCATENATE($B1959,"_",F$3),materiali!$C:$K,5,0),"")</f>
        <v/>
      </c>
      <c r="G1959" s="85" t="str">
        <f>IFERROR(VLOOKUP(CONCATENATE($B1959,"_",G$3),materiali!$C:$K,6,0),"")</f>
        <v/>
      </c>
      <c r="H1959" s="86"/>
      <c r="I1959" s="84" t="str">
        <f>IFERROR(VLOOKUP(CONCATENATE($B1959,"_",I$3),materiali!$C:$K,5,0),"")</f>
        <v/>
      </c>
      <c r="J1959" s="85" t="str">
        <f>IFERROR(VLOOKUP(CONCATENATE($B1959,"_",J$3),materiali!$C:$K,6,0),"")</f>
        <v/>
      </c>
      <c r="K1959" s="86"/>
      <c r="L1959" s="84" t="str">
        <f>IFERROR(VLOOKUP(CONCATENATE($B1959,"_",L$3),materiali!$C:$K,5,0),"")</f>
        <v/>
      </c>
      <c r="M1959" s="85" t="str">
        <f>IFERROR(VLOOKUP(CONCATENATE($B1959,"_",M$3),materiali!$C:$K,6,0),"")</f>
        <v/>
      </c>
      <c r="N1959" s="86"/>
      <c r="O1959" s="84" t="str">
        <f>IFERROR(VLOOKUP(CONCATENATE($B1959,"_",O$3),materiali!$C:$K,5,0),"")</f>
        <v/>
      </c>
      <c r="P1959" s="85" t="str">
        <f>IFERROR(VLOOKUP(CONCATENATE($B1959,"_",P$3),materiali!$C:$K,6,0),"")</f>
        <v/>
      </c>
      <c r="Q1959" s="86"/>
      <c r="R1959" s="84" t="str">
        <f>IFERROR(VLOOKUP(CONCATENATE($B1959,"_",R$3),materiali!$C:$K,5,0),"")</f>
        <v/>
      </c>
      <c r="S1959" s="85" t="str">
        <f>IFERROR(VLOOKUP(CONCATENATE($B1959,"_",S$3),materiali!$C:$K,6,0),"")</f>
        <v/>
      </c>
      <c r="T1959" s="86"/>
      <c r="U1959" s="31"/>
      <c r="AD1959" s="97"/>
    </row>
    <row r="1960" spans="1:30" ht="35.1" hidden="1" customHeight="1" x14ac:dyDescent="0.25">
      <c r="A1960" s="83"/>
      <c r="B1960" s="7"/>
      <c r="C1960" s="8"/>
      <c r="D1960" s="8"/>
      <c r="E1960" s="60"/>
      <c r="F1960" s="84" t="str">
        <f>IFERROR(VLOOKUP(CONCATENATE($B1960,"_",F$3),materiali!$C:$K,5,0),"")</f>
        <v/>
      </c>
      <c r="G1960" s="85" t="str">
        <f>IFERROR(VLOOKUP(CONCATENATE($B1960,"_",G$3),materiali!$C:$K,6,0),"")</f>
        <v/>
      </c>
      <c r="H1960" s="86"/>
      <c r="I1960" s="84" t="str">
        <f>IFERROR(VLOOKUP(CONCATENATE($B1960,"_",I$3),materiali!$C:$K,5,0),"")</f>
        <v/>
      </c>
      <c r="J1960" s="85" t="str">
        <f>IFERROR(VLOOKUP(CONCATENATE($B1960,"_",J$3),materiali!$C:$K,6,0),"")</f>
        <v/>
      </c>
      <c r="K1960" s="86"/>
      <c r="L1960" s="84" t="str">
        <f>IFERROR(VLOOKUP(CONCATENATE($B1960,"_",L$3),materiali!$C:$K,5,0),"")</f>
        <v/>
      </c>
      <c r="M1960" s="85" t="str">
        <f>IFERROR(VLOOKUP(CONCATENATE($B1960,"_",M$3),materiali!$C:$K,6,0),"")</f>
        <v/>
      </c>
      <c r="N1960" s="86"/>
      <c r="O1960" s="84" t="str">
        <f>IFERROR(VLOOKUP(CONCATENATE($B1960,"_",O$3),materiali!$C:$K,5,0),"")</f>
        <v/>
      </c>
      <c r="P1960" s="85" t="str">
        <f>IFERROR(VLOOKUP(CONCATENATE($B1960,"_",P$3),materiali!$C:$K,6,0),"")</f>
        <v/>
      </c>
      <c r="Q1960" s="86"/>
      <c r="R1960" s="84" t="str">
        <f>IFERROR(VLOOKUP(CONCATENATE($B1960,"_",R$3),materiali!$C:$K,5,0),"")</f>
        <v/>
      </c>
      <c r="S1960" s="85" t="str">
        <f>IFERROR(VLOOKUP(CONCATENATE($B1960,"_",S$3),materiali!$C:$K,6,0),"")</f>
        <v/>
      </c>
      <c r="T1960" s="86"/>
      <c r="U1960" s="31"/>
      <c r="AD1960" s="97"/>
    </row>
    <row r="1961" spans="1:30" ht="35.1" hidden="1" customHeight="1" x14ac:dyDescent="0.25">
      <c r="A1961" s="83"/>
      <c r="B1961" s="7"/>
      <c r="C1961" s="8"/>
      <c r="D1961" s="8"/>
      <c r="E1961" s="60"/>
      <c r="F1961" s="84" t="str">
        <f>IFERROR(VLOOKUP(CONCATENATE($B1961,"_",F$3),materiali!$C:$K,5,0),"")</f>
        <v/>
      </c>
      <c r="G1961" s="85" t="str">
        <f>IFERROR(VLOOKUP(CONCATENATE($B1961,"_",G$3),materiali!$C:$K,6,0),"")</f>
        <v/>
      </c>
      <c r="H1961" s="86"/>
      <c r="I1961" s="84" t="str">
        <f>IFERROR(VLOOKUP(CONCATENATE($B1961,"_",I$3),materiali!$C:$K,5,0),"")</f>
        <v/>
      </c>
      <c r="J1961" s="85" t="str">
        <f>IFERROR(VLOOKUP(CONCATENATE($B1961,"_",J$3),materiali!$C:$K,6,0),"")</f>
        <v/>
      </c>
      <c r="K1961" s="86"/>
      <c r="L1961" s="84" t="str">
        <f>IFERROR(VLOOKUP(CONCATENATE($B1961,"_",L$3),materiali!$C:$K,5,0),"")</f>
        <v/>
      </c>
      <c r="M1961" s="85" t="str">
        <f>IFERROR(VLOOKUP(CONCATENATE($B1961,"_",M$3),materiali!$C:$K,6,0),"")</f>
        <v/>
      </c>
      <c r="N1961" s="86"/>
      <c r="O1961" s="84" t="str">
        <f>IFERROR(VLOOKUP(CONCATENATE($B1961,"_",O$3),materiali!$C:$K,5,0),"")</f>
        <v/>
      </c>
      <c r="P1961" s="85" t="str">
        <f>IFERROR(VLOOKUP(CONCATENATE($B1961,"_",P$3),materiali!$C:$K,6,0),"")</f>
        <v/>
      </c>
      <c r="Q1961" s="86"/>
      <c r="R1961" s="84" t="str">
        <f>IFERROR(VLOOKUP(CONCATENATE($B1961,"_",R$3),materiali!$C:$K,5,0),"")</f>
        <v/>
      </c>
      <c r="S1961" s="85" t="str">
        <f>IFERROR(VLOOKUP(CONCATENATE($B1961,"_",S$3),materiali!$C:$K,6,0),"")</f>
        <v/>
      </c>
      <c r="T1961" s="86"/>
      <c r="U1961" s="31"/>
      <c r="AD1961" s="97"/>
    </row>
    <row r="1962" spans="1:30" ht="35.1" hidden="1" customHeight="1" x14ac:dyDescent="0.25">
      <c r="A1962" s="83"/>
      <c r="B1962" s="7"/>
      <c r="C1962" s="8"/>
      <c r="D1962" s="8"/>
      <c r="E1962" s="60"/>
      <c r="F1962" s="84" t="str">
        <f>IFERROR(VLOOKUP(CONCATENATE($B1962,"_",F$3),materiali!$C:$K,5,0),"")</f>
        <v/>
      </c>
      <c r="G1962" s="85" t="str">
        <f>IFERROR(VLOOKUP(CONCATENATE($B1962,"_",G$3),materiali!$C:$K,6,0),"")</f>
        <v/>
      </c>
      <c r="H1962" s="86"/>
      <c r="I1962" s="84" t="str">
        <f>IFERROR(VLOOKUP(CONCATENATE($B1962,"_",I$3),materiali!$C:$K,5,0),"")</f>
        <v/>
      </c>
      <c r="J1962" s="85" t="str">
        <f>IFERROR(VLOOKUP(CONCATENATE($B1962,"_",J$3),materiali!$C:$K,6,0),"")</f>
        <v/>
      </c>
      <c r="K1962" s="86"/>
      <c r="L1962" s="84" t="str">
        <f>IFERROR(VLOOKUP(CONCATENATE($B1962,"_",L$3),materiali!$C:$K,5,0),"")</f>
        <v/>
      </c>
      <c r="M1962" s="85" t="str">
        <f>IFERROR(VLOOKUP(CONCATENATE($B1962,"_",M$3),materiali!$C:$K,6,0),"")</f>
        <v/>
      </c>
      <c r="N1962" s="86"/>
      <c r="O1962" s="84" t="str">
        <f>IFERROR(VLOOKUP(CONCATENATE($B1962,"_",O$3),materiali!$C:$K,5,0),"")</f>
        <v/>
      </c>
      <c r="P1962" s="85" t="str">
        <f>IFERROR(VLOOKUP(CONCATENATE($B1962,"_",P$3),materiali!$C:$K,6,0),"")</f>
        <v/>
      </c>
      <c r="Q1962" s="86"/>
      <c r="R1962" s="84" t="str">
        <f>IFERROR(VLOOKUP(CONCATENATE($B1962,"_",R$3),materiali!$C:$K,5,0),"")</f>
        <v/>
      </c>
      <c r="S1962" s="85" t="str">
        <f>IFERROR(VLOOKUP(CONCATENATE($B1962,"_",S$3),materiali!$C:$K,6,0),"")</f>
        <v/>
      </c>
      <c r="T1962" s="86"/>
      <c r="U1962" s="31"/>
      <c r="AD1962" s="97"/>
    </row>
    <row r="1963" spans="1:30" ht="35.1" hidden="1" customHeight="1" x14ac:dyDescent="0.25">
      <c r="A1963" s="83"/>
      <c r="B1963" s="7"/>
      <c r="C1963" s="8"/>
      <c r="D1963" s="8"/>
      <c r="E1963" s="60"/>
      <c r="F1963" s="84" t="str">
        <f>IFERROR(VLOOKUP(CONCATENATE($B1963,"_",F$3),materiali!$C:$K,5,0),"")</f>
        <v/>
      </c>
      <c r="G1963" s="85" t="str">
        <f>IFERROR(VLOOKUP(CONCATENATE($B1963,"_",G$3),materiali!$C:$K,6,0),"")</f>
        <v/>
      </c>
      <c r="H1963" s="86"/>
      <c r="I1963" s="84" t="str">
        <f>IFERROR(VLOOKUP(CONCATENATE($B1963,"_",I$3),materiali!$C:$K,5,0),"")</f>
        <v/>
      </c>
      <c r="J1963" s="85" t="str">
        <f>IFERROR(VLOOKUP(CONCATENATE($B1963,"_",J$3),materiali!$C:$K,6,0),"")</f>
        <v/>
      </c>
      <c r="K1963" s="86"/>
      <c r="L1963" s="84" t="str">
        <f>IFERROR(VLOOKUP(CONCATENATE($B1963,"_",L$3),materiali!$C:$K,5,0),"")</f>
        <v/>
      </c>
      <c r="M1963" s="85" t="str">
        <f>IFERROR(VLOOKUP(CONCATENATE($B1963,"_",M$3),materiali!$C:$K,6,0),"")</f>
        <v/>
      </c>
      <c r="N1963" s="86"/>
      <c r="O1963" s="84" t="str">
        <f>IFERROR(VLOOKUP(CONCATENATE($B1963,"_",O$3),materiali!$C:$K,5,0),"")</f>
        <v/>
      </c>
      <c r="P1963" s="85" t="str">
        <f>IFERROR(VLOOKUP(CONCATENATE($B1963,"_",P$3),materiali!$C:$K,6,0),"")</f>
        <v/>
      </c>
      <c r="Q1963" s="86"/>
      <c r="R1963" s="84" t="str">
        <f>IFERROR(VLOOKUP(CONCATENATE($B1963,"_",R$3),materiali!$C:$K,5,0),"")</f>
        <v/>
      </c>
      <c r="S1963" s="85" t="str">
        <f>IFERROR(VLOOKUP(CONCATENATE($B1963,"_",S$3),materiali!$C:$K,6,0),"")</f>
        <v/>
      </c>
      <c r="T1963" s="86"/>
      <c r="U1963" s="31"/>
      <c r="AD1963" s="97"/>
    </row>
    <row r="1964" spans="1:30" ht="35.1" hidden="1" customHeight="1" x14ac:dyDescent="0.25">
      <c r="A1964" s="83"/>
      <c r="B1964" s="7"/>
      <c r="C1964" s="8"/>
      <c r="D1964" s="8"/>
      <c r="E1964" s="60"/>
      <c r="F1964" s="84" t="str">
        <f>IFERROR(VLOOKUP(CONCATENATE($B1964,"_",F$3),materiali!$C:$K,5,0),"")</f>
        <v/>
      </c>
      <c r="G1964" s="85" t="str">
        <f>IFERROR(VLOOKUP(CONCATENATE($B1964,"_",G$3),materiali!$C:$K,6,0),"")</f>
        <v/>
      </c>
      <c r="H1964" s="86"/>
      <c r="I1964" s="84" t="str">
        <f>IFERROR(VLOOKUP(CONCATENATE($B1964,"_",I$3),materiali!$C:$K,5,0),"")</f>
        <v/>
      </c>
      <c r="J1964" s="85" t="str">
        <f>IFERROR(VLOOKUP(CONCATENATE($B1964,"_",J$3),materiali!$C:$K,6,0),"")</f>
        <v/>
      </c>
      <c r="K1964" s="86"/>
      <c r="L1964" s="84" t="str">
        <f>IFERROR(VLOOKUP(CONCATENATE($B1964,"_",L$3),materiali!$C:$K,5,0),"")</f>
        <v/>
      </c>
      <c r="M1964" s="85" t="str">
        <f>IFERROR(VLOOKUP(CONCATENATE($B1964,"_",M$3),materiali!$C:$K,6,0),"")</f>
        <v/>
      </c>
      <c r="N1964" s="86"/>
      <c r="O1964" s="84" t="str">
        <f>IFERROR(VLOOKUP(CONCATENATE($B1964,"_",O$3),materiali!$C:$K,5,0),"")</f>
        <v/>
      </c>
      <c r="P1964" s="85" t="str">
        <f>IFERROR(VLOOKUP(CONCATENATE($B1964,"_",P$3),materiali!$C:$K,6,0),"")</f>
        <v/>
      </c>
      <c r="Q1964" s="86"/>
      <c r="R1964" s="84" t="str">
        <f>IFERROR(VLOOKUP(CONCATENATE($B1964,"_",R$3),materiali!$C:$K,5,0),"")</f>
        <v/>
      </c>
      <c r="S1964" s="85" t="str">
        <f>IFERROR(VLOOKUP(CONCATENATE($B1964,"_",S$3),materiali!$C:$K,6,0),"")</f>
        <v/>
      </c>
      <c r="T1964" s="86"/>
      <c r="U1964" s="31"/>
      <c r="AD1964" s="97"/>
    </row>
    <row r="1965" spans="1:30" ht="35.1" hidden="1" customHeight="1" x14ac:dyDescent="0.25">
      <c r="A1965" s="83"/>
      <c r="B1965" s="7"/>
      <c r="C1965" s="8"/>
      <c r="D1965" s="8"/>
      <c r="E1965" s="60"/>
      <c r="F1965" s="84" t="str">
        <f>IFERROR(VLOOKUP(CONCATENATE($B1965,"_",F$3),materiali!$C:$K,5,0),"")</f>
        <v/>
      </c>
      <c r="G1965" s="85" t="str">
        <f>IFERROR(VLOOKUP(CONCATENATE($B1965,"_",G$3),materiali!$C:$K,6,0),"")</f>
        <v/>
      </c>
      <c r="H1965" s="86"/>
      <c r="I1965" s="84" t="str">
        <f>IFERROR(VLOOKUP(CONCATENATE($B1965,"_",I$3),materiali!$C:$K,5,0),"")</f>
        <v/>
      </c>
      <c r="J1965" s="85" t="str">
        <f>IFERROR(VLOOKUP(CONCATENATE($B1965,"_",J$3),materiali!$C:$K,6,0),"")</f>
        <v/>
      </c>
      <c r="K1965" s="86"/>
      <c r="L1965" s="84" t="str">
        <f>IFERROR(VLOOKUP(CONCATENATE($B1965,"_",L$3),materiali!$C:$K,5,0),"")</f>
        <v/>
      </c>
      <c r="M1965" s="85" t="str">
        <f>IFERROR(VLOOKUP(CONCATENATE($B1965,"_",M$3),materiali!$C:$K,6,0),"")</f>
        <v/>
      </c>
      <c r="N1965" s="86"/>
      <c r="O1965" s="84" t="str">
        <f>IFERROR(VLOOKUP(CONCATENATE($B1965,"_",O$3),materiali!$C:$K,5,0),"")</f>
        <v/>
      </c>
      <c r="P1965" s="85" t="str">
        <f>IFERROR(VLOOKUP(CONCATENATE($B1965,"_",P$3),materiali!$C:$K,6,0),"")</f>
        <v/>
      </c>
      <c r="Q1965" s="86"/>
      <c r="R1965" s="84" t="str">
        <f>IFERROR(VLOOKUP(CONCATENATE($B1965,"_",R$3),materiali!$C:$K,5,0),"")</f>
        <v/>
      </c>
      <c r="S1965" s="85" t="str">
        <f>IFERROR(VLOOKUP(CONCATENATE($B1965,"_",S$3),materiali!$C:$K,6,0),"")</f>
        <v/>
      </c>
      <c r="T1965" s="86"/>
      <c r="U1965" s="31"/>
      <c r="AD1965" s="97"/>
    </row>
    <row r="1966" spans="1:30" ht="35.1" hidden="1" customHeight="1" x14ac:dyDescent="0.25">
      <c r="A1966" s="83"/>
      <c r="B1966" s="7"/>
      <c r="C1966" s="8"/>
      <c r="D1966" s="8"/>
      <c r="E1966" s="60"/>
      <c r="F1966" s="84" t="str">
        <f>IFERROR(VLOOKUP(CONCATENATE($B1966,"_",F$3),materiali!$C:$K,5,0),"")</f>
        <v/>
      </c>
      <c r="G1966" s="85" t="str">
        <f>IFERROR(VLOOKUP(CONCATENATE($B1966,"_",G$3),materiali!$C:$K,6,0),"")</f>
        <v/>
      </c>
      <c r="H1966" s="86"/>
      <c r="I1966" s="84" t="str">
        <f>IFERROR(VLOOKUP(CONCATENATE($B1966,"_",I$3),materiali!$C:$K,5,0),"")</f>
        <v/>
      </c>
      <c r="J1966" s="85" t="str">
        <f>IFERROR(VLOOKUP(CONCATENATE($B1966,"_",J$3),materiali!$C:$K,6,0),"")</f>
        <v/>
      </c>
      <c r="K1966" s="86"/>
      <c r="L1966" s="84" t="str">
        <f>IFERROR(VLOOKUP(CONCATENATE($B1966,"_",L$3),materiali!$C:$K,5,0),"")</f>
        <v/>
      </c>
      <c r="M1966" s="85" t="str">
        <f>IFERROR(VLOOKUP(CONCATENATE($B1966,"_",M$3),materiali!$C:$K,6,0),"")</f>
        <v/>
      </c>
      <c r="N1966" s="86"/>
      <c r="O1966" s="84" t="str">
        <f>IFERROR(VLOOKUP(CONCATENATE($B1966,"_",O$3),materiali!$C:$K,5,0),"")</f>
        <v/>
      </c>
      <c r="P1966" s="85" t="str">
        <f>IFERROR(VLOOKUP(CONCATENATE($B1966,"_",P$3),materiali!$C:$K,6,0),"")</f>
        <v/>
      </c>
      <c r="Q1966" s="86"/>
      <c r="R1966" s="84" t="str">
        <f>IFERROR(VLOOKUP(CONCATENATE($B1966,"_",R$3),materiali!$C:$K,5,0),"")</f>
        <v/>
      </c>
      <c r="S1966" s="85" t="str">
        <f>IFERROR(VLOOKUP(CONCATENATE($B1966,"_",S$3),materiali!$C:$K,6,0),"")</f>
        <v/>
      </c>
      <c r="T1966" s="86"/>
      <c r="U1966" s="31"/>
      <c r="AD1966" s="97"/>
    </row>
    <row r="1967" spans="1:30" ht="35.1" hidden="1" customHeight="1" x14ac:dyDescent="0.25">
      <c r="A1967" s="83"/>
      <c r="B1967" s="7"/>
      <c r="C1967" s="8"/>
      <c r="D1967" s="8"/>
      <c r="E1967" s="60"/>
      <c r="F1967" s="84" t="str">
        <f>IFERROR(VLOOKUP(CONCATENATE($B1967,"_",F$3),materiali!$C:$K,5,0),"")</f>
        <v/>
      </c>
      <c r="G1967" s="85" t="str">
        <f>IFERROR(VLOOKUP(CONCATENATE($B1967,"_",G$3),materiali!$C:$K,6,0),"")</f>
        <v/>
      </c>
      <c r="H1967" s="86"/>
      <c r="I1967" s="84" t="str">
        <f>IFERROR(VLOOKUP(CONCATENATE($B1967,"_",I$3),materiali!$C:$K,5,0),"")</f>
        <v/>
      </c>
      <c r="J1967" s="85" t="str">
        <f>IFERROR(VLOOKUP(CONCATENATE($B1967,"_",J$3),materiali!$C:$K,6,0),"")</f>
        <v/>
      </c>
      <c r="K1967" s="86"/>
      <c r="L1967" s="84" t="str">
        <f>IFERROR(VLOOKUP(CONCATENATE($B1967,"_",L$3),materiali!$C:$K,5,0),"")</f>
        <v/>
      </c>
      <c r="M1967" s="85" t="str">
        <f>IFERROR(VLOOKUP(CONCATENATE($B1967,"_",M$3),materiali!$C:$K,6,0),"")</f>
        <v/>
      </c>
      <c r="N1967" s="86"/>
      <c r="O1967" s="84" t="str">
        <f>IFERROR(VLOOKUP(CONCATENATE($B1967,"_",O$3),materiali!$C:$K,5,0),"")</f>
        <v/>
      </c>
      <c r="P1967" s="85" t="str">
        <f>IFERROR(VLOOKUP(CONCATENATE($B1967,"_",P$3),materiali!$C:$K,6,0),"")</f>
        <v/>
      </c>
      <c r="Q1967" s="86"/>
      <c r="R1967" s="84" t="str">
        <f>IFERROR(VLOOKUP(CONCATENATE($B1967,"_",R$3),materiali!$C:$K,5,0),"")</f>
        <v/>
      </c>
      <c r="S1967" s="85" t="str">
        <f>IFERROR(VLOOKUP(CONCATENATE($B1967,"_",S$3),materiali!$C:$K,6,0),"")</f>
        <v/>
      </c>
      <c r="T1967" s="86"/>
      <c r="U1967" s="31"/>
      <c r="AD1967" s="97"/>
    </row>
    <row r="1968" spans="1:30" ht="35.1" hidden="1" customHeight="1" x14ac:dyDescent="0.25">
      <c r="A1968" s="83"/>
      <c r="B1968" s="7"/>
      <c r="C1968" s="8"/>
      <c r="D1968" s="8"/>
      <c r="E1968" s="60"/>
      <c r="F1968" s="84" t="str">
        <f>IFERROR(VLOOKUP(CONCATENATE($B1968,"_",F$3),materiali!$C:$K,5,0),"")</f>
        <v/>
      </c>
      <c r="G1968" s="85" t="str">
        <f>IFERROR(VLOOKUP(CONCATENATE($B1968,"_",G$3),materiali!$C:$K,6,0),"")</f>
        <v/>
      </c>
      <c r="H1968" s="86"/>
      <c r="I1968" s="84" t="str">
        <f>IFERROR(VLOOKUP(CONCATENATE($B1968,"_",I$3),materiali!$C:$K,5,0),"")</f>
        <v/>
      </c>
      <c r="J1968" s="85" t="str">
        <f>IFERROR(VLOOKUP(CONCATENATE($B1968,"_",J$3),materiali!$C:$K,6,0),"")</f>
        <v/>
      </c>
      <c r="K1968" s="86"/>
      <c r="L1968" s="84" t="str">
        <f>IFERROR(VLOOKUP(CONCATENATE($B1968,"_",L$3),materiali!$C:$K,5,0),"")</f>
        <v/>
      </c>
      <c r="M1968" s="85" t="str">
        <f>IFERROR(VLOOKUP(CONCATENATE($B1968,"_",M$3),materiali!$C:$K,6,0),"")</f>
        <v/>
      </c>
      <c r="N1968" s="86"/>
      <c r="O1968" s="84" t="str">
        <f>IFERROR(VLOOKUP(CONCATENATE($B1968,"_",O$3),materiali!$C:$K,5,0),"")</f>
        <v/>
      </c>
      <c r="P1968" s="85" t="str">
        <f>IFERROR(VLOOKUP(CONCATENATE($B1968,"_",P$3),materiali!$C:$K,6,0),"")</f>
        <v/>
      </c>
      <c r="Q1968" s="86"/>
      <c r="R1968" s="84" t="str">
        <f>IFERROR(VLOOKUP(CONCATENATE($B1968,"_",R$3),materiali!$C:$K,5,0),"")</f>
        <v/>
      </c>
      <c r="S1968" s="85" t="str">
        <f>IFERROR(VLOOKUP(CONCATENATE($B1968,"_",S$3),materiali!$C:$K,6,0),"")</f>
        <v/>
      </c>
      <c r="T1968" s="86"/>
      <c r="U1968" s="31"/>
      <c r="AD1968" s="97"/>
    </row>
    <row r="1969" spans="1:30" ht="35.1" hidden="1" customHeight="1" x14ac:dyDescent="0.25">
      <c r="A1969" s="83"/>
      <c r="B1969" s="7"/>
      <c r="C1969" s="8"/>
      <c r="D1969" s="8"/>
      <c r="E1969" s="60"/>
      <c r="F1969" s="84" t="str">
        <f>IFERROR(VLOOKUP(CONCATENATE($B1969,"_",F$3),materiali!$C:$K,5,0),"")</f>
        <v/>
      </c>
      <c r="G1969" s="85" t="str">
        <f>IFERROR(VLOOKUP(CONCATENATE($B1969,"_",G$3),materiali!$C:$K,6,0),"")</f>
        <v/>
      </c>
      <c r="H1969" s="86"/>
      <c r="I1969" s="84" t="str">
        <f>IFERROR(VLOOKUP(CONCATENATE($B1969,"_",I$3),materiali!$C:$K,5,0),"")</f>
        <v/>
      </c>
      <c r="J1969" s="85" t="str">
        <f>IFERROR(VLOOKUP(CONCATENATE($B1969,"_",J$3),materiali!$C:$K,6,0),"")</f>
        <v/>
      </c>
      <c r="K1969" s="86"/>
      <c r="L1969" s="84" t="str">
        <f>IFERROR(VLOOKUP(CONCATENATE($B1969,"_",L$3),materiali!$C:$K,5,0),"")</f>
        <v/>
      </c>
      <c r="M1969" s="85" t="str">
        <f>IFERROR(VLOOKUP(CONCATENATE($B1969,"_",M$3),materiali!$C:$K,6,0),"")</f>
        <v/>
      </c>
      <c r="N1969" s="86"/>
      <c r="O1969" s="84" t="str">
        <f>IFERROR(VLOOKUP(CONCATENATE($B1969,"_",O$3),materiali!$C:$K,5,0),"")</f>
        <v/>
      </c>
      <c r="P1969" s="85" t="str">
        <f>IFERROR(VLOOKUP(CONCATENATE($B1969,"_",P$3),materiali!$C:$K,6,0),"")</f>
        <v/>
      </c>
      <c r="Q1969" s="86"/>
      <c r="R1969" s="84" t="str">
        <f>IFERROR(VLOOKUP(CONCATENATE($B1969,"_",R$3),materiali!$C:$K,5,0),"")</f>
        <v/>
      </c>
      <c r="S1969" s="85" t="str">
        <f>IFERROR(VLOOKUP(CONCATENATE($B1969,"_",S$3),materiali!$C:$K,6,0),"")</f>
        <v/>
      </c>
      <c r="T1969" s="86"/>
      <c r="U1969" s="31"/>
      <c r="AD1969" s="97"/>
    </row>
    <row r="1970" spans="1:30" ht="35.1" hidden="1" customHeight="1" x14ac:dyDescent="0.25">
      <c r="A1970" s="83"/>
      <c r="B1970" s="7"/>
      <c r="C1970" s="8"/>
      <c r="D1970" s="8"/>
      <c r="E1970" s="60"/>
      <c r="F1970" s="84" t="str">
        <f>IFERROR(VLOOKUP(CONCATENATE($B1970,"_",F$3),materiali!$C:$K,5,0),"")</f>
        <v/>
      </c>
      <c r="G1970" s="85" t="str">
        <f>IFERROR(VLOOKUP(CONCATENATE($B1970,"_",G$3),materiali!$C:$K,6,0),"")</f>
        <v/>
      </c>
      <c r="H1970" s="86"/>
      <c r="I1970" s="84" t="str">
        <f>IFERROR(VLOOKUP(CONCATENATE($B1970,"_",I$3),materiali!$C:$K,5,0),"")</f>
        <v/>
      </c>
      <c r="J1970" s="85" t="str">
        <f>IFERROR(VLOOKUP(CONCATENATE($B1970,"_",J$3),materiali!$C:$K,6,0),"")</f>
        <v/>
      </c>
      <c r="K1970" s="86"/>
      <c r="L1970" s="84" t="str">
        <f>IFERROR(VLOOKUP(CONCATENATE($B1970,"_",L$3),materiali!$C:$K,5,0),"")</f>
        <v/>
      </c>
      <c r="M1970" s="85" t="str">
        <f>IFERROR(VLOOKUP(CONCATENATE($B1970,"_",M$3),materiali!$C:$K,6,0),"")</f>
        <v/>
      </c>
      <c r="N1970" s="86"/>
      <c r="O1970" s="84" t="str">
        <f>IFERROR(VLOOKUP(CONCATENATE($B1970,"_",O$3),materiali!$C:$K,5,0),"")</f>
        <v/>
      </c>
      <c r="P1970" s="85" t="str">
        <f>IFERROR(VLOOKUP(CONCATENATE($B1970,"_",P$3),materiali!$C:$K,6,0),"")</f>
        <v/>
      </c>
      <c r="Q1970" s="86"/>
      <c r="R1970" s="84" t="str">
        <f>IFERROR(VLOOKUP(CONCATENATE($B1970,"_",R$3),materiali!$C:$K,5,0),"")</f>
        <v/>
      </c>
      <c r="S1970" s="85" t="str">
        <f>IFERROR(VLOOKUP(CONCATENATE($B1970,"_",S$3),materiali!$C:$K,6,0),"")</f>
        <v/>
      </c>
      <c r="T1970" s="86"/>
      <c r="U1970" s="31"/>
      <c r="AD1970" s="97"/>
    </row>
    <row r="1971" spans="1:30" ht="35.1" hidden="1" customHeight="1" x14ac:dyDescent="0.25">
      <c r="A1971" s="83"/>
      <c r="B1971" s="7"/>
      <c r="C1971" s="8"/>
      <c r="D1971" s="8"/>
      <c r="E1971" s="60"/>
      <c r="F1971" s="84" t="str">
        <f>IFERROR(VLOOKUP(CONCATENATE($B1971,"_",F$3),materiali!$C:$K,5,0),"")</f>
        <v/>
      </c>
      <c r="G1971" s="85" t="str">
        <f>IFERROR(VLOOKUP(CONCATENATE($B1971,"_",G$3),materiali!$C:$K,6,0),"")</f>
        <v/>
      </c>
      <c r="H1971" s="86"/>
      <c r="I1971" s="84" t="str">
        <f>IFERROR(VLOOKUP(CONCATENATE($B1971,"_",I$3),materiali!$C:$K,5,0),"")</f>
        <v/>
      </c>
      <c r="J1971" s="85" t="str">
        <f>IFERROR(VLOOKUP(CONCATENATE($B1971,"_",J$3),materiali!$C:$K,6,0),"")</f>
        <v/>
      </c>
      <c r="K1971" s="86"/>
      <c r="L1971" s="84" t="str">
        <f>IFERROR(VLOOKUP(CONCATENATE($B1971,"_",L$3),materiali!$C:$K,5,0),"")</f>
        <v/>
      </c>
      <c r="M1971" s="85" t="str">
        <f>IFERROR(VLOOKUP(CONCATENATE($B1971,"_",M$3),materiali!$C:$K,6,0),"")</f>
        <v/>
      </c>
      <c r="N1971" s="86"/>
      <c r="O1971" s="84" t="str">
        <f>IFERROR(VLOOKUP(CONCATENATE($B1971,"_",O$3),materiali!$C:$K,5,0),"")</f>
        <v/>
      </c>
      <c r="P1971" s="85" t="str">
        <f>IFERROR(VLOOKUP(CONCATENATE($B1971,"_",P$3),materiali!$C:$K,6,0),"")</f>
        <v/>
      </c>
      <c r="Q1971" s="86"/>
      <c r="R1971" s="84" t="str">
        <f>IFERROR(VLOOKUP(CONCATENATE($B1971,"_",R$3),materiali!$C:$K,5,0),"")</f>
        <v/>
      </c>
      <c r="S1971" s="85" t="str">
        <f>IFERROR(VLOOKUP(CONCATENATE($B1971,"_",S$3),materiali!$C:$K,6,0),"")</f>
        <v/>
      </c>
      <c r="T1971" s="86"/>
      <c r="U1971" s="31"/>
      <c r="AD1971" s="97"/>
    </row>
    <row r="1972" spans="1:30" ht="35.1" hidden="1" customHeight="1" x14ac:dyDescent="0.25">
      <c r="A1972" s="83"/>
      <c r="B1972" s="7"/>
      <c r="C1972" s="8"/>
      <c r="D1972" s="8"/>
      <c r="E1972" s="60"/>
      <c r="F1972" s="84" t="str">
        <f>IFERROR(VLOOKUP(CONCATENATE($B1972,"_",F$3),materiali!$C:$K,5,0),"")</f>
        <v/>
      </c>
      <c r="G1972" s="85" t="str">
        <f>IFERROR(VLOOKUP(CONCATENATE($B1972,"_",G$3),materiali!$C:$K,6,0),"")</f>
        <v/>
      </c>
      <c r="H1972" s="86"/>
      <c r="I1972" s="84" t="str">
        <f>IFERROR(VLOOKUP(CONCATENATE($B1972,"_",I$3),materiali!$C:$K,5,0),"")</f>
        <v/>
      </c>
      <c r="J1972" s="85" t="str">
        <f>IFERROR(VLOOKUP(CONCATENATE($B1972,"_",J$3),materiali!$C:$K,6,0),"")</f>
        <v/>
      </c>
      <c r="K1972" s="86"/>
      <c r="L1972" s="84" t="str">
        <f>IFERROR(VLOOKUP(CONCATENATE($B1972,"_",L$3),materiali!$C:$K,5,0),"")</f>
        <v/>
      </c>
      <c r="M1972" s="85" t="str">
        <f>IFERROR(VLOOKUP(CONCATENATE($B1972,"_",M$3),materiali!$C:$K,6,0),"")</f>
        <v/>
      </c>
      <c r="N1972" s="86"/>
      <c r="O1972" s="84" t="str">
        <f>IFERROR(VLOOKUP(CONCATENATE($B1972,"_",O$3),materiali!$C:$K,5,0),"")</f>
        <v/>
      </c>
      <c r="P1972" s="85" t="str">
        <f>IFERROR(VLOOKUP(CONCATENATE($B1972,"_",P$3),materiali!$C:$K,6,0),"")</f>
        <v/>
      </c>
      <c r="Q1972" s="86"/>
      <c r="R1972" s="84" t="str">
        <f>IFERROR(VLOOKUP(CONCATENATE($B1972,"_",R$3),materiali!$C:$K,5,0),"")</f>
        <v/>
      </c>
      <c r="S1972" s="85" t="str">
        <f>IFERROR(VLOOKUP(CONCATENATE($B1972,"_",S$3),materiali!$C:$K,6,0),"")</f>
        <v/>
      </c>
      <c r="T1972" s="86"/>
      <c r="U1972" s="31"/>
      <c r="AD1972" s="97"/>
    </row>
    <row r="1973" spans="1:30" ht="35.1" hidden="1" customHeight="1" x14ac:dyDescent="0.25">
      <c r="A1973" s="83"/>
      <c r="B1973" s="7"/>
      <c r="C1973" s="8"/>
      <c r="D1973" s="8"/>
      <c r="E1973" s="60"/>
      <c r="F1973" s="84" t="str">
        <f>IFERROR(VLOOKUP(CONCATENATE($B1973,"_",F$3),materiali!$C:$K,5,0),"")</f>
        <v/>
      </c>
      <c r="G1973" s="85" t="str">
        <f>IFERROR(VLOOKUP(CONCATENATE($B1973,"_",G$3),materiali!$C:$K,6,0),"")</f>
        <v/>
      </c>
      <c r="H1973" s="86"/>
      <c r="I1973" s="84" t="str">
        <f>IFERROR(VLOOKUP(CONCATENATE($B1973,"_",I$3),materiali!$C:$K,5,0),"")</f>
        <v/>
      </c>
      <c r="J1973" s="85" t="str">
        <f>IFERROR(VLOOKUP(CONCATENATE($B1973,"_",J$3),materiali!$C:$K,6,0),"")</f>
        <v/>
      </c>
      <c r="K1973" s="86"/>
      <c r="L1973" s="84" t="str">
        <f>IFERROR(VLOOKUP(CONCATENATE($B1973,"_",L$3),materiali!$C:$K,5,0),"")</f>
        <v/>
      </c>
      <c r="M1973" s="85" t="str">
        <f>IFERROR(VLOOKUP(CONCATENATE($B1973,"_",M$3),materiali!$C:$K,6,0),"")</f>
        <v/>
      </c>
      <c r="N1973" s="86"/>
      <c r="O1973" s="84" t="str">
        <f>IFERROR(VLOOKUP(CONCATENATE($B1973,"_",O$3),materiali!$C:$K,5,0),"")</f>
        <v/>
      </c>
      <c r="P1973" s="85" t="str">
        <f>IFERROR(VLOOKUP(CONCATENATE($B1973,"_",P$3),materiali!$C:$K,6,0),"")</f>
        <v/>
      </c>
      <c r="Q1973" s="86"/>
      <c r="R1973" s="84" t="str">
        <f>IFERROR(VLOOKUP(CONCATENATE($B1973,"_",R$3),materiali!$C:$K,5,0),"")</f>
        <v/>
      </c>
      <c r="S1973" s="85" t="str">
        <f>IFERROR(VLOOKUP(CONCATENATE($B1973,"_",S$3),materiali!$C:$K,6,0),"")</f>
        <v/>
      </c>
      <c r="T1973" s="86"/>
      <c r="U1973" s="31"/>
      <c r="AD1973" s="97"/>
    </row>
    <row r="1974" spans="1:30" ht="35.1" hidden="1" customHeight="1" x14ac:dyDescent="0.25">
      <c r="A1974" s="83"/>
      <c r="B1974" s="7"/>
      <c r="C1974" s="8"/>
      <c r="D1974" s="8"/>
      <c r="E1974" s="60"/>
      <c r="F1974" s="84" t="str">
        <f>IFERROR(VLOOKUP(CONCATENATE($B1974,"_",F$3),materiali!$C:$K,5,0),"")</f>
        <v/>
      </c>
      <c r="G1974" s="85" t="str">
        <f>IFERROR(VLOOKUP(CONCATENATE($B1974,"_",G$3),materiali!$C:$K,6,0),"")</f>
        <v/>
      </c>
      <c r="H1974" s="86"/>
      <c r="I1974" s="84" t="str">
        <f>IFERROR(VLOOKUP(CONCATENATE($B1974,"_",I$3),materiali!$C:$K,5,0),"")</f>
        <v/>
      </c>
      <c r="J1974" s="85" t="str">
        <f>IFERROR(VLOOKUP(CONCATENATE($B1974,"_",J$3),materiali!$C:$K,6,0),"")</f>
        <v/>
      </c>
      <c r="K1974" s="86"/>
      <c r="L1974" s="84" t="str">
        <f>IFERROR(VLOOKUP(CONCATENATE($B1974,"_",L$3),materiali!$C:$K,5,0),"")</f>
        <v/>
      </c>
      <c r="M1974" s="85" t="str">
        <f>IFERROR(VLOOKUP(CONCATENATE($B1974,"_",M$3),materiali!$C:$K,6,0),"")</f>
        <v/>
      </c>
      <c r="N1974" s="86"/>
      <c r="O1974" s="84" t="str">
        <f>IFERROR(VLOOKUP(CONCATENATE($B1974,"_",O$3),materiali!$C:$K,5,0),"")</f>
        <v/>
      </c>
      <c r="P1974" s="85" t="str">
        <f>IFERROR(VLOOKUP(CONCATENATE($B1974,"_",P$3),materiali!$C:$K,6,0),"")</f>
        <v/>
      </c>
      <c r="Q1974" s="86"/>
      <c r="R1974" s="84" t="str">
        <f>IFERROR(VLOOKUP(CONCATENATE($B1974,"_",R$3),materiali!$C:$K,5,0),"")</f>
        <v/>
      </c>
      <c r="S1974" s="85" t="str">
        <f>IFERROR(VLOOKUP(CONCATENATE($B1974,"_",S$3),materiali!$C:$K,6,0),"")</f>
        <v/>
      </c>
      <c r="T1974" s="86"/>
      <c r="U1974" s="31"/>
      <c r="AD1974" s="97"/>
    </row>
    <row r="1975" spans="1:30" ht="35.1" hidden="1" customHeight="1" x14ac:dyDescent="0.25">
      <c r="A1975" s="83"/>
      <c r="B1975" s="7"/>
      <c r="C1975" s="8"/>
      <c r="D1975" s="8"/>
      <c r="E1975" s="60"/>
      <c r="F1975" s="84" t="str">
        <f>IFERROR(VLOOKUP(CONCATENATE($B1975,"_",F$3),materiali!$C:$K,5,0),"")</f>
        <v/>
      </c>
      <c r="G1975" s="85" t="str">
        <f>IFERROR(VLOOKUP(CONCATENATE($B1975,"_",G$3),materiali!$C:$K,6,0),"")</f>
        <v/>
      </c>
      <c r="H1975" s="86"/>
      <c r="I1975" s="84" t="str">
        <f>IFERROR(VLOOKUP(CONCATENATE($B1975,"_",I$3),materiali!$C:$K,5,0),"")</f>
        <v/>
      </c>
      <c r="J1975" s="85" t="str">
        <f>IFERROR(VLOOKUP(CONCATENATE($B1975,"_",J$3),materiali!$C:$K,6,0),"")</f>
        <v/>
      </c>
      <c r="K1975" s="86"/>
      <c r="L1975" s="84" t="str">
        <f>IFERROR(VLOOKUP(CONCATENATE($B1975,"_",L$3),materiali!$C:$K,5,0),"")</f>
        <v/>
      </c>
      <c r="M1975" s="85" t="str">
        <f>IFERROR(VLOOKUP(CONCATENATE($B1975,"_",M$3),materiali!$C:$K,6,0),"")</f>
        <v/>
      </c>
      <c r="N1975" s="86"/>
      <c r="O1975" s="84" t="str">
        <f>IFERROR(VLOOKUP(CONCATENATE($B1975,"_",O$3),materiali!$C:$K,5,0),"")</f>
        <v/>
      </c>
      <c r="P1975" s="85" t="str">
        <f>IFERROR(VLOOKUP(CONCATENATE($B1975,"_",P$3),materiali!$C:$K,6,0),"")</f>
        <v/>
      </c>
      <c r="Q1975" s="86"/>
      <c r="R1975" s="84" t="str">
        <f>IFERROR(VLOOKUP(CONCATENATE($B1975,"_",R$3),materiali!$C:$K,5,0),"")</f>
        <v/>
      </c>
      <c r="S1975" s="85" t="str">
        <f>IFERROR(VLOOKUP(CONCATENATE($B1975,"_",S$3),materiali!$C:$K,6,0),"")</f>
        <v/>
      </c>
      <c r="T1975" s="86"/>
      <c r="U1975" s="31"/>
      <c r="AD1975" s="97"/>
    </row>
    <row r="1976" spans="1:30" ht="35.1" hidden="1" customHeight="1" x14ac:dyDescent="0.25">
      <c r="A1976" s="83"/>
      <c r="B1976" s="7"/>
      <c r="C1976" s="8"/>
      <c r="D1976" s="8"/>
      <c r="E1976" s="60"/>
      <c r="F1976" s="84" t="str">
        <f>IFERROR(VLOOKUP(CONCATENATE($B1976,"_",F$3),materiali!$C:$K,5,0),"")</f>
        <v/>
      </c>
      <c r="G1976" s="85" t="str">
        <f>IFERROR(VLOOKUP(CONCATENATE($B1976,"_",G$3),materiali!$C:$K,6,0),"")</f>
        <v/>
      </c>
      <c r="H1976" s="86"/>
      <c r="I1976" s="84" t="str">
        <f>IFERROR(VLOOKUP(CONCATENATE($B1976,"_",I$3),materiali!$C:$K,5,0),"")</f>
        <v/>
      </c>
      <c r="J1976" s="85" t="str">
        <f>IFERROR(VLOOKUP(CONCATENATE($B1976,"_",J$3),materiali!$C:$K,6,0),"")</f>
        <v/>
      </c>
      <c r="K1976" s="86"/>
      <c r="L1976" s="84" t="str">
        <f>IFERROR(VLOOKUP(CONCATENATE($B1976,"_",L$3),materiali!$C:$K,5,0),"")</f>
        <v/>
      </c>
      <c r="M1976" s="85" t="str">
        <f>IFERROR(VLOOKUP(CONCATENATE($B1976,"_",M$3),materiali!$C:$K,6,0),"")</f>
        <v/>
      </c>
      <c r="N1976" s="86"/>
      <c r="O1976" s="84" t="str">
        <f>IFERROR(VLOOKUP(CONCATENATE($B1976,"_",O$3),materiali!$C:$K,5,0),"")</f>
        <v/>
      </c>
      <c r="P1976" s="85" t="str">
        <f>IFERROR(VLOOKUP(CONCATENATE($B1976,"_",P$3),materiali!$C:$K,6,0),"")</f>
        <v/>
      </c>
      <c r="Q1976" s="86"/>
      <c r="R1976" s="84" t="str">
        <f>IFERROR(VLOOKUP(CONCATENATE($B1976,"_",R$3),materiali!$C:$K,5,0),"")</f>
        <v/>
      </c>
      <c r="S1976" s="85" t="str">
        <f>IFERROR(VLOOKUP(CONCATENATE($B1976,"_",S$3),materiali!$C:$K,6,0),"")</f>
        <v/>
      </c>
      <c r="T1976" s="86"/>
      <c r="U1976" s="31"/>
      <c r="AD1976" s="97"/>
    </row>
    <row r="1977" spans="1:30" ht="35.1" hidden="1" customHeight="1" x14ac:dyDescent="0.25">
      <c r="A1977" s="83"/>
      <c r="B1977" s="7"/>
      <c r="C1977" s="8"/>
      <c r="D1977" s="8"/>
      <c r="E1977" s="60"/>
      <c r="F1977" s="84" t="str">
        <f>IFERROR(VLOOKUP(CONCATENATE($B1977,"_",F$3),materiali!$C:$K,5,0),"")</f>
        <v/>
      </c>
      <c r="G1977" s="85" t="str">
        <f>IFERROR(VLOOKUP(CONCATENATE($B1977,"_",G$3),materiali!$C:$K,6,0),"")</f>
        <v/>
      </c>
      <c r="H1977" s="86"/>
      <c r="I1977" s="84" t="str">
        <f>IFERROR(VLOOKUP(CONCATENATE($B1977,"_",I$3),materiali!$C:$K,5,0),"")</f>
        <v/>
      </c>
      <c r="J1977" s="85" t="str">
        <f>IFERROR(VLOOKUP(CONCATENATE($B1977,"_",J$3),materiali!$C:$K,6,0),"")</f>
        <v/>
      </c>
      <c r="K1977" s="86"/>
      <c r="L1977" s="84" t="str">
        <f>IFERROR(VLOOKUP(CONCATENATE($B1977,"_",L$3),materiali!$C:$K,5,0),"")</f>
        <v/>
      </c>
      <c r="M1977" s="85" t="str">
        <f>IFERROR(VLOOKUP(CONCATENATE($B1977,"_",M$3),materiali!$C:$K,6,0),"")</f>
        <v/>
      </c>
      <c r="N1977" s="86"/>
      <c r="O1977" s="84" t="str">
        <f>IFERROR(VLOOKUP(CONCATENATE($B1977,"_",O$3),materiali!$C:$K,5,0),"")</f>
        <v/>
      </c>
      <c r="P1977" s="85" t="str">
        <f>IFERROR(VLOOKUP(CONCATENATE($B1977,"_",P$3),materiali!$C:$K,6,0),"")</f>
        <v/>
      </c>
      <c r="Q1977" s="86"/>
      <c r="R1977" s="84" t="str">
        <f>IFERROR(VLOOKUP(CONCATENATE($B1977,"_",R$3),materiali!$C:$K,5,0),"")</f>
        <v/>
      </c>
      <c r="S1977" s="85" t="str">
        <f>IFERROR(VLOOKUP(CONCATENATE($B1977,"_",S$3),materiali!$C:$K,6,0),"")</f>
        <v/>
      </c>
      <c r="T1977" s="86"/>
      <c r="U1977" s="31"/>
      <c r="AD1977" s="97"/>
    </row>
    <row r="1978" spans="1:30" ht="35.1" hidden="1" customHeight="1" x14ac:dyDescent="0.25">
      <c r="A1978" s="83"/>
      <c r="B1978" s="7"/>
      <c r="C1978" s="8"/>
      <c r="D1978" s="8"/>
      <c r="E1978" s="60"/>
      <c r="F1978" s="84" t="str">
        <f>IFERROR(VLOOKUP(CONCATENATE($B1978,"_",F$3),materiali!$C:$K,5,0),"")</f>
        <v/>
      </c>
      <c r="G1978" s="85" t="str">
        <f>IFERROR(VLOOKUP(CONCATENATE($B1978,"_",G$3),materiali!$C:$K,6,0),"")</f>
        <v/>
      </c>
      <c r="H1978" s="86"/>
      <c r="I1978" s="84" t="str">
        <f>IFERROR(VLOOKUP(CONCATENATE($B1978,"_",I$3),materiali!$C:$K,5,0),"")</f>
        <v/>
      </c>
      <c r="J1978" s="85" t="str">
        <f>IFERROR(VLOOKUP(CONCATENATE($B1978,"_",J$3),materiali!$C:$K,6,0),"")</f>
        <v/>
      </c>
      <c r="K1978" s="86"/>
      <c r="L1978" s="84" t="str">
        <f>IFERROR(VLOOKUP(CONCATENATE($B1978,"_",L$3),materiali!$C:$K,5,0),"")</f>
        <v/>
      </c>
      <c r="M1978" s="85" t="str">
        <f>IFERROR(VLOOKUP(CONCATENATE($B1978,"_",M$3),materiali!$C:$K,6,0),"")</f>
        <v/>
      </c>
      <c r="N1978" s="86"/>
      <c r="O1978" s="84" t="str">
        <f>IFERROR(VLOOKUP(CONCATENATE($B1978,"_",O$3),materiali!$C:$K,5,0),"")</f>
        <v/>
      </c>
      <c r="P1978" s="85" t="str">
        <f>IFERROR(VLOOKUP(CONCATENATE($B1978,"_",P$3),materiali!$C:$K,6,0),"")</f>
        <v/>
      </c>
      <c r="Q1978" s="86"/>
      <c r="R1978" s="84" t="str">
        <f>IFERROR(VLOOKUP(CONCATENATE($B1978,"_",R$3),materiali!$C:$K,5,0),"")</f>
        <v/>
      </c>
      <c r="S1978" s="85" t="str">
        <f>IFERROR(VLOOKUP(CONCATENATE($B1978,"_",S$3),materiali!$C:$K,6,0),"")</f>
        <v/>
      </c>
      <c r="T1978" s="86"/>
      <c r="U1978" s="31"/>
      <c r="AD1978" s="97"/>
    </row>
    <row r="1979" spans="1:30" ht="35.1" hidden="1" customHeight="1" x14ac:dyDescent="0.25">
      <c r="A1979" s="83"/>
      <c r="B1979" s="7"/>
      <c r="C1979" s="8"/>
      <c r="D1979" s="8"/>
      <c r="E1979" s="60"/>
      <c r="F1979" s="84" t="str">
        <f>IFERROR(VLOOKUP(CONCATENATE($B1979,"_",F$3),materiali!$C:$K,5,0),"")</f>
        <v/>
      </c>
      <c r="G1979" s="85" t="str">
        <f>IFERROR(VLOOKUP(CONCATENATE($B1979,"_",G$3),materiali!$C:$K,6,0),"")</f>
        <v/>
      </c>
      <c r="H1979" s="86"/>
      <c r="I1979" s="84" t="str">
        <f>IFERROR(VLOOKUP(CONCATENATE($B1979,"_",I$3),materiali!$C:$K,5,0),"")</f>
        <v/>
      </c>
      <c r="J1979" s="85" t="str">
        <f>IFERROR(VLOOKUP(CONCATENATE($B1979,"_",J$3),materiali!$C:$K,6,0),"")</f>
        <v/>
      </c>
      <c r="K1979" s="86"/>
      <c r="L1979" s="84" t="str">
        <f>IFERROR(VLOOKUP(CONCATENATE($B1979,"_",L$3),materiali!$C:$K,5,0),"")</f>
        <v/>
      </c>
      <c r="M1979" s="85" t="str">
        <f>IFERROR(VLOOKUP(CONCATENATE($B1979,"_",M$3),materiali!$C:$K,6,0),"")</f>
        <v/>
      </c>
      <c r="N1979" s="86"/>
      <c r="O1979" s="84" t="str">
        <f>IFERROR(VLOOKUP(CONCATENATE($B1979,"_",O$3),materiali!$C:$K,5,0),"")</f>
        <v/>
      </c>
      <c r="P1979" s="85" t="str">
        <f>IFERROR(VLOOKUP(CONCATENATE($B1979,"_",P$3),materiali!$C:$K,6,0),"")</f>
        <v/>
      </c>
      <c r="Q1979" s="86"/>
      <c r="R1979" s="84" t="str">
        <f>IFERROR(VLOOKUP(CONCATENATE($B1979,"_",R$3),materiali!$C:$K,5,0),"")</f>
        <v/>
      </c>
      <c r="S1979" s="85" t="str">
        <f>IFERROR(VLOOKUP(CONCATENATE($B1979,"_",S$3),materiali!$C:$K,6,0),"")</f>
        <v/>
      </c>
      <c r="T1979" s="86"/>
      <c r="U1979" s="31"/>
      <c r="AD1979" s="97"/>
    </row>
    <row r="1980" spans="1:30" ht="35.1" hidden="1" customHeight="1" x14ac:dyDescent="0.25">
      <c r="A1980" s="83"/>
      <c r="B1980" s="7"/>
      <c r="C1980" s="8"/>
      <c r="D1980" s="8"/>
      <c r="E1980" s="60"/>
      <c r="F1980" s="84" t="str">
        <f>IFERROR(VLOOKUP(CONCATENATE($B1980,"_",F$3),materiali!$C:$K,5,0),"")</f>
        <v/>
      </c>
      <c r="G1980" s="85" t="str">
        <f>IFERROR(VLOOKUP(CONCATENATE($B1980,"_",G$3),materiali!$C:$K,6,0),"")</f>
        <v/>
      </c>
      <c r="H1980" s="86"/>
      <c r="I1980" s="84" t="str">
        <f>IFERROR(VLOOKUP(CONCATENATE($B1980,"_",I$3),materiali!$C:$K,5,0),"")</f>
        <v/>
      </c>
      <c r="J1980" s="85" t="str">
        <f>IFERROR(VLOOKUP(CONCATENATE($B1980,"_",J$3),materiali!$C:$K,6,0),"")</f>
        <v/>
      </c>
      <c r="K1980" s="86"/>
      <c r="L1980" s="84" t="str">
        <f>IFERROR(VLOOKUP(CONCATENATE($B1980,"_",L$3),materiali!$C:$K,5,0),"")</f>
        <v/>
      </c>
      <c r="M1980" s="85" t="str">
        <f>IFERROR(VLOOKUP(CONCATENATE($B1980,"_",M$3),materiali!$C:$K,6,0),"")</f>
        <v/>
      </c>
      <c r="N1980" s="86"/>
      <c r="O1980" s="84" t="str">
        <f>IFERROR(VLOOKUP(CONCATENATE($B1980,"_",O$3),materiali!$C:$K,5,0),"")</f>
        <v/>
      </c>
      <c r="P1980" s="85" t="str">
        <f>IFERROR(VLOOKUP(CONCATENATE($B1980,"_",P$3),materiali!$C:$K,6,0),"")</f>
        <v/>
      </c>
      <c r="Q1980" s="86"/>
      <c r="R1980" s="84" t="str">
        <f>IFERROR(VLOOKUP(CONCATENATE($B1980,"_",R$3),materiali!$C:$K,5,0),"")</f>
        <v/>
      </c>
      <c r="S1980" s="85" t="str">
        <f>IFERROR(VLOOKUP(CONCATENATE($B1980,"_",S$3),materiali!$C:$K,6,0),"")</f>
        <v/>
      </c>
      <c r="T1980" s="86"/>
      <c r="U1980" s="31"/>
      <c r="AD1980" s="97"/>
    </row>
    <row r="1981" spans="1:30" ht="35.1" hidden="1" customHeight="1" x14ac:dyDescent="0.25">
      <c r="A1981" s="83"/>
      <c r="B1981" s="7"/>
      <c r="C1981" s="8"/>
      <c r="D1981" s="8"/>
      <c r="E1981" s="60"/>
      <c r="F1981" s="84" t="str">
        <f>IFERROR(VLOOKUP(CONCATENATE($B1981,"_",F$3),materiali!$C:$K,5,0),"")</f>
        <v/>
      </c>
      <c r="G1981" s="85" t="str">
        <f>IFERROR(VLOOKUP(CONCATENATE($B1981,"_",G$3),materiali!$C:$K,6,0),"")</f>
        <v/>
      </c>
      <c r="H1981" s="86"/>
      <c r="I1981" s="84" t="str">
        <f>IFERROR(VLOOKUP(CONCATENATE($B1981,"_",I$3),materiali!$C:$K,5,0),"")</f>
        <v/>
      </c>
      <c r="J1981" s="85" t="str">
        <f>IFERROR(VLOOKUP(CONCATENATE($B1981,"_",J$3),materiali!$C:$K,6,0),"")</f>
        <v/>
      </c>
      <c r="K1981" s="86"/>
      <c r="L1981" s="84" t="str">
        <f>IFERROR(VLOOKUP(CONCATENATE($B1981,"_",L$3),materiali!$C:$K,5,0),"")</f>
        <v/>
      </c>
      <c r="M1981" s="85" t="str">
        <f>IFERROR(VLOOKUP(CONCATENATE($B1981,"_",M$3),materiali!$C:$K,6,0),"")</f>
        <v/>
      </c>
      <c r="N1981" s="86"/>
      <c r="O1981" s="84" t="str">
        <f>IFERROR(VLOOKUP(CONCATENATE($B1981,"_",O$3),materiali!$C:$K,5,0),"")</f>
        <v/>
      </c>
      <c r="P1981" s="85" t="str">
        <f>IFERROR(VLOOKUP(CONCATENATE($B1981,"_",P$3),materiali!$C:$K,6,0),"")</f>
        <v/>
      </c>
      <c r="Q1981" s="86"/>
      <c r="R1981" s="84" t="str">
        <f>IFERROR(VLOOKUP(CONCATENATE($B1981,"_",R$3),materiali!$C:$K,5,0),"")</f>
        <v/>
      </c>
      <c r="S1981" s="85" t="str">
        <f>IFERROR(VLOOKUP(CONCATENATE($B1981,"_",S$3),materiali!$C:$K,6,0),"")</f>
        <v/>
      </c>
      <c r="T1981" s="86"/>
      <c r="U1981" s="31"/>
      <c r="AD1981" s="97"/>
    </row>
    <row r="1982" spans="1:30" ht="35.1" hidden="1" customHeight="1" x14ac:dyDescent="0.25">
      <c r="A1982" s="83"/>
      <c r="B1982" s="7"/>
      <c r="C1982" s="8"/>
      <c r="D1982" s="8"/>
      <c r="E1982" s="60"/>
      <c r="F1982" s="84" t="str">
        <f>IFERROR(VLOOKUP(CONCATENATE($B1982,"_",F$3),materiali!$C:$K,5,0),"")</f>
        <v/>
      </c>
      <c r="G1982" s="85" t="str">
        <f>IFERROR(VLOOKUP(CONCATENATE($B1982,"_",G$3),materiali!$C:$K,6,0),"")</f>
        <v/>
      </c>
      <c r="H1982" s="86"/>
      <c r="I1982" s="84" t="str">
        <f>IFERROR(VLOOKUP(CONCATENATE($B1982,"_",I$3),materiali!$C:$K,5,0),"")</f>
        <v/>
      </c>
      <c r="J1982" s="85" t="str">
        <f>IFERROR(VLOOKUP(CONCATENATE($B1982,"_",J$3),materiali!$C:$K,6,0),"")</f>
        <v/>
      </c>
      <c r="K1982" s="86"/>
      <c r="L1982" s="84" t="str">
        <f>IFERROR(VLOOKUP(CONCATENATE($B1982,"_",L$3),materiali!$C:$K,5,0),"")</f>
        <v/>
      </c>
      <c r="M1982" s="85" t="str">
        <f>IFERROR(VLOOKUP(CONCATENATE($B1982,"_",M$3),materiali!$C:$K,6,0),"")</f>
        <v/>
      </c>
      <c r="N1982" s="86"/>
      <c r="O1982" s="84" t="str">
        <f>IFERROR(VLOOKUP(CONCATENATE($B1982,"_",O$3),materiali!$C:$K,5,0),"")</f>
        <v/>
      </c>
      <c r="P1982" s="85" t="str">
        <f>IFERROR(VLOOKUP(CONCATENATE($B1982,"_",P$3),materiali!$C:$K,6,0),"")</f>
        <v/>
      </c>
      <c r="Q1982" s="86"/>
      <c r="R1982" s="84" t="str">
        <f>IFERROR(VLOOKUP(CONCATENATE($B1982,"_",R$3),materiali!$C:$K,5,0),"")</f>
        <v/>
      </c>
      <c r="S1982" s="85" t="str">
        <f>IFERROR(VLOOKUP(CONCATENATE($B1982,"_",S$3),materiali!$C:$K,6,0),"")</f>
        <v/>
      </c>
      <c r="T1982" s="86"/>
      <c r="U1982" s="31"/>
      <c r="AD1982" s="97"/>
    </row>
    <row r="1983" spans="1:30" ht="35.1" hidden="1" customHeight="1" x14ac:dyDescent="0.25">
      <c r="A1983" s="83"/>
      <c r="B1983" s="7"/>
      <c r="C1983" s="8"/>
      <c r="D1983" s="8"/>
      <c r="E1983" s="60"/>
      <c r="F1983" s="84" t="str">
        <f>IFERROR(VLOOKUP(CONCATENATE($B1983,"_",F$3),materiali!$C:$K,5,0),"")</f>
        <v/>
      </c>
      <c r="G1983" s="85" t="str">
        <f>IFERROR(VLOOKUP(CONCATENATE($B1983,"_",G$3),materiali!$C:$K,6,0),"")</f>
        <v/>
      </c>
      <c r="H1983" s="86"/>
      <c r="I1983" s="84" t="str">
        <f>IFERROR(VLOOKUP(CONCATENATE($B1983,"_",I$3),materiali!$C:$K,5,0),"")</f>
        <v/>
      </c>
      <c r="J1983" s="85" t="str">
        <f>IFERROR(VLOOKUP(CONCATENATE($B1983,"_",J$3),materiali!$C:$K,6,0),"")</f>
        <v/>
      </c>
      <c r="K1983" s="86"/>
      <c r="L1983" s="84" t="str">
        <f>IFERROR(VLOOKUP(CONCATENATE($B1983,"_",L$3),materiali!$C:$K,5,0),"")</f>
        <v/>
      </c>
      <c r="M1983" s="85" t="str">
        <f>IFERROR(VLOOKUP(CONCATENATE($B1983,"_",M$3),materiali!$C:$K,6,0),"")</f>
        <v/>
      </c>
      <c r="N1983" s="86"/>
      <c r="O1983" s="84" t="str">
        <f>IFERROR(VLOOKUP(CONCATENATE($B1983,"_",O$3),materiali!$C:$K,5,0),"")</f>
        <v/>
      </c>
      <c r="P1983" s="85" t="str">
        <f>IFERROR(VLOOKUP(CONCATENATE($B1983,"_",P$3),materiali!$C:$K,6,0),"")</f>
        <v/>
      </c>
      <c r="Q1983" s="86"/>
      <c r="R1983" s="84" t="str">
        <f>IFERROR(VLOOKUP(CONCATENATE($B1983,"_",R$3),materiali!$C:$K,5,0),"")</f>
        <v/>
      </c>
      <c r="S1983" s="85" t="str">
        <f>IFERROR(VLOOKUP(CONCATENATE($B1983,"_",S$3),materiali!$C:$K,6,0),"")</f>
        <v/>
      </c>
      <c r="T1983" s="86"/>
      <c r="U1983" s="31"/>
      <c r="AD1983" s="97"/>
    </row>
    <row r="1984" spans="1:30" ht="35.1" hidden="1" customHeight="1" x14ac:dyDescent="0.25">
      <c r="A1984" s="83"/>
      <c r="B1984" s="7"/>
      <c r="C1984" s="8"/>
      <c r="D1984" s="8"/>
      <c r="E1984" s="60"/>
      <c r="F1984" s="84" t="str">
        <f>IFERROR(VLOOKUP(CONCATENATE($B1984,"_",F$3),materiali!$C:$K,5,0),"")</f>
        <v/>
      </c>
      <c r="G1984" s="85" t="str">
        <f>IFERROR(VLOOKUP(CONCATENATE($B1984,"_",G$3),materiali!$C:$K,6,0),"")</f>
        <v/>
      </c>
      <c r="H1984" s="86"/>
      <c r="I1984" s="84" t="str">
        <f>IFERROR(VLOOKUP(CONCATENATE($B1984,"_",I$3),materiali!$C:$K,5,0),"")</f>
        <v/>
      </c>
      <c r="J1984" s="85" t="str">
        <f>IFERROR(VLOOKUP(CONCATENATE($B1984,"_",J$3),materiali!$C:$K,6,0),"")</f>
        <v/>
      </c>
      <c r="K1984" s="86"/>
      <c r="L1984" s="84" t="str">
        <f>IFERROR(VLOOKUP(CONCATENATE($B1984,"_",L$3),materiali!$C:$K,5,0),"")</f>
        <v/>
      </c>
      <c r="M1984" s="85" t="str">
        <f>IFERROR(VLOOKUP(CONCATENATE($B1984,"_",M$3),materiali!$C:$K,6,0),"")</f>
        <v/>
      </c>
      <c r="N1984" s="86"/>
      <c r="O1984" s="84" t="str">
        <f>IFERROR(VLOOKUP(CONCATENATE($B1984,"_",O$3),materiali!$C:$K,5,0),"")</f>
        <v/>
      </c>
      <c r="P1984" s="85" t="str">
        <f>IFERROR(VLOOKUP(CONCATENATE($B1984,"_",P$3),materiali!$C:$K,6,0),"")</f>
        <v/>
      </c>
      <c r="Q1984" s="86"/>
      <c r="R1984" s="84" t="str">
        <f>IFERROR(VLOOKUP(CONCATENATE($B1984,"_",R$3),materiali!$C:$K,5,0),"")</f>
        <v/>
      </c>
      <c r="S1984" s="85" t="str">
        <f>IFERROR(VLOOKUP(CONCATENATE($B1984,"_",S$3),materiali!$C:$K,6,0),"")</f>
        <v/>
      </c>
      <c r="T1984" s="86"/>
      <c r="U1984" s="31"/>
      <c r="AD1984" s="97"/>
    </row>
    <row r="1985" spans="1:30" ht="35.1" hidden="1" customHeight="1" x14ac:dyDescent="0.25">
      <c r="A1985" s="83"/>
      <c r="B1985" s="7"/>
      <c r="C1985" s="8"/>
      <c r="D1985" s="8"/>
      <c r="E1985" s="60"/>
      <c r="F1985" s="84" t="str">
        <f>IFERROR(VLOOKUP(CONCATENATE($B1985,"_",F$3),materiali!$C:$K,5,0),"")</f>
        <v/>
      </c>
      <c r="G1985" s="85" t="str">
        <f>IFERROR(VLOOKUP(CONCATENATE($B1985,"_",G$3),materiali!$C:$K,6,0),"")</f>
        <v/>
      </c>
      <c r="H1985" s="86"/>
      <c r="I1985" s="84" t="str">
        <f>IFERROR(VLOOKUP(CONCATENATE($B1985,"_",I$3),materiali!$C:$K,5,0),"")</f>
        <v/>
      </c>
      <c r="J1985" s="85" t="str">
        <f>IFERROR(VLOOKUP(CONCATENATE($B1985,"_",J$3),materiali!$C:$K,6,0),"")</f>
        <v/>
      </c>
      <c r="K1985" s="86"/>
      <c r="L1985" s="84" t="str">
        <f>IFERROR(VLOOKUP(CONCATENATE($B1985,"_",L$3),materiali!$C:$K,5,0),"")</f>
        <v/>
      </c>
      <c r="M1985" s="85" t="str">
        <f>IFERROR(VLOOKUP(CONCATENATE($B1985,"_",M$3),materiali!$C:$K,6,0),"")</f>
        <v/>
      </c>
      <c r="N1985" s="86"/>
      <c r="O1985" s="84" t="str">
        <f>IFERROR(VLOOKUP(CONCATENATE($B1985,"_",O$3),materiali!$C:$K,5,0),"")</f>
        <v/>
      </c>
      <c r="P1985" s="85" t="str">
        <f>IFERROR(VLOOKUP(CONCATENATE($B1985,"_",P$3),materiali!$C:$K,6,0),"")</f>
        <v/>
      </c>
      <c r="Q1985" s="86"/>
      <c r="R1985" s="84" t="str">
        <f>IFERROR(VLOOKUP(CONCATENATE($B1985,"_",R$3),materiali!$C:$K,5,0),"")</f>
        <v/>
      </c>
      <c r="S1985" s="85" t="str">
        <f>IFERROR(VLOOKUP(CONCATENATE($B1985,"_",S$3),materiali!$C:$K,6,0),"")</f>
        <v/>
      </c>
      <c r="T1985" s="86"/>
      <c r="U1985" s="31"/>
      <c r="AD1985" s="97"/>
    </row>
    <row r="1986" spans="1:30" ht="35.1" hidden="1" customHeight="1" x14ac:dyDescent="0.25">
      <c r="A1986" s="83"/>
      <c r="B1986" s="7"/>
      <c r="C1986" s="8"/>
      <c r="D1986" s="8"/>
      <c r="E1986" s="60"/>
      <c r="F1986" s="84" t="str">
        <f>IFERROR(VLOOKUP(CONCATENATE($B1986,"_",F$3),materiali!$C:$K,5,0),"")</f>
        <v/>
      </c>
      <c r="G1986" s="85" t="str">
        <f>IFERROR(VLOOKUP(CONCATENATE($B1986,"_",G$3),materiali!$C:$K,6,0),"")</f>
        <v/>
      </c>
      <c r="H1986" s="86"/>
      <c r="I1986" s="84" t="str">
        <f>IFERROR(VLOOKUP(CONCATENATE($B1986,"_",I$3),materiali!$C:$K,5,0),"")</f>
        <v/>
      </c>
      <c r="J1986" s="85" t="str">
        <f>IFERROR(VLOOKUP(CONCATENATE($B1986,"_",J$3),materiali!$C:$K,6,0),"")</f>
        <v/>
      </c>
      <c r="K1986" s="86"/>
      <c r="L1986" s="84" t="str">
        <f>IFERROR(VLOOKUP(CONCATENATE($B1986,"_",L$3),materiali!$C:$K,5,0),"")</f>
        <v/>
      </c>
      <c r="M1986" s="85" t="str">
        <f>IFERROR(VLOOKUP(CONCATENATE($B1986,"_",M$3),materiali!$C:$K,6,0),"")</f>
        <v/>
      </c>
      <c r="N1986" s="86"/>
      <c r="O1986" s="84" t="str">
        <f>IFERROR(VLOOKUP(CONCATENATE($B1986,"_",O$3),materiali!$C:$K,5,0),"")</f>
        <v/>
      </c>
      <c r="P1986" s="85" t="str">
        <f>IFERROR(VLOOKUP(CONCATENATE($B1986,"_",P$3),materiali!$C:$K,6,0),"")</f>
        <v/>
      </c>
      <c r="Q1986" s="86"/>
      <c r="R1986" s="84" t="str">
        <f>IFERROR(VLOOKUP(CONCATENATE($B1986,"_",R$3),materiali!$C:$K,5,0),"")</f>
        <v/>
      </c>
      <c r="S1986" s="85" t="str">
        <f>IFERROR(VLOOKUP(CONCATENATE($B1986,"_",S$3),materiali!$C:$K,6,0),"")</f>
        <v/>
      </c>
      <c r="T1986" s="86"/>
      <c r="U1986" s="31"/>
      <c r="AD1986" s="97"/>
    </row>
    <row r="1987" spans="1:30" ht="35.1" hidden="1" customHeight="1" x14ac:dyDescent="0.25">
      <c r="A1987" s="83"/>
      <c r="B1987" s="7"/>
      <c r="C1987" s="8"/>
      <c r="D1987" s="8"/>
      <c r="E1987" s="60"/>
      <c r="F1987" s="84" t="str">
        <f>IFERROR(VLOOKUP(CONCATENATE($B1987,"_",F$3),materiali!$C:$K,5,0),"")</f>
        <v/>
      </c>
      <c r="G1987" s="85" t="str">
        <f>IFERROR(VLOOKUP(CONCATENATE($B1987,"_",G$3),materiali!$C:$K,6,0),"")</f>
        <v/>
      </c>
      <c r="H1987" s="86"/>
      <c r="I1987" s="84" t="str">
        <f>IFERROR(VLOOKUP(CONCATENATE($B1987,"_",I$3),materiali!$C:$K,5,0),"")</f>
        <v/>
      </c>
      <c r="J1987" s="85" t="str">
        <f>IFERROR(VLOOKUP(CONCATENATE($B1987,"_",J$3),materiali!$C:$K,6,0),"")</f>
        <v/>
      </c>
      <c r="K1987" s="86"/>
      <c r="L1987" s="84" t="str">
        <f>IFERROR(VLOOKUP(CONCATENATE($B1987,"_",L$3),materiali!$C:$K,5,0),"")</f>
        <v/>
      </c>
      <c r="M1987" s="85" t="str">
        <f>IFERROR(VLOOKUP(CONCATENATE($B1987,"_",M$3),materiali!$C:$K,6,0),"")</f>
        <v/>
      </c>
      <c r="N1987" s="86"/>
      <c r="O1987" s="84" t="str">
        <f>IFERROR(VLOOKUP(CONCATENATE($B1987,"_",O$3),materiali!$C:$K,5,0),"")</f>
        <v/>
      </c>
      <c r="P1987" s="85" t="str">
        <f>IFERROR(VLOOKUP(CONCATENATE($B1987,"_",P$3),materiali!$C:$K,6,0),"")</f>
        <v/>
      </c>
      <c r="Q1987" s="86"/>
      <c r="R1987" s="84" t="str">
        <f>IFERROR(VLOOKUP(CONCATENATE($B1987,"_",R$3),materiali!$C:$K,5,0),"")</f>
        <v/>
      </c>
      <c r="S1987" s="85" t="str">
        <f>IFERROR(VLOOKUP(CONCATENATE($B1987,"_",S$3),materiali!$C:$K,6,0),"")</f>
        <v/>
      </c>
      <c r="T1987" s="86"/>
      <c r="U1987" s="31"/>
      <c r="AD1987" s="97"/>
    </row>
    <row r="1988" spans="1:30" ht="35.1" hidden="1" customHeight="1" x14ac:dyDescent="0.25">
      <c r="A1988" s="83"/>
      <c r="B1988" s="7"/>
      <c r="C1988" s="8"/>
      <c r="D1988" s="8"/>
      <c r="E1988" s="60"/>
      <c r="F1988" s="84" t="str">
        <f>IFERROR(VLOOKUP(CONCATENATE($B1988,"_",F$3),materiali!$C:$K,5,0),"")</f>
        <v/>
      </c>
      <c r="G1988" s="85" t="str">
        <f>IFERROR(VLOOKUP(CONCATENATE($B1988,"_",G$3),materiali!$C:$K,6,0),"")</f>
        <v/>
      </c>
      <c r="H1988" s="86"/>
      <c r="I1988" s="84" t="str">
        <f>IFERROR(VLOOKUP(CONCATENATE($B1988,"_",I$3),materiali!$C:$K,5,0),"")</f>
        <v/>
      </c>
      <c r="J1988" s="85" t="str">
        <f>IFERROR(VLOOKUP(CONCATENATE($B1988,"_",J$3),materiali!$C:$K,6,0),"")</f>
        <v/>
      </c>
      <c r="K1988" s="86"/>
      <c r="L1988" s="84" t="str">
        <f>IFERROR(VLOOKUP(CONCATENATE($B1988,"_",L$3),materiali!$C:$K,5,0),"")</f>
        <v/>
      </c>
      <c r="M1988" s="85" t="str">
        <f>IFERROR(VLOOKUP(CONCATENATE($B1988,"_",M$3),materiali!$C:$K,6,0),"")</f>
        <v/>
      </c>
      <c r="N1988" s="86"/>
      <c r="O1988" s="84" t="str">
        <f>IFERROR(VLOOKUP(CONCATENATE($B1988,"_",O$3),materiali!$C:$K,5,0),"")</f>
        <v/>
      </c>
      <c r="P1988" s="85" t="str">
        <f>IFERROR(VLOOKUP(CONCATENATE($B1988,"_",P$3),materiali!$C:$K,6,0),"")</f>
        <v/>
      </c>
      <c r="Q1988" s="86"/>
      <c r="R1988" s="84" t="str">
        <f>IFERROR(VLOOKUP(CONCATENATE($B1988,"_",R$3),materiali!$C:$K,5,0),"")</f>
        <v/>
      </c>
      <c r="S1988" s="85" t="str">
        <f>IFERROR(VLOOKUP(CONCATENATE($B1988,"_",S$3),materiali!$C:$K,6,0),"")</f>
        <v/>
      </c>
      <c r="T1988" s="86"/>
      <c r="U1988" s="31"/>
      <c r="AD1988" s="97"/>
    </row>
    <row r="1989" spans="1:30" ht="35.1" hidden="1" customHeight="1" x14ac:dyDescent="0.25">
      <c r="A1989" s="83"/>
      <c r="B1989" s="7"/>
      <c r="C1989" s="8"/>
      <c r="D1989" s="8"/>
      <c r="E1989" s="60"/>
      <c r="F1989" s="84" t="str">
        <f>IFERROR(VLOOKUP(CONCATENATE($B1989,"_",F$3),materiali!$C:$K,5,0),"")</f>
        <v/>
      </c>
      <c r="G1989" s="85" t="str">
        <f>IFERROR(VLOOKUP(CONCATENATE($B1989,"_",G$3),materiali!$C:$K,6,0),"")</f>
        <v/>
      </c>
      <c r="H1989" s="86"/>
      <c r="I1989" s="84" t="str">
        <f>IFERROR(VLOOKUP(CONCATENATE($B1989,"_",I$3),materiali!$C:$K,5,0),"")</f>
        <v/>
      </c>
      <c r="J1989" s="85" t="str">
        <f>IFERROR(VLOOKUP(CONCATENATE($B1989,"_",J$3),materiali!$C:$K,6,0),"")</f>
        <v/>
      </c>
      <c r="K1989" s="86"/>
      <c r="L1989" s="84" t="str">
        <f>IFERROR(VLOOKUP(CONCATENATE($B1989,"_",L$3),materiali!$C:$K,5,0),"")</f>
        <v/>
      </c>
      <c r="M1989" s="85" t="str">
        <f>IFERROR(VLOOKUP(CONCATENATE($B1989,"_",M$3),materiali!$C:$K,6,0),"")</f>
        <v/>
      </c>
      <c r="N1989" s="86"/>
      <c r="O1989" s="84" t="str">
        <f>IFERROR(VLOOKUP(CONCATENATE($B1989,"_",O$3),materiali!$C:$K,5,0),"")</f>
        <v/>
      </c>
      <c r="P1989" s="85" t="str">
        <f>IFERROR(VLOOKUP(CONCATENATE($B1989,"_",P$3),materiali!$C:$K,6,0),"")</f>
        <v/>
      </c>
      <c r="Q1989" s="86"/>
      <c r="R1989" s="84" t="str">
        <f>IFERROR(VLOOKUP(CONCATENATE($B1989,"_",R$3),materiali!$C:$K,5,0),"")</f>
        <v/>
      </c>
      <c r="S1989" s="85" t="str">
        <f>IFERROR(VLOOKUP(CONCATENATE($B1989,"_",S$3),materiali!$C:$K,6,0),"")</f>
        <v/>
      </c>
      <c r="T1989" s="86"/>
      <c r="U1989" s="31"/>
      <c r="AD1989" s="97"/>
    </row>
    <row r="1990" spans="1:30" ht="35.1" hidden="1" customHeight="1" x14ac:dyDescent="0.25">
      <c r="A1990" s="83"/>
      <c r="B1990" s="7"/>
      <c r="C1990" s="8"/>
      <c r="D1990" s="8"/>
      <c r="E1990" s="60"/>
      <c r="F1990" s="84" t="str">
        <f>IFERROR(VLOOKUP(CONCATENATE($B1990,"_",F$3),materiali!$C:$K,5,0),"")</f>
        <v/>
      </c>
      <c r="G1990" s="85" t="str">
        <f>IFERROR(VLOOKUP(CONCATENATE($B1990,"_",G$3),materiali!$C:$K,6,0),"")</f>
        <v/>
      </c>
      <c r="H1990" s="86"/>
      <c r="I1990" s="84" t="str">
        <f>IFERROR(VLOOKUP(CONCATENATE($B1990,"_",I$3),materiali!$C:$K,5,0),"")</f>
        <v/>
      </c>
      <c r="J1990" s="85" t="str">
        <f>IFERROR(VLOOKUP(CONCATENATE($B1990,"_",J$3),materiali!$C:$K,6,0),"")</f>
        <v/>
      </c>
      <c r="K1990" s="86"/>
      <c r="L1990" s="84" t="str">
        <f>IFERROR(VLOOKUP(CONCATENATE($B1990,"_",L$3),materiali!$C:$K,5,0),"")</f>
        <v/>
      </c>
      <c r="M1990" s="85" t="str">
        <f>IFERROR(VLOOKUP(CONCATENATE($B1990,"_",M$3),materiali!$C:$K,6,0),"")</f>
        <v/>
      </c>
      <c r="N1990" s="86"/>
      <c r="O1990" s="84" t="str">
        <f>IFERROR(VLOOKUP(CONCATENATE($B1990,"_",O$3),materiali!$C:$K,5,0),"")</f>
        <v/>
      </c>
      <c r="P1990" s="85" t="str">
        <f>IFERROR(VLOOKUP(CONCATENATE($B1990,"_",P$3),materiali!$C:$K,6,0),"")</f>
        <v/>
      </c>
      <c r="Q1990" s="86"/>
      <c r="R1990" s="84" t="str">
        <f>IFERROR(VLOOKUP(CONCATENATE($B1990,"_",R$3),materiali!$C:$K,5,0),"")</f>
        <v/>
      </c>
      <c r="S1990" s="85" t="str">
        <f>IFERROR(VLOOKUP(CONCATENATE($B1990,"_",S$3),materiali!$C:$K,6,0),"")</f>
        <v/>
      </c>
      <c r="T1990" s="86"/>
      <c r="U1990" s="31"/>
      <c r="AD1990" s="97"/>
    </row>
    <row r="1991" spans="1:30" ht="35.1" hidden="1" customHeight="1" x14ac:dyDescent="0.25">
      <c r="A1991" s="83"/>
      <c r="B1991" s="7"/>
      <c r="C1991" s="8"/>
      <c r="D1991" s="8"/>
      <c r="E1991" s="60"/>
      <c r="F1991" s="84" t="str">
        <f>IFERROR(VLOOKUP(CONCATENATE($B1991,"_",F$3),materiali!$C:$K,5,0),"")</f>
        <v/>
      </c>
      <c r="G1991" s="85" t="str">
        <f>IFERROR(VLOOKUP(CONCATENATE($B1991,"_",G$3),materiali!$C:$K,6,0),"")</f>
        <v/>
      </c>
      <c r="H1991" s="86"/>
      <c r="I1991" s="84" t="str">
        <f>IFERROR(VLOOKUP(CONCATENATE($B1991,"_",I$3),materiali!$C:$K,5,0),"")</f>
        <v/>
      </c>
      <c r="J1991" s="85" t="str">
        <f>IFERROR(VLOOKUP(CONCATENATE($B1991,"_",J$3),materiali!$C:$K,6,0),"")</f>
        <v/>
      </c>
      <c r="K1991" s="86"/>
      <c r="L1991" s="84" t="str">
        <f>IFERROR(VLOOKUP(CONCATENATE($B1991,"_",L$3),materiali!$C:$K,5,0),"")</f>
        <v/>
      </c>
      <c r="M1991" s="85" t="str">
        <f>IFERROR(VLOOKUP(CONCATENATE($B1991,"_",M$3),materiali!$C:$K,6,0),"")</f>
        <v/>
      </c>
      <c r="N1991" s="86"/>
      <c r="O1991" s="84" t="str">
        <f>IFERROR(VLOOKUP(CONCATENATE($B1991,"_",O$3),materiali!$C:$K,5,0),"")</f>
        <v/>
      </c>
      <c r="P1991" s="85" t="str">
        <f>IFERROR(VLOOKUP(CONCATENATE($B1991,"_",P$3),materiali!$C:$K,6,0),"")</f>
        <v/>
      </c>
      <c r="Q1991" s="86"/>
      <c r="R1991" s="84" t="str">
        <f>IFERROR(VLOOKUP(CONCATENATE($B1991,"_",R$3),materiali!$C:$K,5,0),"")</f>
        <v/>
      </c>
      <c r="S1991" s="85" t="str">
        <f>IFERROR(VLOOKUP(CONCATENATE($B1991,"_",S$3),materiali!$C:$K,6,0),"")</f>
        <v/>
      </c>
      <c r="T1991" s="86"/>
      <c r="U1991" s="31"/>
      <c r="AD1991" s="97"/>
    </row>
    <row r="1992" spans="1:30" ht="35.1" hidden="1" customHeight="1" x14ac:dyDescent="0.25">
      <c r="A1992" s="83"/>
      <c r="B1992" s="7"/>
      <c r="C1992" s="8"/>
      <c r="D1992" s="8"/>
      <c r="E1992" s="60"/>
      <c r="F1992" s="84" t="str">
        <f>IFERROR(VLOOKUP(CONCATENATE($B1992,"_",F$3),materiali!$C:$K,5,0),"")</f>
        <v/>
      </c>
      <c r="G1992" s="85" t="str">
        <f>IFERROR(VLOOKUP(CONCATENATE($B1992,"_",G$3),materiali!$C:$K,6,0),"")</f>
        <v/>
      </c>
      <c r="H1992" s="86"/>
      <c r="I1992" s="84" t="str">
        <f>IFERROR(VLOOKUP(CONCATENATE($B1992,"_",I$3),materiali!$C:$K,5,0),"")</f>
        <v/>
      </c>
      <c r="J1992" s="85" t="str">
        <f>IFERROR(VLOOKUP(CONCATENATE($B1992,"_",J$3),materiali!$C:$K,6,0),"")</f>
        <v/>
      </c>
      <c r="K1992" s="86"/>
      <c r="L1992" s="84" t="str">
        <f>IFERROR(VLOOKUP(CONCATENATE($B1992,"_",L$3),materiali!$C:$K,5,0),"")</f>
        <v/>
      </c>
      <c r="M1992" s="85" t="str">
        <f>IFERROR(VLOOKUP(CONCATENATE($B1992,"_",M$3),materiali!$C:$K,6,0),"")</f>
        <v/>
      </c>
      <c r="N1992" s="86"/>
      <c r="O1992" s="84" t="str">
        <f>IFERROR(VLOOKUP(CONCATENATE($B1992,"_",O$3),materiali!$C:$K,5,0),"")</f>
        <v/>
      </c>
      <c r="P1992" s="85" t="str">
        <f>IFERROR(VLOOKUP(CONCATENATE($B1992,"_",P$3),materiali!$C:$K,6,0),"")</f>
        <v/>
      </c>
      <c r="Q1992" s="86"/>
      <c r="R1992" s="84" t="str">
        <f>IFERROR(VLOOKUP(CONCATENATE($B1992,"_",R$3),materiali!$C:$K,5,0),"")</f>
        <v/>
      </c>
      <c r="S1992" s="85" t="str">
        <f>IFERROR(VLOOKUP(CONCATENATE($B1992,"_",S$3),materiali!$C:$K,6,0),"")</f>
        <v/>
      </c>
      <c r="T1992" s="86"/>
      <c r="U1992" s="31"/>
      <c r="AD1992" s="97"/>
    </row>
    <row r="1993" spans="1:30" ht="35.1" hidden="1" customHeight="1" x14ac:dyDescent="0.25">
      <c r="A1993" s="83"/>
      <c r="B1993" s="7"/>
      <c r="C1993" s="8"/>
      <c r="D1993" s="8"/>
      <c r="E1993" s="60"/>
      <c r="F1993" s="84" t="str">
        <f>IFERROR(VLOOKUP(CONCATENATE($B1993,"_",F$3),materiali!$C:$K,5,0),"")</f>
        <v/>
      </c>
      <c r="G1993" s="85" t="str">
        <f>IFERROR(VLOOKUP(CONCATENATE($B1993,"_",G$3),materiali!$C:$K,6,0),"")</f>
        <v/>
      </c>
      <c r="H1993" s="86"/>
      <c r="I1993" s="84" t="str">
        <f>IFERROR(VLOOKUP(CONCATENATE($B1993,"_",I$3),materiali!$C:$K,5,0),"")</f>
        <v/>
      </c>
      <c r="J1993" s="85" t="str">
        <f>IFERROR(VLOOKUP(CONCATENATE($B1993,"_",J$3),materiali!$C:$K,6,0),"")</f>
        <v/>
      </c>
      <c r="K1993" s="86"/>
      <c r="L1993" s="84" t="str">
        <f>IFERROR(VLOOKUP(CONCATENATE($B1993,"_",L$3),materiali!$C:$K,5,0),"")</f>
        <v/>
      </c>
      <c r="M1993" s="85" t="str">
        <f>IFERROR(VLOOKUP(CONCATENATE($B1993,"_",M$3),materiali!$C:$K,6,0),"")</f>
        <v/>
      </c>
      <c r="N1993" s="86"/>
      <c r="O1993" s="84" t="str">
        <f>IFERROR(VLOOKUP(CONCATENATE($B1993,"_",O$3),materiali!$C:$K,5,0),"")</f>
        <v/>
      </c>
      <c r="P1993" s="85" t="str">
        <f>IFERROR(VLOOKUP(CONCATENATE($B1993,"_",P$3),materiali!$C:$K,6,0),"")</f>
        <v/>
      </c>
      <c r="Q1993" s="86"/>
      <c r="R1993" s="84" t="str">
        <f>IFERROR(VLOOKUP(CONCATENATE($B1993,"_",R$3),materiali!$C:$K,5,0),"")</f>
        <v/>
      </c>
      <c r="S1993" s="85" t="str">
        <f>IFERROR(VLOOKUP(CONCATENATE($B1993,"_",S$3),materiali!$C:$K,6,0),"")</f>
        <v/>
      </c>
      <c r="T1993" s="86"/>
      <c r="U1993" s="31"/>
      <c r="AD1993" s="97"/>
    </row>
    <row r="1994" spans="1:30" ht="35.1" hidden="1" customHeight="1" x14ac:dyDescent="0.25">
      <c r="A1994" s="83"/>
      <c r="B1994" s="7"/>
      <c r="C1994" s="8"/>
      <c r="D1994" s="8"/>
      <c r="E1994" s="60"/>
      <c r="F1994" s="84" t="str">
        <f>IFERROR(VLOOKUP(CONCATENATE($B1994,"_",F$3),materiali!$C:$K,5,0),"")</f>
        <v/>
      </c>
      <c r="G1994" s="85" t="str">
        <f>IFERROR(VLOOKUP(CONCATENATE($B1994,"_",G$3),materiali!$C:$K,6,0),"")</f>
        <v/>
      </c>
      <c r="H1994" s="86"/>
      <c r="I1994" s="84" t="str">
        <f>IFERROR(VLOOKUP(CONCATENATE($B1994,"_",I$3),materiali!$C:$K,5,0),"")</f>
        <v/>
      </c>
      <c r="J1994" s="85" t="str">
        <f>IFERROR(VLOOKUP(CONCATENATE($B1994,"_",J$3),materiali!$C:$K,6,0),"")</f>
        <v/>
      </c>
      <c r="K1994" s="86"/>
      <c r="L1994" s="84" t="str">
        <f>IFERROR(VLOOKUP(CONCATENATE($B1994,"_",L$3),materiali!$C:$K,5,0),"")</f>
        <v/>
      </c>
      <c r="M1994" s="85" t="str">
        <f>IFERROR(VLOOKUP(CONCATENATE($B1994,"_",M$3),materiali!$C:$K,6,0),"")</f>
        <v/>
      </c>
      <c r="N1994" s="86"/>
      <c r="O1994" s="84" t="str">
        <f>IFERROR(VLOOKUP(CONCATENATE($B1994,"_",O$3),materiali!$C:$K,5,0),"")</f>
        <v/>
      </c>
      <c r="P1994" s="85" t="str">
        <f>IFERROR(VLOOKUP(CONCATENATE($B1994,"_",P$3),materiali!$C:$K,6,0),"")</f>
        <v/>
      </c>
      <c r="Q1994" s="86"/>
      <c r="R1994" s="84" t="str">
        <f>IFERROR(VLOOKUP(CONCATENATE($B1994,"_",R$3),materiali!$C:$K,5,0),"")</f>
        <v/>
      </c>
      <c r="S1994" s="85" t="str">
        <f>IFERROR(VLOOKUP(CONCATENATE($B1994,"_",S$3),materiali!$C:$K,6,0),"")</f>
        <v/>
      </c>
      <c r="T1994" s="86"/>
      <c r="U1994" s="31"/>
      <c r="AD1994" s="97"/>
    </row>
    <row r="1995" spans="1:30" ht="35.1" hidden="1" customHeight="1" x14ac:dyDescent="0.25">
      <c r="A1995" s="83"/>
      <c r="B1995" s="7"/>
      <c r="C1995" s="8"/>
      <c r="D1995" s="8"/>
      <c r="E1995" s="60"/>
      <c r="F1995" s="84" t="str">
        <f>IFERROR(VLOOKUP(CONCATENATE($B1995,"_",F$3),materiali!$C:$K,5,0),"")</f>
        <v/>
      </c>
      <c r="G1995" s="85" t="str">
        <f>IFERROR(VLOOKUP(CONCATENATE($B1995,"_",G$3),materiali!$C:$K,6,0),"")</f>
        <v/>
      </c>
      <c r="H1995" s="86"/>
      <c r="I1995" s="84" t="str">
        <f>IFERROR(VLOOKUP(CONCATENATE($B1995,"_",I$3),materiali!$C:$K,5,0),"")</f>
        <v/>
      </c>
      <c r="J1995" s="85" t="str">
        <f>IFERROR(VLOOKUP(CONCATENATE($B1995,"_",J$3),materiali!$C:$K,6,0),"")</f>
        <v/>
      </c>
      <c r="K1995" s="86"/>
      <c r="L1995" s="84" t="str">
        <f>IFERROR(VLOOKUP(CONCATENATE($B1995,"_",L$3),materiali!$C:$K,5,0),"")</f>
        <v/>
      </c>
      <c r="M1995" s="85" t="str">
        <f>IFERROR(VLOOKUP(CONCATENATE($B1995,"_",M$3),materiali!$C:$K,6,0),"")</f>
        <v/>
      </c>
      <c r="N1995" s="86"/>
      <c r="O1995" s="84" t="str">
        <f>IFERROR(VLOOKUP(CONCATENATE($B1995,"_",O$3),materiali!$C:$K,5,0),"")</f>
        <v/>
      </c>
      <c r="P1995" s="85" t="str">
        <f>IFERROR(VLOOKUP(CONCATENATE($B1995,"_",P$3),materiali!$C:$K,6,0),"")</f>
        <v/>
      </c>
      <c r="Q1995" s="86"/>
      <c r="R1995" s="84" t="str">
        <f>IFERROR(VLOOKUP(CONCATENATE($B1995,"_",R$3),materiali!$C:$K,5,0),"")</f>
        <v/>
      </c>
      <c r="S1995" s="85" t="str">
        <f>IFERROR(VLOOKUP(CONCATENATE($B1995,"_",S$3),materiali!$C:$K,6,0),"")</f>
        <v/>
      </c>
      <c r="T1995" s="86"/>
      <c r="U1995" s="31"/>
      <c r="AD1995" s="97"/>
    </row>
    <row r="1996" spans="1:30" ht="35.1" hidden="1" customHeight="1" x14ac:dyDescent="0.25">
      <c r="A1996" s="83"/>
      <c r="B1996" s="7"/>
      <c r="C1996" s="8"/>
      <c r="D1996" s="8"/>
      <c r="E1996" s="60"/>
      <c r="F1996" s="84" t="str">
        <f>IFERROR(VLOOKUP(CONCATENATE($B1996,"_",F$3),materiali!$C:$K,5,0),"")</f>
        <v/>
      </c>
      <c r="G1996" s="85" t="str">
        <f>IFERROR(VLOOKUP(CONCATENATE($B1996,"_",G$3),materiali!$C:$K,6,0),"")</f>
        <v/>
      </c>
      <c r="H1996" s="86"/>
      <c r="I1996" s="84" t="str">
        <f>IFERROR(VLOOKUP(CONCATENATE($B1996,"_",I$3),materiali!$C:$K,5,0),"")</f>
        <v/>
      </c>
      <c r="J1996" s="85" t="str">
        <f>IFERROR(VLOOKUP(CONCATENATE($B1996,"_",J$3),materiali!$C:$K,6,0),"")</f>
        <v/>
      </c>
      <c r="K1996" s="86"/>
      <c r="L1996" s="84" t="str">
        <f>IFERROR(VLOOKUP(CONCATENATE($B1996,"_",L$3),materiali!$C:$K,5,0),"")</f>
        <v/>
      </c>
      <c r="M1996" s="85" t="str">
        <f>IFERROR(VLOOKUP(CONCATENATE($B1996,"_",M$3),materiali!$C:$K,6,0),"")</f>
        <v/>
      </c>
      <c r="N1996" s="86"/>
      <c r="O1996" s="84" t="str">
        <f>IFERROR(VLOOKUP(CONCATENATE($B1996,"_",O$3),materiali!$C:$K,5,0),"")</f>
        <v/>
      </c>
      <c r="P1996" s="85" t="str">
        <f>IFERROR(VLOOKUP(CONCATENATE($B1996,"_",P$3),materiali!$C:$K,6,0),"")</f>
        <v/>
      </c>
      <c r="Q1996" s="86"/>
      <c r="R1996" s="84" t="str">
        <f>IFERROR(VLOOKUP(CONCATENATE($B1996,"_",R$3),materiali!$C:$K,5,0),"")</f>
        <v/>
      </c>
      <c r="S1996" s="85" t="str">
        <f>IFERROR(VLOOKUP(CONCATENATE($B1996,"_",S$3),materiali!$C:$K,6,0),"")</f>
        <v/>
      </c>
      <c r="T1996" s="86"/>
      <c r="U1996" s="31"/>
      <c r="AD1996" s="97"/>
    </row>
    <row r="1997" spans="1:30" ht="35.1" hidden="1" customHeight="1" x14ac:dyDescent="0.25">
      <c r="A1997" s="83"/>
      <c r="B1997" s="7"/>
      <c r="C1997" s="8"/>
      <c r="D1997" s="8"/>
      <c r="E1997" s="60"/>
      <c r="F1997" s="84" t="str">
        <f>IFERROR(VLOOKUP(CONCATENATE($B1997,"_",F$3),materiali!$C:$K,5,0),"")</f>
        <v/>
      </c>
      <c r="G1997" s="85" t="str">
        <f>IFERROR(VLOOKUP(CONCATENATE($B1997,"_",G$3),materiali!$C:$K,6,0),"")</f>
        <v/>
      </c>
      <c r="H1997" s="86"/>
      <c r="I1997" s="84" t="str">
        <f>IFERROR(VLOOKUP(CONCATENATE($B1997,"_",I$3),materiali!$C:$K,5,0),"")</f>
        <v/>
      </c>
      <c r="J1997" s="85" t="str">
        <f>IFERROR(VLOOKUP(CONCATENATE($B1997,"_",J$3),materiali!$C:$K,6,0),"")</f>
        <v/>
      </c>
      <c r="K1997" s="86"/>
      <c r="L1997" s="84" t="str">
        <f>IFERROR(VLOOKUP(CONCATENATE($B1997,"_",L$3),materiali!$C:$K,5,0),"")</f>
        <v/>
      </c>
      <c r="M1997" s="85" t="str">
        <f>IFERROR(VLOOKUP(CONCATENATE($B1997,"_",M$3),materiali!$C:$K,6,0),"")</f>
        <v/>
      </c>
      <c r="N1997" s="86"/>
      <c r="O1997" s="84" t="str">
        <f>IFERROR(VLOOKUP(CONCATENATE($B1997,"_",O$3),materiali!$C:$K,5,0),"")</f>
        <v/>
      </c>
      <c r="P1997" s="85" t="str">
        <f>IFERROR(VLOOKUP(CONCATENATE($B1997,"_",P$3),materiali!$C:$K,6,0),"")</f>
        <v/>
      </c>
      <c r="Q1997" s="86"/>
      <c r="R1997" s="84" t="str">
        <f>IFERROR(VLOOKUP(CONCATENATE($B1997,"_",R$3),materiali!$C:$K,5,0),"")</f>
        <v/>
      </c>
      <c r="S1997" s="85" t="str">
        <f>IFERROR(VLOOKUP(CONCATENATE($B1997,"_",S$3),materiali!$C:$K,6,0),"")</f>
        <v/>
      </c>
      <c r="T1997" s="86"/>
      <c r="U1997" s="31"/>
      <c r="AD1997" s="97"/>
    </row>
    <row r="1998" spans="1:30" ht="35.1" hidden="1" customHeight="1" x14ac:dyDescent="0.25">
      <c r="A1998" s="83"/>
      <c r="B1998" s="7"/>
      <c r="C1998" s="8"/>
      <c r="D1998" s="8"/>
      <c r="E1998" s="60"/>
      <c r="F1998" s="84" t="str">
        <f>IFERROR(VLOOKUP(CONCATENATE($B1998,"_",F$3),materiali!$C:$K,5,0),"")</f>
        <v/>
      </c>
      <c r="G1998" s="85" t="str">
        <f>IFERROR(VLOOKUP(CONCATENATE($B1998,"_",G$3),materiali!$C:$K,6,0),"")</f>
        <v/>
      </c>
      <c r="H1998" s="86"/>
      <c r="I1998" s="84" t="str">
        <f>IFERROR(VLOOKUP(CONCATENATE($B1998,"_",I$3),materiali!$C:$K,5,0),"")</f>
        <v/>
      </c>
      <c r="J1998" s="85" t="str">
        <f>IFERROR(VLOOKUP(CONCATENATE($B1998,"_",J$3),materiali!$C:$K,6,0),"")</f>
        <v/>
      </c>
      <c r="K1998" s="86"/>
      <c r="L1998" s="84" t="str">
        <f>IFERROR(VLOOKUP(CONCATENATE($B1998,"_",L$3),materiali!$C:$K,5,0),"")</f>
        <v/>
      </c>
      <c r="M1998" s="85" t="str">
        <f>IFERROR(VLOOKUP(CONCATENATE($B1998,"_",M$3),materiali!$C:$K,6,0),"")</f>
        <v/>
      </c>
      <c r="N1998" s="86"/>
      <c r="O1998" s="84" t="str">
        <f>IFERROR(VLOOKUP(CONCATENATE($B1998,"_",O$3),materiali!$C:$K,5,0),"")</f>
        <v/>
      </c>
      <c r="P1998" s="85" t="str">
        <f>IFERROR(VLOOKUP(CONCATENATE($B1998,"_",P$3),materiali!$C:$K,6,0),"")</f>
        <v/>
      </c>
      <c r="Q1998" s="86"/>
      <c r="R1998" s="84" t="str">
        <f>IFERROR(VLOOKUP(CONCATENATE($B1998,"_",R$3),materiali!$C:$K,5,0),"")</f>
        <v/>
      </c>
      <c r="S1998" s="85" t="str">
        <f>IFERROR(VLOOKUP(CONCATENATE($B1998,"_",S$3),materiali!$C:$K,6,0),"")</f>
        <v/>
      </c>
      <c r="T1998" s="86"/>
      <c r="U1998" s="31"/>
      <c r="AD1998" s="97"/>
    </row>
    <row r="1999" spans="1:30" ht="35.1" hidden="1" customHeight="1" x14ac:dyDescent="0.25">
      <c r="A1999" s="83"/>
      <c r="B1999" s="7"/>
      <c r="C1999" s="8"/>
      <c r="D1999" s="8"/>
      <c r="E1999" s="60"/>
      <c r="F1999" s="84" t="str">
        <f>IFERROR(VLOOKUP(CONCATENATE($B1999,"_",F$3),materiali!$C:$K,5,0),"")</f>
        <v/>
      </c>
      <c r="G1999" s="85" t="str">
        <f>IFERROR(VLOOKUP(CONCATENATE($B1999,"_",G$3),materiali!$C:$K,6,0),"")</f>
        <v/>
      </c>
      <c r="H1999" s="86"/>
      <c r="I1999" s="84" t="str">
        <f>IFERROR(VLOOKUP(CONCATENATE($B1999,"_",I$3),materiali!$C:$K,5,0),"")</f>
        <v/>
      </c>
      <c r="J1999" s="85" t="str">
        <f>IFERROR(VLOOKUP(CONCATENATE($B1999,"_",J$3),materiali!$C:$K,6,0),"")</f>
        <v/>
      </c>
      <c r="K1999" s="86"/>
      <c r="L1999" s="84" t="str">
        <f>IFERROR(VLOOKUP(CONCATENATE($B1999,"_",L$3),materiali!$C:$K,5,0),"")</f>
        <v/>
      </c>
      <c r="M1999" s="85" t="str">
        <f>IFERROR(VLOOKUP(CONCATENATE($B1999,"_",M$3),materiali!$C:$K,6,0),"")</f>
        <v/>
      </c>
      <c r="N1999" s="86"/>
      <c r="O1999" s="84" t="str">
        <f>IFERROR(VLOOKUP(CONCATENATE($B1999,"_",O$3),materiali!$C:$K,5,0),"")</f>
        <v/>
      </c>
      <c r="P1999" s="85" t="str">
        <f>IFERROR(VLOOKUP(CONCATENATE($B1999,"_",P$3),materiali!$C:$K,6,0),"")</f>
        <v/>
      </c>
      <c r="Q1999" s="86"/>
      <c r="R1999" s="84" t="str">
        <f>IFERROR(VLOOKUP(CONCATENATE($B1999,"_",R$3),materiali!$C:$K,5,0),"")</f>
        <v/>
      </c>
      <c r="S1999" s="85" t="str">
        <f>IFERROR(VLOOKUP(CONCATENATE($B1999,"_",S$3),materiali!$C:$K,6,0),"")</f>
        <v/>
      </c>
      <c r="T1999" s="86"/>
      <c r="U1999" s="31"/>
      <c r="AD1999" s="97"/>
    </row>
    <row r="2000" spans="1:30" ht="35.1" hidden="1" customHeight="1" x14ac:dyDescent="0.25">
      <c r="A2000" s="83"/>
      <c r="B2000" s="7"/>
      <c r="C2000" s="8"/>
      <c r="D2000" s="8"/>
      <c r="E2000" s="61"/>
      <c r="F2000" s="84" t="str">
        <f>IFERROR(VLOOKUP(CONCATENATE($B2000,"_",F$3),materiali!$C:$K,5,0),"")</f>
        <v/>
      </c>
      <c r="G2000" s="85" t="str">
        <f>IFERROR(VLOOKUP(CONCATENATE($B2000,"_",G$3),materiali!$C:$K,6,0),"")</f>
        <v/>
      </c>
      <c r="H2000" s="90"/>
      <c r="I2000" s="84" t="str">
        <f>IFERROR(VLOOKUP(CONCATENATE($B2000,"_",I$3),materiali!$C:$K,5,0),"")</f>
        <v/>
      </c>
      <c r="J2000" s="85" t="str">
        <f>IFERROR(VLOOKUP(CONCATENATE($B2000,"_",J$3),materiali!$C:$K,6,0),"")</f>
        <v/>
      </c>
      <c r="K2000" s="90"/>
      <c r="L2000" s="84" t="str">
        <f>IFERROR(VLOOKUP(CONCATENATE($B2000,"_",L$3),materiali!$C:$K,5,0),"")</f>
        <v/>
      </c>
      <c r="M2000" s="85" t="str">
        <f>IFERROR(VLOOKUP(CONCATENATE($B2000,"_",M$3),materiali!$C:$K,6,0),"")</f>
        <v/>
      </c>
      <c r="N2000" s="90"/>
      <c r="O2000" s="84" t="str">
        <f>IFERROR(VLOOKUP(CONCATENATE($B2000,"_",O$3),materiali!$C:$K,5,0),"")</f>
        <v/>
      </c>
      <c r="P2000" s="85" t="str">
        <f>IFERROR(VLOOKUP(CONCATENATE($B2000,"_",P$3),materiali!$C:$K,6,0),"")</f>
        <v/>
      </c>
      <c r="Q2000" s="90"/>
      <c r="R2000" s="84" t="str">
        <f>IFERROR(VLOOKUP(CONCATENATE($B2000,"_",R$3),materiali!$C:$K,5,0),"")</f>
        <v/>
      </c>
      <c r="S2000" s="85" t="str">
        <f>IFERROR(VLOOKUP(CONCATENATE($B2000,"_",S$3),materiali!$C:$K,6,0),"")</f>
        <v/>
      </c>
      <c r="T2000" s="90"/>
      <c r="U2000" s="31"/>
      <c r="AD2000" s="97"/>
    </row>
  </sheetData>
  <phoneticPr fontId="3" type="noConversion"/>
  <conditionalFormatting sqref="H5:H98 H100 H152:H2000">
    <cfRule type="expression" dxfId="246" priority="10">
      <formula>F5=""</formula>
    </cfRule>
  </conditionalFormatting>
  <conditionalFormatting sqref="K5:K24 K26 N5:N102 Q5:Q105 N104:N105 Q107 Q109 Q111:Q137 T5:T2000 N152:N2000 Q152:Q2000">
    <cfRule type="expression" dxfId="245" priority="9">
      <formula>I5=""</formula>
    </cfRule>
  </conditionalFormatting>
  <conditionalFormatting sqref="F5:F2000 I5:I2000 L5:L2000 O5:O2000 R5:R2000">
    <cfRule type="containsBlanks" dxfId="244" priority="4">
      <formula>LEN(TRIM(F5))=0</formula>
    </cfRule>
  </conditionalFormatting>
  <conditionalFormatting sqref="G5:G2000 J5:J2000 M5:M2000 P5:P2000 S5:S2000">
    <cfRule type="containsBlanks" dxfId="243" priority="3">
      <formula>LEN(TRIM(G5))=0</formula>
    </cfRule>
  </conditionalFormatting>
  <conditionalFormatting sqref="K25">
    <cfRule type="expression" dxfId="242" priority="2">
      <formula>I25=""</formula>
    </cfRule>
  </conditionalFormatting>
  <conditionalFormatting sqref="K27">
    <cfRule type="expression" dxfId="241" priority="1">
      <formula>I27=""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T60"/>
  <sheetViews>
    <sheetView workbookViewId="0">
      <selection activeCell="P13" sqref="P13"/>
    </sheetView>
  </sheetViews>
  <sheetFormatPr defaultRowHeight="15" x14ac:dyDescent="0.25"/>
  <cols>
    <col min="1" max="1" width="22.5703125" customWidth="1"/>
    <col min="2" max="11" width="7.7109375" customWidth="1"/>
  </cols>
  <sheetData>
    <row r="1" spans="1:20" x14ac:dyDescent="0.25">
      <c r="A1" s="7" t="s">
        <v>652</v>
      </c>
      <c r="B1" s="117" t="s">
        <v>653</v>
      </c>
      <c r="C1" s="117" t="s">
        <v>654</v>
      </c>
      <c r="D1" s="117" t="s">
        <v>655</v>
      </c>
      <c r="E1" s="117" t="s">
        <v>656</v>
      </c>
      <c r="F1" s="117" t="s">
        <v>657</v>
      </c>
      <c r="G1" s="117" t="s">
        <v>658</v>
      </c>
      <c r="H1" s="117" t="s">
        <v>659</v>
      </c>
      <c r="I1" s="117" t="s">
        <v>660</v>
      </c>
      <c r="J1" s="117" t="s">
        <v>661</v>
      </c>
      <c r="K1" s="117" t="s">
        <v>662</v>
      </c>
      <c r="L1" s="117" t="s">
        <v>663</v>
      </c>
      <c r="M1" s="117" t="s">
        <v>664</v>
      </c>
      <c r="N1" s="117" t="s">
        <v>665</v>
      </c>
      <c r="O1" s="117" t="s">
        <v>666</v>
      </c>
      <c r="P1" s="117" t="s">
        <v>667</v>
      </c>
    </row>
    <row r="2" spans="1:20" ht="33" customHeight="1" x14ac:dyDescent="0.25">
      <c r="A2" s="7" t="s">
        <v>668</v>
      </c>
      <c r="B2" s="59">
        <v>73</v>
      </c>
      <c r="C2" s="59">
        <v>77</v>
      </c>
      <c r="D2" s="106">
        <v>75</v>
      </c>
      <c r="E2" s="59">
        <v>74</v>
      </c>
      <c r="F2" s="59">
        <v>68</v>
      </c>
      <c r="G2" s="59">
        <v>72</v>
      </c>
      <c r="H2" s="59">
        <v>70</v>
      </c>
      <c r="I2" s="100">
        <v>71</v>
      </c>
      <c r="J2" s="100">
        <v>68</v>
      </c>
      <c r="K2" s="100">
        <v>66</v>
      </c>
      <c r="L2" s="100">
        <v>68</v>
      </c>
      <c r="M2" s="165">
        <v>69</v>
      </c>
      <c r="N2" s="59">
        <v>71</v>
      </c>
      <c r="O2" s="165">
        <v>71</v>
      </c>
      <c r="P2" s="100">
        <v>75</v>
      </c>
    </row>
    <row r="3" spans="1:20" ht="33" customHeight="1" x14ac:dyDescent="0.25">
      <c r="A3" s="7" t="s">
        <v>668</v>
      </c>
      <c r="B3" s="175">
        <f t="shared" ref="B3:P3" si="0">AVERAGE($B$2:$P$2)-2</f>
        <v>69.2</v>
      </c>
      <c r="C3" s="175">
        <f t="shared" si="0"/>
        <v>69.2</v>
      </c>
      <c r="D3" s="175">
        <f t="shared" si="0"/>
        <v>69.2</v>
      </c>
      <c r="E3" s="175">
        <f t="shared" si="0"/>
        <v>69.2</v>
      </c>
      <c r="F3" s="175">
        <f t="shared" si="0"/>
        <v>69.2</v>
      </c>
      <c r="G3" s="175">
        <f t="shared" si="0"/>
        <v>69.2</v>
      </c>
      <c r="H3" s="175">
        <f t="shared" si="0"/>
        <v>69.2</v>
      </c>
      <c r="I3" s="175">
        <f t="shared" si="0"/>
        <v>69.2</v>
      </c>
      <c r="J3" s="175">
        <f t="shared" si="0"/>
        <v>69.2</v>
      </c>
      <c r="K3" s="175">
        <f t="shared" si="0"/>
        <v>69.2</v>
      </c>
      <c r="L3" s="175">
        <f t="shared" si="0"/>
        <v>69.2</v>
      </c>
      <c r="M3" s="175">
        <f t="shared" si="0"/>
        <v>69.2</v>
      </c>
      <c r="N3" s="175">
        <f t="shared" si="0"/>
        <v>69.2</v>
      </c>
      <c r="O3" s="175">
        <f t="shared" si="0"/>
        <v>69.2</v>
      </c>
      <c r="P3" s="175">
        <f t="shared" si="0"/>
        <v>69.2</v>
      </c>
    </row>
    <row r="4" spans="1:20" ht="33" customHeight="1" x14ac:dyDescent="0.25">
      <c r="A4" s="7" t="s">
        <v>668</v>
      </c>
      <c r="B4" s="175">
        <f t="shared" ref="B4:P4" si="1">AVERAGE($B$2:$P$2)+2</f>
        <v>73.2</v>
      </c>
      <c r="C4" s="175">
        <f t="shared" si="1"/>
        <v>73.2</v>
      </c>
      <c r="D4" s="175">
        <f t="shared" si="1"/>
        <v>73.2</v>
      </c>
      <c r="E4" s="175">
        <f t="shared" si="1"/>
        <v>73.2</v>
      </c>
      <c r="F4" s="175">
        <f t="shared" si="1"/>
        <v>73.2</v>
      </c>
      <c r="G4" s="175">
        <f t="shared" si="1"/>
        <v>73.2</v>
      </c>
      <c r="H4" s="175">
        <f t="shared" si="1"/>
        <v>73.2</v>
      </c>
      <c r="I4" s="175">
        <f t="shared" si="1"/>
        <v>73.2</v>
      </c>
      <c r="J4" s="175">
        <f t="shared" si="1"/>
        <v>73.2</v>
      </c>
      <c r="K4" s="175">
        <f t="shared" si="1"/>
        <v>73.2</v>
      </c>
      <c r="L4" s="175">
        <f t="shared" si="1"/>
        <v>73.2</v>
      </c>
      <c r="M4" s="175">
        <f t="shared" si="1"/>
        <v>73.2</v>
      </c>
      <c r="N4" s="175">
        <f t="shared" si="1"/>
        <v>73.2</v>
      </c>
      <c r="O4" s="175">
        <f t="shared" si="1"/>
        <v>73.2</v>
      </c>
      <c r="P4" s="175">
        <f t="shared" si="1"/>
        <v>73.2</v>
      </c>
      <c r="T4" s="172"/>
    </row>
    <row r="5" spans="1:20" ht="33" customHeight="1" x14ac:dyDescent="0.25">
      <c r="A5" s="7" t="s">
        <v>668</v>
      </c>
      <c r="B5" s="175">
        <f t="shared" ref="B5:P5" si="2">AVERAGE($B$2:$P$2)</f>
        <v>71.2</v>
      </c>
      <c r="C5" s="175">
        <f t="shared" si="2"/>
        <v>71.2</v>
      </c>
      <c r="D5" s="175">
        <f t="shared" si="2"/>
        <v>71.2</v>
      </c>
      <c r="E5" s="175">
        <f>AVERAGE($B$2:$P$2)</f>
        <v>71.2</v>
      </c>
      <c r="F5" s="175">
        <f t="shared" si="2"/>
        <v>71.2</v>
      </c>
      <c r="G5" s="175">
        <f t="shared" si="2"/>
        <v>71.2</v>
      </c>
      <c r="H5" s="175">
        <f t="shared" si="2"/>
        <v>71.2</v>
      </c>
      <c r="I5" s="175">
        <f t="shared" si="2"/>
        <v>71.2</v>
      </c>
      <c r="J5" s="175">
        <f t="shared" si="2"/>
        <v>71.2</v>
      </c>
      <c r="K5" s="175">
        <f t="shared" si="2"/>
        <v>71.2</v>
      </c>
      <c r="L5" s="175">
        <f t="shared" si="2"/>
        <v>71.2</v>
      </c>
      <c r="M5" s="175">
        <f t="shared" si="2"/>
        <v>71.2</v>
      </c>
      <c r="N5" s="175">
        <f t="shared" si="2"/>
        <v>71.2</v>
      </c>
      <c r="O5" s="175">
        <f t="shared" si="2"/>
        <v>71.2</v>
      </c>
      <c r="P5" s="175">
        <f t="shared" si="2"/>
        <v>71.2</v>
      </c>
      <c r="T5" s="172"/>
    </row>
    <row r="6" spans="1:20" ht="33" customHeight="1" x14ac:dyDescent="0.25">
      <c r="A6" s="7" t="s">
        <v>652</v>
      </c>
      <c r="B6" s="117" t="s">
        <v>653</v>
      </c>
      <c r="C6" s="117" t="s">
        <v>654</v>
      </c>
      <c r="D6" s="117" t="s">
        <v>655</v>
      </c>
      <c r="E6" s="117" t="s">
        <v>656</v>
      </c>
      <c r="F6" s="117" t="s">
        <v>657</v>
      </c>
      <c r="G6" s="117" t="s">
        <v>658</v>
      </c>
      <c r="H6" s="117" t="s">
        <v>659</v>
      </c>
      <c r="I6" s="117" t="s">
        <v>660</v>
      </c>
      <c r="J6" s="117" t="s">
        <v>661</v>
      </c>
      <c r="K6" s="117" t="s">
        <v>662</v>
      </c>
      <c r="L6" s="117" t="s">
        <v>663</v>
      </c>
      <c r="M6" s="117" t="s">
        <v>664</v>
      </c>
      <c r="N6" s="117" t="s">
        <v>665</v>
      </c>
      <c r="O6" s="117" t="s">
        <v>666</v>
      </c>
      <c r="P6" s="117" t="s">
        <v>667</v>
      </c>
      <c r="T6" s="172"/>
    </row>
    <row r="7" spans="1:20" ht="33" customHeight="1" x14ac:dyDescent="0.25">
      <c r="A7" s="116" t="s">
        <v>669</v>
      </c>
      <c r="B7" s="100">
        <v>10</v>
      </c>
      <c r="C7" s="100">
        <v>12</v>
      </c>
      <c r="D7" s="107">
        <v>12</v>
      </c>
      <c r="E7" s="100">
        <v>14</v>
      </c>
      <c r="F7" s="100">
        <v>8</v>
      </c>
      <c r="G7" s="100">
        <v>6</v>
      </c>
      <c r="H7" s="59">
        <v>9</v>
      </c>
      <c r="I7" s="100">
        <v>9</v>
      </c>
      <c r="J7" s="100">
        <v>7</v>
      </c>
      <c r="K7" s="100">
        <v>8</v>
      </c>
      <c r="L7" s="100">
        <v>8</v>
      </c>
      <c r="M7" s="165">
        <v>7</v>
      </c>
      <c r="N7" s="59">
        <v>7</v>
      </c>
      <c r="O7" s="165">
        <v>10</v>
      </c>
      <c r="P7" s="100">
        <v>9</v>
      </c>
      <c r="T7" s="172"/>
    </row>
    <row r="8" spans="1:20" ht="33" customHeight="1" x14ac:dyDescent="0.25">
      <c r="A8" s="116" t="s">
        <v>669</v>
      </c>
      <c r="B8" s="194">
        <f t="shared" ref="B8:P8" si="3">AVERAGE(($B$7:$H$7),($I$7:$L$7),($M$7:$P$7))</f>
        <v>9.0666666666666664</v>
      </c>
      <c r="C8" s="194">
        <f>AVERAGE(($B$7:$H$7),($I$7:$L$7),($M$7:$P$7))</f>
        <v>9.0666666666666664</v>
      </c>
      <c r="D8" s="194">
        <f t="shared" si="3"/>
        <v>9.0666666666666664</v>
      </c>
      <c r="E8" s="194">
        <f t="shared" si="3"/>
        <v>9.0666666666666664</v>
      </c>
      <c r="F8" s="194">
        <f t="shared" si="3"/>
        <v>9.0666666666666664</v>
      </c>
      <c r="G8" s="194">
        <f t="shared" si="3"/>
        <v>9.0666666666666664</v>
      </c>
      <c r="H8" s="194">
        <f t="shared" si="3"/>
        <v>9.0666666666666664</v>
      </c>
      <c r="I8" s="194">
        <f t="shared" si="3"/>
        <v>9.0666666666666664</v>
      </c>
      <c r="J8" s="194">
        <f t="shared" si="3"/>
        <v>9.0666666666666664</v>
      </c>
      <c r="K8" s="194">
        <f t="shared" si="3"/>
        <v>9.0666666666666664</v>
      </c>
      <c r="L8" s="194">
        <f t="shared" si="3"/>
        <v>9.0666666666666664</v>
      </c>
      <c r="M8" s="194">
        <f t="shared" si="3"/>
        <v>9.0666666666666664</v>
      </c>
      <c r="N8" s="194">
        <f t="shared" si="3"/>
        <v>9.0666666666666664</v>
      </c>
      <c r="O8" s="194">
        <f t="shared" si="3"/>
        <v>9.0666666666666664</v>
      </c>
      <c r="P8" s="194">
        <f t="shared" si="3"/>
        <v>9.0666666666666664</v>
      </c>
      <c r="T8" s="172"/>
    </row>
    <row r="9" spans="1:20" ht="33" customHeight="1" x14ac:dyDescent="0.25">
      <c r="A9" s="116" t="s">
        <v>669</v>
      </c>
      <c r="B9" s="194">
        <f t="shared" ref="B9:P9" si="4">AVERAGE(($B$7:$H$7),($I$7:$L$7),($M$7:$P$7))/100*90</f>
        <v>8.16</v>
      </c>
      <c r="C9" s="194">
        <f t="shared" si="4"/>
        <v>8.16</v>
      </c>
      <c r="D9" s="194">
        <f t="shared" si="4"/>
        <v>8.16</v>
      </c>
      <c r="E9" s="194">
        <f t="shared" si="4"/>
        <v>8.16</v>
      </c>
      <c r="F9" s="194">
        <f t="shared" si="4"/>
        <v>8.16</v>
      </c>
      <c r="G9" s="194">
        <f t="shared" si="4"/>
        <v>8.16</v>
      </c>
      <c r="H9" s="194">
        <f t="shared" si="4"/>
        <v>8.16</v>
      </c>
      <c r="I9" s="194">
        <f t="shared" si="4"/>
        <v>8.16</v>
      </c>
      <c r="J9" s="194">
        <f t="shared" si="4"/>
        <v>8.16</v>
      </c>
      <c r="K9" s="194">
        <f t="shared" si="4"/>
        <v>8.16</v>
      </c>
      <c r="L9" s="194">
        <f t="shared" si="4"/>
        <v>8.16</v>
      </c>
      <c r="M9" s="194">
        <f t="shared" si="4"/>
        <v>8.16</v>
      </c>
      <c r="N9" s="194">
        <f t="shared" si="4"/>
        <v>8.16</v>
      </c>
      <c r="O9" s="194">
        <f t="shared" si="4"/>
        <v>8.16</v>
      </c>
      <c r="P9" s="194">
        <f t="shared" si="4"/>
        <v>8.16</v>
      </c>
      <c r="T9" s="172"/>
    </row>
    <row r="10" spans="1:20" ht="33" customHeight="1" x14ac:dyDescent="0.25">
      <c r="A10" s="116" t="s">
        <v>669</v>
      </c>
      <c r="B10" s="194">
        <f t="shared" ref="B10:P10" si="5">AVERAGE(($B$7:$H$7),($I$7:$L$7),($M$7:$P$7))+(AVERAGE(($B$7:$H$7),($I$7:$L$7),($M$7:$O$7))/100*10)</f>
        <v>9.973809523809523</v>
      </c>
      <c r="C10" s="194">
        <f t="shared" si="5"/>
        <v>9.973809523809523</v>
      </c>
      <c r="D10" s="194">
        <f t="shared" si="5"/>
        <v>9.973809523809523</v>
      </c>
      <c r="E10" s="194">
        <f>AVERAGE(($B$7:$H$7),($I$7:$L$7),($M$7:$P$7))+(AVERAGE(($B$7:$H$7),($I$7:$L$7),($M$7:$O$7))/100*10)</f>
        <v>9.973809523809523</v>
      </c>
      <c r="F10" s="194">
        <f t="shared" si="5"/>
        <v>9.973809523809523</v>
      </c>
      <c r="G10" s="194">
        <f t="shared" si="5"/>
        <v>9.973809523809523</v>
      </c>
      <c r="H10" s="194">
        <f t="shared" si="5"/>
        <v>9.973809523809523</v>
      </c>
      <c r="I10" s="194">
        <f t="shared" si="5"/>
        <v>9.973809523809523</v>
      </c>
      <c r="J10" s="194">
        <f t="shared" si="5"/>
        <v>9.973809523809523</v>
      </c>
      <c r="K10" s="194">
        <f t="shared" si="5"/>
        <v>9.973809523809523</v>
      </c>
      <c r="L10" s="194">
        <f t="shared" si="5"/>
        <v>9.973809523809523</v>
      </c>
      <c r="M10" s="194">
        <f t="shared" si="5"/>
        <v>9.973809523809523</v>
      </c>
      <c r="N10" s="194">
        <f t="shared" si="5"/>
        <v>9.973809523809523</v>
      </c>
      <c r="O10" s="194">
        <f t="shared" si="5"/>
        <v>9.973809523809523</v>
      </c>
      <c r="P10" s="194">
        <f t="shared" si="5"/>
        <v>9.973809523809523</v>
      </c>
    </row>
    <row r="11" spans="1:20" ht="33" customHeight="1" x14ac:dyDescent="0.25">
      <c r="A11" s="116" t="s">
        <v>669</v>
      </c>
      <c r="B11" s="194">
        <f>AVERAGE(($B$7:$H$7),($I$7:$L$7),($M$7:$P$7))/100*80</f>
        <v>7.253333333333333</v>
      </c>
      <c r="C11" s="194">
        <f t="shared" ref="C11:P11" si="6">AVERAGE(($B$7:$H$7),($I$7:$L$7),($M$7:$P$7))/100*80</f>
        <v>7.253333333333333</v>
      </c>
      <c r="D11" s="194">
        <f t="shared" si="6"/>
        <v>7.253333333333333</v>
      </c>
      <c r="E11" s="194">
        <f t="shared" si="6"/>
        <v>7.253333333333333</v>
      </c>
      <c r="F11" s="194">
        <f t="shared" si="6"/>
        <v>7.253333333333333</v>
      </c>
      <c r="G11" s="194">
        <f>AVERAGE(($B$7:$H$7),($I$7:$L$7),($M$7:$P$7))/100*80</f>
        <v>7.253333333333333</v>
      </c>
      <c r="H11" s="194">
        <f t="shared" si="6"/>
        <v>7.253333333333333</v>
      </c>
      <c r="I11" s="194">
        <f t="shared" si="6"/>
        <v>7.253333333333333</v>
      </c>
      <c r="J11" s="194">
        <f t="shared" si="6"/>
        <v>7.253333333333333</v>
      </c>
      <c r="K11" s="194">
        <f t="shared" si="6"/>
        <v>7.253333333333333</v>
      </c>
      <c r="L11" s="194">
        <f t="shared" si="6"/>
        <v>7.253333333333333</v>
      </c>
      <c r="M11" s="194">
        <f t="shared" si="6"/>
        <v>7.253333333333333</v>
      </c>
      <c r="N11" s="194">
        <f t="shared" si="6"/>
        <v>7.253333333333333</v>
      </c>
      <c r="O11" s="194">
        <f t="shared" si="6"/>
        <v>7.253333333333333</v>
      </c>
      <c r="P11" s="194">
        <f t="shared" si="6"/>
        <v>7.253333333333333</v>
      </c>
    </row>
    <row r="12" spans="1:20" ht="33" customHeight="1" x14ac:dyDescent="0.25">
      <c r="A12" s="116" t="s">
        <v>669</v>
      </c>
      <c r="B12" s="194">
        <f>AVERAGE(($B$7:$H$7),($I$7:$L$7),($M$7:$P$7))+(AVERAGE(($B$7:$H$7),($I$7:$L$7),($M$7:$O$7))/100*20)</f>
        <v>10.88095238095238</v>
      </c>
      <c r="C12" s="194">
        <f t="shared" ref="C12:P12" si="7">AVERAGE(($B$7:$H$7),($I$7:$L$7),($M$7:$P$7))+(AVERAGE(($B$7:$H$7),($I$7:$L$7),($M$7:$O$7))/100*20)</f>
        <v>10.88095238095238</v>
      </c>
      <c r="D12" s="194">
        <f t="shared" si="7"/>
        <v>10.88095238095238</v>
      </c>
      <c r="E12" s="194">
        <f t="shared" si="7"/>
        <v>10.88095238095238</v>
      </c>
      <c r="F12" s="194">
        <f t="shared" si="7"/>
        <v>10.88095238095238</v>
      </c>
      <c r="G12" s="194">
        <f t="shared" si="7"/>
        <v>10.88095238095238</v>
      </c>
      <c r="H12" s="194">
        <f>AVERAGE(($B$7:$H$7),($I$7:$L$7),($M$7:$P$7))+(AVERAGE(($B$7:$H$7),($I$7:$L$7),($M$7:$O$7))/100*20)</f>
        <v>10.88095238095238</v>
      </c>
      <c r="I12" s="194">
        <f t="shared" si="7"/>
        <v>10.88095238095238</v>
      </c>
      <c r="J12" s="194">
        <f t="shared" si="7"/>
        <v>10.88095238095238</v>
      </c>
      <c r="K12" s="194">
        <f t="shared" si="7"/>
        <v>10.88095238095238</v>
      </c>
      <c r="L12" s="194">
        <f t="shared" si="7"/>
        <v>10.88095238095238</v>
      </c>
      <c r="M12" s="194">
        <f t="shared" si="7"/>
        <v>10.88095238095238</v>
      </c>
      <c r="N12" s="194">
        <f t="shared" si="7"/>
        <v>10.88095238095238</v>
      </c>
      <c r="O12" s="194">
        <f t="shared" si="7"/>
        <v>10.88095238095238</v>
      </c>
      <c r="P12" s="194">
        <f t="shared" si="7"/>
        <v>10.88095238095238</v>
      </c>
    </row>
    <row r="13" spans="1:20" s="115" customFormat="1" ht="33" customHeight="1" x14ac:dyDescent="0.25">
      <c r="A13" s="116" t="s">
        <v>670</v>
      </c>
      <c r="B13" s="114">
        <v>400</v>
      </c>
      <c r="C13" s="114">
        <v>572</v>
      </c>
      <c r="D13" s="114">
        <v>571</v>
      </c>
      <c r="E13" s="114">
        <v>656</v>
      </c>
      <c r="F13" s="114">
        <v>460</v>
      </c>
      <c r="G13" s="114">
        <v>242</v>
      </c>
      <c r="H13" s="99">
        <v>313</v>
      </c>
      <c r="I13" s="114">
        <v>466</v>
      </c>
      <c r="J13" s="114">
        <v>407</v>
      </c>
      <c r="K13" s="114">
        <v>510</v>
      </c>
      <c r="L13" s="100">
        <v>473</v>
      </c>
      <c r="M13" s="169">
        <v>605</v>
      </c>
      <c r="N13" s="59">
        <v>402</v>
      </c>
      <c r="O13" s="169">
        <v>517</v>
      </c>
      <c r="P13" s="100">
        <v>489</v>
      </c>
    </row>
    <row r="14" spans="1:20" s="115" customFormat="1" ht="33" customHeight="1" x14ac:dyDescent="0.25">
      <c r="A14" s="116" t="s">
        <v>670</v>
      </c>
      <c r="B14" s="100">
        <f>AVERAGE($B$13:$P$13)</f>
        <v>472.2</v>
      </c>
      <c r="C14" s="100">
        <f t="shared" ref="C14:P14" si="8">AVERAGE($B$13:$P$13)</f>
        <v>472.2</v>
      </c>
      <c r="D14" s="100">
        <f t="shared" si="8"/>
        <v>472.2</v>
      </c>
      <c r="E14" s="100">
        <f t="shared" si="8"/>
        <v>472.2</v>
      </c>
      <c r="F14" s="100">
        <f t="shared" si="8"/>
        <v>472.2</v>
      </c>
      <c r="G14" s="100">
        <f t="shared" si="8"/>
        <v>472.2</v>
      </c>
      <c r="H14" s="100">
        <f t="shared" si="8"/>
        <v>472.2</v>
      </c>
      <c r="I14" s="100">
        <f t="shared" si="8"/>
        <v>472.2</v>
      </c>
      <c r="J14" s="100">
        <f t="shared" si="8"/>
        <v>472.2</v>
      </c>
      <c r="K14" s="100">
        <f t="shared" si="8"/>
        <v>472.2</v>
      </c>
      <c r="L14" s="100">
        <f t="shared" si="8"/>
        <v>472.2</v>
      </c>
      <c r="M14" s="100">
        <f t="shared" si="8"/>
        <v>472.2</v>
      </c>
      <c r="N14" s="100">
        <f t="shared" si="8"/>
        <v>472.2</v>
      </c>
      <c r="O14" s="100">
        <f t="shared" si="8"/>
        <v>472.2</v>
      </c>
      <c r="P14" s="100">
        <f t="shared" si="8"/>
        <v>472.2</v>
      </c>
    </row>
    <row r="15" spans="1:20" s="115" customFormat="1" ht="33" customHeight="1" x14ac:dyDescent="0.25">
      <c r="A15" s="116" t="s">
        <v>670</v>
      </c>
      <c r="B15" s="100">
        <f>AVERAGE($B$14:$P$14)/100*90</f>
        <v>424.9799999999999</v>
      </c>
      <c r="C15" s="100">
        <f t="shared" ref="C15:P15" si="9">AVERAGE($B$14:$P$14)/100*90</f>
        <v>424.9799999999999</v>
      </c>
      <c r="D15" s="100">
        <f t="shared" si="9"/>
        <v>424.9799999999999</v>
      </c>
      <c r="E15" s="100">
        <f t="shared" si="9"/>
        <v>424.9799999999999</v>
      </c>
      <c r="F15" s="100">
        <f t="shared" si="9"/>
        <v>424.9799999999999</v>
      </c>
      <c r="G15" s="100">
        <f t="shared" si="9"/>
        <v>424.9799999999999</v>
      </c>
      <c r="H15" s="100">
        <f t="shared" si="9"/>
        <v>424.9799999999999</v>
      </c>
      <c r="I15" s="100">
        <f>AVERAGE($B$14:$P$14)/100*90</f>
        <v>424.9799999999999</v>
      </c>
      <c r="J15" s="100">
        <f t="shared" si="9"/>
        <v>424.9799999999999</v>
      </c>
      <c r="K15" s="100">
        <f t="shared" si="9"/>
        <v>424.9799999999999</v>
      </c>
      <c r="L15" s="100">
        <f t="shared" si="9"/>
        <v>424.9799999999999</v>
      </c>
      <c r="M15" s="100">
        <f t="shared" si="9"/>
        <v>424.9799999999999</v>
      </c>
      <c r="N15" s="100">
        <f t="shared" si="9"/>
        <v>424.9799999999999</v>
      </c>
      <c r="O15" s="100">
        <f t="shared" si="9"/>
        <v>424.9799999999999</v>
      </c>
      <c r="P15" s="100">
        <f t="shared" si="9"/>
        <v>424.9799999999999</v>
      </c>
    </row>
    <row r="16" spans="1:20" s="115" customFormat="1" ht="33" customHeight="1" x14ac:dyDescent="0.25">
      <c r="A16" s="116" t="s">
        <v>670</v>
      </c>
      <c r="B16" s="100">
        <f>AVERAGE($B$14:$P$14)/100*80</f>
        <v>377.75999999999988</v>
      </c>
      <c r="C16" s="100">
        <f t="shared" ref="C16:P16" si="10">AVERAGE($B$14:$P$14)/100*80</f>
        <v>377.75999999999988</v>
      </c>
      <c r="D16" s="100">
        <f t="shared" si="10"/>
        <v>377.75999999999988</v>
      </c>
      <c r="E16" s="100">
        <f t="shared" si="10"/>
        <v>377.75999999999988</v>
      </c>
      <c r="F16" s="100">
        <f t="shared" si="10"/>
        <v>377.75999999999988</v>
      </c>
      <c r="G16" s="100">
        <f t="shared" si="10"/>
        <v>377.75999999999988</v>
      </c>
      <c r="H16" s="100">
        <f>AVERAGE($B$14:$P$14)/100*80</f>
        <v>377.75999999999988</v>
      </c>
      <c r="I16" s="100">
        <f t="shared" si="10"/>
        <v>377.75999999999988</v>
      </c>
      <c r="J16" s="100">
        <f t="shared" si="10"/>
        <v>377.75999999999988</v>
      </c>
      <c r="K16" s="100">
        <f t="shared" si="10"/>
        <v>377.75999999999988</v>
      </c>
      <c r="L16" s="100">
        <f t="shared" si="10"/>
        <v>377.75999999999988</v>
      </c>
      <c r="M16" s="100">
        <f t="shared" si="10"/>
        <v>377.75999999999988</v>
      </c>
      <c r="N16" s="100">
        <f t="shared" si="10"/>
        <v>377.75999999999988</v>
      </c>
      <c r="O16" s="100">
        <f t="shared" si="10"/>
        <v>377.75999999999988</v>
      </c>
      <c r="P16" s="100">
        <f t="shared" si="10"/>
        <v>377.75999999999988</v>
      </c>
    </row>
    <row r="17" spans="1:16" s="115" customFormat="1" ht="33" customHeight="1" x14ac:dyDescent="0.25">
      <c r="A17" s="116" t="s">
        <v>670</v>
      </c>
      <c r="B17" s="100">
        <f>AVERAGE($B$14:$P$14)/100*110</f>
        <v>519.41999999999985</v>
      </c>
      <c r="C17" s="100">
        <f t="shared" ref="C17:P17" si="11">AVERAGE($B$14:$P$14)/100*110</f>
        <v>519.41999999999985</v>
      </c>
      <c r="D17" s="100">
        <f t="shared" si="11"/>
        <v>519.41999999999985</v>
      </c>
      <c r="E17" s="100">
        <f t="shared" si="11"/>
        <v>519.41999999999985</v>
      </c>
      <c r="F17" s="100">
        <f t="shared" si="11"/>
        <v>519.41999999999985</v>
      </c>
      <c r="G17" s="100">
        <f t="shared" si="11"/>
        <v>519.41999999999985</v>
      </c>
      <c r="H17" s="100">
        <f t="shared" si="11"/>
        <v>519.41999999999985</v>
      </c>
      <c r="I17" s="100">
        <f t="shared" si="11"/>
        <v>519.41999999999985</v>
      </c>
      <c r="J17" s="100">
        <f t="shared" si="11"/>
        <v>519.41999999999985</v>
      </c>
      <c r="K17" s="100">
        <f t="shared" si="11"/>
        <v>519.41999999999985</v>
      </c>
      <c r="L17" s="100">
        <f t="shared" si="11"/>
        <v>519.41999999999985</v>
      </c>
      <c r="M17" s="100">
        <f t="shared" si="11"/>
        <v>519.41999999999985</v>
      </c>
      <c r="N17" s="100">
        <f t="shared" si="11"/>
        <v>519.41999999999985</v>
      </c>
      <c r="O17" s="100">
        <f t="shared" si="11"/>
        <v>519.41999999999985</v>
      </c>
      <c r="P17" s="100">
        <f t="shared" si="11"/>
        <v>519.41999999999985</v>
      </c>
    </row>
    <row r="18" spans="1:16" s="115" customFormat="1" ht="33" customHeight="1" x14ac:dyDescent="0.25">
      <c r="A18" s="116" t="s">
        <v>670</v>
      </c>
      <c r="B18" s="100">
        <f>AVERAGE($B$14:$P$14)/100*120</f>
        <v>566.63999999999987</v>
      </c>
      <c r="C18" s="100">
        <f t="shared" ref="C18:P18" si="12">AVERAGE($B$14:$P$14)/100*120</f>
        <v>566.63999999999987</v>
      </c>
      <c r="D18" s="100">
        <f t="shared" si="12"/>
        <v>566.63999999999987</v>
      </c>
      <c r="E18" s="100">
        <f t="shared" si="12"/>
        <v>566.63999999999987</v>
      </c>
      <c r="F18" s="100">
        <f t="shared" si="12"/>
        <v>566.63999999999987</v>
      </c>
      <c r="G18" s="100">
        <f t="shared" si="12"/>
        <v>566.63999999999987</v>
      </c>
      <c r="H18" s="100">
        <f t="shared" si="12"/>
        <v>566.63999999999987</v>
      </c>
      <c r="I18" s="100">
        <f>AVERAGE($B$14:$P$14)/100*120</f>
        <v>566.63999999999987</v>
      </c>
      <c r="J18" s="100">
        <f t="shared" si="12"/>
        <v>566.63999999999987</v>
      </c>
      <c r="K18" s="100">
        <f t="shared" si="12"/>
        <v>566.63999999999987</v>
      </c>
      <c r="L18" s="100">
        <f t="shared" si="12"/>
        <v>566.63999999999987</v>
      </c>
      <c r="M18" s="100">
        <f t="shared" si="12"/>
        <v>566.63999999999987</v>
      </c>
      <c r="N18" s="100">
        <f t="shared" si="12"/>
        <v>566.63999999999987</v>
      </c>
      <c r="O18" s="100">
        <f t="shared" si="12"/>
        <v>566.63999999999987</v>
      </c>
      <c r="P18" s="100">
        <f t="shared" si="12"/>
        <v>566.63999999999987</v>
      </c>
    </row>
    <row r="19" spans="1:16" s="115" customFormat="1" ht="33" customHeight="1" x14ac:dyDescent="0.25">
      <c r="A19" s="7" t="s">
        <v>652</v>
      </c>
      <c r="B19" s="117" t="s">
        <v>653</v>
      </c>
      <c r="C19" s="117" t="s">
        <v>654</v>
      </c>
      <c r="D19" s="117" t="s">
        <v>655</v>
      </c>
      <c r="E19" s="117" t="s">
        <v>656</v>
      </c>
      <c r="F19" s="117" t="s">
        <v>657</v>
      </c>
      <c r="G19" s="117" t="s">
        <v>658</v>
      </c>
      <c r="H19" s="117" t="s">
        <v>659</v>
      </c>
      <c r="I19" s="117" t="s">
        <v>660</v>
      </c>
      <c r="J19" s="117" t="s">
        <v>661</v>
      </c>
      <c r="K19" s="117" t="s">
        <v>662</v>
      </c>
      <c r="L19" s="117" t="s">
        <v>663</v>
      </c>
      <c r="M19" s="117" t="s">
        <v>664</v>
      </c>
      <c r="N19" s="117" t="s">
        <v>665</v>
      </c>
      <c r="O19" s="117" t="s">
        <v>666</v>
      </c>
      <c r="P19" s="117" t="s">
        <v>667</v>
      </c>
    </row>
    <row r="20" spans="1:16" ht="33" customHeight="1" x14ac:dyDescent="0.25">
      <c r="A20" s="116" t="s">
        <v>671</v>
      </c>
      <c r="B20" s="100">
        <v>32</v>
      </c>
      <c r="C20" s="100">
        <v>38</v>
      </c>
      <c r="D20" s="100">
        <v>31</v>
      </c>
      <c r="E20" s="100">
        <v>39</v>
      </c>
      <c r="F20" s="100">
        <v>34</v>
      </c>
      <c r="G20" s="100">
        <v>28</v>
      </c>
      <c r="H20" s="59">
        <v>31</v>
      </c>
      <c r="I20" s="100">
        <v>31</v>
      </c>
      <c r="J20" s="100">
        <v>29</v>
      </c>
      <c r="K20" s="100">
        <v>27</v>
      </c>
      <c r="L20" s="100">
        <v>23</v>
      </c>
      <c r="M20" s="165">
        <v>26</v>
      </c>
      <c r="N20" s="59">
        <v>24</v>
      </c>
      <c r="O20" s="165">
        <v>30</v>
      </c>
      <c r="P20" s="100">
        <v>26</v>
      </c>
    </row>
    <row r="21" spans="1:16" ht="33" customHeight="1" x14ac:dyDescent="0.25">
      <c r="A21" s="116" t="s">
        <v>671</v>
      </c>
      <c r="B21" s="194">
        <f t="shared" ref="B21:P21" si="13">AVERAGE($B$20:$P$20)</f>
        <v>29.933333333333334</v>
      </c>
      <c r="C21" s="194">
        <f t="shared" si="13"/>
        <v>29.933333333333334</v>
      </c>
      <c r="D21" s="194">
        <f t="shared" si="13"/>
        <v>29.933333333333334</v>
      </c>
      <c r="E21" s="194">
        <f t="shared" si="13"/>
        <v>29.933333333333334</v>
      </c>
      <c r="F21" s="194">
        <f t="shared" si="13"/>
        <v>29.933333333333334</v>
      </c>
      <c r="G21" s="194">
        <f t="shared" si="13"/>
        <v>29.933333333333334</v>
      </c>
      <c r="H21" s="194">
        <f t="shared" si="13"/>
        <v>29.933333333333334</v>
      </c>
      <c r="I21" s="194">
        <f t="shared" si="13"/>
        <v>29.933333333333334</v>
      </c>
      <c r="J21" s="194">
        <f t="shared" si="13"/>
        <v>29.933333333333334</v>
      </c>
      <c r="K21" s="194">
        <f t="shared" si="13"/>
        <v>29.933333333333334</v>
      </c>
      <c r="L21" s="194">
        <f t="shared" si="13"/>
        <v>29.933333333333334</v>
      </c>
      <c r="M21" s="194">
        <f t="shared" si="13"/>
        <v>29.933333333333334</v>
      </c>
      <c r="N21" s="194">
        <f t="shared" si="13"/>
        <v>29.933333333333334</v>
      </c>
      <c r="O21" s="194">
        <f t="shared" si="13"/>
        <v>29.933333333333334</v>
      </c>
      <c r="P21" s="194">
        <f t="shared" si="13"/>
        <v>29.933333333333334</v>
      </c>
    </row>
    <row r="22" spans="1:16" ht="33" customHeight="1" x14ac:dyDescent="0.25">
      <c r="A22" s="116" t="s">
        <v>671</v>
      </c>
      <c r="B22" s="194">
        <f t="shared" ref="B22:P22" si="14">AVERAGE($B$20:$P$20)/100*90</f>
        <v>26.94</v>
      </c>
      <c r="C22" s="194">
        <f t="shared" si="14"/>
        <v>26.94</v>
      </c>
      <c r="D22" s="194">
        <f t="shared" si="14"/>
        <v>26.94</v>
      </c>
      <c r="E22" s="194">
        <f t="shared" si="14"/>
        <v>26.94</v>
      </c>
      <c r="F22" s="194">
        <f t="shared" si="14"/>
        <v>26.94</v>
      </c>
      <c r="G22" s="194">
        <f t="shared" si="14"/>
        <v>26.94</v>
      </c>
      <c r="H22" s="194">
        <f t="shared" si="14"/>
        <v>26.94</v>
      </c>
      <c r="I22" s="194">
        <f t="shared" si="14"/>
        <v>26.94</v>
      </c>
      <c r="J22" s="194">
        <f t="shared" si="14"/>
        <v>26.94</v>
      </c>
      <c r="K22" s="194">
        <f t="shared" si="14"/>
        <v>26.94</v>
      </c>
      <c r="L22" s="194">
        <f t="shared" si="14"/>
        <v>26.94</v>
      </c>
      <c r="M22" s="194">
        <f t="shared" si="14"/>
        <v>26.94</v>
      </c>
      <c r="N22" s="194">
        <f t="shared" si="14"/>
        <v>26.94</v>
      </c>
      <c r="O22" s="194">
        <f t="shared" si="14"/>
        <v>26.94</v>
      </c>
      <c r="P22" s="194">
        <f t="shared" si="14"/>
        <v>26.94</v>
      </c>
    </row>
    <row r="23" spans="1:16" ht="33" customHeight="1" x14ac:dyDescent="0.25">
      <c r="A23" s="116" t="s">
        <v>671</v>
      </c>
      <c r="B23" s="194">
        <f>AVERAGE($B$20:$P$20)+(AVERAGE($B$20:$O$20)/100*20)</f>
        <v>35.976190476190474</v>
      </c>
      <c r="C23" s="194">
        <f t="shared" ref="C23:P23" si="15">AVERAGE($B$20:$P$20)+(AVERAGE($B$20:$O$20)/100*20)</f>
        <v>35.976190476190474</v>
      </c>
      <c r="D23" s="194">
        <f t="shared" si="15"/>
        <v>35.976190476190474</v>
      </c>
      <c r="E23" s="194">
        <f t="shared" si="15"/>
        <v>35.976190476190474</v>
      </c>
      <c r="F23" s="194">
        <f t="shared" si="15"/>
        <v>35.976190476190474</v>
      </c>
      <c r="G23" s="194">
        <f t="shared" si="15"/>
        <v>35.976190476190474</v>
      </c>
      <c r="H23" s="194">
        <f t="shared" si="15"/>
        <v>35.976190476190474</v>
      </c>
      <c r="I23" s="194">
        <f t="shared" si="15"/>
        <v>35.976190476190474</v>
      </c>
      <c r="J23" s="194">
        <f t="shared" si="15"/>
        <v>35.976190476190474</v>
      </c>
      <c r="K23" s="194">
        <f t="shared" si="15"/>
        <v>35.976190476190474</v>
      </c>
      <c r="L23" s="194">
        <f t="shared" si="15"/>
        <v>35.976190476190474</v>
      </c>
      <c r="M23" s="194">
        <f t="shared" si="15"/>
        <v>35.976190476190474</v>
      </c>
      <c r="N23" s="194">
        <f t="shared" si="15"/>
        <v>35.976190476190474</v>
      </c>
      <c r="O23" s="194">
        <f t="shared" si="15"/>
        <v>35.976190476190474</v>
      </c>
      <c r="P23" s="194">
        <f t="shared" si="15"/>
        <v>35.976190476190474</v>
      </c>
    </row>
    <row r="24" spans="1:16" ht="33" customHeight="1" x14ac:dyDescent="0.25">
      <c r="A24" s="116" t="s">
        <v>671</v>
      </c>
      <c r="B24" s="194">
        <f>AVERAGE($B$20:$P$20)/100*80</f>
        <v>23.946666666666665</v>
      </c>
      <c r="C24" s="194">
        <f t="shared" ref="C24:P24" si="16">AVERAGE($B$20:$P$20)/100*80</f>
        <v>23.946666666666665</v>
      </c>
      <c r="D24" s="194">
        <f t="shared" si="16"/>
        <v>23.946666666666665</v>
      </c>
      <c r="E24" s="194">
        <f t="shared" si="16"/>
        <v>23.946666666666665</v>
      </c>
      <c r="F24" s="194">
        <f t="shared" si="16"/>
        <v>23.946666666666665</v>
      </c>
      <c r="G24" s="194">
        <f t="shared" si="16"/>
        <v>23.946666666666665</v>
      </c>
      <c r="H24" s="194">
        <f t="shared" si="16"/>
        <v>23.946666666666665</v>
      </c>
      <c r="I24" s="194">
        <f t="shared" si="16"/>
        <v>23.946666666666665</v>
      </c>
      <c r="J24" s="194">
        <f t="shared" si="16"/>
        <v>23.946666666666665</v>
      </c>
      <c r="K24" s="194">
        <f t="shared" si="16"/>
        <v>23.946666666666665</v>
      </c>
      <c r="L24" s="194">
        <f t="shared" si="16"/>
        <v>23.946666666666665</v>
      </c>
      <c r="M24" s="194">
        <f t="shared" si="16"/>
        <v>23.946666666666665</v>
      </c>
      <c r="N24" s="194">
        <f t="shared" si="16"/>
        <v>23.946666666666665</v>
      </c>
      <c r="O24" s="194">
        <f t="shared" si="16"/>
        <v>23.946666666666665</v>
      </c>
      <c r="P24" s="194">
        <f t="shared" si="16"/>
        <v>23.946666666666665</v>
      </c>
    </row>
    <row r="25" spans="1:16" ht="33" customHeight="1" x14ac:dyDescent="0.25">
      <c r="A25" s="116" t="s">
        <v>671</v>
      </c>
      <c r="B25" s="194">
        <f t="shared" ref="B25:P25" si="17">AVERAGE($B$20:$P$20)+(AVERAGE($B$20:$O$20)/100*10)</f>
        <v>32.954761904761902</v>
      </c>
      <c r="C25" s="194">
        <f t="shared" si="17"/>
        <v>32.954761904761902</v>
      </c>
      <c r="D25" s="194">
        <f t="shared" si="17"/>
        <v>32.954761904761902</v>
      </c>
      <c r="E25" s="194">
        <f t="shared" si="17"/>
        <v>32.954761904761902</v>
      </c>
      <c r="F25" s="194">
        <f t="shared" si="17"/>
        <v>32.954761904761902</v>
      </c>
      <c r="G25" s="194">
        <f t="shared" si="17"/>
        <v>32.954761904761902</v>
      </c>
      <c r="H25" s="194">
        <f t="shared" si="17"/>
        <v>32.954761904761902</v>
      </c>
      <c r="I25" s="194">
        <f t="shared" si="17"/>
        <v>32.954761904761902</v>
      </c>
      <c r="J25" s="194">
        <f t="shared" si="17"/>
        <v>32.954761904761902</v>
      </c>
      <c r="K25" s="194">
        <f t="shared" si="17"/>
        <v>32.954761904761902</v>
      </c>
      <c r="L25" s="194">
        <f t="shared" si="17"/>
        <v>32.954761904761902</v>
      </c>
      <c r="M25" s="194">
        <f t="shared" si="17"/>
        <v>32.954761904761902</v>
      </c>
      <c r="N25" s="194">
        <f t="shared" si="17"/>
        <v>32.954761904761902</v>
      </c>
      <c r="O25" s="194">
        <f t="shared" si="17"/>
        <v>32.954761904761902</v>
      </c>
      <c r="P25" s="194">
        <f t="shared" si="17"/>
        <v>32.954761904761902</v>
      </c>
    </row>
    <row r="26" spans="1:16" ht="33" customHeight="1" x14ac:dyDescent="0.25">
      <c r="A26" s="7" t="s">
        <v>652</v>
      </c>
      <c r="B26" s="117" t="s">
        <v>653</v>
      </c>
      <c r="C26" s="117" t="s">
        <v>654</v>
      </c>
      <c r="D26" s="117" t="s">
        <v>655</v>
      </c>
      <c r="E26" s="117" t="s">
        <v>656</v>
      </c>
      <c r="F26" s="117" t="s">
        <v>657</v>
      </c>
      <c r="G26" s="117" t="s">
        <v>658</v>
      </c>
      <c r="H26" s="117" t="s">
        <v>659</v>
      </c>
      <c r="I26" s="117" t="s">
        <v>660</v>
      </c>
      <c r="J26" s="117" t="s">
        <v>661</v>
      </c>
      <c r="K26" s="117" t="s">
        <v>662</v>
      </c>
      <c r="L26" s="117" t="s">
        <v>663</v>
      </c>
      <c r="M26" s="117" t="s">
        <v>664</v>
      </c>
      <c r="N26" s="117" t="s">
        <v>665</v>
      </c>
      <c r="O26" s="117" t="s">
        <v>666</v>
      </c>
      <c r="P26" s="117" t="s">
        <v>667</v>
      </c>
    </row>
    <row r="27" spans="1:16" ht="33" customHeight="1" x14ac:dyDescent="0.25">
      <c r="A27" s="116" t="s">
        <v>672</v>
      </c>
      <c r="B27" s="100">
        <v>38</v>
      </c>
      <c r="C27" s="100">
        <v>46</v>
      </c>
      <c r="D27" s="100">
        <v>43</v>
      </c>
      <c r="E27" s="100">
        <v>47</v>
      </c>
      <c r="F27" s="100">
        <v>34</v>
      </c>
      <c r="G27" s="100">
        <v>34</v>
      </c>
      <c r="H27" s="59">
        <v>40</v>
      </c>
      <c r="I27" s="100">
        <v>36</v>
      </c>
      <c r="J27" s="100">
        <v>35</v>
      </c>
      <c r="K27" s="100">
        <v>37</v>
      </c>
      <c r="L27" s="100">
        <v>32</v>
      </c>
      <c r="M27" s="165">
        <v>38</v>
      </c>
      <c r="N27" s="59">
        <v>36</v>
      </c>
      <c r="O27" s="165">
        <v>46</v>
      </c>
      <c r="P27" s="100">
        <v>50</v>
      </c>
    </row>
    <row r="28" spans="1:16" ht="33" customHeight="1" x14ac:dyDescent="0.25">
      <c r="A28" s="116" t="s">
        <v>672</v>
      </c>
      <c r="B28" s="194">
        <f t="shared" ref="B28:P28" si="18">AVERAGE($B$27:$P$27)</f>
        <v>39.466666666666669</v>
      </c>
      <c r="C28" s="194">
        <f t="shared" si="18"/>
        <v>39.466666666666669</v>
      </c>
      <c r="D28" s="194">
        <f t="shared" si="18"/>
        <v>39.466666666666669</v>
      </c>
      <c r="E28" s="194">
        <f t="shared" si="18"/>
        <v>39.466666666666669</v>
      </c>
      <c r="F28" s="194">
        <f t="shared" si="18"/>
        <v>39.466666666666669</v>
      </c>
      <c r="G28" s="194">
        <f t="shared" si="18"/>
        <v>39.466666666666669</v>
      </c>
      <c r="H28" s="194">
        <f t="shared" si="18"/>
        <v>39.466666666666669</v>
      </c>
      <c r="I28" s="194">
        <f t="shared" si="18"/>
        <v>39.466666666666669</v>
      </c>
      <c r="J28" s="194">
        <f t="shared" si="18"/>
        <v>39.466666666666669</v>
      </c>
      <c r="K28" s="194">
        <f t="shared" si="18"/>
        <v>39.466666666666669</v>
      </c>
      <c r="L28" s="194">
        <f t="shared" si="18"/>
        <v>39.466666666666669</v>
      </c>
      <c r="M28" s="194">
        <f t="shared" si="18"/>
        <v>39.466666666666669</v>
      </c>
      <c r="N28" s="194">
        <f t="shared" si="18"/>
        <v>39.466666666666669</v>
      </c>
      <c r="O28" s="194">
        <f t="shared" si="18"/>
        <v>39.466666666666669</v>
      </c>
      <c r="P28" s="194">
        <f t="shared" si="18"/>
        <v>39.466666666666669</v>
      </c>
    </row>
    <row r="29" spans="1:16" ht="33" customHeight="1" x14ac:dyDescent="0.25">
      <c r="A29" s="116" t="s">
        <v>672</v>
      </c>
      <c r="B29" s="194">
        <f t="shared" ref="B29:P29" si="19">AVERAGE($B$27:$P$27)/100*90</f>
        <v>35.520000000000003</v>
      </c>
      <c r="C29" s="194">
        <f t="shared" si="19"/>
        <v>35.520000000000003</v>
      </c>
      <c r="D29" s="194">
        <f t="shared" si="19"/>
        <v>35.520000000000003</v>
      </c>
      <c r="E29" s="194">
        <f t="shared" si="19"/>
        <v>35.520000000000003</v>
      </c>
      <c r="F29" s="194">
        <f t="shared" si="19"/>
        <v>35.520000000000003</v>
      </c>
      <c r="G29" s="194">
        <f t="shared" si="19"/>
        <v>35.520000000000003</v>
      </c>
      <c r="H29" s="194">
        <f t="shared" si="19"/>
        <v>35.520000000000003</v>
      </c>
      <c r="I29" s="194">
        <f t="shared" si="19"/>
        <v>35.520000000000003</v>
      </c>
      <c r="J29" s="194">
        <f t="shared" si="19"/>
        <v>35.520000000000003</v>
      </c>
      <c r="K29" s="194">
        <f t="shared" si="19"/>
        <v>35.520000000000003</v>
      </c>
      <c r="L29" s="194">
        <f t="shared" si="19"/>
        <v>35.520000000000003</v>
      </c>
      <c r="M29" s="194">
        <f t="shared" si="19"/>
        <v>35.520000000000003</v>
      </c>
      <c r="N29" s="194">
        <f t="shared" si="19"/>
        <v>35.520000000000003</v>
      </c>
      <c r="O29" s="194">
        <f t="shared" si="19"/>
        <v>35.520000000000003</v>
      </c>
      <c r="P29" s="194">
        <f t="shared" si="19"/>
        <v>35.520000000000003</v>
      </c>
    </row>
    <row r="30" spans="1:16" ht="33" customHeight="1" x14ac:dyDescent="0.25">
      <c r="A30" s="116" t="s">
        <v>672</v>
      </c>
      <c r="B30" s="194">
        <f t="shared" ref="B30:P30" si="20">AVERAGE($B$27:$P$27)+(AVERAGE($B$27:$O$27)/100*10)</f>
        <v>43.338095238095242</v>
      </c>
      <c r="C30" s="194">
        <f t="shared" si="20"/>
        <v>43.338095238095242</v>
      </c>
      <c r="D30" s="194">
        <f t="shared" si="20"/>
        <v>43.338095238095242</v>
      </c>
      <c r="E30" s="194">
        <f t="shared" si="20"/>
        <v>43.338095238095242</v>
      </c>
      <c r="F30" s="194">
        <f t="shared" si="20"/>
        <v>43.338095238095242</v>
      </c>
      <c r="G30" s="194">
        <f t="shared" si="20"/>
        <v>43.338095238095242</v>
      </c>
      <c r="H30" s="194">
        <f t="shared" si="20"/>
        <v>43.338095238095242</v>
      </c>
      <c r="I30" s="194">
        <f t="shared" si="20"/>
        <v>43.338095238095242</v>
      </c>
      <c r="J30" s="194">
        <f t="shared" si="20"/>
        <v>43.338095238095242</v>
      </c>
      <c r="K30" s="194">
        <f t="shared" si="20"/>
        <v>43.338095238095242</v>
      </c>
      <c r="L30" s="194">
        <f t="shared" si="20"/>
        <v>43.338095238095242</v>
      </c>
      <c r="M30" s="194">
        <f t="shared" si="20"/>
        <v>43.338095238095242</v>
      </c>
      <c r="N30" s="194">
        <f t="shared" si="20"/>
        <v>43.338095238095242</v>
      </c>
      <c r="O30" s="194">
        <f t="shared" si="20"/>
        <v>43.338095238095242</v>
      </c>
      <c r="P30" s="194">
        <f t="shared" si="20"/>
        <v>43.338095238095242</v>
      </c>
    </row>
    <row r="31" spans="1:16" ht="33" customHeight="1" x14ac:dyDescent="0.25">
      <c r="A31" s="116" t="s">
        <v>672</v>
      </c>
      <c r="B31" s="194">
        <f>AVERAGE($B$27:$P$27)/100*80</f>
        <v>31.573333333333334</v>
      </c>
      <c r="C31" s="194">
        <f t="shared" ref="C31:P31" si="21">AVERAGE($B$27:$P$27)/100*80</f>
        <v>31.573333333333334</v>
      </c>
      <c r="D31" s="194">
        <f t="shared" si="21"/>
        <v>31.573333333333334</v>
      </c>
      <c r="E31" s="194">
        <f t="shared" si="21"/>
        <v>31.573333333333334</v>
      </c>
      <c r="F31" s="194">
        <f t="shared" si="21"/>
        <v>31.573333333333334</v>
      </c>
      <c r="G31" s="194">
        <f t="shared" si="21"/>
        <v>31.573333333333334</v>
      </c>
      <c r="H31" s="194">
        <f t="shared" si="21"/>
        <v>31.573333333333334</v>
      </c>
      <c r="I31" s="194">
        <f t="shared" si="21"/>
        <v>31.573333333333334</v>
      </c>
      <c r="J31" s="194">
        <f t="shared" si="21"/>
        <v>31.573333333333334</v>
      </c>
      <c r="K31" s="194">
        <f t="shared" si="21"/>
        <v>31.573333333333334</v>
      </c>
      <c r="L31" s="194">
        <f t="shared" si="21"/>
        <v>31.573333333333334</v>
      </c>
      <c r="M31" s="194">
        <f t="shared" si="21"/>
        <v>31.573333333333334</v>
      </c>
      <c r="N31" s="194">
        <f t="shared" si="21"/>
        <v>31.573333333333334</v>
      </c>
      <c r="O31" s="194">
        <f t="shared" si="21"/>
        <v>31.573333333333334</v>
      </c>
      <c r="P31" s="194">
        <f t="shared" si="21"/>
        <v>31.573333333333334</v>
      </c>
    </row>
    <row r="32" spans="1:16" ht="33" customHeight="1" x14ac:dyDescent="0.25">
      <c r="A32" s="116" t="s">
        <v>672</v>
      </c>
      <c r="B32" s="194">
        <f>AVERAGE($B$27:$P$27)+(AVERAGE($B$27:$O$27)/100*20)</f>
        <v>47.209523809523816</v>
      </c>
      <c r="C32" s="194">
        <f t="shared" ref="C32:P32" si="22">AVERAGE($B$27:$P$27)+(AVERAGE($B$27:$O$27)/100*20)</f>
        <v>47.209523809523816</v>
      </c>
      <c r="D32" s="194">
        <f t="shared" si="22"/>
        <v>47.209523809523816</v>
      </c>
      <c r="E32" s="194">
        <f t="shared" si="22"/>
        <v>47.209523809523816</v>
      </c>
      <c r="F32" s="194">
        <f t="shared" si="22"/>
        <v>47.209523809523816</v>
      </c>
      <c r="G32" s="194">
        <f t="shared" si="22"/>
        <v>47.209523809523816</v>
      </c>
      <c r="H32" s="194">
        <f t="shared" si="22"/>
        <v>47.209523809523816</v>
      </c>
      <c r="I32" s="194">
        <f t="shared" si="22"/>
        <v>47.209523809523816</v>
      </c>
      <c r="J32" s="194">
        <f t="shared" si="22"/>
        <v>47.209523809523816</v>
      </c>
      <c r="K32" s="194">
        <f t="shared" si="22"/>
        <v>47.209523809523816</v>
      </c>
      <c r="L32" s="194">
        <f t="shared" si="22"/>
        <v>47.209523809523816</v>
      </c>
      <c r="M32" s="194">
        <f t="shared" si="22"/>
        <v>47.209523809523816</v>
      </c>
      <c r="N32" s="194">
        <f t="shared" si="22"/>
        <v>47.209523809523816</v>
      </c>
      <c r="O32" s="194">
        <f t="shared" si="22"/>
        <v>47.209523809523816</v>
      </c>
      <c r="P32" s="194">
        <f t="shared" si="22"/>
        <v>47.209523809523816</v>
      </c>
    </row>
    <row r="33" spans="1:16" ht="33" customHeight="1" x14ac:dyDescent="0.25">
      <c r="A33" s="7" t="s">
        <v>652</v>
      </c>
      <c r="B33" s="117" t="s">
        <v>653</v>
      </c>
      <c r="C33" s="117" t="s">
        <v>654</v>
      </c>
      <c r="D33" s="117" t="s">
        <v>655</v>
      </c>
      <c r="E33" s="117" t="s">
        <v>656</v>
      </c>
      <c r="F33" s="117" t="s">
        <v>657</v>
      </c>
      <c r="G33" s="117" t="s">
        <v>658</v>
      </c>
      <c r="H33" s="117" t="s">
        <v>659</v>
      </c>
      <c r="I33" s="117" t="s">
        <v>660</v>
      </c>
      <c r="J33" s="117" t="s">
        <v>661</v>
      </c>
      <c r="K33" s="117" t="s">
        <v>662</v>
      </c>
      <c r="L33" s="117" t="s">
        <v>663</v>
      </c>
      <c r="M33" s="117" t="s">
        <v>664</v>
      </c>
      <c r="N33" s="117" t="s">
        <v>665</v>
      </c>
      <c r="O33" s="117" t="s">
        <v>666</v>
      </c>
      <c r="P33" s="117" t="s">
        <v>667</v>
      </c>
    </row>
    <row r="34" spans="1:16" ht="33" customHeight="1" x14ac:dyDescent="0.25">
      <c r="A34" s="116" t="s">
        <v>673</v>
      </c>
      <c r="B34" s="100">
        <v>16</v>
      </c>
      <c r="C34" s="100">
        <v>22</v>
      </c>
      <c r="D34" s="100">
        <v>16</v>
      </c>
      <c r="E34" s="100">
        <v>18</v>
      </c>
      <c r="F34" s="100">
        <v>15</v>
      </c>
      <c r="G34" s="100">
        <v>12</v>
      </c>
      <c r="H34" s="59">
        <v>6</v>
      </c>
      <c r="I34" s="100">
        <v>12</v>
      </c>
      <c r="J34" s="100">
        <v>21</v>
      </c>
      <c r="K34" s="100">
        <v>17</v>
      </c>
      <c r="L34" s="100">
        <v>18</v>
      </c>
      <c r="M34" s="165">
        <v>14</v>
      </c>
      <c r="N34" s="59">
        <v>10</v>
      </c>
      <c r="O34" s="165">
        <v>10</v>
      </c>
      <c r="P34" s="100">
        <v>30</v>
      </c>
    </row>
    <row r="35" spans="1:16" ht="33" customHeight="1" x14ac:dyDescent="0.25">
      <c r="A35" s="116" t="s">
        <v>673</v>
      </c>
      <c r="B35" s="194">
        <f t="shared" ref="B35:P35" si="23">AVERAGE($B$34:$P$34)</f>
        <v>15.8</v>
      </c>
      <c r="C35" s="194">
        <f t="shared" si="23"/>
        <v>15.8</v>
      </c>
      <c r="D35" s="194">
        <f t="shared" si="23"/>
        <v>15.8</v>
      </c>
      <c r="E35" s="194">
        <f t="shared" si="23"/>
        <v>15.8</v>
      </c>
      <c r="F35" s="194">
        <f t="shared" si="23"/>
        <v>15.8</v>
      </c>
      <c r="G35" s="194">
        <f t="shared" si="23"/>
        <v>15.8</v>
      </c>
      <c r="H35" s="194">
        <f t="shared" si="23"/>
        <v>15.8</v>
      </c>
      <c r="I35" s="194">
        <f t="shared" si="23"/>
        <v>15.8</v>
      </c>
      <c r="J35" s="194">
        <f t="shared" si="23"/>
        <v>15.8</v>
      </c>
      <c r="K35" s="194">
        <f t="shared" si="23"/>
        <v>15.8</v>
      </c>
      <c r="L35" s="194">
        <f t="shared" si="23"/>
        <v>15.8</v>
      </c>
      <c r="M35" s="194">
        <f t="shared" si="23"/>
        <v>15.8</v>
      </c>
      <c r="N35" s="194">
        <f t="shared" si="23"/>
        <v>15.8</v>
      </c>
      <c r="O35" s="194">
        <f t="shared" si="23"/>
        <v>15.8</v>
      </c>
      <c r="P35" s="194">
        <f t="shared" si="23"/>
        <v>15.8</v>
      </c>
    </row>
    <row r="36" spans="1:16" ht="33" customHeight="1" x14ac:dyDescent="0.25">
      <c r="A36" s="116" t="s">
        <v>673</v>
      </c>
      <c r="B36" s="194">
        <f t="shared" ref="B36:P36" si="24">AVERAGE($B$34:$P$34)/100*90</f>
        <v>14.22</v>
      </c>
      <c r="C36" s="194">
        <f t="shared" si="24"/>
        <v>14.22</v>
      </c>
      <c r="D36" s="194">
        <f t="shared" si="24"/>
        <v>14.22</v>
      </c>
      <c r="E36" s="194">
        <f t="shared" si="24"/>
        <v>14.22</v>
      </c>
      <c r="F36" s="194">
        <f t="shared" si="24"/>
        <v>14.22</v>
      </c>
      <c r="G36" s="194">
        <f t="shared" si="24"/>
        <v>14.22</v>
      </c>
      <c r="H36" s="194">
        <f t="shared" si="24"/>
        <v>14.22</v>
      </c>
      <c r="I36" s="194">
        <f t="shared" si="24"/>
        <v>14.22</v>
      </c>
      <c r="J36" s="194">
        <f>AVERAGE($B$34:$P$34)/100*90</f>
        <v>14.22</v>
      </c>
      <c r="K36" s="194">
        <f t="shared" si="24"/>
        <v>14.22</v>
      </c>
      <c r="L36" s="194">
        <f t="shared" si="24"/>
        <v>14.22</v>
      </c>
      <c r="M36" s="194">
        <f t="shared" si="24"/>
        <v>14.22</v>
      </c>
      <c r="N36" s="194">
        <f t="shared" si="24"/>
        <v>14.22</v>
      </c>
      <c r="O36" s="194">
        <f t="shared" si="24"/>
        <v>14.22</v>
      </c>
      <c r="P36" s="194">
        <f t="shared" si="24"/>
        <v>14.22</v>
      </c>
    </row>
    <row r="37" spans="1:16" ht="33" customHeight="1" x14ac:dyDescent="0.25">
      <c r="A37" s="116" t="s">
        <v>673</v>
      </c>
      <c r="B37" s="194">
        <f t="shared" ref="B37:P37" si="25">AVERAGE($B$34:$P$34)+(AVERAGE($B$34:$O$34)/100*10)</f>
        <v>17.278571428571428</v>
      </c>
      <c r="C37" s="194">
        <f t="shared" si="25"/>
        <v>17.278571428571428</v>
      </c>
      <c r="D37" s="194">
        <f t="shared" si="25"/>
        <v>17.278571428571428</v>
      </c>
      <c r="E37" s="194">
        <f t="shared" si="25"/>
        <v>17.278571428571428</v>
      </c>
      <c r="F37" s="194">
        <f t="shared" si="25"/>
        <v>17.278571428571428</v>
      </c>
      <c r="G37" s="194">
        <f t="shared" si="25"/>
        <v>17.278571428571428</v>
      </c>
      <c r="H37" s="194">
        <f t="shared" si="25"/>
        <v>17.278571428571428</v>
      </c>
      <c r="I37" s="194">
        <f t="shared" si="25"/>
        <v>17.278571428571428</v>
      </c>
      <c r="J37" s="194">
        <f t="shared" si="25"/>
        <v>17.278571428571428</v>
      </c>
      <c r="K37" s="194">
        <f t="shared" si="25"/>
        <v>17.278571428571428</v>
      </c>
      <c r="L37" s="194">
        <f t="shared" si="25"/>
        <v>17.278571428571428</v>
      </c>
      <c r="M37" s="194">
        <f t="shared" si="25"/>
        <v>17.278571428571428</v>
      </c>
      <c r="N37" s="194">
        <f t="shared" si="25"/>
        <v>17.278571428571428</v>
      </c>
      <c r="O37" s="194">
        <f t="shared" si="25"/>
        <v>17.278571428571428</v>
      </c>
      <c r="P37" s="194">
        <f t="shared" si="25"/>
        <v>17.278571428571428</v>
      </c>
    </row>
    <row r="38" spans="1:16" ht="33" customHeight="1" x14ac:dyDescent="0.25">
      <c r="A38" s="116" t="s">
        <v>673</v>
      </c>
      <c r="B38" s="194">
        <f>AVERAGE($B$34:$P$34)/100*80</f>
        <v>12.64</v>
      </c>
      <c r="C38" s="194">
        <f t="shared" ref="C38:P38" si="26">AVERAGE($B$34:$P$34)/100*80</f>
        <v>12.64</v>
      </c>
      <c r="D38" s="194">
        <f t="shared" si="26"/>
        <v>12.64</v>
      </c>
      <c r="E38" s="194">
        <f t="shared" si="26"/>
        <v>12.64</v>
      </c>
      <c r="F38" s="194">
        <f t="shared" si="26"/>
        <v>12.64</v>
      </c>
      <c r="G38" s="194">
        <f t="shared" si="26"/>
        <v>12.64</v>
      </c>
      <c r="H38" s="194">
        <f t="shared" si="26"/>
        <v>12.64</v>
      </c>
      <c r="I38" s="194">
        <f t="shared" si="26"/>
        <v>12.64</v>
      </c>
      <c r="J38" s="194">
        <f t="shared" si="26"/>
        <v>12.64</v>
      </c>
      <c r="K38" s="194">
        <f t="shared" si="26"/>
        <v>12.64</v>
      </c>
      <c r="L38" s="194">
        <f t="shared" si="26"/>
        <v>12.64</v>
      </c>
      <c r="M38" s="194">
        <f t="shared" si="26"/>
        <v>12.64</v>
      </c>
      <c r="N38" s="194">
        <f t="shared" si="26"/>
        <v>12.64</v>
      </c>
      <c r="O38" s="194">
        <f t="shared" si="26"/>
        <v>12.64</v>
      </c>
      <c r="P38" s="194">
        <f t="shared" si="26"/>
        <v>12.64</v>
      </c>
    </row>
    <row r="39" spans="1:16" ht="33" customHeight="1" x14ac:dyDescent="0.25">
      <c r="A39" s="116" t="s">
        <v>673</v>
      </c>
      <c r="B39" s="194">
        <f>AVERAGE($B$34:$P$34)+(AVERAGE($B$34:$O$34)/100*20)</f>
        <v>18.75714285714286</v>
      </c>
      <c r="C39" s="194">
        <f t="shared" ref="C39:P39" si="27">AVERAGE($B$34:$P$34)+(AVERAGE($B$34:$O$34)/100*20)</f>
        <v>18.75714285714286</v>
      </c>
      <c r="D39" s="194">
        <f t="shared" si="27"/>
        <v>18.75714285714286</v>
      </c>
      <c r="E39" s="194">
        <f t="shared" si="27"/>
        <v>18.75714285714286</v>
      </c>
      <c r="F39" s="194">
        <f t="shared" si="27"/>
        <v>18.75714285714286</v>
      </c>
      <c r="G39" s="194">
        <f t="shared" si="27"/>
        <v>18.75714285714286</v>
      </c>
      <c r="H39" s="194">
        <f t="shared" si="27"/>
        <v>18.75714285714286</v>
      </c>
      <c r="I39" s="194">
        <f t="shared" si="27"/>
        <v>18.75714285714286</v>
      </c>
      <c r="J39" s="194">
        <f t="shared" si="27"/>
        <v>18.75714285714286</v>
      </c>
      <c r="K39" s="194">
        <f t="shared" si="27"/>
        <v>18.75714285714286</v>
      </c>
      <c r="L39" s="194">
        <f t="shared" si="27"/>
        <v>18.75714285714286</v>
      </c>
      <c r="M39" s="194">
        <f t="shared" si="27"/>
        <v>18.75714285714286</v>
      </c>
      <c r="N39" s="194">
        <f t="shared" si="27"/>
        <v>18.75714285714286</v>
      </c>
      <c r="O39" s="194">
        <f t="shared" si="27"/>
        <v>18.75714285714286</v>
      </c>
      <c r="P39" s="194">
        <f t="shared" si="27"/>
        <v>18.75714285714286</v>
      </c>
    </row>
    <row r="40" spans="1:16" ht="33" customHeight="1" x14ac:dyDescent="0.25">
      <c r="A40" s="116"/>
      <c r="B40" s="194"/>
      <c r="C40" s="194"/>
      <c r="D40" s="194"/>
      <c r="E40" s="194"/>
      <c r="F40" s="194"/>
      <c r="G40" s="194"/>
      <c r="H40" s="194"/>
      <c r="I40" s="194"/>
      <c r="J40" s="194"/>
      <c r="K40" s="194"/>
      <c r="L40" s="194"/>
      <c r="M40" s="194"/>
      <c r="N40" s="194"/>
      <c r="O40" s="194"/>
      <c r="P40" s="194"/>
    </row>
    <row r="41" spans="1:16" ht="18" customHeight="1" x14ac:dyDescent="0.25">
      <c r="A41" s="116" t="s">
        <v>306</v>
      </c>
      <c r="B41" s="196">
        <f>IF(B2&gt;=B3,15,0)</f>
        <v>15</v>
      </c>
      <c r="C41" s="196">
        <f t="shared" ref="C41:P41" si="28">IF(C2&gt;=C3,15,0)</f>
        <v>15</v>
      </c>
      <c r="D41" s="196">
        <f t="shared" si="28"/>
        <v>15</v>
      </c>
      <c r="E41" s="196">
        <f t="shared" si="28"/>
        <v>15</v>
      </c>
      <c r="F41" s="196">
        <f t="shared" si="28"/>
        <v>0</v>
      </c>
      <c r="G41" s="196">
        <f t="shared" si="28"/>
        <v>15</v>
      </c>
      <c r="H41" s="196">
        <f t="shared" si="28"/>
        <v>15</v>
      </c>
      <c r="I41" s="196">
        <f t="shared" si="28"/>
        <v>15</v>
      </c>
      <c r="J41" s="196">
        <f t="shared" si="28"/>
        <v>0</v>
      </c>
      <c r="K41" s="196">
        <f t="shared" si="28"/>
        <v>0</v>
      </c>
      <c r="L41" s="196">
        <f t="shared" si="28"/>
        <v>0</v>
      </c>
      <c r="M41" s="196">
        <f t="shared" si="28"/>
        <v>0</v>
      </c>
      <c r="N41" s="196">
        <f t="shared" si="28"/>
        <v>15</v>
      </c>
      <c r="O41" s="196">
        <f t="shared" si="28"/>
        <v>15</v>
      </c>
      <c r="P41" s="196">
        <f t="shared" si="28"/>
        <v>15</v>
      </c>
    </row>
    <row r="42" spans="1:16" ht="18" customHeight="1" x14ac:dyDescent="0.25">
      <c r="A42" s="116" t="s">
        <v>307</v>
      </c>
      <c r="B42" s="196">
        <f>IF(B7&gt;=B11,10,0)</f>
        <v>10</v>
      </c>
      <c r="C42" s="196">
        <f t="shared" ref="C42:P42" si="29">IF(C7&gt;=C11,10,0)</f>
        <v>10</v>
      </c>
      <c r="D42" s="196">
        <f t="shared" si="29"/>
        <v>10</v>
      </c>
      <c r="E42" s="196">
        <f t="shared" si="29"/>
        <v>10</v>
      </c>
      <c r="F42" s="196">
        <f t="shared" si="29"/>
        <v>10</v>
      </c>
      <c r="G42" s="196">
        <f t="shared" si="29"/>
        <v>0</v>
      </c>
      <c r="H42" s="196">
        <f t="shared" si="29"/>
        <v>10</v>
      </c>
      <c r="I42" s="196">
        <f t="shared" si="29"/>
        <v>10</v>
      </c>
      <c r="J42" s="196">
        <f t="shared" si="29"/>
        <v>0</v>
      </c>
      <c r="K42" s="196">
        <f t="shared" si="29"/>
        <v>10</v>
      </c>
      <c r="L42" s="196">
        <f t="shared" si="29"/>
        <v>10</v>
      </c>
      <c r="M42" s="196">
        <f t="shared" si="29"/>
        <v>0</v>
      </c>
      <c r="N42" s="196">
        <f t="shared" si="29"/>
        <v>0</v>
      </c>
      <c r="O42" s="196">
        <f t="shared" si="29"/>
        <v>10</v>
      </c>
      <c r="P42" s="196">
        <f t="shared" si="29"/>
        <v>10</v>
      </c>
    </row>
    <row r="43" spans="1:16" ht="18" customHeight="1" x14ac:dyDescent="0.25">
      <c r="A43" s="116" t="s">
        <v>674</v>
      </c>
      <c r="B43" s="196">
        <f>IF(B13&gt;B16,5,0)</f>
        <v>5</v>
      </c>
      <c r="C43" s="196">
        <f t="shared" ref="C43:P43" si="30">IF(C13&gt;C16,5,0)</f>
        <v>5</v>
      </c>
      <c r="D43" s="196">
        <f t="shared" si="30"/>
        <v>5</v>
      </c>
      <c r="E43" s="196">
        <f t="shared" si="30"/>
        <v>5</v>
      </c>
      <c r="F43" s="196">
        <f t="shared" si="30"/>
        <v>5</v>
      </c>
      <c r="G43" s="196">
        <f t="shared" si="30"/>
        <v>0</v>
      </c>
      <c r="H43" s="196">
        <f t="shared" si="30"/>
        <v>0</v>
      </c>
      <c r="I43" s="196">
        <f t="shared" si="30"/>
        <v>5</v>
      </c>
      <c r="J43" s="196">
        <f t="shared" si="30"/>
        <v>5</v>
      </c>
      <c r="K43" s="196">
        <f t="shared" si="30"/>
        <v>5</v>
      </c>
      <c r="L43" s="196">
        <f t="shared" si="30"/>
        <v>5</v>
      </c>
      <c r="M43" s="196">
        <f t="shared" si="30"/>
        <v>5</v>
      </c>
      <c r="N43" s="196">
        <f t="shared" si="30"/>
        <v>5</v>
      </c>
      <c r="O43" s="196">
        <f t="shared" si="30"/>
        <v>5</v>
      </c>
      <c r="P43" s="196">
        <f t="shared" si="30"/>
        <v>5</v>
      </c>
    </row>
    <row r="44" spans="1:16" ht="18" customHeight="1" x14ac:dyDescent="0.25">
      <c r="A44" s="116" t="s">
        <v>675</v>
      </c>
      <c r="B44" s="194">
        <f>IF(B20&gt;=B24,25,0)</f>
        <v>25</v>
      </c>
      <c r="C44" s="194">
        <f t="shared" ref="C44:P44" si="31">IF(C20&gt;=C24,25,0)</f>
        <v>25</v>
      </c>
      <c r="D44" s="194">
        <f t="shared" si="31"/>
        <v>25</v>
      </c>
      <c r="E44" s="194">
        <f t="shared" si="31"/>
        <v>25</v>
      </c>
      <c r="F44" s="194">
        <f t="shared" si="31"/>
        <v>25</v>
      </c>
      <c r="G44" s="194">
        <f t="shared" si="31"/>
        <v>25</v>
      </c>
      <c r="H44" s="194">
        <f t="shared" si="31"/>
        <v>25</v>
      </c>
      <c r="I44" s="194">
        <f t="shared" si="31"/>
        <v>25</v>
      </c>
      <c r="J44" s="194">
        <f t="shared" si="31"/>
        <v>25</v>
      </c>
      <c r="K44" s="194">
        <f t="shared" si="31"/>
        <v>25</v>
      </c>
      <c r="L44" s="194">
        <f t="shared" si="31"/>
        <v>0</v>
      </c>
      <c r="M44" s="194">
        <f t="shared" si="31"/>
        <v>25</v>
      </c>
      <c r="N44" s="194">
        <f t="shared" si="31"/>
        <v>25</v>
      </c>
      <c r="O44" s="194">
        <f t="shared" si="31"/>
        <v>25</v>
      </c>
      <c r="P44" s="194">
        <f t="shared" si="31"/>
        <v>25</v>
      </c>
    </row>
    <row r="45" spans="1:16" ht="18" customHeight="1" x14ac:dyDescent="0.25">
      <c r="A45" s="116" t="s">
        <v>676</v>
      </c>
      <c r="B45" s="194">
        <f>IF(B27&gt;=B31,25,0)</f>
        <v>25</v>
      </c>
      <c r="C45" s="194">
        <f t="shared" ref="C45:P45" si="32">IF(C27&gt;=C31,25,0)</f>
        <v>25</v>
      </c>
      <c r="D45" s="194">
        <f t="shared" si="32"/>
        <v>25</v>
      </c>
      <c r="E45" s="194">
        <f t="shared" si="32"/>
        <v>25</v>
      </c>
      <c r="F45" s="194">
        <f t="shared" si="32"/>
        <v>25</v>
      </c>
      <c r="G45" s="194">
        <f t="shared" si="32"/>
        <v>25</v>
      </c>
      <c r="H45" s="194">
        <f t="shared" si="32"/>
        <v>25</v>
      </c>
      <c r="I45" s="194">
        <f t="shared" si="32"/>
        <v>25</v>
      </c>
      <c r="J45" s="194">
        <f t="shared" si="32"/>
        <v>25</v>
      </c>
      <c r="K45" s="194">
        <f t="shared" si="32"/>
        <v>25</v>
      </c>
      <c r="L45" s="194">
        <f t="shared" si="32"/>
        <v>25</v>
      </c>
      <c r="M45" s="194">
        <f t="shared" si="32"/>
        <v>25</v>
      </c>
      <c r="N45" s="194">
        <f t="shared" si="32"/>
        <v>25</v>
      </c>
      <c r="O45" s="194">
        <f t="shared" si="32"/>
        <v>25</v>
      </c>
      <c r="P45" s="194">
        <f t="shared" si="32"/>
        <v>25</v>
      </c>
    </row>
    <row r="46" spans="1:16" ht="18" customHeight="1" x14ac:dyDescent="0.25">
      <c r="A46" s="116" t="s">
        <v>311</v>
      </c>
      <c r="B46" s="194">
        <f>IF(B34&lt;=B39,20,0)</f>
        <v>20</v>
      </c>
      <c r="C46" s="194">
        <f t="shared" ref="C46:P46" si="33">IF(C34&lt;=C39,20,0)</f>
        <v>0</v>
      </c>
      <c r="D46" s="194">
        <f t="shared" si="33"/>
        <v>20</v>
      </c>
      <c r="E46" s="194">
        <f t="shared" si="33"/>
        <v>20</v>
      </c>
      <c r="F46" s="194">
        <f t="shared" si="33"/>
        <v>20</v>
      </c>
      <c r="G46" s="194">
        <f t="shared" si="33"/>
        <v>20</v>
      </c>
      <c r="H46" s="194">
        <f t="shared" si="33"/>
        <v>20</v>
      </c>
      <c r="I46" s="194">
        <f t="shared" si="33"/>
        <v>20</v>
      </c>
      <c r="J46" s="194">
        <f t="shared" si="33"/>
        <v>0</v>
      </c>
      <c r="K46" s="194">
        <f t="shared" si="33"/>
        <v>20</v>
      </c>
      <c r="L46" s="194">
        <f t="shared" si="33"/>
        <v>20</v>
      </c>
      <c r="M46" s="194">
        <f t="shared" si="33"/>
        <v>20</v>
      </c>
      <c r="N46" s="194">
        <f t="shared" si="33"/>
        <v>20</v>
      </c>
      <c r="O46" s="194">
        <f t="shared" si="33"/>
        <v>20</v>
      </c>
      <c r="P46" s="194">
        <f t="shared" si="33"/>
        <v>0</v>
      </c>
    </row>
    <row r="47" spans="1:16" ht="18" customHeight="1" x14ac:dyDescent="0.25">
      <c r="A47" s="116"/>
      <c r="B47" s="194"/>
      <c r="C47" s="194"/>
      <c r="D47" s="194"/>
      <c r="E47" s="194"/>
      <c r="F47" s="194"/>
      <c r="G47" s="194"/>
      <c r="H47" s="194"/>
      <c r="I47" s="194"/>
      <c r="J47" s="194"/>
      <c r="K47" s="194"/>
      <c r="L47" s="194"/>
      <c r="M47" s="194"/>
      <c r="N47" s="194"/>
      <c r="O47" s="194"/>
      <c r="P47" s="194"/>
    </row>
    <row r="48" spans="1:16" ht="18" customHeight="1" x14ac:dyDescent="0.25">
      <c r="A48" s="116" t="s">
        <v>677</v>
      </c>
      <c r="B48" s="194">
        <f>SUM(B41:B46)</f>
        <v>100</v>
      </c>
      <c r="C48" s="194">
        <f t="shared" ref="C48:P48" si="34">SUM(C41:C46)</f>
        <v>80</v>
      </c>
      <c r="D48" s="194">
        <f t="shared" si="34"/>
        <v>100</v>
      </c>
      <c r="E48" s="194">
        <f t="shared" si="34"/>
        <v>100</v>
      </c>
      <c r="F48" s="194">
        <f t="shared" si="34"/>
        <v>85</v>
      </c>
      <c r="G48" s="194">
        <f t="shared" si="34"/>
        <v>85</v>
      </c>
      <c r="H48" s="194">
        <f t="shared" si="34"/>
        <v>95</v>
      </c>
      <c r="I48" s="194">
        <f t="shared" si="34"/>
        <v>100</v>
      </c>
      <c r="J48" s="194">
        <f t="shared" si="34"/>
        <v>55</v>
      </c>
      <c r="K48" s="194">
        <f t="shared" si="34"/>
        <v>85</v>
      </c>
      <c r="L48" s="194">
        <f t="shared" si="34"/>
        <v>60</v>
      </c>
      <c r="M48" s="194">
        <f t="shared" si="34"/>
        <v>75</v>
      </c>
      <c r="N48" s="194">
        <f t="shared" si="34"/>
        <v>90</v>
      </c>
      <c r="O48" s="194">
        <f t="shared" si="34"/>
        <v>100</v>
      </c>
      <c r="P48" s="194">
        <f t="shared" si="34"/>
        <v>80</v>
      </c>
    </row>
    <row r="49" spans="1:16" ht="18" customHeight="1" x14ac:dyDescent="0.25">
      <c r="A49" s="116" t="s">
        <v>678</v>
      </c>
      <c r="B49" s="194" t="str">
        <f>IF(B48&gt;=50,"OKAY","KO")</f>
        <v>OKAY</v>
      </c>
      <c r="C49" s="194" t="str">
        <f t="shared" ref="C49:P49" si="35">IF(C48&gt;=50,"OKAY","KO")</f>
        <v>OKAY</v>
      </c>
      <c r="D49" s="194" t="str">
        <f t="shared" si="35"/>
        <v>OKAY</v>
      </c>
      <c r="E49" s="194" t="str">
        <f t="shared" si="35"/>
        <v>OKAY</v>
      </c>
      <c r="F49" s="194" t="str">
        <f t="shared" si="35"/>
        <v>OKAY</v>
      </c>
      <c r="G49" s="194" t="str">
        <f t="shared" si="35"/>
        <v>OKAY</v>
      </c>
      <c r="H49" s="194" t="str">
        <f t="shared" si="35"/>
        <v>OKAY</v>
      </c>
      <c r="I49" s="194" t="str">
        <f t="shared" si="35"/>
        <v>OKAY</v>
      </c>
      <c r="J49" s="194" t="str">
        <f t="shared" si="35"/>
        <v>OKAY</v>
      </c>
      <c r="K49" s="194" t="str">
        <f t="shared" si="35"/>
        <v>OKAY</v>
      </c>
      <c r="L49" s="194" t="str">
        <f t="shared" si="35"/>
        <v>OKAY</v>
      </c>
      <c r="M49" s="194" t="str">
        <f t="shared" si="35"/>
        <v>OKAY</v>
      </c>
      <c r="N49" s="194" t="str">
        <f t="shared" si="35"/>
        <v>OKAY</v>
      </c>
      <c r="O49" s="194" t="str">
        <f t="shared" si="35"/>
        <v>OKAY</v>
      </c>
      <c r="P49" s="194" t="str">
        <f t="shared" si="35"/>
        <v>OKAY</v>
      </c>
    </row>
    <row r="50" spans="1:16" x14ac:dyDescent="0.25">
      <c r="A50" s="102"/>
      <c r="B50" s="100"/>
      <c r="C50" s="100"/>
      <c r="D50" s="98"/>
      <c r="E50" s="100"/>
      <c r="F50" s="100"/>
      <c r="G50" s="100"/>
      <c r="I50" s="100"/>
    </row>
    <row r="51" spans="1:16" x14ac:dyDescent="0.25">
      <c r="A51" s="102"/>
      <c r="B51" s="100"/>
      <c r="C51" s="100"/>
      <c r="D51" s="98"/>
      <c r="E51" s="100"/>
      <c r="F51" s="100"/>
      <c r="G51" s="100"/>
    </row>
    <row r="52" spans="1:16" x14ac:dyDescent="0.25">
      <c r="A52" s="102"/>
      <c r="B52" s="100"/>
      <c r="C52" s="100"/>
      <c r="D52" s="98"/>
      <c r="E52" s="100"/>
      <c r="F52" s="100"/>
      <c r="G52" s="100"/>
    </row>
    <row r="60" spans="1:16" x14ac:dyDescent="0.25">
      <c r="C60" s="110"/>
      <c r="D60" s="110"/>
      <c r="E60" s="110"/>
      <c r="F60" s="110"/>
      <c r="G60" s="110"/>
      <c r="H60" s="110"/>
      <c r="M60" t="s">
        <v>679</v>
      </c>
    </row>
  </sheetData>
  <phoneticPr fontId="3" type="noConversion"/>
  <conditionalFormatting sqref="A49:XFD49">
    <cfRule type="containsText" dxfId="205" priority="1" operator="containsText" text="KO">
      <formula>NOT(ISERROR(SEARCH("KO",A49)))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61"/>
  <sheetViews>
    <sheetView topLeftCell="A32" zoomScale="110" zoomScaleNormal="110" workbookViewId="0">
      <selection activeCell="A50" sqref="A50:XFD50"/>
    </sheetView>
  </sheetViews>
  <sheetFormatPr defaultRowHeight="15" x14ac:dyDescent="0.25"/>
  <cols>
    <col min="1" max="1" width="25.140625" bestFit="1" customWidth="1"/>
    <col min="2" max="9" width="13" bestFit="1" customWidth="1"/>
    <col min="10" max="10" width="14" bestFit="1" customWidth="1"/>
  </cols>
  <sheetData>
    <row r="1" spans="1:26" x14ac:dyDescent="0.25">
      <c r="A1" s="104" t="s">
        <v>652</v>
      </c>
      <c r="B1" s="105" t="s">
        <v>680</v>
      </c>
      <c r="C1" s="105" t="s">
        <v>681</v>
      </c>
      <c r="D1" s="105" t="s">
        <v>655</v>
      </c>
      <c r="E1" s="105" t="s">
        <v>682</v>
      </c>
      <c r="F1" s="105" t="s">
        <v>657</v>
      </c>
      <c r="G1" s="105" t="s">
        <v>658</v>
      </c>
      <c r="H1" s="105" t="s">
        <v>659</v>
      </c>
      <c r="I1" s="105" t="s">
        <v>683</v>
      </c>
      <c r="J1" s="105" t="s">
        <v>684</v>
      </c>
      <c r="K1" s="105" t="s">
        <v>661</v>
      </c>
      <c r="L1" s="105" t="s">
        <v>662</v>
      </c>
      <c r="M1" s="117" t="s">
        <v>663</v>
      </c>
      <c r="N1" s="105" t="s">
        <v>685</v>
      </c>
      <c r="O1" s="117" t="s">
        <v>664</v>
      </c>
      <c r="P1" s="117" t="s">
        <v>665</v>
      </c>
      <c r="Q1" s="117" t="s">
        <v>666</v>
      </c>
      <c r="R1" s="105" t="s">
        <v>667</v>
      </c>
    </row>
    <row r="2" spans="1:26" x14ac:dyDescent="0.25">
      <c r="A2" s="5" t="s">
        <v>668</v>
      </c>
      <c r="B2" s="59">
        <v>92</v>
      </c>
      <c r="C2" s="59">
        <v>92</v>
      </c>
      <c r="D2" s="106">
        <v>91</v>
      </c>
      <c r="E2" s="59">
        <v>92</v>
      </c>
      <c r="F2" s="59">
        <v>90</v>
      </c>
      <c r="G2" s="59">
        <v>92</v>
      </c>
      <c r="H2" s="108">
        <v>92</v>
      </c>
      <c r="I2" s="108">
        <v>92</v>
      </c>
      <c r="J2" s="109">
        <v>91</v>
      </c>
      <c r="K2" s="100">
        <v>92</v>
      </c>
      <c r="L2" s="100">
        <v>88</v>
      </c>
      <c r="M2" s="100">
        <v>88</v>
      </c>
      <c r="N2" s="100">
        <v>92</v>
      </c>
      <c r="O2" s="165">
        <v>90</v>
      </c>
      <c r="P2" s="59">
        <v>90</v>
      </c>
      <c r="Q2" s="165">
        <v>91</v>
      </c>
      <c r="R2" s="100">
        <v>95</v>
      </c>
    </row>
    <row r="3" spans="1:26" x14ac:dyDescent="0.25">
      <c r="A3" s="5" t="s">
        <v>668</v>
      </c>
      <c r="B3" s="196">
        <f>AVERAGE($B$2:$R$2)</f>
        <v>91.17647058823529</v>
      </c>
      <c r="C3" s="196">
        <f t="shared" ref="C3:R3" si="0">AVERAGE($B$2:$R$2)</f>
        <v>91.17647058823529</v>
      </c>
      <c r="D3" s="196">
        <f t="shared" si="0"/>
        <v>91.17647058823529</v>
      </c>
      <c r="E3" s="196">
        <f t="shared" si="0"/>
        <v>91.17647058823529</v>
      </c>
      <c r="F3" s="196">
        <f t="shared" si="0"/>
        <v>91.17647058823529</v>
      </c>
      <c r="G3" s="196">
        <f t="shared" si="0"/>
        <v>91.17647058823529</v>
      </c>
      <c r="H3" s="196">
        <f t="shared" si="0"/>
        <v>91.17647058823529</v>
      </c>
      <c r="I3" s="196">
        <f t="shared" si="0"/>
        <v>91.17647058823529</v>
      </c>
      <c r="J3" s="196">
        <f t="shared" si="0"/>
        <v>91.17647058823529</v>
      </c>
      <c r="K3" s="196">
        <f t="shared" si="0"/>
        <v>91.17647058823529</v>
      </c>
      <c r="L3" s="196">
        <f t="shared" si="0"/>
        <v>91.17647058823529</v>
      </c>
      <c r="M3" s="196">
        <f t="shared" si="0"/>
        <v>91.17647058823529</v>
      </c>
      <c r="N3" s="196">
        <f t="shared" si="0"/>
        <v>91.17647058823529</v>
      </c>
      <c r="O3" s="196">
        <f t="shared" si="0"/>
        <v>91.17647058823529</v>
      </c>
      <c r="P3" s="196">
        <f t="shared" si="0"/>
        <v>91.17647058823529</v>
      </c>
      <c r="Q3" s="196">
        <f t="shared" si="0"/>
        <v>91.17647058823529</v>
      </c>
      <c r="R3" s="196">
        <f t="shared" si="0"/>
        <v>91.17647058823529</v>
      </c>
    </row>
    <row r="4" spans="1:26" x14ac:dyDescent="0.25">
      <c r="A4" s="5" t="s">
        <v>668</v>
      </c>
      <c r="B4" s="196">
        <f>AVERAGE($B$2:$R$2)-2</f>
        <v>89.17647058823529</v>
      </c>
      <c r="C4" s="196">
        <f t="shared" ref="C4:R4" si="1">AVERAGE($B$2:$R$2)-2</f>
        <v>89.17647058823529</v>
      </c>
      <c r="D4" s="196">
        <f t="shared" si="1"/>
        <v>89.17647058823529</v>
      </c>
      <c r="E4" s="196">
        <f t="shared" si="1"/>
        <v>89.17647058823529</v>
      </c>
      <c r="F4" s="196">
        <f t="shared" si="1"/>
        <v>89.17647058823529</v>
      </c>
      <c r="G4" s="196">
        <f t="shared" si="1"/>
        <v>89.17647058823529</v>
      </c>
      <c r="H4" s="196">
        <f t="shared" si="1"/>
        <v>89.17647058823529</v>
      </c>
      <c r="I4" s="196">
        <f t="shared" si="1"/>
        <v>89.17647058823529</v>
      </c>
      <c r="J4" s="196">
        <f t="shared" si="1"/>
        <v>89.17647058823529</v>
      </c>
      <c r="K4" s="196">
        <f t="shared" si="1"/>
        <v>89.17647058823529</v>
      </c>
      <c r="L4" s="196">
        <f t="shared" si="1"/>
        <v>89.17647058823529</v>
      </c>
      <c r="M4" s="196">
        <f t="shared" si="1"/>
        <v>89.17647058823529</v>
      </c>
      <c r="N4" s="196">
        <f t="shared" si="1"/>
        <v>89.17647058823529</v>
      </c>
      <c r="O4" s="196">
        <f t="shared" si="1"/>
        <v>89.17647058823529</v>
      </c>
      <c r="P4" s="196">
        <f t="shared" si="1"/>
        <v>89.17647058823529</v>
      </c>
      <c r="Q4" s="196">
        <f t="shared" si="1"/>
        <v>89.17647058823529</v>
      </c>
      <c r="R4" s="196">
        <f t="shared" si="1"/>
        <v>89.17647058823529</v>
      </c>
    </row>
    <row r="5" spans="1:26" x14ac:dyDescent="0.25">
      <c r="A5" s="5" t="s">
        <v>668</v>
      </c>
      <c r="B5" s="196">
        <f>AVERAGE($B$2:$R$2)+2</f>
        <v>93.17647058823529</v>
      </c>
      <c r="C5" s="196">
        <f t="shared" ref="C5:R5" si="2">AVERAGE($B$2:$R$2)+2</f>
        <v>93.17647058823529</v>
      </c>
      <c r="D5" s="196">
        <f t="shared" si="2"/>
        <v>93.17647058823529</v>
      </c>
      <c r="E5" s="196">
        <f t="shared" si="2"/>
        <v>93.17647058823529</v>
      </c>
      <c r="F5" s="196">
        <f t="shared" si="2"/>
        <v>93.17647058823529</v>
      </c>
      <c r="G5" s="196">
        <f t="shared" si="2"/>
        <v>93.17647058823529</v>
      </c>
      <c r="H5" s="196">
        <f t="shared" si="2"/>
        <v>93.17647058823529</v>
      </c>
      <c r="I5" s="196">
        <f t="shared" si="2"/>
        <v>93.17647058823529</v>
      </c>
      <c r="J5" s="196">
        <f t="shared" si="2"/>
        <v>93.17647058823529</v>
      </c>
      <c r="K5" s="196">
        <f t="shared" si="2"/>
        <v>93.17647058823529</v>
      </c>
      <c r="L5" s="196">
        <f t="shared" si="2"/>
        <v>93.17647058823529</v>
      </c>
      <c r="M5" s="196">
        <f t="shared" si="2"/>
        <v>93.17647058823529</v>
      </c>
      <c r="N5" s="196">
        <f t="shared" si="2"/>
        <v>93.17647058823529</v>
      </c>
      <c r="O5" s="196">
        <f t="shared" si="2"/>
        <v>93.17647058823529</v>
      </c>
      <c r="P5" s="196">
        <f t="shared" si="2"/>
        <v>93.17647058823529</v>
      </c>
      <c r="Q5" s="196">
        <f t="shared" si="2"/>
        <v>93.17647058823529</v>
      </c>
      <c r="R5" s="196">
        <f t="shared" si="2"/>
        <v>93.17647058823529</v>
      </c>
    </row>
    <row r="6" spans="1:26" x14ac:dyDescent="0.25">
      <c r="A6" s="104" t="s">
        <v>652</v>
      </c>
      <c r="B6" s="105" t="s">
        <v>680</v>
      </c>
      <c r="C6" s="105" t="s">
        <v>681</v>
      </c>
      <c r="D6" s="105" t="s">
        <v>655</v>
      </c>
      <c r="E6" s="105" t="s">
        <v>682</v>
      </c>
      <c r="F6" s="105" t="s">
        <v>657</v>
      </c>
      <c r="G6" s="105" t="s">
        <v>658</v>
      </c>
      <c r="H6" s="105" t="s">
        <v>659</v>
      </c>
      <c r="I6" s="105" t="s">
        <v>683</v>
      </c>
      <c r="J6" s="105" t="s">
        <v>684</v>
      </c>
      <c r="K6" s="105" t="s">
        <v>661</v>
      </c>
      <c r="L6" s="105" t="s">
        <v>662</v>
      </c>
      <c r="M6" s="117" t="s">
        <v>663</v>
      </c>
      <c r="N6" s="105" t="s">
        <v>685</v>
      </c>
      <c r="O6" s="117" t="s">
        <v>664</v>
      </c>
      <c r="P6" s="117" t="s">
        <v>665</v>
      </c>
      <c r="Q6" s="117" t="s">
        <v>686</v>
      </c>
      <c r="R6" s="105" t="s">
        <v>667</v>
      </c>
      <c r="U6" s="202"/>
      <c r="V6" s="202"/>
      <c r="W6" s="202"/>
      <c r="X6" s="202"/>
      <c r="Y6" s="202"/>
      <c r="Z6" s="202"/>
    </row>
    <row r="7" spans="1:26" x14ac:dyDescent="0.25">
      <c r="A7" s="103" t="s">
        <v>669</v>
      </c>
      <c r="B7" s="100">
        <v>23</v>
      </c>
      <c r="C7" s="100">
        <v>31</v>
      </c>
      <c r="D7" s="107">
        <v>27</v>
      </c>
      <c r="E7" s="100">
        <v>27</v>
      </c>
      <c r="F7" s="100">
        <v>25</v>
      </c>
      <c r="G7" s="100">
        <v>30</v>
      </c>
      <c r="H7" s="108">
        <v>22</v>
      </c>
      <c r="I7" s="108">
        <v>29</v>
      </c>
      <c r="J7" s="109">
        <v>25</v>
      </c>
      <c r="K7" s="100">
        <v>39</v>
      </c>
      <c r="L7" s="100">
        <v>25</v>
      </c>
      <c r="M7" s="100">
        <v>21</v>
      </c>
      <c r="N7" s="100">
        <v>23</v>
      </c>
      <c r="O7" s="165">
        <v>28</v>
      </c>
      <c r="P7" s="59">
        <v>25</v>
      </c>
      <c r="Q7" s="165">
        <v>27</v>
      </c>
      <c r="R7" s="100">
        <v>26</v>
      </c>
      <c r="U7" s="165"/>
    </row>
    <row r="8" spans="1:26" x14ac:dyDescent="0.25">
      <c r="A8" s="103" t="s">
        <v>669</v>
      </c>
      <c r="B8" s="196">
        <f>AVERAGE($B$7:$R$7)</f>
        <v>26.647058823529413</v>
      </c>
      <c r="C8" s="196">
        <f t="shared" ref="C8:R8" si="3">AVERAGE($B$7:$R$7)</f>
        <v>26.647058823529413</v>
      </c>
      <c r="D8" s="196">
        <f t="shared" si="3"/>
        <v>26.647058823529413</v>
      </c>
      <c r="E8" s="196">
        <f t="shared" si="3"/>
        <v>26.647058823529413</v>
      </c>
      <c r="F8" s="196">
        <f t="shared" si="3"/>
        <v>26.647058823529413</v>
      </c>
      <c r="G8" s="196">
        <f t="shared" si="3"/>
        <v>26.647058823529413</v>
      </c>
      <c r="H8" s="196">
        <f t="shared" si="3"/>
        <v>26.647058823529413</v>
      </c>
      <c r="I8" s="196">
        <f t="shared" si="3"/>
        <v>26.647058823529413</v>
      </c>
      <c r="J8" s="196">
        <f t="shared" si="3"/>
        <v>26.647058823529413</v>
      </c>
      <c r="K8" s="196">
        <f t="shared" si="3"/>
        <v>26.647058823529413</v>
      </c>
      <c r="L8" s="196">
        <f t="shared" si="3"/>
        <v>26.647058823529413</v>
      </c>
      <c r="M8" s="196">
        <f t="shared" si="3"/>
        <v>26.647058823529413</v>
      </c>
      <c r="N8" s="196">
        <f t="shared" si="3"/>
        <v>26.647058823529413</v>
      </c>
      <c r="O8" s="196">
        <f t="shared" si="3"/>
        <v>26.647058823529413</v>
      </c>
      <c r="P8" s="196">
        <f t="shared" si="3"/>
        <v>26.647058823529413</v>
      </c>
      <c r="Q8" s="196">
        <f t="shared" si="3"/>
        <v>26.647058823529413</v>
      </c>
      <c r="R8" s="196">
        <f t="shared" si="3"/>
        <v>26.647058823529413</v>
      </c>
      <c r="U8" s="166"/>
    </row>
    <row r="9" spans="1:26" x14ac:dyDescent="0.25">
      <c r="A9" s="103" t="s">
        <v>669</v>
      </c>
      <c r="B9" s="196">
        <f>AVERAGE($B$7:$R$7)/100*90</f>
        <v>23.982352941176472</v>
      </c>
      <c r="C9" s="196">
        <f t="shared" ref="C9:R9" si="4">AVERAGE($B$7:$R$7)/100*90</f>
        <v>23.982352941176472</v>
      </c>
      <c r="D9" s="196">
        <f t="shared" si="4"/>
        <v>23.982352941176472</v>
      </c>
      <c r="E9" s="196">
        <f t="shared" si="4"/>
        <v>23.982352941176472</v>
      </c>
      <c r="F9" s="196">
        <f t="shared" si="4"/>
        <v>23.982352941176472</v>
      </c>
      <c r="G9" s="196">
        <f t="shared" si="4"/>
        <v>23.982352941176472</v>
      </c>
      <c r="H9" s="196">
        <f t="shared" si="4"/>
        <v>23.982352941176472</v>
      </c>
      <c r="I9" s="196">
        <f t="shared" si="4"/>
        <v>23.982352941176472</v>
      </c>
      <c r="J9" s="196">
        <f t="shared" si="4"/>
        <v>23.982352941176472</v>
      </c>
      <c r="K9" s="196">
        <f t="shared" si="4"/>
        <v>23.982352941176472</v>
      </c>
      <c r="L9" s="196">
        <f t="shared" si="4"/>
        <v>23.982352941176472</v>
      </c>
      <c r="M9" s="196">
        <f t="shared" si="4"/>
        <v>23.982352941176472</v>
      </c>
      <c r="N9" s="196">
        <f t="shared" si="4"/>
        <v>23.982352941176472</v>
      </c>
      <c r="O9" s="196">
        <f t="shared" si="4"/>
        <v>23.982352941176472</v>
      </c>
      <c r="P9" s="196">
        <f t="shared" si="4"/>
        <v>23.982352941176472</v>
      </c>
      <c r="Q9" s="196">
        <f t="shared" si="4"/>
        <v>23.982352941176472</v>
      </c>
      <c r="R9" s="196">
        <f t="shared" si="4"/>
        <v>23.982352941176472</v>
      </c>
      <c r="U9" s="165"/>
    </row>
    <row r="10" spans="1:26" x14ac:dyDescent="0.25">
      <c r="A10" s="103" t="s">
        <v>669</v>
      </c>
      <c r="B10" s="196">
        <f>AVERAGE($B$7:$R$7)+(AVERAGE($B$7:$Q$7)/100*10)</f>
        <v>29.315808823529412</v>
      </c>
      <c r="C10" s="196">
        <f t="shared" ref="C10:R10" si="5">AVERAGE($B$7:$R$7)+(AVERAGE($B$7:$Q$7)/100*10)</f>
        <v>29.315808823529412</v>
      </c>
      <c r="D10" s="196">
        <f t="shared" si="5"/>
        <v>29.315808823529412</v>
      </c>
      <c r="E10" s="196">
        <f t="shared" si="5"/>
        <v>29.315808823529412</v>
      </c>
      <c r="F10" s="196">
        <f t="shared" si="5"/>
        <v>29.315808823529412</v>
      </c>
      <c r="G10" s="196">
        <f t="shared" si="5"/>
        <v>29.315808823529412</v>
      </c>
      <c r="H10" s="196">
        <f t="shared" si="5"/>
        <v>29.315808823529412</v>
      </c>
      <c r="I10" s="196">
        <f t="shared" si="5"/>
        <v>29.315808823529412</v>
      </c>
      <c r="J10" s="196">
        <f t="shared" si="5"/>
        <v>29.315808823529412</v>
      </c>
      <c r="K10" s="196">
        <f t="shared" si="5"/>
        <v>29.315808823529412</v>
      </c>
      <c r="L10" s="196">
        <f t="shared" si="5"/>
        <v>29.315808823529412</v>
      </c>
      <c r="M10" s="196">
        <f t="shared" si="5"/>
        <v>29.315808823529412</v>
      </c>
      <c r="N10" s="196">
        <f t="shared" si="5"/>
        <v>29.315808823529412</v>
      </c>
      <c r="O10" s="196">
        <f t="shared" si="5"/>
        <v>29.315808823529412</v>
      </c>
      <c r="P10" s="196">
        <f t="shared" si="5"/>
        <v>29.315808823529412</v>
      </c>
      <c r="Q10" s="196">
        <f t="shared" si="5"/>
        <v>29.315808823529412</v>
      </c>
      <c r="R10" s="196">
        <f t="shared" si="5"/>
        <v>29.315808823529412</v>
      </c>
      <c r="U10" s="165"/>
    </row>
    <row r="11" spans="1:26" x14ac:dyDescent="0.25">
      <c r="A11" s="103" t="s">
        <v>669</v>
      </c>
      <c r="B11" s="196">
        <f>AVERAGE($B$7:$R$7)/100*80</f>
        <v>21.317647058823532</v>
      </c>
      <c r="C11" s="196">
        <f t="shared" ref="C11:R11" si="6">AVERAGE($B$7:$R$7)/100*80</f>
        <v>21.317647058823532</v>
      </c>
      <c r="D11" s="196">
        <f t="shared" si="6"/>
        <v>21.317647058823532</v>
      </c>
      <c r="E11" s="196">
        <f t="shared" si="6"/>
        <v>21.317647058823532</v>
      </c>
      <c r="F11" s="196">
        <f t="shared" si="6"/>
        <v>21.317647058823532</v>
      </c>
      <c r="G11" s="196">
        <f t="shared" si="6"/>
        <v>21.317647058823532</v>
      </c>
      <c r="H11" s="196">
        <f t="shared" si="6"/>
        <v>21.317647058823532</v>
      </c>
      <c r="I11" s="196">
        <f t="shared" si="6"/>
        <v>21.317647058823532</v>
      </c>
      <c r="J11" s="196">
        <f t="shared" si="6"/>
        <v>21.317647058823532</v>
      </c>
      <c r="K11" s="196">
        <f t="shared" si="6"/>
        <v>21.317647058823532</v>
      </c>
      <c r="L11" s="196">
        <f t="shared" si="6"/>
        <v>21.317647058823532</v>
      </c>
      <c r="M11" s="196">
        <f t="shared" si="6"/>
        <v>21.317647058823532</v>
      </c>
      <c r="N11" s="196">
        <f t="shared" si="6"/>
        <v>21.317647058823532</v>
      </c>
      <c r="O11" s="196">
        <f t="shared" si="6"/>
        <v>21.317647058823532</v>
      </c>
      <c r="P11" s="196">
        <f t="shared" si="6"/>
        <v>21.317647058823532</v>
      </c>
      <c r="Q11" s="196">
        <f t="shared" si="6"/>
        <v>21.317647058823532</v>
      </c>
      <c r="R11" s="196">
        <f t="shared" si="6"/>
        <v>21.317647058823532</v>
      </c>
      <c r="U11" s="165"/>
    </row>
    <row r="12" spans="1:26" x14ac:dyDescent="0.25">
      <c r="A12" s="103" t="s">
        <v>669</v>
      </c>
      <c r="B12" s="196">
        <f>AVERAGE($B$7:$R$7)+(AVERAGE($B$7:$Q$7)/100*20)</f>
        <v>31.984558823529412</v>
      </c>
      <c r="C12" s="196">
        <f t="shared" ref="C12:R12" si="7">AVERAGE($B$7:$R$7)+(AVERAGE($B$7:$Q$7)/100*20)</f>
        <v>31.984558823529412</v>
      </c>
      <c r="D12" s="196">
        <f t="shared" si="7"/>
        <v>31.984558823529412</v>
      </c>
      <c r="E12" s="196">
        <f t="shared" si="7"/>
        <v>31.984558823529412</v>
      </c>
      <c r="F12" s="196">
        <f t="shared" si="7"/>
        <v>31.984558823529412</v>
      </c>
      <c r="G12" s="196">
        <f t="shared" si="7"/>
        <v>31.984558823529412</v>
      </c>
      <c r="H12" s="196">
        <f t="shared" si="7"/>
        <v>31.984558823529412</v>
      </c>
      <c r="I12" s="196">
        <f t="shared" si="7"/>
        <v>31.984558823529412</v>
      </c>
      <c r="J12" s="196">
        <f t="shared" si="7"/>
        <v>31.984558823529412</v>
      </c>
      <c r="K12" s="196">
        <f t="shared" si="7"/>
        <v>31.984558823529412</v>
      </c>
      <c r="L12" s="196">
        <f t="shared" si="7"/>
        <v>31.984558823529412</v>
      </c>
      <c r="M12" s="196">
        <f t="shared" si="7"/>
        <v>31.984558823529412</v>
      </c>
      <c r="N12" s="196">
        <f t="shared" si="7"/>
        <v>31.984558823529412</v>
      </c>
      <c r="O12" s="196">
        <f t="shared" si="7"/>
        <v>31.984558823529412</v>
      </c>
      <c r="P12" s="196">
        <f t="shared" si="7"/>
        <v>31.984558823529412</v>
      </c>
      <c r="Q12" s="196">
        <f t="shared" si="7"/>
        <v>31.984558823529412</v>
      </c>
      <c r="R12" s="196">
        <f t="shared" si="7"/>
        <v>31.984558823529412</v>
      </c>
      <c r="U12" s="165"/>
    </row>
    <row r="13" spans="1:26" x14ac:dyDescent="0.25">
      <c r="A13" s="104" t="s">
        <v>652</v>
      </c>
      <c r="B13" s="105" t="s">
        <v>680</v>
      </c>
      <c r="C13" s="105" t="s">
        <v>681</v>
      </c>
      <c r="D13" s="105" t="s">
        <v>655</v>
      </c>
      <c r="E13" s="105" t="s">
        <v>682</v>
      </c>
      <c r="F13" s="105" t="s">
        <v>657</v>
      </c>
      <c r="G13" s="105" t="s">
        <v>658</v>
      </c>
      <c r="H13" s="105" t="s">
        <v>659</v>
      </c>
      <c r="I13" s="105" t="s">
        <v>683</v>
      </c>
      <c r="J13" s="105" t="s">
        <v>684</v>
      </c>
      <c r="K13" s="105" t="s">
        <v>661</v>
      </c>
      <c r="L13" s="105" t="s">
        <v>662</v>
      </c>
      <c r="M13" s="117" t="s">
        <v>663</v>
      </c>
      <c r="N13" s="105" t="s">
        <v>685</v>
      </c>
      <c r="O13" s="117" t="s">
        <v>664</v>
      </c>
      <c r="P13" s="117" t="s">
        <v>665</v>
      </c>
      <c r="Q13" s="117" t="s">
        <v>686</v>
      </c>
      <c r="R13" s="105" t="s">
        <v>667</v>
      </c>
      <c r="U13" s="165"/>
    </row>
    <row r="14" spans="1:26" x14ac:dyDescent="0.25">
      <c r="A14" s="103" t="s">
        <v>670</v>
      </c>
      <c r="B14" s="100">
        <v>470</v>
      </c>
      <c r="C14" s="100">
        <v>773</v>
      </c>
      <c r="D14" s="100">
        <v>784</v>
      </c>
      <c r="E14" s="100">
        <v>778</v>
      </c>
      <c r="F14" s="100">
        <v>756</v>
      </c>
      <c r="G14" s="100">
        <v>539</v>
      </c>
      <c r="H14" s="108">
        <v>407</v>
      </c>
      <c r="I14" s="108">
        <v>499</v>
      </c>
      <c r="J14" s="109">
        <v>774</v>
      </c>
      <c r="K14" s="100">
        <v>836</v>
      </c>
      <c r="L14" s="100">
        <v>707</v>
      </c>
      <c r="M14" s="100">
        <v>848</v>
      </c>
      <c r="N14" s="100">
        <v>722</v>
      </c>
      <c r="O14" s="165">
        <v>760</v>
      </c>
      <c r="P14" s="59">
        <v>754</v>
      </c>
      <c r="Q14" s="165">
        <v>808</v>
      </c>
      <c r="R14" s="100">
        <v>790</v>
      </c>
    </row>
    <row r="15" spans="1:26" x14ac:dyDescent="0.25">
      <c r="A15" s="116" t="s">
        <v>670</v>
      </c>
      <c r="B15" s="196">
        <f>AVERAGE($B$14:$R$14)</f>
        <v>706.17647058823525</v>
      </c>
      <c r="C15" s="196">
        <f t="shared" ref="C15:R15" si="8">AVERAGE($B$14:$R$14)</f>
        <v>706.17647058823525</v>
      </c>
      <c r="D15" s="196">
        <f t="shared" si="8"/>
        <v>706.17647058823525</v>
      </c>
      <c r="E15" s="196">
        <f t="shared" si="8"/>
        <v>706.17647058823525</v>
      </c>
      <c r="F15" s="196">
        <f t="shared" si="8"/>
        <v>706.17647058823525</v>
      </c>
      <c r="G15" s="196">
        <f t="shared" si="8"/>
        <v>706.17647058823525</v>
      </c>
      <c r="H15" s="196">
        <f t="shared" si="8"/>
        <v>706.17647058823525</v>
      </c>
      <c r="I15" s="196">
        <f t="shared" si="8"/>
        <v>706.17647058823525</v>
      </c>
      <c r="J15" s="196">
        <f t="shared" si="8"/>
        <v>706.17647058823525</v>
      </c>
      <c r="K15" s="196">
        <f t="shared" si="8"/>
        <v>706.17647058823525</v>
      </c>
      <c r="L15" s="196">
        <f t="shared" si="8"/>
        <v>706.17647058823525</v>
      </c>
      <c r="M15" s="196">
        <f t="shared" si="8"/>
        <v>706.17647058823525</v>
      </c>
      <c r="N15" s="196">
        <f t="shared" si="8"/>
        <v>706.17647058823525</v>
      </c>
      <c r="O15" s="196">
        <f t="shared" si="8"/>
        <v>706.17647058823525</v>
      </c>
      <c r="P15" s="196">
        <f t="shared" si="8"/>
        <v>706.17647058823525</v>
      </c>
      <c r="Q15" s="196">
        <f t="shared" si="8"/>
        <v>706.17647058823525</v>
      </c>
      <c r="R15" s="196">
        <f t="shared" si="8"/>
        <v>706.17647058823525</v>
      </c>
    </row>
    <row r="16" spans="1:26" x14ac:dyDescent="0.25">
      <c r="A16" s="116" t="s">
        <v>670</v>
      </c>
      <c r="B16" s="196">
        <f>AVERAGE($B$14:$R$14)/100*90</f>
        <v>635.55882352941171</v>
      </c>
      <c r="C16" s="196">
        <f t="shared" ref="C16:R16" si="9">AVERAGE($B$14:$R$14)/100*90</f>
        <v>635.55882352941171</v>
      </c>
      <c r="D16" s="196">
        <f t="shared" si="9"/>
        <v>635.55882352941171</v>
      </c>
      <c r="E16" s="196">
        <f t="shared" si="9"/>
        <v>635.55882352941171</v>
      </c>
      <c r="F16" s="196">
        <f t="shared" si="9"/>
        <v>635.55882352941171</v>
      </c>
      <c r="G16" s="196">
        <f t="shared" si="9"/>
        <v>635.55882352941171</v>
      </c>
      <c r="H16" s="196">
        <f t="shared" si="9"/>
        <v>635.55882352941171</v>
      </c>
      <c r="I16" s="196">
        <f t="shared" si="9"/>
        <v>635.55882352941171</v>
      </c>
      <c r="J16" s="196">
        <f t="shared" si="9"/>
        <v>635.55882352941171</v>
      </c>
      <c r="K16" s="196">
        <f t="shared" si="9"/>
        <v>635.55882352941171</v>
      </c>
      <c r="L16" s="196">
        <f t="shared" si="9"/>
        <v>635.55882352941171</v>
      </c>
      <c r="M16" s="196">
        <f t="shared" si="9"/>
        <v>635.55882352941171</v>
      </c>
      <c r="N16" s="196">
        <f t="shared" si="9"/>
        <v>635.55882352941171</v>
      </c>
      <c r="O16" s="196">
        <f t="shared" si="9"/>
        <v>635.55882352941171</v>
      </c>
      <c r="P16" s="196">
        <f t="shared" si="9"/>
        <v>635.55882352941171</v>
      </c>
      <c r="Q16" s="196">
        <f t="shared" si="9"/>
        <v>635.55882352941171</v>
      </c>
      <c r="R16" s="196">
        <f t="shared" si="9"/>
        <v>635.55882352941171</v>
      </c>
    </row>
    <row r="17" spans="1:18" x14ac:dyDescent="0.25">
      <c r="A17" s="116" t="s">
        <v>670</v>
      </c>
      <c r="B17" s="196">
        <f>AVERAGE($B$14:$R$14)/100*80</f>
        <v>564.94117647058818</v>
      </c>
      <c r="C17" s="196">
        <f t="shared" ref="C17:R17" si="10">AVERAGE($B$14:$R$14)/100*80</f>
        <v>564.94117647058818</v>
      </c>
      <c r="D17" s="196">
        <f t="shared" si="10"/>
        <v>564.94117647058818</v>
      </c>
      <c r="E17" s="196">
        <f t="shared" si="10"/>
        <v>564.94117647058818</v>
      </c>
      <c r="F17" s="196">
        <f t="shared" si="10"/>
        <v>564.94117647058818</v>
      </c>
      <c r="G17" s="196">
        <f t="shared" si="10"/>
        <v>564.94117647058818</v>
      </c>
      <c r="H17" s="196">
        <f t="shared" si="10"/>
        <v>564.94117647058818</v>
      </c>
      <c r="I17" s="196">
        <f t="shared" si="10"/>
        <v>564.94117647058818</v>
      </c>
      <c r="J17" s="196">
        <f t="shared" si="10"/>
        <v>564.94117647058818</v>
      </c>
      <c r="K17" s="196">
        <f t="shared" si="10"/>
        <v>564.94117647058818</v>
      </c>
      <c r="L17" s="196">
        <f t="shared" si="10"/>
        <v>564.94117647058818</v>
      </c>
      <c r="M17" s="196">
        <f t="shared" si="10"/>
        <v>564.94117647058818</v>
      </c>
      <c r="N17" s="196">
        <f t="shared" si="10"/>
        <v>564.94117647058818</v>
      </c>
      <c r="O17" s="196">
        <f t="shared" si="10"/>
        <v>564.94117647058818</v>
      </c>
      <c r="P17" s="196">
        <f t="shared" si="10"/>
        <v>564.94117647058818</v>
      </c>
      <c r="Q17" s="196">
        <f t="shared" si="10"/>
        <v>564.94117647058818</v>
      </c>
      <c r="R17" s="196">
        <f t="shared" si="10"/>
        <v>564.94117647058818</v>
      </c>
    </row>
    <row r="18" spans="1:18" x14ac:dyDescent="0.25">
      <c r="A18" s="116" t="s">
        <v>670</v>
      </c>
      <c r="B18" s="196">
        <f>AVERAGE($B$14:$R$14)/100*110</f>
        <v>776.79411764705878</v>
      </c>
      <c r="C18" s="196">
        <f t="shared" ref="C18:R18" si="11">AVERAGE($B$14:$R$14)/100*110</f>
        <v>776.79411764705878</v>
      </c>
      <c r="D18" s="196">
        <f t="shared" si="11"/>
        <v>776.79411764705878</v>
      </c>
      <c r="E18" s="196">
        <f t="shared" si="11"/>
        <v>776.79411764705878</v>
      </c>
      <c r="F18" s="196">
        <f t="shared" si="11"/>
        <v>776.79411764705878</v>
      </c>
      <c r="G18" s="196">
        <f t="shared" si="11"/>
        <v>776.79411764705878</v>
      </c>
      <c r="H18" s="196">
        <f t="shared" si="11"/>
        <v>776.79411764705878</v>
      </c>
      <c r="I18" s="196">
        <f t="shared" si="11"/>
        <v>776.79411764705878</v>
      </c>
      <c r="J18" s="196">
        <f t="shared" si="11"/>
        <v>776.79411764705878</v>
      </c>
      <c r="K18" s="196">
        <f t="shared" si="11"/>
        <v>776.79411764705878</v>
      </c>
      <c r="L18" s="196">
        <f t="shared" si="11"/>
        <v>776.79411764705878</v>
      </c>
      <c r="M18" s="196">
        <f t="shared" si="11"/>
        <v>776.79411764705878</v>
      </c>
      <c r="N18" s="196">
        <f t="shared" si="11"/>
        <v>776.79411764705878</v>
      </c>
      <c r="O18" s="196">
        <f t="shared" si="11"/>
        <v>776.79411764705878</v>
      </c>
      <c r="P18" s="196">
        <f t="shared" si="11"/>
        <v>776.79411764705878</v>
      </c>
      <c r="Q18" s="196">
        <f t="shared" si="11"/>
        <v>776.79411764705878</v>
      </c>
      <c r="R18" s="196">
        <f t="shared" si="11"/>
        <v>776.79411764705878</v>
      </c>
    </row>
    <row r="19" spans="1:18" x14ac:dyDescent="0.25">
      <c r="A19" s="116" t="s">
        <v>670</v>
      </c>
      <c r="B19" s="196">
        <f>AVERAGE($B$14:$R$14)/100*120</f>
        <v>847.41176470588232</v>
      </c>
      <c r="C19" s="196">
        <f t="shared" ref="C19:R19" si="12">AVERAGE($B$14:$R$14)/100*120</f>
        <v>847.41176470588232</v>
      </c>
      <c r="D19" s="196">
        <f t="shared" si="12"/>
        <v>847.41176470588232</v>
      </c>
      <c r="E19" s="196">
        <f t="shared" si="12"/>
        <v>847.41176470588232</v>
      </c>
      <c r="F19" s="196">
        <f t="shared" si="12"/>
        <v>847.41176470588232</v>
      </c>
      <c r="G19" s="196">
        <f t="shared" si="12"/>
        <v>847.41176470588232</v>
      </c>
      <c r="H19" s="196">
        <f t="shared" si="12"/>
        <v>847.41176470588232</v>
      </c>
      <c r="I19" s="196">
        <f t="shared" si="12"/>
        <v>847.41176470588232</v>
      </c>
      <c r="J19" s="196">
        <f t="shared" si="12"/>
        <v>847.41176470588232</v>
      </c>
      <c r="K19" s="196">
        <f t="shared" si="12"/>
        <v>847.41176470588232</v>
      </c>
      <c r="L19" s="196">
        <f t="shared" si="12"/>
        <v>847.41176470588232</v>
      </c>
      <c r="M19" s="196">
        <f t="shared" si="12"/>
        <v>847.41176470588232</v>
      </c>
      <c r="N19" s="196">
        <f t="shared" si="12"/>
        <v>847.41176470588232</v>
      </c>
      <c r="O19" s="196">
        <f t="shared" si="12"/>
        <v>847.41176470588232</v>
      </c>
      <c r="P19" s="196">
        <f t="shared" si="12"/>
        <v>847.41176470588232</v>
      </c>
      <c r="Q19" s="196">
        <f t="shared" si="12"/>
        <v>847.41176470588232</v>
      </c>
      <c r="R19" s="196">
        <f t="shared" si="12"/>
        <v>847.41176470588232</v>
      </c>
    </row>
    <row r="20" spans="1:18" x14ac:dyDescent="0.25">
      <c r="A20" s="104" t="s">
        <v>652</v>
      </c>
      <c r="B20" s="105" t="s">
        <v>680</v>
      </c>
      <c r="C20" s="105" t="s">
        <v>681</v>
      </c>
      <c r="D20" s="105" t="s">
        <v>655</v>
      </c>
      <c r="E20" s="105" t="s">
        <v>682</v>
      </c>
      <c r="F20" s="105" t="s">
        <v>657</v>
      </c>
      <c r="G20" s="105" t="s">
        <v>658</v>
      </c>
      <c r="H20" s="105" t="s">
        <v>659</v>
      </c>
      <c r="I20" s="105" t="s">
        <v>683</v>
      </c>
      <c r="J20" s="105" t="s">
        <v>684</v>
      </c>
      <c r="K20" s="105" t="s">
        <v>661</v>
      </c>
      <c r="L20" s="105" t="s">
        <v>662</v>
      </c>
      <c r="M20" s="117" t="s">
        <v>663</v>
      </c>
      <c r="N20" s="105" t="s">
        <v>685</v>
      </c>
      <c r="O20" s="117" t="s">
        <v>664</v>
      </c>
      <c r="P20" s="117" t="s">
        <v>665</v>
      </c>
      <c r="Q20" s="117" t="s">
        <v>686</v>
      </c>
      <c r="R20" s="105" t="s">
        <v>667</v>
      </c>
    </row>
    <row r="21" spans="1:18" x14ac:dyDescent="0.25">
      <c r="A21" s="103" t="s">
        <v>671</v>
      </c>
      <c r="B21" s="100">
        <v>79</v>
      </c>
      <c r="C21" s="100">
        <v>83</v>
      </c>
      <c r="D21" s="100">
        <v>77</v>
      </c>
      <c r="E21" s="100">
        <v>83</v>
      </c>
      <c r="F21" s="100">
        <v>80</v>
      </c>
      <c r="G21" s="100">
        <v>80</v>
      </c>
      <c r="H21" s="108">
        <v>82</v>
      </c>
      <c r="I21" s="108">
        <v>86</v>
      </c>
      <c r="J21" s="109">
        <v>83</v>
      </c>
      <c r="K21" s="100">
        <v>84</v>
      </c>
      <c r="L21" s="100">
        <v>73</v>
      </c>
      <c r="M21" s="100">
        <v>74</v>
      </c>
      <c r="N21" s="100">
        <v>77</v>
      </c>
      <c r="O21" s="165">
        <v>69</v>
      </c>
      <c r="P21" s="59">
        <v>70</v>
      </c>
      <c r="Q21" s="165">
        <v>83</v>
      </c>
      <c r="R21" s="100">
        <v>79</v>
      </c>
    </row>
    <row r="22" spans="1:18" x14ac:dyDescent="0.25">
      <c r="A22" s="103" t="s">
        <v>671</v>
      </c>
      <c r="B22" s="196">
        <f>AVERAGE($B$21:$R$21)</f>
        <v>78.941176470588232</v>
      </c>
      <c r="C22" s="196">
        <f t="shared" ref="C22:R22" si="13">AVERAGE($B$21:$R$21)</f>
        <v>78.941176470588232</v>
      </c>
      <c r="D22" s="196">
        <f t="shared" si="13"/>
        <v>78.941176470588232</v>
      </c>
      <c r="E22" s="196">
        <f t="shared" si="13"/>
        <v>78.941176470588232</v>
      </c>
      <c r="F22" s="196">
        <f t="shared" si="13"/>
        <v>78.941176470588232</v>
      </c>
      <c r="G22" s="196">
        <f t="shared" si="13"/>
        <v>78.941176470588232</v>
      </c>
      <c r="H22" s="196">
        <f t="shared" si="13"/>
        <v>78.941176470588232</v>
      </c>
      <c r="I22" s="196">
        <f t="shared" si="13"/>
        <v>78.941176470588232</v>
      </c>
      <c r="J22" s="196">
        <f t="shared" si="13"/>
        <v>78.941176470588232</v>
      </c>
      <c r="K22" s="196">
        <f t="shared" si="13"/>
        <v>78.941176470588232</v>
      </c>
      <c r="L22" s="196">
        <f t="shared" si="13"/>
        <v>78.941176470588232</v>
      </c>
      <c r="M22" s="196">
        <f t="shared" si="13"/>
        <v>78.941176470588232</v>
      </c>
      <c r="N22" s="196">
        <f t="shared" si="13"/>
        <v>78.941176470588232</v>
      </c>
      <c r="O22" s="196">
        <f t="shared" si="13"/>
        <v>78.941176470588232</v>
      </c>
      <c r="P22" s="196">
        <f t="shared" si="13"/>
        <v>78.941176470588232</v>
      </c>
      <c r="Q22" s="196">
        <f t="shared" si="13"/>
        <v>78.941176470588232</v>
      </c>
      <c r="R22" s="196">
        <f t="shared" si="13"/>
        <v>78.941176470588232</v>
      </c>
    </row>
    <row r="23" spans="1:18" x14ac:dyDescent="0.25">
      <c r="A23" s="103" t="s">
        <v>671</v>
      </c>
      <c r="B23" s="196">
        <f>AVERAGE($B$21:$R$21)/100*90</f>
        <v>71.047058823529412</v>
      </c>
      <c r="C23" s="196">
        <f t="shared" ref="C23:R23" si="14">AVERAGE($B$21:$R$21)/100*90</f>
        <v>71.047058823529412</v>
      </c>
      <c r="D23" s="196">
        <f t="shared" si="14"/>
        <v>71.047058823529412</v>
      </c>
      <c r="E23" s="196">
        <f t="shared" si="14"/>
        <v>71.047058823529412</v>
      </c>
      <c r="F23" s="196">
        <f t="shared" si="14"/>
        <v>71.047058823529412</v>
      </c>
      <c r="G23" s="196">
        <f t="shared" si="14"/>
        <v>71.047058823529412</v>
      </c>
      <c r="H23" s="196">
        <f t="shared" si="14"/>
        <v>71.047058823529412</v>
      </c>
      <c r="I23" s="196">
        <f t="shared" si="14"/>
        <v>71.047058823529412</v>
      </c>
      <c r="J23" s="196">
        <f t="shared" si="14"/>
        <v>71.047058823529412</v>
      </c>
      <c r="K23" s="196">
        <f t="shared" si="14"/>
        <v>71.047058823529412</v>
      </c>
      <c r="L23" s="196">
        <f t="shared" si="14"/>
        <v>71.047058823529412</v>
      </c>
      <c r="M23" s="196">
        <f t="shared" si="14"/>
        <v>71.047058823529412</v>
      </c>
      <c r="N23" s="196">
        <f t="shared" si="14"/>
        <v>71.047058823529412</v>
      </c>
      <c r="O23" s="196">
        <f t="shared" si="14"/>
        <v>71.047058823529412</v>
      </c>
      <c r="P23" s="196">
        <f t="shared" si="14"/>
        <v>71.047058823529412</v>
      </c>
      <c r="Q23" s="196">
        <f t="shared" si="14"/>
        <v>71.047058823529412</v>
      </c>
      <c r="R23" s="196">
        <f t="shared" si="14"/>
        <v>71.047058823529412</v>
      </c>
    </row>
    <row r="24" spans="1:18" x14ac:dyDescent="0.25">
      <c r="A24" s="103" t="s">
        <v>671</v>
      </c>
      <c r="B24" s="196">
        <f>AVERAGE($B$21:$R$21)+(AVERAGE($B$21:$Q$21)/100*10)</f>
        <v>86.834926470588229</v>
      </c>
      <c r="C24" s="196">
        <f t="shared" ref="C24:R24" si="15">AVERAGE($B$21:$R$21)+(AVERAGE($B$21:$Q$21)/100*10)</f>
        <v>86.834926470588229</v>
      </c>
      <c r="D24" s="196">
        <f t="shared" si="15"/>
        <v>86.834926470588229</v>
      </c>
      <c r="E24" s="196">
        <f t="shared" si="15"/>
        <v>86.834926470588229</v>
      </c>
      <c r="F24" s="196">
        <f t="shared" si="15"/>
        <v>86.834926470588229</v>
      </c>
      <c r="G24" s="196">
        <f t="shared" si="15"/>
        <v>86.834926470588229</v>
      </c>
      <c r="H24" s="196">
        <f t="shared" si="15"/>
        <v>86.834926470588229</v>
      </c>
      <c r="I24" s="196">
        <f t="shared" si="15"/>
        <v>86.834926470588229</v>
      </c>
      <c r="J24" s="196">
        <f t="shared" si="15"/>
        <v>86.834926470588229</v>
      </c>
      <c r="K24" s="196">
        <f t="shared" si="15"/>
        <v>86.834926470588229</v>
      </c>
      <c r="L24" s="196">
        <f t="shared" si="15"/>
        <v>86.834926470588229</v>
      </c>
      <c r="M24" s="196">
        <f t="shared" si="15"/>
        <v>86.834926470588229</v>
      </c>
      <c r="N24" s="196">
        <f t="shared" si="15"/>
        <v>86.834926470588229</v>
      </c>
      <c r="O24" s="196">
        <f t="shared" si="15"/>
        <v>86.834926470588229</v>
      </c>
      <c r="P24" s="196">
        <f t="shared" si="15"/>
        <v>86.834926470588229</v>
      </c>
      <c r="Q24" s="196">
        <f t="shared" si="15"/>
        <v>86.834926470588229</v>
      </c>
      <c r="R24" s="196">
        <f t="shared" si="15"/>
        <v>86.834926470588229</v>
      </c>
    </row>
    <row r="25" spans="1:18" x14ac:dyDescent="0.25">
      <c r="A25" s="103" t="s">
        <v>671</v>
      </c>
      <c r="B25" s="196">
        <f>AVERAGE($B$21:$R$21)/100*80</f>
        <v>63.152941176470591</v>
      </c>
      <c r="C25" s="196">
        <f t="shared" ref="C25:R25" si="16">AVERAGE($B$21:$R$21)/100*80</f>
        <v>63.152941176470591</v>
      </c>
      <c r="D25" s="196">
        <f t="shared" si="16"/>
        <v>63.152941176470591</v>
      </c>
      <c r="E25" s="196">
        <f t="shared" si="16"/>
        <v>63.152941176470591</v>
      </c>
      <c r="F25" s="196">
        <f t="shared" si="16"/>
        <v>63.152941176470591</v>
      </c>
      <c r="G25" s="196">
        <f t="shared" si="16"/>
        <v>63.152941176470591</v>
      </c>
      <c r="H25" s="196">
        <f t="shared" si="16"/>
        <v>63.152941176470591</v>
      </c>
      <c r="I25" s="196">
        <f t="shared" si="16"/>
        <v>63.152941176470591</v>
      </c>
      <c r="J25" s="196">
        <f t="shared" si="16"/>
        <v>63.152941176470591</v>
      </c>
      <c r="K25" s="196">
        <f t="shared" si="16"/>
        <v>63.152941176470591</v>
      </c>
      <c r="L25" s="196">
        <f t="shared" si="16"/>
        <v>63.152941176470591</v>
      </c>
      <c r="M25" s="196">
        <f t="shared" si="16"/>
        <v>63.152941176470591</v>
      </c>
      <c r="N25" s="196">
        <f t="shared" si="16"/>
        <v>63.152941176470591</v>
      </c>
      <c r="O25" s="196">
        <f t="shared" si="16"/>
        <v>63.152941176470591</v>
      </c>
      <c r="P25" s="196">
        <f t="shared" si="16"/>
        <v>63.152941176470591</v>
      </c>
      <c r="Q25" s="196">
        <f t="shared" si="16"/>
        <v>63.152941176470591</v>
      </c>
      <c r="R25" s="196">
        <f t="shared" si="16"/>
        <v>63.152941176470591</v>
      </c>
    </row>
    <row r="26" spans="1:18" x14ac:dyDescent="0.25">
      <c r="A26" s="103" t="s">
        <v>671</v>
      </c>
      <c r="B26" s="196">
        <f>AVERAGE($B$21:$R$21)+(AVERAGE($B$21:$Q$21)/100*20)</f>
        <v>94.728676470588226</v>
      </c>
      <c r="C26" s="196">
        <f t="shared" ref="C26:R26" si="17">AVERAGE($B$21:$R$21)+(AVERAGE($B$21:$Q$21)/100*20)</f>
        <v>94.728676470588226</v>
      </c>
      <c r="D26" s="196">
        <f t="shared" si="17"/>
        <v>94.728676470588226</v>
      </c>
      <c r="E26" s="196">
        <f t="shared" si="17"/>
        <v>94.728676470588226</v>
      </c>
      <c r="F26" s="196">
        <f t="shared" si="17"/>
        <v>94.728676470588226</v>
      </c>
      <c r="G26" s="196">
        <f t="shared" si="17"/>
        <v>94.728676470588226</v>
      </c>
      <c r="H26" s="196">
        <f t="shared" si="17"/>
        <v>94.728676470588226</v>
      </c>
      <c r="I26" s="196">
        <f t="shared" si="17"/>
        <v>94.728676470588226</v>
      </c>
      <c r="J26" s="196">
        <f t="shared" si="17"/>
        <v>94.728676470588226</v>
      </c>
      <c r="K26" s="196">
        <f t="shared" si="17"/>
        <v>94.728676470588226</v>
      </c>
      <c r="L26" s="196">
        <f t="shared" si="17"/>
        <v>94.728676470588226</v>
      </c>
      <c r="M26" s="196">
        <f t="shared" si="17"/>
        <v>94.728676470588226</v>
      </c>
      <c r="N26" s="196">
        <f t="shared" si="17"/>
        <v>94.728676470588226</v>
      </c>
      <c r="O26" s="196">
        <f t="shared" si="17"/>
        <v>94.728676470588226</v>
      </c>
      <c r="P26" s="196">
        <f t="shared" si="17"/>
        <v>94.728676470588226</v>
      </c>
      <c r="Q26" s="196">
        <f t="shared" si="17"/>
        <v>94.728676470588226</v>
      </c>
      <c r="R26" s="196">
        <f t="shared" si="17"/>
        <v>94.728676470588226</v>
      </c>
    </row>
    <row r="27" spans="1:18" x14ac:dyDescent="0.25">
      <c r="A27" s="104" t="s">
        <v>652</v>
      </c>
      <c r="B27" s="105" t="s">
        <v>680</v>
      </c>
      <c r="C27" s="105" t="s">
        <v>681</v>
      </c>
      <c r="D27" s="105" t="s">
        <v>655</v>
      </c>
      <c r="E27" s="105" t="s">
        <v>682</v>
      </c>
      <c r="F27" s="105" t="s">
        <v>657</v>
      </c>
      <c r="G27" s="105" t="s">
        <v>658</v>
      </c>
      <c r="H27" s="105" t="s">
        <v>659</v>
      </c>
      <c r="I27" s="105" t="s">
        <v>683</v>
      </c>
      <c r="J27" s="105" t="s">
        <v>684</v>
      </c>
      <c r="K27" s="105" t="s">
        <v>661</v>
      </c>
      <c r="L27" s="105" t="s">
        <v>662</v>
      </c>
      <c r="M27" s="117" t="s">
        <v>663</v>
      </c>
      <c r="N27" s="105" t="s">
        <v>685</v>
      </c>
      <c r="O27" s="117" t="s">
        <v>664</v>
      </c>
      <c r="P27" s="117" t="s">
        <v>665</v>
      </c>
      <c r="Q27" s="117" t="s">
        <v>686</v>
      </c>
      <c r="R27" s="105" t="s">
        <v>667</v>
      </c>
    </row>
    <row r="28" spans="1:18" x14ac:dyDescent="0.25">
      <c r="A28" s="103" t="s">
        <v>672</v>
      </c>
      <c r="B28" s="100">
        <v>99</v>
      </c>
      <c r="C28" s="100">
        <v>102</v>
      </c>
      <c r="D28" s="100">
        <v>97</v>
      </c>
      <c r="E28" s="100">
        <v>109</v>
      </c>
      <c r="F28" s="100">
        <v>99</v>
      </c>
      <c r="G28" s="100">
        <v>95</v>
      </c>
      <c r="H28" s="108">
        <v>100</v>
      </c>
      <c r="I28" s="108">
        <v>107</v>
      </c>
      <c r="J28" s="109">
        <v>102</v>
      </c>
      <c r="K28" s="100">
        <v>99</v>
      </c>
      <c r="L28" s="100">
        <v>94</v>
      </c>
      <c r="M28" s="100">
        <v>90</v>
      </c>
      <c r="N28" s="100">
        <v>87</v>
      </c>
      <c r="O28" s="165">
        <v>95</v>
      </c>
      <c r="P28" s="59">
        <v>96</v>
      </c>
      <c r="Q28" s="165">
        <v>109</v>
      </c>
      <c r="R28" s="100">
        <v>112</v>
      </c>
    </row>
    <row r="29" spans="1:18" x14ac:dyDescent="0.25">
      <c r="A29" s="103" t="s">
        <v>672</v>
      </c>
      <c r="B29" s="196">
        <f>AVERAGE($B$28:$R$28)</f>
        <v>99.529411764705884</v>
      </c>
      <c r="C29" s="196">
        <f t="shared" ref="C29:R29" si="18">AVERAGE($B$28:$R$28)</f>
        <v>99.529411764705884</v>
      </c>
      <c r="D29" s="196">
        <f t="shared" si="18"/>
        <v>99.529411764705884</v>
      </c>
      <c r="E29" s="196">
        <f t="shared" si="18"/>
        <v>99.529411764705884</v>
      </c>
      <c r="F29" s="196">
        <f t="shared" si="18"/>
        <v>99.529411764705884</v>
      </c>
      <c r="G29" s="196">
        <f t="shared" si="18"/>
        <v>99.529411764705884</v>
      </c>
      <c r="H29" s="196">
        <f t="shared" si="18"/>
        <v>99.529411764705884</v>
      </c>
      <c r="I29" s="196">
        <f t="shared" si="18"/>
        <v>99.529411764705884</v>
      </c>
      <c r="J29" s="196">
        <f t="shared" si="18"/>
        <v>99.529411764705884</v>
      </c>
      <c r="K29" s="196">
        <f t="shared" si="18"/>
        <v>99.529411764705884</v>
      </c>
      <c r="L29" s="196">
        <f t="shared" si="18"/>
        <v>99.529411764705884</v>
      </c>
      <c r="M29" s="196">
        <f t="shared" si="18"/>
        <v>99.529411764705884</v>
      </c>
      <c r="N29" s="196">
        <f t="shared" si="18"/>
        <v>99.529411764705884</v>
      </c>
      <c r="O29" s="196">
        <f t="shared" si="18"/>
        <v>99.529411764705884</v>
      </c>
      <c r="P29" s="196">
        <f t="shared" si="18"/>
        <v>99.529411764705884</v>
      </c>
      <c r="Q29" s="196">
        <f t="shared" si="18"/>
        <v>99.529411764705884</v>
      </c>
      <c r="R29" s="196">
        <f t="shared" si="18"/>
        <v>99.529411764705884</v>
      </c>
    </row>
    <row r="30" spans="1:18" x14ac:dyDescent="0.25">
      <c r="A30" s="103" t="s">
        <v>672</v>
      </c>
      <c r="B30" s="196">
        <f>AVERAGE($B$28:$R$28)/100*90</f>
        <v>89.576470588235296</v>
      </c>
      <c r="C30" s="196">
        <f t="shared" ref="C30:R30" si="19">AVERAGE($B$28:$R$28)/100*90</f>
        <v>89.576470588235296</v>
      </c>
      <c r="D30" s="196">
        <f t="shared" si="19"/>
        <v>89.576470588235296</v>
      </c>
      <c r="E30" s="196">
        <f t="shared" si="19"/>
        <v>89.576470588235296</v>
      </c>
      <c r="F30" s="196">
        <f t="shared" si="19"/>
        <v>89.576470588235296</v>
      </c>
      <c r="G30" s="196">
        <f t="shared" si="19"/>
        <v>89.576470588235296</v>
      </c>
      <c r="H30" s="196">
        <f t="shared" si="19"/>
        <v>89.576470588235296</v>
      </c>
      <c r="I30" s="196">
        <f t="shared" si="19"/>
        <v>89.576470588235296</v>
      </c>
      <c r="J30" s="196">
        <f t="shared" si="19"/>
        <v>89.576470588235296</v>
      </c>
      <c r="K30" s="196">
        <f t="shared" si="19"/>
        <v>89.576470588235296</v>
      </c>
      <c r="L30" s="196">
        <f t="shared" si="19"/>
        <v>89.576470588235296</v>
      </c>
      <c r="M30" s="196">
        <f t="shared" si="19"/>
        <v>89.576470588235296</v>
      </c>
      <c r="N30" s="196">
        <f t="shared" si="19"/>
        <v>89.576470588235296</v>
      </c>
      <c r="O30" s="196">
        <f t="shared" si="19"/>
        <v>89.576470588235296</v>
      </c>
      <c r="P30" s="196">
        <f t="shared" si="19"/>
        <v>89.576470588235296</v>
      </c>
      <c r="Q30" s="196">
        <f t="shared" si="19"/>
        <v>89.576470588235296</v>
      </c>
      <c r="R30" s="196">
        <f t="shared" si="19"/>
        <v>89.576470588235296</v>
      </c>
    </row>
    <row r="31" spans="1:18" x14ac:dyDescent="0.25">
      <c r="A31" s="103" t="s">
        <v>672</v>
      </c>
      <c r="B31" s="196">
        <f>AVERAGE($B$28:$R$28)+(AVERAGE($B$28:$Q$28)/100*10)</f>
        <v>109.40441176470588</v>
      </c>
      <c r="C31" s="196">
        <f t="shared" ref="C31:R31" si="20">AVERAGE($B$28:$R$28)+(AVERAGE($B$28:$Q$28)/100*10)</f>
        <v>109.40441176470588</v>
      </c>
      <c r="D31" s="196">
        <f t="shared" si="20"/>
        <v>109.40441176470588</v>
      </c>
      <c r="E31" s="196">
        <f t="shared" si="20"/>
        <v>109.40441176470588</v>
      </c>
      <c r="F31" s="196">
        <f t="shared" si="20"/>
        <v>109.40441176470588</v>
      </c>
      <c r="G31" s="196">
        <f t="shared" si="20"/>
        <v>109.40441176470588</v>
      </c>
      <c r="H31" s="196">
        <f t="shared" si="20"/>
        <v>109.40441176470588</v>
      </c>
      <c r="I31" s="196">
        <f t="shared" si="20"/>
        <v>109.40441176470588</v>
      </c>
      <c r="J31" s="196">
        <f t="shared" si="20"/>
        <v>109.40441176470588</v>
      </c>
      <c r="K31" s="196">
        <f t="shared" si="20"/>
        <v>109.40441176470588</v>
      </c>
      <c r="L31" s="196">
        <f t="shared" si="20"/>
        <v>109.40441176470588</v>
      </c>
      <c r="M31" s="196">
        <f t="shared" si="20"/>
        <v>109.40441176470588</v>
      </c>
      <c r="N31" s="196">
        <f t="shared" si="20"/>
        <v>109.40441176470588</v>
      </c>
      <c r="O31" s="196">
        <f t="shared" si="20"/>
        <v>109.40441176470588</v>
      </c>
      <c r="P31" s="196">
        <f t="shared" si="20"/>
        <v>109.40441176470588</v>
      </c>
      <c r="Q31" s="196">
        <f t="shared" si="20"/>
        <v>109.40441176470588</v>
      </c>
      <c r="R31" s="196">
        <f t="shared" si="20"/>
        <v>109.40441176470588</v>
      </c>
    </row>
    <row r="32" spans="1:18" x14ac:dyDescent="0.25">
      <c r="A32" s="103" t="s">
        <v>672</v>
      </c>
      <c r="B32" s="196">
        <f>AVERAGE($B$28:$R$28)/100*80</f>
        <v>79.623529411764707</v>
      </c>
      <c r="C32" s="196">
        <f t="shared" ref="C32:R32" si="21">AVERAGE($B$28:$R$28)/100*80</f>
        <v>79.623529411764707</v>
      </c>
      <c r="D32" s="196">
        <f t="shared" si="21"/>
        <v>79.623529411764707</v>
      </c>
      <c r="E32" s="196">
        <f t="shared" si="21"/>
        <v>79.623529411764707</v>
      </c>
      <c r="F32" s="196">
        <f t="shared" si="21"/>
        <v>79.623529411764707</v>
      </c>
      <c r="G32" s="196">
        <f t="shared" si="21"/>
        <v>79.623529411764707</v>
      </c>
      <c r="H32" s="196">
        <f t="shared" si="21"/>
        <v>79.623529411764707</v>
      </c>
      <c r="I32" s="196">
        <f t="shared" si="21"/>
        <v>79.623529411764707</v>
      </c>
      <c r="J32" s="196">
        <f t="shared" si="21"/>
        <v>79.623529411764707</v>
      </c>
      <c r="K32" s="196">
        <f t="shared" si="21"/>
        <v>79.623529411764707</v>
      </c>
      <c r="L32" s="196">
        <f t="shared" si="21"/>
        <v>79.623529411764707</v>
      </c>
      <c r="M32" s="196">
        <f t="shared" si="21"/>
        <v>79.623529411764707</v>
      </c>
      <c r="N32" s="196">
        <f t="shared" si="21"/>
        <v>79.623529411764707</v>
      </c>
      <c r="O32" s="196">
        <f t="shared" si="21"/>
        <v>79.623529411764707</v>
      </c>
      <c r="P32" s="196">
        <f t="shared" si="21"/>
        <v>79.623529411764707</v>
      </c>
      <c r="Q32" s="196">
        <f t="shared" si="21"/>
        <v>79.623529411764707</v>
      </c>
      <c r="R32" s="196">
        <f t="shared" si="21"/>
        <v>79.623529411764707</v>
      </c>
    </row>
    <row r="33" spans="1:18" x14ac:dyDescent="0.25">
      <c r="A33" s="103" t="s">
        <v>672</v>
      </c>
      <c r="B33" s="196">
        <f>AVERAGE($B$28:$R$28)+(AVERAGE($B$28:$Q$28)/100*20)</f>
        <v>119.27941176470588</v>
      </c>
      <c r="C33" s="196">
        <f t="shared" ref="C33:R33" si="22">AVERAGE($B$28:$R$28)+(AVERAGE($B$28:$Q$28)/100*20)</f>
        <v>119.27941176470588</v>
      </c>
      <c r="D33" s="196">
        <f t="shared" si="22"/>
        <v>119.27941176470588</v>
      </c>
      <c r="E33" s="196">
        <f t="shared" si="22"/>
        <v>119.27941176470588</v>
      </c>
      <c r="F33" s="196">
        <f t="shared" si="22"/>
        <v>119.27941176470588</v>
      </c>
      <c r="G33" s="196">
        <f t="shared" si="22"/>
        <v>119.27941176470588</v>
      </c>
      <c r="H33" s="196">
        <f t="shared" si="22"/>
        <v>119.27941176470588</v>
      </c>
      <c r="I33" s="196">
        <f t="shared" si="22"/>
        <v>119.27941176470588</v>
      </c>
      <c r="J33" s="196">
        <f t="shared" si="22"/>
        <v>119.27941176470588</v>
      </c>
      <c r="K33" s="196">
        <f t="shared" si="22"/>
        <v>119.27941176470588</v>
      </c>
      <c r="L33" s="196">
        <f t="shared" si="22"/>
        <v>119.27941176470588</v>
      </c>
      <c r="M33" s="196">
        <f t="shared" si="22"/>
        <v>119.27941176470588</v>
      </c>
      <c r="N33" s="196">
        <f t="shared" si="22"/>
        <v>119.27941176470588</v>
      </c>
      <c r="O33" s="196">
        <f t="shared" si="22"/>
        <v>119.27941176470588</v>
      </c>
      <c r="P33" s="196">
        <f t="shared" si="22"/>
        <v>119.27941176470588</v>
      </c>
      <c r="Q33" s="196">
        <f t="shared" si="22"/>
        <v>119.27941176470588</v>
      </c>
      <c r="R33" s="196">
        <f t="shared" si="22"/>
        <v>119.27941176470588</v>
      </c>
    </row>
    <row r="34" spans="1:18" x14ac:dyDescent="0.25">
      <c r="A34" s="104" t="s">
        <v>652</v>
      </c>
      <c r="B34" s="105" t="s">
        <v>680</v>
      </c>
      <c r="C34" s="105" t="s">
        <v>681</v>
      </c>
      <c r="D34" s="105" t="s">
        <v>655</v>
      </c>
      <c r="E34" s="105" t="s">
        <v>682</v>
      </c>
      <c r="F34" s="105" t="s">
        <v>657</v>
      </c>
      <c r="G34" s="105" t="s">
        <v>658</v>
      </c>
      <c r="H34" s="105" t="s">
        <v>659</v>
      </c>
      <c r="I34" s="105" t="s">
        <v>683</v>
      </c>
      <c r="J34" s="105" t="s">
        <v>684</v>
      </c>
      <c r="K34" s="105" t="s">
        <v>661</v>
      </c>
      <c r="L34" s="105" t="s">
        <v>662</v>
      </c>
      <c r="M34" s="117" t="s">
        <v>663</v>
      </c>
      <c r="N34" s="105" t="s">
        <v>685</v>
      </c>
      <c r="O34" s="117" t="s">
        <v>664</v>
      </c>
      <c r="P34" s="117" t="s">
        <v>665</v>
      </c>
      <c r="Q34" s="117" t="s">
        <v>686</v>
      </c>
      <c r="R34" s="105" t="s">
        <v>667</v>
      </c>
    </row>
    <row r="35" spans="1:18" x14ac:dyDescent="0.25">
      <c r="A35" s="103" t="s">
        <v>673</v>
      </c>
      <c r="B35" s="100">
        <v>31</v>
      </c>
      <c r="C35" s="100">
        <v>25</v>
      </c>
      <c r="D35" s="100">
        <v>27</v>
      </c>
      <c r="E35" s="100">
        <v>36</v>
      </c>
      <c r="F35" s="100">
        <v>30</v>
      </c>
      <c r="G35" s="100">
        <v>27</v>
      </c>
      <c r="H35" s="108">
        <v>22</v>
      </c>
      <c r="I35" s="108">
        <v>17</v>
      </c>
      <c r="J35" s="109">
        <v>15</v>
      </c>
      <c r="K35" s="100">
        <v>30</v>
      </c>
      <c r="L35" s="100">
        <v>30</v>
      </c>
      <c r="M35" s="100">
        <v>29</v>
      </c>
      <c r="N35" s="100">
        <v>37</v>
      </c>
      <c r="O35" s="165">
        <v>23</v>
      </c>
      <c r="P35" s="59">
        <v>19</v>
      </c>
      <c r="Q35" s="165">
        <v>19</v>
      </c>
      <c r="R35" s="100">
        <v>41</v>
      </c>
    </row>
    <row r="36" spans="1:18" x14ac:dyDescent="0.25">
      <c r="A36" s="103" t="s">
        <v>673</v>
      </c>
      <c r="B36" s="196">
        <f>AVERAGE($B$35:$R$35)</f>
        <v>26.941176470588236</v>
      </c>
      <c r="C36" s="196">
        <f t="shared" ref="C36:R36" si="23">AVERAGE($B$35:$R$35)</f>
        <v>26.941176470588236</v>
      </c>
      <c r="D36" s="196">
        <f t="shared" si="23"/>
        <v>26.941176470588236</v>
      </c>
      <c r="E36" s="196">
        <f t="shared" si="23"/>
        <v>26.941176470588236</v>
      </c>
      <c r="F36" s="196">
        <f t="shared" si="23"/>
        <v>26.941176470588236</v>
      </c>
      <c r="G36" s="196">
        <f t="shared" si="23"/>
        <v>26.941176470588236</v>
      </c>
      <c r="H36" s="196">
        <f t="shared" si="23"/>
        <v>26.941176470588236</v>
      </c>
      <c r="I36" s="196">
        <f t="shared" si="23"/>
        <v>26.941176470588236</v>
      </c>
      <c r="J36" s="196">
        <f t="shared" si="23"/>
        <v>26.941176470588236</v>
      </c>
      <c r="K36" s="196">
        <f t="shared" si="23"/>
        <v>26.941176470588236</v>
      </c>
      <c r="L36" s="196">
        <f t="shared" si="23"/>
        <v>26.941176470588236</v>
      </c>
      <c r="M36" s="196">
        <f t="shared" si="23"/>
        <v>26.941176470588236</v>
      </c>
      <c r="N36" s="196">
        <f t="shared" si="23"/>
        <v>26.941176470588236</v>
      </c>
      <c r="O36" s="196">
        <f t="shared" si="23"/>
        <v>26.941176470588236</v>
      </c>
      <c r="P36" s="196">
        <f t="shared" si="23"/>
        <v>26.941176470588236</v>
      </c>
      <c r="Q36" s="196">
        <f t="shared" si="23"/>
        <v>26.941176470588236</v>
      </c>
      <c r="R36" s="196">
        <f t="shared" si="23"/>
        <v>26.941176470588236</v>
      </c>
    </row>
    <row r="37" spans="1:18" x14ac:dyDescent="0.25">
      <c r="A37" s="103" t="s">
        <v>673</v>
      </c>
      <c r="B37" s="196">
        <f>AVERAGE($B$35:$R$35)/100*90</f>
        <v>24.247058823529411</v>
      </c>
      <c r="C37" s="196">
        <f t="shared" ref="C37:R37" si="24">AVERAGE($B$35:$R$35)/100*90</f>
        <v>24.247058823529411</v>
      </c>
      <c r="D37" s="196">
        <f t="shared" si="24"/>
        <v>24.247058823529411</v>
      </c>
      <c r="E37" s="196">
        <f t="shared" si="24"/>
        <v>24.247058823529411</v>
      </c>
      <c r="F37" s="196">
        <f t="shared" si="24"/>
        <v>24.247058823529411</v>
      </c>
      <c r="G37" s="196">
        <f t="shared" si="24"/>
        <v>24.247058823529411</v>
      </c>
      <c r="H37" s="196">
        <f t="shared" si="24"/>
        <v>24.247058823529411</v>
      </c>
      <c r="I37" s="196">
        <f t="shared" si="24"/>
        <v>24.247058823529411</v>
      </c>
      <c r="J37" s="196">
        <f t="shared" si="24"/>
        <v>24.247058823529411</v>
      </c>
      <c r="K37" s="196">
        <f t="shared" si="24"/>
        <v>24.247058823529411</v>
      </c>
      <c r="L37" s="196">
        <f t="shared" si="24"/>
        <v>24.247058823529411</v>
      </c>
      <c r="M37" s="196">
        <f t="shared" si="24"/>
        <v>24.247058823529411</v>
      </c>
      <c r="N37" s="196">
        <f t="shared" si="24"/>
        <v>24.247058823529411</v>
      </c>
      <c r="O37" s="196">
        <f t="shared" si="24"/>
        <v>24.247058823529411</v>
      </c>
      <c r="P37" s="196">
        <f t="shared" si="24"/>
        <v>24.247058823529411</v>
      </c>
      <c r="Q37" s="196">
        <f t="shared" si="24"/>
        <v>24.247058823529411</v>
      </c>
      <c r="R37" s="196">
        <f t="shared" si="24"/>
        <v>24.247058823529411</v>
      </c>
    </row>
    <row r="38" spans="1:18" x14ac:dyDescent="0.25">
      <c r="A38" s="103" t="s">
        <v>673</v>
      </c>
      <c r="B38" s="196">
        <f>AVERAGE($B$35:$R$35)+(AVERAGE($B$35:$R$35)/100*10)</f>
        <v>29.63529411764706</v>
      </c>
      <c r="C38" s="196">
        <f t="shared" ref="C38:R38" si="25">AVERAGE($B$35:$R$35)+(AVERAGE($B$35:$R$35)/100*10)</f>
        <v>29.63529411764706</v>
      </c>
      <c r="D38" s="196">
        <f t="shared" si="25"/>
        <v>29.63529411764706</v>
      </c>
      <c r="E38" s="196">
        <f t="shared" si="25"/>
        <v>29.63529411764706</v>
      </c>
      <c r="F38" s="196">
        <f t="shared" si="25"/>
        <v>29.63529411764706</v>
      </c>
      <c r="G38" s="196">
        <f t="shared" si="25"/>
        <v>29.63529411764706</v>
      </c>
      <c r="H38" s="196">
        <f t="shared" si="25"/>
        <v>29.63529411764706</v>
      </c>
      <c r="I38" s="196">
        <f t="shared" si="25"/>
        <v>29.63529411764706</v>
      </c>
      <c r="J38" s="196">
        <f t="shared" si="25"/>
        <v>29.63529411764706</v>
      </c>
      <c r="K38" s="196">
        <f t="shared" si="25"/>
        <v>29.63529411764706</v>
      </c>
      <c r="L38" s="196">
        <f t="shared" si="25"/>
        <v>29.63529411764706</v>
      </c>
      <c r="M38" s="196">
        <f t="shared" si="25"/>
        <v>29.63529411764706</v>
      </c>
      <c r="N38" s="196">
        <f t="shared" si="25"/>
        <v>29.63529411764706</v>
      </c>
      <c r="O38" s="196">
        <f t="shared" si="25"/>
        <v>29.63529411764706</v>
      </c>
      <c r="P38" s="196">
        <f t="shared" si="25"/>
        <v>29.63529411764706</v>
      </c>
      <c r="Q38" s="196">
        <f t="shared" si="25"/>
        <v>29.63529411764706</v>
      </c>
      <c r="R38" s="196">
        <f t="shared" si="25"/>
        <v>29.63529411764706</v>
      </c>
    </row>
    <row r="39" spans="1:18" x14ac:dyDescent="0.25">
      <c r="A39" s="103" t="s">
        <v>673</v>
      </c>
      <c r="B39" s="196">
        <f>AVERAGE($B$35:$R$35)/100*80</f>
        <v>21.55294117647059</v>
      </c>
      <c r="C39" s="196">
        <f t="shared" ref="C39:R39" si="26">AVERAGE($B$35:$R$35)/100*80</f>
        <v>21.55294117647059</v>
      </c>
      <c r="D39" s="196">
        <f t="shared" si="26"/>
        <v>21.55294117647059</v>
      </c>
      <c r="E39" s="196">
        <f t="shared" si="26"/>
        <v>21.55294117647059</v>
      </c>
      <c r="F39" s="196">
        <f t="shared" si="26"/>
        <v>21.55294117647059</v>
      </c>
      <c r="G39" s="196">
        <f t="shared" si="26"/>
        <v>21.55294117647059</v>
      </c>
      <c r="H39" s="196">
        <f t="shared" si="26"/>
        <v>21.55294117647059</v>
      </c>
      <c r="I39" s="196">
        <f t="shared" si="26"/>
        <v>21.55294117647059</v>
      </c>
      <c r="J39" s="196">
        <f t="shared" si="26"/>
        <v>21.55294117647059</v>
      </c>
      <c r="K39" s="196">
        <f t="shared" si="26"/>
        <v>21.55294117647059</v>
      </c>
      <c r="L39" s="196">
        <f t="shared" si="26"/>
        <v>21.55294117647059</v>
      </c>
      <c r="M39" s="196">
        <f t="shared" si="26"/>
        <v>21.55294117647059</v>
      </c>
      <c r="N39" s="196">
        <f t="shared" si="26"/>
        <v>21.55294117647059</v>
      </c>
      <c r="O39" s="196">
        <f t="shared" si="26"/>
        <v>21.55294117647059</v>
      </c>
      <c r="P39" s="196">
        <f t="shared" si="26"/>
        <v>21.55294117647059</v>
      </c>
      <c r="Q39" s="196">
        <f t="shared" si="26"/>
        <v>21.55294117647059</v>
      </c>
      <c r="R39" s="196">
        <f t="shared" si="26"/>
        <v>21.55294117647059</v>
      </c>
    </row>
    <row r="40" spans="1:18" x14ac:dyDescent="0.25">
      <c r="A40" s="103" t="s">
        <v>673</v>
      </c>
      <c r="B40" s="196">
        <f>AVERAGE($B$35:$R$35)+(AVERAGE($B$35:$R$35)/100*20)</f>
        <v>32.329411764705881</v>
      </c>
      <c r="C40" s="196">
        <f t="shared" ref="C40:R40" si="27">AVERAGE($B$35:$R$35)+(AVERAGE($B$35:$R$35)/100*20)</f>
        <v>32.329411764705881</v>
      </c>
      <c r="D40" s="196">
        <f t="shared" si="27"/>
        <v>32.329411764705881</v>
      </c>
      <c r="E40" s="196">
        <f t="shared" si="27"/>
        <v>32.329411764705881</v>
      </c>
      <c r="F40" s="196">
        <f t="shared" si="27"/>
        <v>32.329411764705881</v>
      </c>
      <c r="G40" s="196">
        <f t="shared" si="27"/>
        <v>32.329411764705881</v>
      </c>
      <c r="H40" s="196">
        <f t="shared" si="27"/>
        <v>32.329411764705881</v>
      </c>
      <c r="I40" s="196">
        <f t="shared" si="27"/>
        <v>32.329411764705881</v>
      </c>
      <c r="J40" s="196">
        <f t="shared" si="27"/>
        <v>32.329411764705881</v>
      </c>
      <c r="K40" s="196">
        <f t="shared" si="27"/>
        <v>32.329411764705881</v>
      </c>
      <c r="L40" s="196">
        <f t="shared" si="27"/>
        <v>32.329411764705881</v>
      </c>
      <c r="M40" s="196">
        <f t="shared" si="27"/>
        <v>32.329411764705881</v>
      </c>
      <c r="N40" s="196">
        <f t="shared" si="27"/>
        <v>32.329411764705881</v>
      </c>
      <c r="O40" s="196">
        <f t="shared" si="27"/>
        <v>32.329411764705881</v>
      </c>
      <c r="P40" s="196">
        <f t="shared" si="27"/>
        <v>32.329411764705881</v>
      </c>
      <c r="Q40" s="196">
        <f t="shared" si="27"/>
        <v>32.329411764705881</v>
      </c>
      <c r="R40" s="196">
        <f t="shared" si="27"/>
        <v>32.329411764705881</v>
      </c>
    </row>
    <row r="42" spans="1:18" x14ac:dyDescent="0.25">
      <c r="A42" s="116" t="s">
        <v>306</v>
      </c>
      <c r="B42" s="196">
        <f>IF(B2&gt;=B4,15,0)</f>
        <v>15</v>
      </c>
      <c r="C42" s="196">
        <f t="shared" ref="C42:R42" si="28">IF(C2&gt;=C4,15,0)</f>
        <v>15</v>
      </c>
      <c r="D42" s="196">
        <f t="shared" si="28"/>
        <v>15</v>
      </c>
      <c r="E42" s="196">
        <f t="shared" si="28"/>
        <v>15</v>
      </c>
      <c r="F42" s="196">
        <f t="shared" si="28"/>
        <v>15</v>
      </c>
      <c r="G42" s="196">
        <f t="shared" si="28"/>
        <v>15</v>
      </c>
      <c r="H42" s="196">
        <f t="shared" si="28"/>
        <v>15</v>
      </c>
      <c r="I42" s="196">
        <f t="shared" si="28"/>
        <v>15</v>
      </c>
      <c r="J42" s="196">
        <f t="shared" si="28"/>
        <v>15</v>
      </c>
      <c r="K42" s="196">
        <f t="shared" si="28"/>
        <v>15</v>
      </c>
      <c r="L42" s="196">
        <f t="shared" si="28"/>
        <v>0</v>
      </c>
      <c r="M42" s="196">
        <f t="shared" si="28"/>
        <v>0</v>
      </c>
      <c r="N42" s="196">
        <f t="shared" si="28"/>
        <v>15</v>
      </c>
      <c r="O42" s="196">
        <f t="shared" si="28"/>
        <v>15</v>
      </c>
      <c r="P42" s="196">
        <f t="shared" si="28"/>
        <v>15</v>
      </c>
      <c r="Q42" s="196">
        <f t="shared" si="28"/>
        <v>15</v>
      </c>
      <c r="R42" s="196">
        <f t="shared" si="28"/>
        <v>15</v>
      </c>
    </row>
    <row r="43" spans="1:18" x14ac:dyDescent="0.25">
      <c r="A43" s="116" t="s">
        <v>307</v>
      </c>
      <c r="B43" s="196">
        <f>IF(B7&gt;=B11,10,0)</f>
        <v>10</v>
      </c>
      <c r="C43" s="196">
        <f t="shared" ref="C43:R43" si="29">IF(C7&gt;=C11,10,0)</f>
        <v>10</v>
      </c>
      <c r="D43" s="196">
        <f t="shared" si="29"/>
        <v>10</v>
      </c>
      <c r="E43" s="196">
        <f t="shared" si="29"/>
        <v>10</v>
      </c>
      <c r="F43" s="196">
        <f t="shared" si="29"/>
        <v>10</v>
      </c>
      <c r="G43" s="196">
        <f t="shared" si="29"/>
        <v>10</v>
      </c>
      <c r="H43" s="196">
        <f t="shared" si="29"/>
        <v>10</v>
      </c>
      <c r="I43" s="196">
        <f t="shared" si="29"/>
        <v>10</v>
      </c>
      <c r="J43" s="196">
        <f t="shared" si="29"/>
        <v>10</v>
      </c>
      <c r="K43" s="196">
        <f t="shared" si="29"/>
        <v>10</v>
      </c>
      <c r="L43" s="196">
        <f t="shared" si="29"/>
        <v>10</v>
      </c>
      <c r="M43" s="196">
        <f t="shared" si="29"/>
        <v>0</v>
      </c>
      <c r="N43" s="196">
        <f t="shared" si="29"/>
        <v>10</v>
      </c>
      <c r="O43" s="196">
        <f t="shared" si="29"/>
        <v>10</v>
      </c>
      <c r="P43" s="196">
        <f t="shared" si="29"/>
        <v>10</v>
      </c>
      <c r="Q43" s="196">
        <f t="shared" si="29"/>
        <v>10</v>
      </c>
      <c r="R43" s="196">
        <f t="shared" si="29"/>
        <v>10</v>
      </c>
    </row>
    <row r="44" spans="1:18" x14ac:dyDescent="0.25">
      <c r="A44" s="116" t="s">
        <v>674</v>
      </c>
      <c r="B44" s="196">
        <f>IF(B14&gt;B17,5,0)</f>
        <v>0</v>
      </c>
      <c r="C44" s="196">
        <f t="shared" ref="C44:R44" si="30">IF(C14&gt;C17,5,0)</f>
        <v>5</v>
      </c>
      <c r="D44" s="196">
        <f t="shared" si="30"/>
        <v>5</v>
      </c>
      <c r="E44" s="196">
        <f t="shared" si="30"/>
        <v>5</v>
      </c>
      <c r="F44" s="196">
        <f t="shared" si="30"/>
        <v>5</v>
      </c>
      <c r="G44" s="196">
        <f t="shared" si="30"/>
        <v>0</v>
      </c>
      <c r="H44" s="196">
        <f t="shared" si="30"/>
        <v>0</v>
      </c>
      <c r="I44" s="196">
        <f t="shared" si="30"/>
        <v>0</v>
      </c>
      <c r="J44" s="196">
        <f t="shared" si="30"/>
        <v>5</v>
      </c>
      <c r="K44" s="196">
        <f t="shared" si="30"/>
        <v>5</v>
      </c>
      <c r="L44" s="196">
        <f t="shared" si="30"/>
        <v>5</v>
      </c>
      <c r="M44" s="196">
        <f t="shared" si="30"/>
        <v>5</v>
      </c>
      <c r="N44" s="196">
        <f t="shared" si="30"/>
        <v>5</v>
      </c>
      <c r="O44" s="196">
        <f t="shared" si="30"/>
        <v>5</v>
      </c>
      <c r="P44" s="196">
        <f t="shared" si="30"/>
        <v>5</v>
      </c>
      <c r="Q44" s="196">
        <f t="shared" si="30"/>
        <v>5</v>
      </c>
      <c r="R44" s="196">
        <f t="shared" si="30"/>
        <v>5</v>
      </c>
    </row>
    <row r="45" spans="1:18" x14ac:dyDescent="0.25">
      <c r="A45" s="116" t="s">
        <v>675</v>
      </c>
      <c r="B45" s="194">
        <f>IF(B21&gt;=B25,25,0)</f>
        <v>25</v>
      </c>
      <c r="C45" s="194">
        <f t="shared" ref="C45:R45" si="31">IF(C21&gt;=C25,25,0)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25</v>
      </c>
      <c r="I45" s="194">
        <f t="shared" si="31"/>
        <v>25</v>
      </c>
      <c r="J45" s="194">
        <f t="shared" si="31"/>
        <v>25</v>
      </c>
      <c r="K45" s="194">
        <f t="shared" si="31"/>
        <v>25</v>
      </c>
      <c r="L45" s="194">
        <f t="shared" si="31"/>
        <v>25</v>
      </c>
      <c r="M45" s="194">
        <f t="shared" si="31"/>
        <v>25</v>
      </c>
      <c r="N45" s="194">
        <f t="shared" si="31"/>
        <v>25</v>
      </c>
      <c r="O45" s="194">
        <f t="shared" si="31"/>
        <v>25</v>
      </c>
      <c r="P45" s="194">
        <f t="shared" si="31"/>
        <v>25</v>
      </c>
      <c r="Q45" s="194">
        <f t="shared" si="31"/>
        <v>25</v>
      </c>
      <c r="R45" s="194">
        <f t="shared" si="31"/>
        <v>25</v>
      </c>
    </row>
    <row r="46" spans="1:18" x14ac:dyDescent="0.25">
      <c r="A46" s="116" t="s">
        <v>676</v>
      </c>
      <c r="B46" s="194">
        <f>IF(B28&gt;=B32,25,0)</f>
        <v>25</v>
      </c>
      <c r="C46" s="194">
        <f t="shared" ref="C46:R46" si="32">IF(C28&gt;=C32,25,0)</f>
        <v>25</v>
      </c>
      <c r="D46" s="194">
        <f t="shared" si="32"/>
        <v>25</v>
      </c>
      <c r="E46" s="194">
        <f t="shared" si="32"/>
        <v>25</v>
      </c>
      <c r="F46" s="194">
        <f t="shared" si="32"/>
        <v>25</v>
      </c>
      <c r="G46" s="194">
        <f t="shared" si="32"/>
        <v>25</v>
      </c>
      <c r="H46" s="194">
        <f t="shared" si="32"/>
        <v>25</v>
      </c>
      <c r="I46" s="194">
        <f t="shared" si="32"/>
        <v>25</v>
      </c>
      <c r="J46" s="194">
        <f t="shared" si="32"/>
        <v>25</v>
      </c>
      <c r="K46" s="194">
        <f t="shared" si="32"/>
        <v>25</v>
      </c>
      <c r="L46" s="194">
        <f t="shared" si="32"/>
        <v>25</v>
      </c>
      <c r="M46" s="194">
        <f t="shared" si="32"/>
        <v>25</v>
      </c>
      <c r="N46" s="194">
        <f t="shared" si="32"/>
        <v>25</v>
      </c>
      <c r="O46" s="194">
        <f t="shared" si="32"/>
        <v>25</v>
      </c>
      <c r="P46" s="194">
        <f t="shared" si="32"/>
        <v>25</v>
      </c>
      <c r="Q46" s="194">
        <f t="shared" si="32"/>
        <v>25</v>
      </c>
      <c r="R46" s="194">
        <f t="shared" si="32"/>
        <v>25</v>
      </c>
    </row>
    <row r="47" spans="1:18" x14ac:dyDescent="0.25">
      <c r="A47" s="116" t="s">
        <v>311</v>
      </c>
      <c r="B47" s="194">
        <f>IF(B35&lt;=B40,20,0)</f>
        <v>20</v>
      </c>
      <c r="C47" s="194">
        <f t="shared" ref="C47:R47" si="33">IF(C35&lt;=C40,20,0)</f>
        <v>20</v>
      </c>
      <c r="D47" s="194">
        <f t="shared" si="33"/>
        <v>20</v>
      </c>
      <c r="E47" s="194">
        <f t="shared" si="33"/>
        <v>0</v>
      </c>
      <c r="F47" s="194">
        <f t="shared" si="33"/>
        <v>20</v>
      </c>
      <c r="G47" s="194">
        <f t="shared" si="33"/>
        <v>20</v>
      </c>
      <c r="H47" s="194">
        <f t="shared" si="33"/>
        <v>20</v>
      </c>
      <c r="I47" s="194">
        <f t="shared" si="33"/>
        <v>20</v>
      </c>
      <c r="J47" s="194">
        <f t="shared" si="33"/>
        <v>20</v>
      </c>
      <c r="K47" s="194">
        <f t="shared" si="33"/>
        <v>20</v>
      </c>
      <c r="L47" s="194">
        <f t="shared" si="33"/>
        <v>20</v>
      </c>
      <c r="M47" s="194">
        <f t="shared" si="33"/>
        <v>20</v>
      </c>
      <c r="N47" s="194">
        <f t="shared" si="33"/>
        <v>0</v>
      </c>
      <c r="O47" s="194">
        <f t="shared" si="33"/>
        <v>20</v>
      </c>
      <c r="P47" s="194">
        <f t="shared" si="33"/>
        <v>20</v>
      </c>
      <c r="Q47" s="194">
        <f t="shared" si="33"/>
        <v>20</v>
      </c>
      <c r="R47" s="194">
        <f t="shared" si="33"/>
        <v>0</v>
      </c>
    </row>
    <row r="48" spans="1:18" x14ac:dyDescent="0.25">
      <c r="A48" s="116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</row>
    <row r="49" spans="1:18" x14ac:dyDescent="0.25">
      <c r="A49" s="116" t="s">
        <v>677</v>
      </c>
      <c r="B49" s="194">
        <f>SUM(B42:B47)</f>
        <v>95</v>
      </c>
      <c r="C49" s="194">
        <f t="shared" ref="C49:P49" si="34">SUM(C42:C47)</f>
        <v>100</v>
      </c>
      <c r="D49" s="194">
        <f t="shared" si="34"/>
        <v>100</v>
      </c>
      <c r="E49" s="194">
        <f t="shared" si="34"/>
        <v>80</v>
      </c>
      <c r="F49" s="194">
        <f t="shared" si="34"/>
        <v>100</v>
      </c>
      <c r="G49" s="194">
        <f t="shared" si="34"/>
        <v>95</v>
      </c>
      <c r="H49" s="194">
        <f t="shared" si="34"/>
        <v>95</v>
      </c>
      <c r="I49" s="194">
        <f t="shared" si="34"/>
        <v>95</v>
      </c>
      <c r="J49" s="194">
        <f t="shared" si="34"/>
        <v>100</v>
      </c>
      <c r="K49" s="194">
        <f t="shared" si="34"/>
        <v>100</v>
      </c>
      <c r="L49" s="194">
        <f t="shared" si="34"/>
        <v>85</v>
      </c>
      <c r="M49" s="194">
        <f t="shared" si="34"/>
        <v>75</v>
      </c>
      <c r="N49" s="194">
        <f t="shared" si="34"/>
        <v>80</v>
      </c>
      <c r="O49" s="194">
        <f t="shared" si="34"/>
        <v>100</v>
      </c>
      <c r="P49" s="194">
        <f t="shared" si="34"/>
        <v>100</v>
      </c>
      <c r="Q49" s="194">
        <f t="shared" ref="Q49:R49" si="35">SUM(Q42:Q47)</f>
        <v>100</v>
      </c>
      <c r="R49" s="194">
        <f t="shared" si="35"/>
        <v>80</v>
      </c>
    </row>
    <row r="50" spans="1:18" x14ac:dyDescent="0.25">
      <c r="A50" s="116" t="s">
        <v>678</v>
      </c>
      <c r="B50" s="194" t="str">
        <f>IF(B49&gt;=50,"OKAY","KO")</f>
        <v>OKAY</v>
      </c>
      <c r="C50" s="194" t="str">
        <f t="shared" ref="C50:P50" si="36">IF(C49&gt;=50,"OKAY","KO")</f>
        <v>OKAY</v>
      </c>
      <c r="D50" s="194" t="str">
        <f t="shared" si="36"/>
        <v>OKAY</v>
      </c>
      <c r="E50" s="194" t="str">
        <f t="shared" si="36"/>
        <v>OKAY</v>
      </c>
      <c r="F50" s="194" t="str">
        <f t="shared" si="36"/>
        <v>OKAY</v>
      </c>
      <c r="G50" s="194" t="str">
        <f t="shared" si="36"/>
        <v>OKAY</v>
      </c>
      <c r="H50" s="194" t="str">
        <f t="shared" si="36"/>
        <v>OKAY</v>
      </c>
      <c r="I50" s="194" t="str">
        <f t="shared" si="36"/>
        <v>OKAY</v>
      </c>
      <c r="J50" s="194" t="str">
        <f t="shared" si="36"/>
        <v>OKAY</v>
      </c>
      <c r="K50" s="194" t="str">
        <f t="shared" si="36"/>
        <v>OKAY</v>
      </c>
      <c r="L50" s="194" t="str">
        <f t="shared" si="36"/>
        <v>OKAY</v>
      </c>
      <c r="M50" s="194" t="str">
        <f t="shared" si="36"/>
        <v>OKAY</v>
      </c>
      <c r="N50" s="194" t="str">
        <f t="shared" si="36"/>
        <v>OKAY</v>
      </c>
      <c r="O50" s="194" t="str">
        <f t="shared" si="36"/>
        <v>OKAY</v>
      </c>
      <c r="P50" s="194" t="str">
        <f t="shared" si="36"/>
        <v>OKAY</v>
      </c>
      <c r="Q50" s="194" t="str">
        <f t="shared" ref="Q50" si="37">IF(Q49&gt;=50,"OKAY","KO")</f>
        <v>OKAY</v>
      </c>
      <c r="R50" s="194" t="str">
        <f t="shared" ref="R50" si="38">IF(R49&gt;=50,"OKAY","KO")</f>
        <v>OKAY</v>
      </c>
    </row>
    <row r="51" spans="1:18" x14ac:dyDescent="0.25">
      <c r="A51" s="116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</row>
    <row r="61" spans="1:18" x14ac:dyDescent="0.25">
      <c r="B61" s="110"/>
      <c r="C61" s="110"/>
      <c r="D61" s="110"/>
      <c r="E61" s="110"/>
      <c r="F61" s="110"/>
      <c r="G61" s="110"/>
    </row>
  </sheetData>
  <phoneticPr fontId="3" type="noConversion"/>
  <conditionalFormatting sqref="A50:XFD50">
    <cfRule type="containsText" dxfId="186" priority="1" operator="containsText" text="KO">
      <formula>NOT(ISERROR(SEARCH("KO",A50)))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U60"/>
  <sheetViews>
    <sheetView topLeftCell="A28" workbookViewId="0">
      <selection activeCell="A51" sqref="A51:XFD51"/>
    </sheetView>
  </sheetViews>
  <sheetFormatPr defaultRowHeight="15" x14ac:dyDescent="0.25"/>
  <cols>
    <col min="1" max="1" width="25.140625" bestFit="1" customWidth="1"/>
    <col min="2" max="9" width="13" bestFit="1" customWidth="1"/>
    <col min="10" max="10" width="14" bestFit="1" customWidth="1"/>
  </cols>
  <sheetData>
    <row r="1" spans="1:21" x14ac:dyDescent="0.25">
      <c r="A1" s="104" t="s">
        <v>652</v>
      </c>
      <c r="B1" s="105" t="s">
        <v>687</v>
      </c>
      <c r="C1" s="105" t="s">
        <v>688</v>
      </c>
      <c r="D1" s="105" t="s">
        <v>689</v>
      </c>
      <c r="E1" s="105" t="s">
        <v>690</v>
      </c>
      <c r="F1" s="105" t="s">
        <v>691</v>
      </c>
      <c r="G1" s="105" t="s">
        <v>692</v>
      </c>
      <c r="H1" s="105" t="s">
        <v>693</v>
      </c>
      <c r="I1" s="105" t="s">
        <v>694</v>
      </c>
      <c r="J1" s="105" t="s">
        <v>684</v>
      </c>
      <c r="K1" s="105" t="s">
        <v>661</v>
      </c>
      <c r="L1" s="105" t="s">
        <v>662</v>
      </c>
      <c r="M1" s="117" t="s">
        <v>663</v>
      </c>
      <c r="N1" s="105" t="s">
        <v>685</v>
      </c>
      <c r="O1" s="117" t="s">
        <v>664</v>
      </c>
      <c r="P1" s="117" t="s">
        <v>665</v>
      </c>
      <c r="Q1" s="117" t="s">
        <v>666</v>
      </c>
      <c r="R1" s="105" t="s">
        <v>667</v>
      </c>
    </row>
    <row r="2" spans="1:21" x14ac:dyDescent="0.25">
      <c r="A2" s="5" t="s">
        <v>668</v>
      </c>
      <c r="B2" s="59">
        <v>76</v>
      </c>
      <c r="C2" s="59">
        <v>71</v>
      </c>
      <c r="D2" s="106">
        <v>73</v>
      </c>
      <c r="E2" s="59">
        <v>72</v>
      </c>
      <c r="F2" s="59">
        <v>73</v>
      </c>
      <c r="G2" s="59">
        <v>74</v>
      </c>
      <c r="H2" s="108">
        <v>71</v>
      </c>
      <c r="I2" s="108">
        <v>72</v>
      </c>
      <c r="J2" s="109">
        <v>73</v>
      </c>
      <c r="K2" s="100">
        <v>72</v>
      </c>
      <c r="L2" s="100">
        <v>65</v>
      </c>
      <c r="M2" s="100">
        <v>70</v>
      </c>
      <c r="N2" s="100">
        <v>74</v>
      </c>
      <c r="O2" s="165">
        <v>75</v>
      </c>
      <c r="P2" s="59">
        <v>72</v>
      </c>
      <c r="Q2" s="165">
        <v>70</v>
      </c>
      <c r="R2" s="100">
        <v>73</v>
      </c>
    </row>
    <row r="3" spans="1:21" x14ac:dyDescent="0.25">
      <c r="A3" s="5" t="s">
        <v>668</v>
      </c>
      <c r="B3" s="194">
        <f>AVERAGE($B$2:$R$2)</f>
        <v>72.117647058823536</v>
      </c>
      <c r="C3" s="194">
        <f t="shared" ref="C3:R3" si="0">AVERAGE($B$2:$R$2)</f>
        <v>72.117647058823536</v>
      </c>
      <c r="D3" s="194">
        <f t="shared" si="0"/>
        <v>72.117647058823536</v>
      </c>
      <c r="E3" s="194">
        <f t="shared" si="0"/>
        <v>72.117647058823536</v>
      </c>
      <c r="F3" s="194">
        <f t="shared" si="0"/>
        <v>72.117647058823536</v>
      </c>
      <c r="G3" s="194">
        <f t="shared" si="0"/>
        <v>72.117647058823536</v>
      </c>
      <c r="H3" s="194">
        <f t="shared" si="0"/>
        <v>72.117647058823536</v>
      </c>
      <c r="I3" s="194">
        <f t="shared" si="0"/>
        <v>72.117647058823536</v>
      </c>
      <c r="J3" s="194">
        <f t="shared" si="0"/>
        <v>72.117647058823536</v>
      </c>
      <c r="K3" s="194">
        <f t="shared" si="0"/>
        <v>72.117647058823536</v>
      </c>
      <c r="L3" s="194">
        <f t="shared" si="0"/>
        <v>72.117647058823536</v>
      </c>
      <c r="M3" s="194">
        <f t="shared" si="0"/>
        <v>72.117647058823536</v>
      </c>
      <c r="N3" s="194">
        <f t="shared" si="0"/>
        <v>72.117647058823536</v>
      </c>
      <c r="O3" s="194">
        <f t="shared" si="0"/>
        <v>72.117647058823536</v>
      </c>
      <c r="P3" s="194">
        <f t="shared" si="0"/>
        <v>72.117647058823536</v>
      </c>
      <c r="Q3" s="194">
        <f t="shared" si="0"/>
        <v>72.117647058823536</v>
      </c>
      <c r="R3" s="194">
        <f t="shared" si="0"/>
        <v>72.117647058823536</v>
      </c>
    </row>
    <row r="4" spans="1:21" x14ac:dyDescent="0.25">
      <c r="A4" s="5" t="s">
        <v>668</v>
      </c>
      <c r="B4" s="194">
        <f>AVERAGE($B$2:$R$2)-2</f>
        <v>70.117647058823536</v>
      </c>
      <c r="C4" s="194">
        <f t="shared" ref="C4:R4" si="1">AVERAGE($B$2:$R$2)-2</f>
        <v>70.117647058823536</v>
      </c>
      <c r="D4" s="194">
        <f t="shared" si="1"/>
        <v>70.117647058823536</v>
      </c>
      <c r="E4" s="194">
        <f t="shared" si="1"/>
        <v>70.117647058823536</v>
      </c>
      <c r="F4" s="194">
        <f t="shared" si="1"/>
        <v>70.117647058823536</v>
      </c>
      <c r="G4" s="194">
        <f t="shared" si="1"/>
        <v>70.117647058823536</v>
      </c>
      <c r="H4" s="194">
        <f t="shared" si="1"/>
        <v>70.117647058823536</v>
      </c>
      <c r="I4" s="194">
        <f t="shared" si="1"/>
        <v>70.117647058823536</v>
      </c>
      <c r="J4" s="194">
        <f t="shared" si="1"/>
        <v>70.117647058823536</v>
      </c>
      <c r="K4" s="194">
        <f t="shared" si="1"/>
        <v>70.117647058823536</v>
      </c>
      <c r="L4" s="194">
        <f t="shared" si="1"/>
        <v>70.117647058823536</v>
      </c>
      <c r="M4" s="194">
        <f t="shared" si="1"/>
        <v>70.117647058823536</v>
      </c>
      <c r="N4" s="194">
        <f t="shared" si="1"/>
        <v>70.117647058823536</v>
      </c>
      <c r="O4" s="194">
        <f t="shared" si="1"/>
        <v>70.117647058823536</v>
      </c>
      <c r="P4" s="194">
        <f t="shared" si="1"/>
        <v>70.117647058823536</v>
      </c>
      <c r="Q4" s="194">
        <f t="shared" si="1"/>
        <v>70.117647058823536</v>
      </c>
      <c r="R4" s="194">
        <f t="shared" si="1"/>
        <v>70.117647058823536</v>
      </c>
    </row>
    <row r="5" spans="1:21" x14ac:dyDescent="0.25">
      <c r="A5" s="5" t="s">
        <v>668</v>
      </c>
      <c r="B5" s="194">
        <f>AVERAGE($B$2:$R$2)+2</f>
        <v>74.117647058823536</v>
      </c>
      <c r="C5" s="194">
        <f t="shared" ref="C5:R5" si="2">AVERAGE($B$2:$R$2)+2</f>
        <v>74.117647058823536</v>
      </c>
      <c r="D5" s="194">
        <f t="shared" si="2"/>
        <v>74.117647058823536</v>
      </c>
      <c r="E5" s="194">
        <f t="shared" si="2"/>
        <v>74.117647058823536</v>
      </c>
      <c r="F5" s="194">
        <f t="shared" si="2"/>
        <v>74.117647058823536</v>
      </c>
      <c r="G5" s="194">
        <f t="shared" si="2"/>
        <v>74.117647058823536</v>
      </c>
      <c r="H5" s="194">
        <f t="shared" si="2"/>
        <v>74.117647058823536</v>
      </c>
      <c r="I5" s="194">
        <f t="shared" si="2"/>
        <v>74.117647058823536</v>
      </c>
      <c r="J5" s="194">
        <f t="shared" si="2"/>
        <v>74.117647058823536</v>
      </c>
      <c r="K5" s="194">
        <f t="shared" si="2"/>
        <v>74.117647058823536</v>
      </c>
      <c r="L5" s="194">
        <f t="shared" si="2"/>
        <v>74.117647058823536</v>
      </c>
      <c r="M5" s="194">
        <f t="shared" si="2"/>
        <v>74.117647058823536</v>
      </c>
      <c r="N5" s="194">
        <f t="shared" si="2"/>
        <v>74.117647058823536</v>
      </c>
      <c r="O5" s="194">
        <f t="shared" si="2"/>
        <v>74.117647058823536</v>
      </c>
      <c r="P5" s="194">
        <f t="shared" si="2"/>
        <v>74.117647058823536</v>
      </c>
      <c r="Q5" s="194">
        <f t="shared" si="2"/>
        <v>74.117647058823536</v>
      </c>
      <c r="R5" s="194">
        <f t="shared" si="2"/>
        <v>74.117647058823536</v>
      </c>
      <c r="U5" s="172"/>
    </row>
    <row r="6" spans="1:21" x14ac:dyDescent="0.25">
      <c r="A6" s="104" t="s">
        <v>652</v>
      </c>
      <c r="B6" s="105" t="s">
        <v>687</v>
      </c>
      <c r="C6" s="105" t="s">
        <v>688</v>
      </c>
      <c r="D6" s="105" t="s">
        <v>689</v>
      </c>
      <c r="E6" s="105" t="s">
        <v>690</v>
      </c>
      <c r="F6" s="105" t="s">
        <v>691</v>
      </c>
      <c r="G6" s="105" t="s">
        <v>692</v>
      </c>
      <c r="H6" s="105" t="s">
        <v>693</v>
      </c>
      <c r="I6" s="105" t="s">
        <v>694</v>
      </c>
      <c r="J6" s="105" t="s">
        <v>684</v>
      </c>
      <c r="K6" s="105" t="s">
        <v>661</v>
      </c>
      <c r="L6" s="105" t="s">
        <v>662</v>
      </c>
      <c r="M6" s="117" t="s">
        <v>663</v>
      </c>
      <c r="N6" s="105" t="s">
        <v>685</v>
      </c>
      <c r="O6" s="117" t="s">
        <v>664</v>
      </c>
      <c r="P6" s="117" t="s">
        <v>665</v>
      </c>
      <c r="Q6" s="117" t="s">
        <v>686</v>
      </c>
      <c r="R6" s="105" t="s">
        <v>667</v>
      </c>
      <c r="U6" s="172"/>
    </row>
    <row r="7" spans="1:21" x14ac:dyDescent="0.25">
      <c r="A7" s="103" t="s">
        <v>669</v>
      </c>
      <c r="B7" s="100">
        <v>30</v>
      </c>
      <c r="C7" s="100">
        <v>27</v>
      </c>
      <c r="D7" s="107">
        <v>27</v>
      </c>
      <c r="E7" s="100">
        <v>25</v>
      </c>
      <c r="F7" s="100">
        <v>30</v>
      </c>
      <c r="G7" s="100">
        <v>26</v>
      </c>
      <c r="H7" s="108">
        <v>24</v>
      </c>
      <c r="I7" s="108">
        <v>28</v>
      </c>
      <c r="J7" s="109">
        <v>30</v>
      </c>
      <c r="K7" s="100">
        <v>26</v>
      </c>
      <c r="L7" s="100">
        <v>29</v>
      </c>
      <c r="M7" s="100">
        <v>26</v>
      </c>
      <c r="N7" s="100">
        <v>16</v>
      </c>
      <c r="O7" s="165">
        <v>27</v>
      </c>
      <c r="P7" s="59">
        <v>23</v>
      </c>
      <c r="Q7" s="165">
        <v>23</v>
      </c>
      <c r="R7" s="100">
        <v>26</v>
      </c>
      <c r="U7" s="172"/>
    </row>
    <row r="8" spans="1:21" x14ac:dyDescent="0.25">
      <c r="A8" s="103" t="s">
        <v>669</v>
      </c>
      <c r="B8" s="194">
        <f>AVERAGE($B$7:$R$7)</f>
        <v>26.058823529411764</v>
      </c>
      <c r="C8" s="194">
        <f t="shared" ref="C8:R8" si="3">AVERAGE($B$7:$R$7)</f>
        <v>26.058823529411764</v>
      </c>
      <c r="D8" s="194">
        <f t="shared" si="3"/>
        <v>26.058823529411764</v>
      </c>
      <c r="E8" s="194">
        <f t="shared" si="3"/>
        <v>26.058823529411764</v>
      </c>
      <c r="F8" s="194">
        <f t="shared" si="3"/>
        <v>26.058823529411764</v>
      </c>
      <c r="G8" s="194">
        <f t="shared" si="3"/>
        <v>26.058823529411764</v>
      </c>
      <c r="H8" s="194">
        <f t="shared" si="3"/>
        <v>26.058823529411764</v>
      </c>
      <c r="I8" s="194">
        <f t="shared" si="3"/>
        <v>26.058823529411764</v>
      </c>
      <c r="J8" s="194">
        <f t="shared" si="3"/>
        <v>26.058823529411764</v>
      </c>
      <c r="K8" s="194">
        <f t="shared" si="3"/>
        <v>26.058823529411764</v>
      </c>
      <c r="L8" s="194">
        <f t="shared" si="3"/>
        <v>26.058823529411764</v>
      </c>
      <c r="M8" s="194">
        <f t="shared" si="3"/>
        <v>26.058823529411764</v>
      </c>
      <c r="N8" s="194">
        <f t="shared" si="3"/>
        <v>26.058823529411764</v>
      </c>
      <c r="O8" s="194">
        <f t="shared" si="3"/>
        <v>26.058823529411764</v>
      </c>
      <c r="P8" s="194">
        <f t="shared" si="3"/>
        <v>26.058823529411764</v>
      </c>
      <c r="Q8" s="194">
        <f t="shared" si="3"/>
        <v>26.058823529411764</v>
      </c>
      <c r="R8" s="194">
        <f t="shared" si="3"/>
        <v>26.058823529411764</v>
      </c>
      <c r="U8" s="172"/>
    </row>
    <row r="9" spans="1:21" x14ac:dyDescent="0.25">
      <c r="A9" s="103" t="s">
        <v>669</v>
      </c>
      <c r="B9" s="194">
        <f>AVERAGE($B$7:$R$7)/100*90</f>
        <v>23.452941176470585</v>
      </c>
      <c r="C9" s="194">
        <f t="shared" ref="C9:R9" si="4">AVERAGE($B$7:$R$7)/100*90</f>
        <v>23.452941176470585</v>
      </c>
      <c r="D9" s="194">
        <f t="shared" si="4"/>
        <v>23.452941176470585</v>
      </c>
      <c r="E9" s="194">
        <f t="shared" si="4"/>
        <v>23.452941176470585</v>
      </c>
      <c r="F9" s="194">
        <f t="shared" si="4"/>
        <v>23.452941176470585</v>
      </c>
      <c r="G9" s="194">
        <f t="shared" si="4"/>
        <v>23.452941176470585</v>
      </c>
      <c r="H9" s="194">
        <f t="shared" si="4"/>
        <v>23.452941176470585</v>
      </c>
      <c r="I9" s="194">
        <f t="shared" si="4"/>
        <v>23.452941176470585</v>
      </c>
      <c r="J9" s="194">
        <f t="shared" si="4"/>
        <v>23.452941176470585</v>
      </c>
      <c r="K9" s="194">
        <f t="shared" si="4"/>
        <v>23.452941176470585</v>
      </c>
      <c r="L9" s="194">
        <f t="shared" si="4"/>
        <v>23.452941176470585</v>
      </c>
      <c r="M9" s="194">
        <f t="shared" si="4"/>
        <v>23.452941176470585</v>
      </c>
      <c r="N9" s="194">
        <f t="shared" si="4"/>
        <v>23.452941176470585</v>
      </c>
      <c r="O9" s="194">
        <f t="shared" si="4"/>
        <v>23.452941176470585</v>
      </c>
      <c r="P9" s="194">
        <f t="shared" si="4"/>
        <v>23.452941176470585</v>
      </c>
      <c r="Q9" s="194">
        <f t="shared" si="4"/>
        <v>23.452941176470585</v>
      </c>
      <c r="R9" s="194">
        <f t="shared" si="4"/>
        <v>23.452941176470585</v>
      </c>
      <c r="U9" s="172"/>
    </row>
    <row r="10" spans="1:21" x14ac:dyDescent="0.25">
      <c r="A10" s="103" t="s">
        <v>669</v>
      </c>
      <c r="B10" s="194">
        <f>AVERAGE($B$7:$R$7)+(AVERAGE($B$7:$Q$7)/100*10)</f>
        <v>28.665073529411764</v>
      </c>
      <c r="C10" s="194">
        <f t="shared" ref="C10:R10" si="5">AVERAGE($B$7:$R$7)+(AVERAGE($B$7:$Q$7)/100*10)</f>
        <v>28.665073529411764</v>
      </c>
      <c r="D10" s="194">
        <f t="shared" si="5"/>
        <v>28.665073529411764</v>
      </c>
      <c r="E10" s="194">
        <f t="shared" si="5"/>
        <v>28.665073529411764</v>
      </c>
      <c r="F10" s="194">
        <f t="shared" si="5"/>
        <v>28.665073529411764</v>
      </c>
      <c r="G10" s="194">
        <f t="shared" si="5"/>
        <v>28.665073529411764</v>
      </c>
      <c r="H10" s="194">
        <f t="shared" si="5"/>
        <v>28.665073529411764</v>
      </c>
      <c r="I10" s="194">
        <f t="shared" si="5"/>
        <v>28.665073529411764</v>
      </c>
      <c r="J10" s="194">
        <f t="shared" si="5"/>
        <v>28.665073529411764</v>
      </c>
      <c r="K10" s="194">
        <f t="shared" si="5"/>
        <v>28.665073529411764</v>
      </c>
      <c r="L10" s="194">
        <f t="shared" si="5"/>
        <v>28.665073529411764</v>
      </c>
      <c r="M10" s="194">
        <f t="shared" si="5"/>
        <v>28.665073529411764</v>
      </c>
      <c r="N10" s="194">
        <f t="shared" si="5"/>
        <v>28.665073529411764</v>
      </c>
      <c r="O10" s="194">
        <f t="shared" si="5"/>
        <v>28.665073529411764</v>
      </c>
      <c r="P10" s="194">
        <f t="shared" si="5"/>
        <v>28.665073529411764</v>
      </c>
      <c r="Q10" s="194">
        <f t="shared" si="5"/>
        <v>28.665073529411764</v>
      </c>
      <c r="R10" s="194">
        <f t="shared" si="5"/>
        <v>28.665073529411764</v>
      </c>
      <c r="U10" s="172"/>
    </row>
    <row r="11" spans="1:21" x14ac:dyDescent="0.25">
      <c r="A11" s="103" t="s">
        <v>669</v>
      </c>
      <c r="B11" s="194">
        <f>AVERAGE($B$7:$R$7)/100*80</f>
        <v>20.847058823529409</v>
      </c>
      <c r="C11" s="194">
        <f t="shared" ref="C11:R11" si="6">AVERAGE($B$7:$R$7)/100*80</f>
        <v>20.847058823529409</v>
      </c>
      <c r="D11" s="194">
        <f t="shared" si="6"/>
        <v>20.847058823529409</v>
      </c>
      <c r="E11" s="194">
        <f t="shared" si="6"/>
        <v>20.847058823529409</v>
      </c>
      <c r="F11" s="194">
        <f t="shared" si="6"/>
        <v>20.847058823529409</v>
      </c>
      <c r="G11" s="194">
        <f t="shared" si="6"/>
        <v>20.847058823529409</v>
      </c>
      <c r="H11" s="194">
        <f t="shared" si="6"/>
        <v>20.847058823529409</v>
      </c>
      <c r="I11" s="194">
        <f t="shared" si="6"/>
        <v>20.847058823529409</v>
      </c>
      <c r="J11" s="194">
        <f t="shared" si="6"/>
        <v>20.847058823529409</v>
      </c>
      <c r="K11" s="194">
        <f t="shared" si="6"/>
        <v>20.847058823529409</v>
      </c>
      <c r="L11" s="194">
        <f t="shared" si="6"/>
        <v>20.847058823529409</v>
      </c>
      <c r="M11" s="194">
        <f t="shared" si="6"/>
        <v>20.847058823529409</v>
      </c>
      <c r="N11" s="194">
        <f t="shared" si="6"/>
        <v>20.847058823529409</v>
      </c>
      <c r="O11" s="194">
        <f t="shared" si="6"/>
        <v>20.847058823529409</v>
      </c>
      <c r="P11" s="194">
        <f t="shared" si="6"/>
        <v>20.847058823529409</v>
      </c>
      <c r="Q11" s="194">
        <f t="shared" si="6"/>
        <v>20.847058823529409</v>
      </c>
      <c r="R11" s="194">
        <f t="shared" si="6"/>
        <v>20.847058823529409</v>
      </c>
      <c r="U11" s="59"/>
    </row>
    <row r="12" spans="1:21" x14ac:dyDescent="0.25">
      <c r="A12" s="103" t="s">
        <v>669</v>
      </c>
      <c r="B12" s="194">
        <f>AVERAGE($B$7:$R$7)+(AVERAGE($B$7:$Q$7)/100*20)</f>
        <v>31.271323529411767</v>
      </c>
      <c r="C12" s="194">
        <f t="shared" ref="C12:R12" si="7">AVERAGE($B$7:$R$7)+(AVERAGE($B$7:$Q$7)/100*20)</f>
        <v>31.271323529411767</v>
      </c>
      <c r="D12" s="194">
        <f t="shared" si="7"/>
        <v>31.271323529411767</v>
      </c>
      <c r="E12" s="194">
        <f t="shared" si="7"/>
        <v>31.271323529411767</v>
      </c>
      <c r="F12" s="194">
        <f t="shared" si="7"/>
        <v>31.271323529411767</v>
      </c>
      <c r="G12" s="194">
        <f t="shared" si="7"/>
        <v>31.271323529411767</v>
      </c>
      <c r="H12" s="194">
        <f t="shared" si="7"/>
        <v>31.271323529411767</v>
      </c>
      <c r="I12" s="194">
        <f t="shared" si="7"/>
        <v>31.271323529411767</v>
      </c>
      <c r="J12" s="194">
        <f t="shared" si="7"/>
        <v>31.271323529411767</v>
      </c>
      <c r="K12" s="194">
        <f t="shared" si="7"/>
        <v>31.271323529411767</v>
      </c>
      <c r="L12" s="194">
        <f t="shared" si="7"/>
        <v>31.271323529411767</v>
      </c>
      <c r="M12" s="194">
        <f t="shared" si="7"/>
        <v>31.271323529411767</v>
      </c>
      <c r="N12" s="194">
        <f t="shared" si="7"/>
        <v>31.271323529411767</v>
      </c>
      <c r="O12" s="194">
        <f t="shared" si="7"/>
        <v>31.271323529411767</v>
      </c>
      <c r="P12" s="194">
        <f t="shared" si="7"/>
        <v>31.271323529411767</v>
      </c>
      <c r="Q12" s="194">
        <f t="shared" si="7"/>
        <v>31.271323529411767</v>
      </c>
      <c r="R12" s="194">
        <f t="shared" si="7"/>
        <v>31.271323529411767</v>
      </c>
      <c r="U12" s="59"/>
    </row>
    <row r="13" spans="1:21" x14ac:dyDescent="0.25">
      <c r="A13" s="104" t="s">
        <v>652</v>
      </c>
      <c r="B13" s="105" t="s">
        <v>687</v>
      </c>
      <c r="C13" s="105" t="s">
        <v>688</v>
      </c>
      <c r="D13" s="105" t="s">
        <v>689</v>
      </c>
      <c r="E13" s="105" t="s">
        <v>690</v>
      </c>
      <c r="F13" s="105" t="s">
        <v>691</v>
      </c>
      <c r="G13" s="105" t="s">
        <v>692</v>
      </c>
      <c r="H13" s="105" t="s">
        <v>693</v>
      </c>
      <c r="I13" s="105" t="s">
        <v>694</v>
      </c>
      <c r="J13" s="105" t="s">
        <v>684</v>
      </c>
      <c r="K13" s="105" t="s">
        <v>661</v>
      </c>
      <c r="L13" s="105" t="s">
        <v>662</v>
      </c>
      <c r="M13" s="117" t="s">
        <v>663</v>
      </c>
      <c r="N13" s="105" t="s">
        <v>685</v>
      </c>
      <c r="O13" s="117" t="s">
        <v>664</v>
      </c>
      <c r="P13" s="117" t="s">
        <v>665</v>
      </c>
      <c r="Q13" s="117" t="s">
        <v>686</v>
      </c>
      <c r="R13" s="105" t="s">
        <v>667</v>
      </c>
    </row>
    <row r="14" spans="1:21" x14ac:dyDescent="0.25">
      <c r="A14" s="103" t="s">
        <v>670</v>
      </c>
      <c r="B14" s="100">
        <v>694</v>
      </c>
      <c r="C14" s="100">
        <v>915</v>
      </c>
      <c r="D14" s="100">
        <v>1016</v>
      </c>
      <c r="E14" s="100">
        <v>649</v>
      </c>
      <c r="F14" s="100">
        <v>561</v>
      </c>
      <c r="G14" s="100">
        <v>640</v>
      </c>
      <c r="H14" s="108">
        <v>595</v>
      </c>
      <c r="I14" s="108">
        <v>671</v>
      </c>
      <c r="J14" s="109">
        <v>924</v>
      </c>
      <c r="K14" s="100">
        <v>924</v>
      </c>
      <c r="L14" s="100">
        <v>1229</v>
      </c>
      <c r="M14" s="100">
        <v>1052</v>
      </c>
      <c r="N14" s="100">
        <v>648</v>
      </c>
      <c r="O14" s="169">
        <v>760</v>
      </c>
      <c r="P14" s="59">
        <v>1002</v>
      </c>
      <c r="Q14" s="169">
        <v>852</v>
      </c>
      <c r="R14" s="100">
        <v>985</v>
      </c>
    </row>
    <row r="15" spans="1:21" x14ac:dyDescent="0.25">
      <c r="A15" s="116" t="s">
        <v>670</v>
      </c>
      <c r="B15" s="196">
        <f>AVERAGE($B$14:$R$14)</f>
        <v>830.41176470588232</v>
      </c>
      <c r="C15" s="196">
        <f t="shared" ref="C15:R15" si="8">AVERAGE($B$14:$R$14)</f>
        <v>830.41176470588232</v>
      </c>
      <c r="D15" s="196">
        <f t="shared" si="8"/>
        <v>830.41176470588232</v>
      </c>
      <c r="E15" s="196">
        <f t="shared" si="8"/>
        <v>830.41176470588232</v>
      </c>
      <c r="F15" s="196">
        <f t="shared" si="8"/>
        <v>830.41176470588232</v>
      </c>
      <c r="G15" s="196">
        <f t="shared" si="8"/>
        <v>830.41176470588232</v>
      </c>
      <c r="H15" s="196">
        <f t="shared" si="8"/>
        <v>830.41176470588232</v>
      </c>
      <c r="I15" s="196">
        <f t="shared" si="8"/>
        <v>830.41176470588232</v>
      </c>
      <c r="J15" s="196">
        <f t="shared" si="8"/>
        <v>830.41176470588232</v>
      </c>
      <c r="K15" s="196">
        <f t="shared" si="8"/>
        <v>830.41176470588232</v>
      </c>
      <c r="L15" s="196">
        <f t="shared" si="8"/>
        <v>830.41176470588232</v>
      </c>
      <c r="M15" s="196">
        <f t="shared" si="8"/>
        <v>830.41176470588232</v>
      </c>
      <c r="N15" s="196">
        <f t="shared" si="8"/>
        <v>830.41176470588232</v>
      </c>
      <c r="O15" s="196">
        <f t="shared" si="8"/>
        <v>830.41176470588232</v>
      </c>
      <c r="P15" s="196">
        <f t="shared" si="8"/>
        <v>830.41176470588232</v>
      </c>
      <c r="Q15" s="196">
        <f t="shared" si="8"/>
        <v>830.41176470588232</v>
      </c>
      <c r="R15" s="196">
        <f t="shared" si="8"/>
        <v>830.41176470588232</v>
      </c>
    </row>
    <row r="16" spans="1:21" x14ac:dyDescent="0.25">
      <c r="A16" s="116" t="s">
        <v>670</v>
      </c>
      <c r="B16" s="196">
        <f>AVERAGE($B$14:$R$14)/100*90</f>
        <v>747.37058823529412</v>
      </c>
      <c r="C16" s="196">
        <f t="shared" ref="C16:R16" si="9">AVERAGE($B$14:$R$14)/100*90</f>
        <v>747.37058823529412</v>
      </c>
      <c r="D16" s="196">
        <f t="shared" si="9"/>
        <v>747.37058823529412</v>
      </c>
      <c r="E16" s="196">
        <f t="shared" si="9"/>
        <v>747.37058823529412</v>
      </c>
      <c r="F16" s="196">
        <f t="shared" si="9"/>
        <v>747.37058823529412</v>
      </c>
      <c r="G16" s="196">
        <f t="shared" si="9"/>
        <v>747.37058823529412</v>
      </c>
      <c r="H16" s="196">
        <f t="shared" si="9"/>
        <v>747.37058823529412</v>
      </c>
      <c r="I16" s="196">
        <f t="shared" si="9"/>
        <v>747.37058823529412</v>
      </c>
      <c r="J16" s="196">
        <f t="shared" si="9"/>
        <v>747.37058823529412</v>
      </c>
      <c r="K16" s="196">
        <f t="shared" si="9"/>
        <v>747.37058823529412</v>
      </c>
      <c r="L16" s="196">
        <f t="shared" si="9"/>
        <v>747.37058823529412</v>
      </c>
      <c r="M16" s="196">
        <f t="shared" si="9"/>
        <v>747.37058823529412</v>
      </c>
      <c r="N16" s="196">
        <f t="shared" si="9"/>
        <v>747.37058823529412</v>
      </c>
      <c r="O16" s="196">
        <f t="shared" si="9"/>
        <v>747.37058823529412</v>
      </c>
      <c r="P16" s="196">
        <f t="shared" si="9"/>
        <v>747.37058823529412</v>
      </c>
      <c r="Q16" s="196">
        <f t="shared" si="9"/>
        <v>747.37058823529412</v>
      </c>
      <c r="R16" s="196">
        <f t="shared" si="9"/>
        <v>747.37058823529412</v>
      </c>
    </row>
    <row r="17" spans="1:18" x14ac:dyDescent="0.25">
      <c r="A17" s="116" t="s">
        <v>670</v>
      </c>
      <c r="B17" s="196">
        <f>AVERAGE($B$14:$R$14)/100*80</f>
        <v>664.32941176470592</v>
      </c>
      <c r="C17" s="196">
        <f t="shared" ref="C17:R17" si="10">AVERAGE($B$14:$R$14)/100*80</f>
        <v>664.32941176470592</v>
      </c>
      <c r="D17" s="196">
        <f t="shared" si="10"/>
        <v>664.32941176470592</v>
      </c>
      <c r="E17" s="196">
        <f t="shared" si="10"/>
        <v>664.32941176470592</v>
      </c>
      <c r="F17" s="196">
        <f t="shared" si="10"/>
        <v>664.32941176470592</v>
      </c>
      <c r="G17" s="196">
        <f t="shared" si="10"/>
        <v>664.32941176470592</v>
      </c>
      <c r="H17" s="196">
        <f t="shared" si="10"/>
        <v>664.32941176470592</v>
      </c>
      <c r="I17" s="196">
        <f t="shared" si="10"/>
        <v>664.32941176470592</v>
      </c>
      <c r="J17" s="196">
        <f t="shared" si="10"/>
        <v>664.32941176470592</v>
      </c>
      <c r="K17" s="196">
        <f t="shared" si="10"/>
        <v>664.32941176470592</v>
      </c>
      <c r="L17" s="196">
        <f t="shared" si="10"/>
        <v>664.32941176470592</v>
      </c>
      <c r="M17" s="196">
        <f t="shared" si="10"/>
        <v>664.32941176470592</v>
      </c>
      <c r="N17" s="196">
        <f t="shared" si="10"/>
        <v>664.32941176470592</v>
      </c>
      <c r="O17" s="196">
        <f t="shared" si="10"/>
        <v>664.32941176470592</v>
      </c>
      <c r="P17" s="196">
        <f t="shared" si="10"/>
        <v>664.32941176470592</v>
      </c>
      <c r="Q17" s="196">
        <f t="shared" si="10"/>
        <v>664.32941176470592</v>
      </c>
      <c r="R17" s="196">
        <f t="shared" si="10"/>
        <v>664.32941176470592</v>
      </c>
    </row>
    <row r="18" spans="1:18" x14ac:dyDescent="0.25">
      <c r="A18" s="116" t="s">
        <v>670</v>
      </c>
      <c r="B18" s="196">
        <f>AVERAGE($B$14:$R$14)/100*110</f>
        <v>913.45294117647063</v>
      </c>
      <c r="C18" s="196">
        <f t="shared" ref="C18:R18" si="11">AVERAGE($B$14:$R$14)/100*110</f>
        <v>913.45294117647063</v>
      </c>
      <c r="D18" s="196">
        <f t="shared" si="11"/>
        <v>913.45294117647063</v>
      </c>
      <c r="E18" s="196">
        <f t="shared" si="11"/>
        <v>913.45294117647063</v>
      </c>
      <c r="F18" s="196">
        <f t="shared" si="11"/>
        <v>913.45294117647063</v>
      </c>
      <c r="G18" s="196">
        <f t="shared" si="11"/>
        <v>913.45294117647063</v>
      </c>
      <c r="H18" s="196">
        <f t="shared" si="11"/>
        <v>913.45294117647063</v>
      </c>
      <c r="I18" s="196">
        <f t="shared" si="11"/>
        <v>913.45294117647063</v>
      </c>
      <c r="J18" s="196">
        <f t="shared" si="11"/>
        <v>913.45294117647063</v>
      </c>
      <c r="K18" s="196">
        <f t="shared" si="11"/>
        <v>913.45294117647063</v>
      </c>
      <c r="L18" s="196">
        <f t="shared" si="11"/>
        <v>913.45294117647063</v>
      </c>
      <c r="M18" s="196">
        <f t="shared" si="11"/>
        <v>913.45294117647063</v>
      </c>
      <c r="N18" s="196">
        <f t="shared" si="11"/>
        <v>913.45294117647063</v>
      </c>
      <c r="O18" s="196">
        <f t="shared" si="11"/>
        <v>913.45294117647063</v>
      </c>
      <c r="P18" s="196">
        <f t="shared" si="11"/>
        <v>913.45294117647063</v>
      </c>
      <c r="Q18" s="196">
        <f t="shared" si="11"/>
        <v>913.45294117647063</v>
      </c>
      <c r="R18" s="196">
        <f t="shared" si="11"/>
        <v>913.45294117647063</v>
      </c>
    </row>
    <row r="19" spans="1:18" x14ac:dyDescent="0.25">
      <c r="A19" s="116" t="s">
        <v>670</v>
      </c>
      <c r="B19" s="196">
        <f>AVERAGE($B$14:$R$14)/100*120</f>
        <v>996.49411764705883</v>
      </c>
      <c r="C19" s="196">
        <f t="shared" ref="C19:R19" si="12">AVERAGE($B$14:$R$14)/100*120</f>
        <v>996.49411764705883</v>
      </c>
      <c r="D19" s="196">
        <f t="shared" si="12"/>
        <v>996.49411764705883</v>
      </c>
      <c r="E19" s="196">
        <f t="shared" si="12"/>
        <v>996.49411764705883</v>
      </c>
      <c r="F19" s="196">
        <f t="shared" si="12"/>
        <v>996.49411764705883</v>
      </c>
      <c r="G19" s="196">
        <f t="shared" si="12"/>
        <v>996.49411764705883</v>
      </c>
      <c r="H19" s="196">
        <f t="shared" si="12"/>
        <v>996.49411764705883</v>
      </c>
      <c r="I19" s="196">
        <f t="shared" si="12"/>
        <v>996.49411764705883</v>
      </c>
      <c r="J19" s="196">
        <f t="shared" si="12"/>
        <v>996.49411764705883</v>
      </c>
      <c r="K19" s="196">
        <f t="shared" si="12"/>
        <v>996.49411764705883</v>
      </c>
      <c r="L19" s="196">
        <f t="shared" si="12"/>
        <v>996.49411764705883</v>
      </c>
      <c r="M19" s="196">
        <f t="shared" si="12"/>
        <v>996.49411764705883</v>
      </c>
      <c r="N19" s="196">
        <f t="shared" si="12"/>
        <v>996.49411764705883</v>
      </c>
      <c r="O19" s="196">
        <f t="shared" si="12"/>
        <v>996.49411764705883</v>
      </c>
      <c r="P19" s="196">
        <f t="shared" si="12"/>
        <v>996.49411764705883</v>
      </c>
      <c r="Q19" s="196">
        <f t="shared" si="12"/>
        <v>996.49411764705883</v>
      </c>
      <c r="R19" s="196">
        <f t="shared" si="12"/>
        <v>996.49411764705883</v>
      </c>
    </row>
    <row r="20" spans="1:18" x14ac:dyDescent="0.25">
      <c r="A20" s="104" t="s">
        <v>652</v>
      </c>
      <c r="B20" s="105" t="s">
        <v>687</v>
      </c>
      <c r="C20" s="105" t="s">
        <v>688</v>
      </c>
      <c r="D20" s="105" t="s">
        <v>689</v>
      </c>
      <c r="E20" s="105" t="s">
        <v>690</v>
      </c>
      <c r="F20" s="105" t="s">
        <v>691</v>
      </c>
      <c r="G20" s="105" t="s">
        <v>692</v>
      </c>
      <c r="H20" s="105" t="s">
        <v>693</v>
      </c>
      <c r="I20" s="105" t="s">
        <v>694</v>
      </c>
      <c r="J20" s="105" t="s">
        <v>684</v>
      </c>
      <c r="K20" s="105" t="s">
        <v>661</v>
      </c>
      <c r="L20" s="105" t="s">
        <v>662</v>
      </c>
      <c r="M20" s="117" t="s">
        <v>663</v>
      </c>
      <c r="N20" s="105" t="s">
        <v>685</v>
      </c>
      <c r="O20" s="117" t="s">
        <v>664</v>
      </c>
      <c r="P20" s="117" t="s">
        <v>665</v>
      </c>
      <c r="Q20" s="117" t="s">
        <v>686</v>
      </c>
      <c r="R20" s="105" t="s">
        <v>667</v>
      </c>
    </row>
    <row r="21" spans="1:18" x14ac:dyDescent="0.25">
      <c r="A21" s="103" t="s">
        <v>671</v>
      </c>
      <c r="B21" s="100">
        <v>61</v>
      </c>
      <c r="C21" s="100">
        <v>56</v>
      </c>
      <c r="D21" s="100">
        <v>59</v>
      </c>
      <c r="E21" s="100">
        <v>63</v>
      </c>
      <c r="F21" s="100">
        <v>67</v>
      </c>
      <c r="G21" s="100">
        <v>58</v>
      </c>
      <c r="H21" s="108">
        <v>54</v>
      </c>
      <c r="I21" s="108">
        <v>55</v>
      </c>
      <c r="J21" s="109">
        <v>53</v>
      </c>
      <c r="K21" s="100">
        <v>63</v>
      </c>
      <c r="L21" s="100">
        <v>66</v>
      </c>
      <c r="M21" s="100">
        <v>46</v>
      </c>
      <c r="N21" s="100">
        <v>36</v>
      </c>
      <c r="O21" s="165">
        <v>51</v>
      </c>
      <c r="P21" s="59">
        <v>53</v>
      </c>
      <c r="Q21" s="165">
        <v>56</v>
      </c>
      <c r="R21" s="100">
        <v>49</v>
      </c>
    </row>
    <row r="22" spans="1:18" x14ac:dyDescent="0.25">
      <c r="A22" s="103" t="s">
        <v>671</v>
      </c>
      <c r="B22" s="194">
        <f>AVERAGE($B$21:$R$21)</f>
        <v>55.647058823529413</v>
      </c>
      <c r="C22" s="194">
        <f t="shared" ref="C22:R22" si="13">AVERAGE($B$21:$R$21)</f>
        <v>55.647058823529413</v>
      </c>
      <c r="D22" s="194">
        <f t="shared" si="13"/>
        <v>55.647058823529413</v>
      </c>
      <c r="E22" s="194">
        <f t="shared" si="13"/>
        <v>55.647058823529413</v>
      </c>
      <c r="F22" s="194">
        <f t="shared" si="13"/>
        <v>55.647058823529413</v>
      </c>
      <c r="G22" s="194">
        <f t="shared" si="13"/>
        <v>55.647058823529413</v>
      </c>
      <c r="H22" s="194">
        <f t="shared" si="13"/>
        <v>55.647058823529413</v>
      </c>
      <c r="I22" s="194">
        <f t="shared" si="13"/>
        <v>55.647058823529413</v>
      </c>
      <c r="J22" s="194">
        <f t="shared" si="13"/>
        <v>55.647058823529413</v>
      </c>
      <c r="K22" s="194">
        <f t="shared" si="13"/>
        <v>55.647058823529413</v>
      </c>
      <c r="L22" s="194">
        <f t="shared" si="13"/>
        <v>55.647058823529413</v>
      </c>
      <c r="M22" s="194">
        <f t="shared" si="13"/>
        <v>55.647058823529413</v>
      </c>
      <c r="N22" s="194">
        <f t="shared" si="13"/>
        <v>55.647058823529413</v>
      </c>
      <c r="O22" s="194">
        <f t="shared" si="13"/>
        <v>55.647058823529413</v>
      </c>
      <c r="P22" s="194">
        <f t="shared" si="13"/>
        <v>55.647058823529413</v>
      </c>
      <c r="Q22" s="194">
        <f t="shared" si="13"/>
        <v>55.647058823529413</v>
      </c>
      <c r="R22" s="194">
        <f t="shared" si="13"/>
        <v>55.647058823529413</v>
      </c>
    </row>
    <row r="23" spans="1:18" x14ac:dyDescent="0.25">
      <c r="A23" s="103" t="s">
        <v>671</v>
      </c>
      <c r="B23" s="194">
        <f>AVERAGE($B$21:$R$21)/100*90</f>
        <v>50.082352941176474</v>
      </c>
      <c r="C23" s="194">
        <f t="shared" ref="C23:R23" si="14">AVERAGE($B$21:$R$21)/100*90</f>
        <v>50.082352941176474</v>
      </c>
      <c r="D23" s="194">
        <f t="shared" si="14"/>
        <v>50.082352941176474</v>
      </c>
      <c r="E23" s="194">
        <f t="shared" si="14"/>
        <v>50.082352941176474</v>
      </c>
      <c r="F23" s="194">
        <f t="shared" si="14"/>
        <v>50.082352941176474</v>
      </c>
      <c r="G23" s="194">
        <f t="shared" si="14"/>
        <v>50.082352941176474</v>
      </c>
      <c r="H23" s="194">
        <f t="shared" si="14"/>
        <v>50.082352941176474</v>
      </c>
      <c r="I23" s="194">
        <f t="shared" si="14"/>
        <v>50.082352941176474</v>
      </c>
      <c r="J23" s="194">
        <f t="shared" si="14"/>
        <v>50.082352941176474</v>
      </c>
      <c r="K23" s="194">
        <f t="shared" si="14"/>
        <v>50.082352941176474</v>
      </c>
      <c r="L23" s="194">
        <f t="shared" si="14"/>
        <v>50.082352941176474</v>
      </c>
      <c r="M23" s="194">
        <f t="shared" si="14"/>
        <v>50.082352941176474</v>
      </c>
      <c r="N23" s="194">
        <f t="shared" si="14"/>
        <v>50.082352941176474</v>
      </c>
      <c r="O23" s="194">
        <f t="shared" si="14"/>
        <v>50.082352941176474</v>
      </c>
      <c r="P23" s="194">
        <f t="shared" si="14"/>
        <v>50.082352941176474</v>
      </c>
      <c r="Q23" s="194">
        <f t="shared" si="14"/>
        <v>50.082352941176474</v>
      </c>
      <c r="R23" s="194">
        <f t="shared" si="14"/>
        <v>50.082352941176474</v>
      </c>
    </row>
    <row r="24" spans="1:18" x14ac:dyDescent="0.25">
      <c r="A24" s="103" t="s">
        <v>671</v>
      </c>
      <c r="B24" s="194">
        <f>AVERAGE($B$21:$R$21)+(AVERAGE($B$21:$R$21)/100*10)</f>
        <v>61.211764705882352</v>
      </c>
      <c r="C24" s="194">
        <f t="shared" ref="C24:R24" si="15">AVERAGE($B$21:$R$21)+(AVERAGE($B$21:$R$21)/100*10)</f>
        <v>61.211764705882352</v>
      </c>
      <c r="D24" s="194">
        <f t="shared" si="15"/>
        <v>61.211764705882352</v>
      </c>
      <c r="E24" s="194">
        <f t="shared" si="15"/>
        <v>61.211764705882352</v>
      </c>
      <c r="F24" s="194">
        <f t="shared" si="15"/>
        <v>61.211764705882352</v>
      </c>
      <c r="G24" s="194">
        <f t="shared" si="15"/>
        <v>61.211764705882352</v>
      </c>
      <c r="H24" s="194">
        <f t="shared" si="15"/>
        <v>61.211764705882352</v>
      </c>
      <c r="I24" s="194">
        <f t="shared" si="15"/>
        <v>61.211764705882352</v>
      </c>
      <c r="J24" s="194">
        <f t="shared" si="15"/>
        <v>61.211764705882352</v>
      </c>
      <c r="K24" s="194">
        <f t="shared" si="15"/>
        <v>61.211764705882352</v>
      </c>
      <c r="L24" s="194">
        <f t="shared" si="15"/>
        <v>61.211764705882352</v>
      </c>
      <c r="M24" s="194">
        <f t="shared" si="15"/>
        <v>61.211764705882352</v>
      </c>
      <c r="N24" s="194">
        <f t="shared" si="15"/>
        <v>61.211764705882352</v>
      </c>
      <c r="O24" s="194">
        <f t="shared" si="15"/>
        <v>61.211764705882352</v>
      </c>
      <c r="P24" s="194">
        <f t="shared" si="15"/>
        <v>61.211764705882352</v>
      </c>
      <c r="Q24" s="194">
        <f t="shared" si="15"/>
        <v>61.211764705882352</v>
      </c>
      <c r="R24" s="194">
        <f t="shared" si="15"/>
        <v>61.211764705882352</v>
      </c>
    </row>
    <row r="25" spans="1:18" x14ac:dyDescent="0.25">
      <c r="A25" s="103" t="s">
        <v>671</v>
      </c>
      <c r="B25" s="194">
        <f>AVERAGE($B$21:$R$21)/100*80</f>
        <v>44.517647058823535</v>
      </c>
      <c r="C25" s="194">
        <f t="shared" ref="C25:R25" si="16">AVERAGE($B$21:$R$21)/100*80</f>
        <v>44.517647058823535</v>
      </c>
      <c r="D25" s="194">
        <f t="shared" si="16"/>
        <v>44.517647058823535</v>
      </c>
      <c r="E25" s="194">
        <f t="shared" si="16"/>
        <v>44.517647058823535</v>
      </c>
      <c r="F25" s="194">
        <f t="shared" si="16"/>
        <v>44.517647058823535</v>
      </c>
      <c r="G25" s="194">
        <f t="shared" si="16"/>
        <v>44.517647058823535</v>
      </c>
      <c r="H25" s="194">
        <f t="shared" si="16"/>
        <v>44.517647058823535</v>
      </c>
      <c r="I25" s="194">
        <f t="shared" si="16"/>
        <v>44.517647058823535</v>
      </c>
      <c r="J25" s="194">
        <f t="shared" si="16"/>
        <v>44.517647058823535</v>
      </c>
      <c r="K25" s="194">
        <f t="shared" si="16"/>
        <v>44.517647058823535</v>
      </c>
      <c r="L25" s="194">
        <f t="shared" si="16"/>
        <v>44.517647058823535</v>
      </c>
      <c r="M25" s="194">
        <f t="shared" si="16"/>
        <v>44.517647058823535</v>
      </c>
      <c r="N25" s="194">
        <f t="shared" si="16"/>
        <v>44.517647058823535</v>
      </c>
      <c r="O25" s="194">
        <f t="shared" si="16"/>
        <v>44.517647058823535</v>
      </c>
      <c r="P25" s="194">
        <f t="shared" si="16"/>
        <v>44.517647058823535</v>
      </c>
      <c r="Q25" s="194">
        <f t="shared" si="16"/>
        <v>44.517647058823535</v>
      </c>
      <c r="R25" s="194">
        <f t="shared" si="16"/>
        <v>44.517647058823535</v>
      </c>
    </row>
    <row r="26" spans="1:18" x14ac:dyDescent="0.25">
      <c r="A26" s="103" t="s">
        <v>671</v>
      </c>
      <c r="B26" s="194">
        <f>AVERAGE($B$21:$R$21)+(AVERAGE($B$21:$R$21)/100*20)</f>
        <v>66.776470588235298</v>
      </c>
      <c r="C26" s="194">
        <f t="shared" ref="C26:R26" si="17">AVERAGE($B$21:$R$21)+(AVERAGE($B$21:$R$21)/100*20)</f>
        <v>66.776470588235298</v>
      </c>
      <c r="D26" s="194">
        <f t="shared" si="17"/>
        <v>66.776470588235298</v>
      </c>
      <c r="E26" s="194">
        <f t="shared" si="17"/>
        <v>66.776470588235298</v>
      </c>
      <c r="F26" s="194">
        <f t="shared" si="17"/>
        <v>66.776470588235298</v>
      </c>
      <c r="G26" s="194">
        <f t="shared" si="17"/>
        <v>66.776470588235298</v>
      </c>
      <c r="H26" s="194">
        <f t="shared" si="17"/>
        <v>66.776470588235298</v>
      </c>
      <c r="I26" s="194">
        <f t="shared" si="17"/>
        <v>66.776470588235298</v>
      </c>
      <c r="J26" s="194">
        <f t="shared" si="17"/>
        <v>66.776470588235298</v>
      </c>
      <c r="K26" s="194">
        <f t="shared" si="17"/>
        <v>66.776470588235298</v>
      </c>
      <c r="L26" s="194">
        <f t="shared" si="17"/>
        <v>66.776470588235298</v>
      </c>
      <c r="M26" s="194">
        <f t="shared" si="17"/>
        <v>66.776470588235298</v>
      </c>
      <c r="N26" s="194">
        <f t="shared" si="17"/>
        <v>66.776470588235298</v>
      </c>
      <c r="O26" s="194">
        <f t="shared" si="17"/>
        <v>66.776470588235298</v>
      </c>
      <c r="P26" s="194">
        <f t="shared" si="17"/>
        <v>66.776470588235298</v>
      </c>
      <c r="Q26" s="194">
        <f t="shared" si="17"/>
        <v>66.776470588235298</v>
      </c>
      <c r="R26" s="194">
        <f t="shared" si="17"/>
        <v>66.776470588235298</v>
      </c>
    </row>
    <row r="27" spans="1:18" x14ac:dyDescent="0.25">
      <c r="A27" s="104" t="s">
        <v>652</v>
      </c>
      <c r="B27" s="105" t="s">
        <v>687</v>
      </c>
      <c r="C27" s="105" t="s">
        <v>688</v>
      </c>
      <c r="D27" s="105" t="s">
        <v>689</v>
      </c>
      <c r="E27" s="105" t="s">
        <v>690</v>
      </c>
      <c r="F27" s="105" t="s">
        <v>691</v>
      </c>
      <c r="G27" s="105" t="s">
        <v>692</v>
      </c>
      <c r="H27" s="105" t="s">
        <v>693</v>
      </c>
      <c r="I27" s="105" t="s">
        <v>694</v>
      </c>
      <c r="J27" s="105" t="s">
        <v>684</v>
      </c>
      <c r="K27" s="105" t="s">
        <v>661</v>
      </c>
      <c r="L27" s="105" t="s">
        <v>662</v>
      </c>
      <c r="M27" s="117" t="s">
        <v>663</v>
      </c>
      <c r="N27" s="105" t="s">
        <v>685</v>
      </c>
      <c r="O27" s="117" t="s">
        <v>664</v>
      </c>
      <c r="P27" s="117" t="s">
        <v>665</v>
      </c>
      <c r="Q27" s="117" t="s">
        <v>686</v>
      </c>
      <c r="R27" s="105" t="s">
        <v>667</v>
      </c>
    </row>
    <row r="28" spans="1:18" x14ac:dyDescent="0.25">
      <c r="A28" s="103" t="s">
        <v>672</v>
      </c>
      <c r="B28" s="100">
        <v>60</v>
      </c>
      <c r="C28" s="100">
        <v>56</v>
      </c>
      <c r="D28" s="100">
        <v>57</v>
      </c>
      <c r="E28" s="100">
        <v>60</v>
      </c>
      <c r="F28" s="100">
        <v>62</v>
      </c>
      <c r="G28" s="100">
        <v>57</v>
      </c>
      <c r="H28" s="108">
        <v>57</v>
      </c>
      <c r="I28" s="108">
        <v>62</v>
      </c>
      <c r="J28" s="109">
        <v>58</v>
      </c>
      <c r="K28" s="100">
        <v>58</v>
      </c>
      <c r="L28" s="100">
        <v>58</v>
      </c>
      <c r="M28" s="100">
        <v>54</v>
      </c>
      <c r="N28" s="100">
        <v>52</v>
      </c>
      <c r="O28" s="165">
        <v>60</v>
      </c>
      <c r="P28" s="59">
        <v>60</v>
      </c>
      <c r="Q28" s="165">
        <v>54</v>
      </c>
      <c r="R28" s="100">
        <v>61</v>
      </c>
    </row>
    <row r="29" spans="1:18" x14ac:dyDescent="0.25">
      <c r="A29" s="103" t="s">
        <v>672</v>
      </c>
      <c r="B29" s="194">
        <f>AVERAGE($B$28:$R$28)</f>
        <v>58</v>
      </c>
      <c r="C29" s="194">
        <f t="shared" ref="C29:R29" si="18">AVERAGE($B$28:$R$28)</f>
        <v>58</v>
      </c>
      <c r="D29" s="194">
        <f t="shared" si="18"/>
        <v>58</v>
      </c>
      <c r="E29" s="194">
        <f t="shared" si="18"/>
        <v>58</v>
      </c>
      <c r="F29" s="194">
        <f t="shared" si="18"/>
        <v>58</v>
      </c>
      <c r="G29" s="194">
        <f t="shared" si="18"/>
        <v>58</v>
      </c>
      <c r="H29" s="194">
        <f t="shared" si="18"/>
        <v>58</v>
      </c>
      <c r="I29" s="194">
        <f t="shared" si="18"/>
        <v>58</v>
      </c>
      <c r="J29" s="194">
        <f t="shared" si="18"/>
        <v>58</v>
      </c>
      <c r="K29" s="194">
        <f t="shared" si="18"/>
        <v>58</v>
      </c>
      <c r="L29" s="194">
        <f t="shared" si="18"/>
        <v>58</v>
      </c>
      <c r="M29" s="194">
        <f t="shared" si="18"/>
        <v>58</v>
      </c>
      <c r="N29" s="194">
        <f t="shared" si="18"/>
        <v>58</v>
      </c>
      <c r="O29" s="194">
        <f t="shared" si="18"/>
        <v>58</v>
      </c>
      <c r="P29" s="194">
        <f t="shared" si="18"/>
        <v>58</v>
      </c>
      <c r="Q29" s="194">
        <f t="shared" si="18"/>
        <v>58</v>
      </c>
      <c r="R29" s="194">
        <f t="shared" si="18"/>
        <v>58</v>
      </c>
    </row>
    <row r="30" spans="1:18" x14ac:dyDescent="0.25">
      <c r="A30" s="103" t="s">
        <v>672</v>
      </c>
      <c r="B30" s="194">
        <f>AVERAGE($B$28:$R$28)-AVERAGE($B$28:$Q$28)/100*10</f>
        <v>52.21875</v>
      </c>
      <c r="C30" s="194">
        <f t="shared" ref="C30:R30" si="19">AVERAGE($B$28:$R$28)-AVERAGE($B$28:$Q$28)/100*10</f>
        <v>52.21875</v>
      </c>
      <c r="D30" s="194">
        <f t="shared" si="19"/>
        <v>52.21875</v>
      </c>
      <c r="E30" s="194">
        <f t="shared" si="19"/>
        <v>52.21875</v>
      </c>
      <c r="F30" s="194">
        <f t="shared" si="19"/>
        <v>52.21875</v>
      </c>
      <c r="G30" s="194">
        <f t="shared" si="19"/>
        <v>52.21875</v>
      </c>
      <c r="H30" s="194">
        <f t="shared" si="19"/>
        <v>52.21875</v>
      </c>
      <c r="I30" s="194">
        <f t="shared" si="19"/>
        <v>52.21875</v>
      </c>
      <c r="J30" s="194">
        <f t="shared" si="19"/>
        <v>52.21875</v>
      </c>
      <c r="K30" s="194">
        <f t="shared" si="19"/>
        <v>52.21875</v>
      </c>
      <c r="L30" s="194">
        <f t="shared" si="19"/>
        <v>52.21875</v>
      </c>
      <c r="M30" s="194">
        <f t="shared" si="19"/>
        <v>52.21875</v>
      </c>
      <c r="N30" s="194">
        <f t="shared" si="19"/>
        <v>52.21875</v>
      </c>
      <c r="O30" s="194">
        <f t="shared" si="19"/>
        <v>52.21875</v>
      </c>
      <c r="P30" s="194">
        <f t="shared" si="19"/>
        <v>52.21875</v>
      </c>
      <c r="Q30" s="194">
        <f t="shared" si="19"/>
        <v>52.21875</v>
      </c>
      <c r="R30" s="194">
        <f t="shared" si="19"/>
        <v>52.21875</v>
      </c>
    </row>
    <row r="31" spans="1:18" x14ac:dyDescent="0.25">
      <c r="A31" s="103" t="s">
        <v>672</v>
      </c>
      <c r="B31" s="194">
        <f>AVERAGE($B$28:$R$28)+(AVERAGE($B$28:$Q$28)/100*10)</f>
        <v>63.78125</v>
      </c>
      <c r="C31" s="194">
        <f t="shared" ref="C31:R31" si="20">AVERAGE($B$28:$R$28)+(AVERAGE($B$28:$Q$28)/100*10)</f>
        <v>63.78125</v>
      </c>
      <c r="D31" s="194">
        <f t="shared" si="20"/>
        <v>63.78125</v>
      </c>
      <c r="E31" s="194">
        <f t="shared" si="20"/>
        <v>63.78125</v>
      </c>
      <c r="F31" s="194">
        <f t="shared" si="20"/>
        <v>63.78125</v>
      </c>
      <c r="G31" s="194">
        <f t="shared" si="20"/>
        <v>63.78125</v>
      </c>
      <c r="H31" s="194">
        <f t="shared" si="20"/>
        <v>63.78125</v>
      </c>
      <c r="I31" s="194">
        <f t="shared" si="20"/>
        <v>63.78125</v>
      </c>
      <c r="J31" s="194">
        <f t="shared" si="20"/>
        <v>63.78125</v>
      </c>
      <c r="K31" s="194">
        <f t="shared" si="20"/>
        <v>63.78125</v>
      </c>
      <c r="L31" s="194">
        <f t="shared" si="20"/>
        <v>63.78125</v>
      </c>
      <c r="M31" s="194">
        <f t="shared" si="20"/>
        <v>63.78125</v>
      </c>
      <c r="N31" s="194">
        <f t="shared" si="20"/>
        <v>63.78125</v>
      </c>
      <c r="O31" s="194">
        <f t="shared" si="20"/>
        <v>63.78125</v>
      </c>
      <c r="P31" s="194">
        <f t="shared" si="20"/>
        <v>63.78125</v>
      </c>
      <c r="Q31" s="194">
        <f t="shared" si="20"/>
        <v>63.78125</v>
      </c>
      <c r="R31" s="194">
        <f t="shared" si="20"/>
        <v>63.78125</v>
      </c>
    </row>
    <row r="32" spans="1:18" x14ac:dyDescent="0.25">
      <c r="A32" s="103" t="s">
        <v>672</v>
      </c>
      <c r="B32" s="194">
        <f>AVERAGE($B$28:$R$28)-AVERAGE($B$28:$Q$28)/100*20</f>
        <v>46.4375</v>
      </c>
      <c r="C32" s="194">
        <f t="shared" ref="C32:R32" si="21">AVERAGE($B$28:$R$28)-AVERAGE($B$28:$Q$28)/100*20</f>
        <v>46.4375</v>
      </c>
      <c r="D32" s="194">
        <f t="shared" si="21"/>
        <v>46.4375</v>
      </c>
      <c r="E32" s="194">
        <f t="shared" si="21"/>
        <v>46.4375</v>
      </c>
      <c r="F32" s="194">
        <f t="shared" si="21"/>
        <v>46.4375</v>
      </c>
      <c r="G32" s="194">
        <f t="shared" si="21"/>
        <v>46.4375</v>
      </c>
      <c r="H32" s="194">
        <f t="shared" si="21"/>
        <v>46.4375</v>
      </c>
      <c r="I32" s="194">
        <f t="shared" si="21"/>
        <v>46.4375</v>
      </c>
      <c r="J32" s="194">
        <f t="shared" si="21"/>
        <v>46.4375</v>
      </c>
      <c r="K32" s="194">
        <f t="shared" si="21"/>
        <v>46.4375</v>
      </c>
      <c r="L32" s="194">
        <f t="shared" si="21"/>
        <v>46.4375</v>
      </c>
      <c r="M32" s="194">
        <f t="shared" si="21"/>
        <v>46.4375</v>
      </c>
      <c r="N32" s="194">
        <f t="shared" si="21"/>
        <v>46.4375</v>
      </c>
      <c r="O32" s="194">
        <f t="shared" si="21"/>
        <v>46.4375</v>
      </c>
      <c r="P32" s="194">
        <f t="shared" si="21"/>
        <v>46.4375</v>
      </c>
      <c r="Q32" s="194">
        <f t="shared" si="21"/>
        <v>46.4375</v>
      </c>
      <c r="R32" s="194">
        <f t="shared" si="21"/>
        <v>46.4375</v>
      </c>
    </row>
    <row r="33" spans="1:18" x14ac:dyDescent="0.25">
      <c r="A33" s="103" t="s">
        <v>672</v>
      </c>
      <c r="B33" s="194">
        <f>AVERAGE($B$28:$R$28)+(AVERAGE($B$28:$Q$28)/100*20)</f>
        <v>69.5625</v>
      </c>
      <c r="C33" s="194">
        <f t="shared" ref="C33:R33" si="22">AVERAGE($B$28:$R$28)+(AVERAGE($B$28:$Q$28)/100*20)</f>
        <v>69.5625</v>
      </c>
      <c r="D33" s="194">
        <f t="shared" si="22"/>
        <v>69.5625</v>
      </c>
      <c r="E33" s="194">
        <f t="shared" si="22"/>
        <v>69.5625</v>
      </c>
      <c r="F33" s="194">
        <f t="shared" si="22"/>
        <v>69.5625</v>
      </c>
      <c r="G33" s="194">
        <f t="shared" si="22"/>
        <v>69.5625</v>
      </c>
      <c r="H33" s="194">
        <f t="shared" si="22"/>
        <v>69.5625</v>
      </c>
      <c r="I33" s="194">
        <f t="shared" si="22"/>
        <v>69.5625</v>
      </c>
      <c r="J33" s="194">
        <f t="shared" si="22"/>
        <v>69.5625</v>
      </c>
      <c r="K33" s="194">
        <f t="shared" si="22"/>
        <v>69.5625</v>
      </c>
      <c r="L33" s="194">
        <f t="shared" si="22"/>
        <v>69.5625</v>
      </c>
      <c r="M33" s="194">
        <f t="shared" si="22"/>
        <v>69.5625</v>
      </c>
      <c r="N33" s="194">
        <f t="shared" si="22"/>
        <v>69.5625</v>
      </c>
      <c r="O33" s="194">
        <f t="shared" si="22"/>
        <v>69.5625</v>
      </c>
      <c r="P33" s="194">
        <f t="shared" si="22"/>
        <v>69.5625</v>
      </c>
      <c r="Q33" s="194">
        <f t="shared" si="22"/>
        <v>69.5625</v>
      </c>
      <c r="R33" s="194">
        <f t="shared" si="22"/>
        <v>69.5625</v>
      </c>
    </row>
    <row r="34" spans="1:18" x14ac:dyDescent="0.25">
      <c r="A34" s="104" t="s">
        <v>652</v>
      </c>
      <c r="B34" s="105" t="s">
        <v>687</v>
      </c>
      <c r="C34" s="105" t="s">
        <v>688</v>
      </c>
      <c r="D34" s="105" t="s">
        <v>689</v>
      </c>
      <c r="E34" s="105" t="s">
        <v>690</v>
      </c>
      <c r="F34" s="105" t="s">
        <v>691</v>
      </c>
      <c r="G34" s="105" t="s">
        <v>692</v>
      </c>
      <c r="H34" s="105" t="s">
        <v>693</v>
      </c>
      <c r="I34" s="105" t="s">
        <v>694</v>
      </c>
      <c r="J34" s="105" t="s">
        <v>684</v>
      </c>
      <c r="K34" s="105" t="s">
        <v>661</v>
      </c>
      <c r="L34" s="105" t="s">
        <v>662</v>
      </c>
      <c r="M34" s="117" t="s">
        <v>663</v>
      </c>
      <c r="N34" s="105" t="s">
        <v>685</v>
      </c>
      <c r="O34" s="117" t="s">
        <v>664</v>
      </c>
      <c r="P34" s="117" t="s">
        <v>665</v>
      </c>
      <c r="Q34" s="117" t="s">
        <v>686</v>
      </c>
      <c r="R34" s="105" t="s">
        <v>667</v>
      </c>
    </row>
    <row r="35" spans="1:18" x14ac:dyDescent="0.25">
      <c r="A35" s="103" t="s">
        <v>673</v>
      </c>
      <c r="B35" s="100">
        <v>17</v>
      </c>
      <c r="C35" s="100">
        <v>21</v>
      </c>
      <c r="D35" s="100">
        <v>12</v>
      </c>
      <c r="E35" s="100">
        <v>15</v>
      </c>
      <c r="F35" s="100">
        <v>12</v>
      </c>
      <c r="G35" s="100">
        <v>12</v>
      </c>
      <c r="H35" s="108">
        <v>16</v>
      </c>
      <c r="I35" s="108">
        <v>11</v>
      </c>
      <c r="J35" s="109">
        <v>12</v>
      </c>
      <c r="K35" s="100">
        <v>19</v>
      </c>
      <c r="L35" s="100">
        <v>14</v>
      </c>
      <c r="M35" s="100">
        <v>17</v>
      </c>
      <c r="N35" s="100">
        <v>13</v>
      </c>
      <c r="O35" s="165">
        <v>13</v>
      </c>
      <c r="P35" s="59">
        <v>10</v>
      </c>
      <c r="Q35" s="165">
        <v>9</v>
      </c>
      <c r="R35" s="100">
        <v>20</v>
      </c>
    </row>
    <row r="36" spans="1:18" x14ac:dyDescent="0.25">
      <c r="A36" s="103" t="s">
        <v>673</v>
      </c>
      <c r="B36" s="194">
        <f>AVERAGE($B$35:$R$35)</f>
        <v>14.294117647058824</v>
      </c>
      <c r="C36" s="194">
        <f t="shared" ref="C36:R36" si="23">AVERAGE($B$35:$R$35)</f>
        <v>14.294117647058824</v>
      </c>
      <c r="D36" s="194">
        <f t="shared" si="23"/>
        <v>14.294117647058824</v>
      </c>
      <c r="E36" s="194">
        <f t="shared" si="23"/>
        <v>14.294117647058824</v>
      </c>
      <c r="F36" s="194">
        <f t="shared" si="23"/>
        <v>14.294117647058824</v>
      </c>
      <c r="G36" s="194">
        <f t="shared" si="23"/>
        <v>14.294117647058824</v>
      </c>
      <c r="H36" s="194">
        <f t="shared" si="23"/>
        <v>14.294117647058824</v>
      </c>
      <c r="I36" s="194">
        <f t="shared" si="23"/>
        <v>14.294117647058824</v>
      </c>
      <c r="J36" s="194">
        <f t="shared" si="23"/>
        <v>14.294117647058824</v>
      </c>
      <c r="K36" s="194">
        <f t="shared" si="23"/>
        <v>14.294117647058824</v>
      </c>
      <c r="L36" s="194">
        <f t="shared" si="23"/>
        <v>14.294117647058824</v>
      </c>
      <c r="M36" s="194">
        <f t="shared" si="23"/>
        <v>14.294117647058824</v>
      </c>
      <c r="N36" s="194">
        <f t="shared" si="23"/>
        <v>14.294117647058824</v>
      </c>
      <c r="O36" s="194">
        <f t="shared" si="23"/>
        <v>14.294117647058824</v>
      </c>
      <c r="P36" s="194">
        <f t="shared" si="23"/>
        <v>14.294117647058824</v>
      </c>
      <c r="Q36" s="194">
        <f t="shared" si="23"/>
        <v>14.294117647058824</v>
      </c>
      <c r="R36" s="194">
        <f t="shared" si="23"/>
        <v>14.294117647058824</v>
      </c>
    </row>
    <row r="37" spans="1:18" x14ac:dyDescent="0.25">
      <c r="A37" s="103" t="s">
        <v>673</v>
      </c>
      <c r="B37" s="194">
        <f>AVERAGE($B$35:$R$35)/100*90</f>
        <v>12.864705882352942</v>
      </c>
      <c r="C37" s="194">
        <f t="shared" ref="C37:R37" si="24">AVERAGE($B$35:$R$35)/100*90</f>
        <v>12.864705882352942</v>
      </c>
      <c r="D37" s="194">
        <f t="shared" si="24"/>
        <v>12.864705882352942</v>
      </c>
      <c r="E37" s="194">
        <f t="shared" si="24"/>
        <v>12.864705882352942</v>
      </c>
      <c r="F37" s="194">
        <f t="shared" si="24"/>
        <v>12.864705882352942</v>
      </c>
      <c r="G37" s="194">
        <f t="shared" si="24"/>
        <v>12.864705882352942</v>
      </c>
      <c r="H37" s="194">
        <f t="shared" si="24"/>
        <v>12.864705882352942</v>
      </c>
      <c r="I37" s="194">
        <f t="shared" si="24"/>
        <v>12.864705882352942</v>
      </c>
      <c r="J37" s="194">
        <f t="shared" si="24"/>
        <v>12.864705882352942</v>
      </c>
      <c r="K37" s="194">
        <f t="shared" si="24"/>
        <v>12.864705882352942</v>
      </c>
      <c r="L37" s="194">
        <f t="shared" si="24"/>
        <v>12.864705882352942</v>
      </c>
      <c r="M37" s="194">
        <f t="shared" si="24"/>
        <v>12.864705882352942</v>
      </c>
      <c r="N37" s="194">
        <f t="shared" si="24"/>
        <v>12.864705882352942</v>
      </c>
      <c r="O37" s="194">
        <f t="shared" si="24"/>
        <v>12.864705882352942</v>
      </c>
      <c r="P37" s="194">
        <f t="shared" si="24"/>
        <v>12.864705882352942</v>
      </c>
      <c r="Q37" s="194">
        <f t="shared" si="24"/>
        <v>12.864705882352942</v>
      </c>
      <c r="R37" s="194">
        <f t="shared" si="24"/>
        <v>12.864705882352942</v>
      </c>
    </row>
    <row r="38" spans="1:18" x14ac:dyDescent="0.25">
      <c r="A38" s="103" t="s">
        <v>673</v>
      </c>
      <c r="B38" s="194">
        <f>AVERAGE($B$35:$R$35)+(AVERAGE($B$35:$R$35)/100*10)</f>
        <v>15.723529411764707</v>
      </c>
      <c r="C38" s="194">
        <f t="shared" ref="C38:R38" si="25">AVERAGE($B$35:$R$35)+(AVERAGE($B$35:$R$35)/100*10)</f>
        <v>15.723529411764707</v>
      </c>
      <c r="D38" s="194">
        <f t="shared" si="25"/>
        <v>15.723529411764707</v>
      </c>
      <c r="E38" s="194">
        <f t="shared" si="25"/>
        <v>15.723529411764707</v>
      </c>
      <c r="F38" s="194">
        <f t="shared" si="25"/>
        <v>15.723529411764707</v>
      </c>
      <c r="G38" s="194">
        <f t="shared" si="25"/>
        <v>15.723529411764707</v>
      </c>
      <c r="H38" s="194">
        <f t="shared" si="25"/>
        <v>15.723529411764707</v>
      </c>
      <c r="I38" s="194">
        <f t="shared" si="25"/>
        <v>15.723529411764707</v>
      </c>
      <c r="J38" s="194">
        <f t="shared" si="25"/>
        <v>15.723529411764707</v>
      </c>
      <c r="K38" s="194">
        <f t="shared" si="25"/>
        <v>15.723529411764707</v>
      </c>
      <c r="L38" s="194">
        <f t="shared" si="25"/>
        <v>15.723529411764707</v>
      </c>
      <c r="M38" s="194">
        <f t="shared" si="25"/>
        <v>15.723529411764707</v>
      </c>
      <c r="N38" s="194">
        <f t="shared" si="25"/>
        <v>15.723529411764707</v>
      </c>
      <c r="O38" s="194">
        <f t="shared" si="25"/>
        <v>15.723529411764707</v>
      </c>
      <c r="P38" s="194">
        <f t="shared" si="25"/>
        <v>15.723529411764707</v>
      </c>
      <c r="Q38" s="194">
        <f t="shared" si="25"/>
        <v>15.723529411764707</v>
      </c>
      <c r="R38" s="194">
        <f t="shared" si="25"/>
        <v>15.723529411764707</v>
      </c>
    </row>
    <row r="39" spans="1:18" x14ac:dyDescent="0.25">
      <c r="A39" s="103" t="s">
        <v>673</v>
      </c>
      <c r="B39" s="194">
        <f>AVERAGE($B$35:$R$35)/100*80</f>
        <v>11.435294117647059</v>
      </c>
      <c r="C39" s="194">
        <f t="shared" ref="C39:R39" si="26">AVERAGE($B$35:$R$35)/100*80</f>
        <v>11.435294117647059</v>
      </c>
      <c r="D39" s="194">
        <f t="shared" si="26"/>
        <v>11.435294117647059</v>
      </c>
      <c r="E39" s="194">
        <f t="shared" si="26"/>
        <v>11.435294117647059</v>
      </c>
      <c r="F39" s="194">
        <f t="shared" si="26"/>
        <v>11.435294117647059</v>
      </c>
      <c r="G39" s="194">
        <f t="shared" si="26"/>
        <v>11.435294117647059</v>
      </c>
      <c r="H39" s="194">
        <f t="shared" si="26"/>
        <v>11.435294117647059</v>
      </c>
      <c r="I39" s="194">
        <f t="shared" si="26"/>
        <v>11.435294117647059</v>
      </c>
      <c r="J39" s="194">
        <f t="shared" si="26"/>
        <v>11.435294117647059</v>
      </c>
      <c r="K39" s="194">
        <f t="shared" si="26"/>
        <v>11.435294117647059</v>
      </c>
      <c r="L39" s="194">
        <f t="shared" si="26"/>
        <v>11.435294117647059</v>
      </c>
      <c r="M39" s="194">
        <f t="shared" si="26"/>
        <v>11.435294117647059</v>
      </c>
      <c r="N39" s="194">
        <f t="shared" si="26"/>
        <v>11.435294117647059</v>
      </c>
      <c r="O39" s="194">
        <f t="shared" si="26"/>
        <v>11.435294117647059</v>
      </c>
      <c r="P39" s="194">
        <f t="shared" si="26"/>
        <v>11.435294117647059</v>
      </c>
      <c r="Q39" s="194">
        <f t="shared" si="26"/>
        <v>11.435294117647059</v>
      </c>
      <c r="R39" s="194">
        <f t="shared" si="26"/>
        <v>11.435294117647059</v>
      </c>
    </row>
    <row r="40" spans="1:18" x14ac:dyDescent="0.25">
      <c r="A40" s="103" t="s">
        <v>673</v>
      </c>
      <c r="B40" s="194">
        <f>AVERAGE($B$35:$R$35)+(AVERAGE($B$35:$R$35)/100*20)</f>
        <v>17.152941176470588</v>
      </c>
      <c r="C40" s="194">
        <f t="shared" ref="C40:R40" si="27">AVERAGE($B$35:$R$35)+(AVERAGE($B$35:$R$35)/100*20)</f>
        <v>17.152941176470588</v>
      </c>
      <c r="D40" s="194">
        <f t="shared" si="27"/>
        <v>17.152941176470588</v>
      </c>
      <c r="E40" s="194">
        <f t="shared" si="27"/>
        <v>17.152941176470588</v>
      </c>
      <c r="F40" s="194">
        <f t="shared" si="27"/>
        <v>17.152941176470588</v>
      </c>
      <c r="G40" s="194">
        <f t="shared" si="27"/>
        <v>17.152941176470588</v>
      </c>
      <c r="H40" s="194">
        <f t="shared" si="27"/>
        <v>17.152941176470588</v>
      </c>
      <c r="I40" s="194">
        <f t="shared" si="27"/>
        <v>17.152941176470588</v>
      </c>
      <c r="J40" s="194">
        <f t="shared" si="27"/>
        <v>17.152941176470588</v>
      </c>
      <c r="K40" s="194">
        <f t="shared" si="27"/>
        <v>17.152941176470588</v>
      </c>
      <c r="L40" s="194">
        <f t="shared" si="27"/>
        <v>17.152941176470588</v>
      </c>
      <c r="M40" s="194">
        <f t="shared" si="27"/>
        <v>17.152941176470588</v>
      </c>
      <c r="N40" s="194">
        <f t="shared" si="27"/>
        <v>17.152941176470588</v>
      </c>
      <c r="O40" s="194">
        <f t="shared" si="27"/>
        <v>17.152941176470588</v>
      </c>
      <c r="P40" s="194">
        <f t="shared" si="27"/>
        <v>17.152941176470588</v>
      </c>
      <c r="Q40" s="194">
        <f t="shared" si="27"/>
        <v>17.152941176470588</v>
      </c>
      <c r="R40" s="194">
        <f t="shared" si="27"/>
        <v>17.152941176470588</v>
      </c>
    </row>
    <row r="41" spans="1:18" x14ac:dyDescent="0.25">
      <c r="A41" s="103"/>
      <c r="B41" s="100"/>
      <c r="C41" s="100"/>
      <c r="D41" s="100"/>
      <c r="E41" s="100"/>
      <c r="F41" s="100"/>
      <c r="G41" s="100"/>
      <c r="H41" s="108"/>
      <c r="I41" s="108"/>
      <c r="J41" s="109"/>
      <c r="K41" s="100"/>
      <c r="L41" s="100"/>
      <c r="M41" s="100"/>
      <c r="N41" s="100"/>
      <c r="O41" s="59"/>
      <c r="P41" s="59"/>
      <c r="Q41" s="59"/>
    </row>
    <row r="42" spans="1:18" x14ac:dyDescent="0.25">
      <c r="A42" s="103"/>
      <c r="B42" s="100"/>
      <c r="C42" s="100"/>
      <c r="D42" s="100"/>
      <c r="E42" s="100"/>
      <c r="F42" s="100"/>
      <c r="G42" s="100"/>
      <c r="H42" s="108"/>
      <c r="I42" s="108"/>
      <c r="J42" s="109"/>
      <c r="K42" s="100"/>
      <c r="L42" s="100"/>
      <c r="M42" s="100"/>
      <c r="N42" s="100"/>
      <c r="O42" s="59"/>
      <c r="P42" s="59"/>
      <c r="Q42" s="59"/>
    </row>
    <row r="43" spans="1:18" x14ac:dyDescent="0.25">
      <c r="A43" s="116" t="s">
        <v>306</v>
      </c>
      <c r="B43" s="196">
        <f>IF(B2&gt;=B4,15,0)</f>
        <v>15</v>
      </c>
      <c r="C43" s="196">
        <f t="shared" ref="C43:R43" si="28">IF(C2&gt;=C4,15,0)</f>
        <v>15</v>
      </c>
      <c r="D43" s="196">
        <f t="shared" si="28"/>
        <v>15</v>
      </c>
      <c r="E43" s="196">
        <f t="shared" si="28"/>
        <v>15</v>
      </c>
      <c r="F43" s="196">
        <f t="shared" si="28"/>
        <v>15</v>
      </c>
      <c r="G43" s="196">
        <f t="shared" si="28"/>
        <v>15</v>
      </c>
      <c r="H43" s="196">
        <f t="shared" si="28"/>
        <v>15</v>
      </c>
      <c r="I43" s="196">
        <f t="shared" si="28"/>
        <v>15</v>
      </c>
      <c r="J43" s="196">
        <f t="shared" si="28"/>
        <v>15</v>
      </c>
      <c r="K43" s="196">
        <f t="shared" si="28"/>
        <v>15</v>
      </c>
      <c r="L43" s="196">
        <f t="shared" si="28"/>
        <v>0</v>
      </c>
      <c r="M43" s="196">
        <f t="shared" si="28"/>
        <v>0</v>
      </c>
      <c r="N43" s="196">
        <f t="shared" si="28"/>
        <v>15</v>
      </c>
      <c r="O43" s="196">
        <f t="shared" si="28"/>
        <v>15</v>
      </c>
      <c r="P43" s="196">
        <f t="shared" si="28"/>
        <v>15</v>
      </c>
      <c r="Q43" s="196">
        <f t="shared" si="28"/>
        <v>0</v>
      </c>
      <c r="R43" s="196">
        <f t="shared" si="28"/>
        <v>15</v>
      </c>
    </row>
    <row r="44" spans="1:18" x14ac:dyDescent="0.25">
      <c r="A44" s="116" t="s">
        <v>307</v>
      </c>
      <c r="B44" s="196">
        <f>IF(B7&gt;=B11,10,0)</f>
        <v>10</v>
      </c>
      <c r="C44" s="196">
        <f t="shared" ref="C44:R44" si="29">IF(C7&gt;=C11,10,0)</f>
        <v>10</v>
      </c>
      <c r="D44" s="196">
        <f t="shared" si="29"/>
        <v>10</v>
      </c>
      <c r="E44" s="196">
        <f t="shared" si="29"/>
        <v>10</v>
      </c>
      <c r="F44" s="196">
        <f t="shared" si="29"/>
        <v>10</v>
      </c>
      <c r="G44" s="196">
        <f t="shared" si="29"/>
        <v>10</v>
      </c>
      <c r="H44" s="196">
        <f t="shared" si="29"/>
        <v>10</v>
      </c>
      <c r="I44" s="196">
        <f t="shared" si="29"/>
        <v>10</v>
      </c>
      <c r="J44" s="196">
        <f t="shared" si="29"/>
        <v>10</v>
      </c>
      <c r="K44" s="196">
        <f t="shared" si="29"/>
        <v>10</v>
      </c>
      <c r="L44" s="196">
        <f t="shared" si="29"/>
        <v>10</v>
      </c>
      <c r="M44" s="196">
        <f t="shared" si="29"/>
        <v>10</v>
      </c>
      <c r="N44" s="196">
        <f t="shared" si="29"/>
        <v>0</v>
      </c>
      <c r="O44" s="196">
        <f t="shared" si="29"/>
        <v>10</v>
      </c>
      <c r="P44" s="196">
        <f t="shared" si="29"/>
        <v>10</v>
      </c>
      <c r="Q44" s="196">
        <f t="shared" si="29"/>
        <v>10</v>
      </c>
      <c r="R44" s="196">
        <f t="shared" si="29"/>
        <v>10</v>
      </c>
    </row>
    <row r="45" spans="1:18" x14ac:dyDescent="0.25">
      <c r="A45" s="116" t="s">
        <v>674</v>
      </c>
      <c r="B45" s="196">
        <f>IF(B14&gt;B17,5,0)</f>
        <v>5</v>
      </c>
      <c r="C45" s="196">
        <f t="shared" ref="C45:R45" si="30">IF(C14&gt;C17,5,0)</f>
        <v>5</v>
      </c>
      <c r="D45" s="196">
        <f t="shared" si="30"/>
        <v>5</v>
      </c>
      <c r="E45" s="196">
        <f t="shared" si="30"/>
        <v>0</v>
      </c>
      <c r="F45" s="196">
        <f t="shared" si="30"/>
        <v>0</v>
      </c>
      <c r="G45" s="196">
        <f t="shared" si="30"/>
        <v>0</v>
      </c>
      <c r="H45" s="196">
        <f t="shared" si="30"/>
        <v>0</v>
      </c>
      <c r="I45" s="196">
        <f t="shared" si="30"/>
        <v>5</v>
      </c>
      <c r="J45" s="196">
        <f t="shared" si="30"/>
        <v>5</v>
      </c>
      <c r="K45" s="196">
        <f t="shared" si="30"/>
        <v>5</v>
      </c>
      <c r="L45" s="196">
        <f t="shared" si="30"/>
        <v>5</v>
      </c>
      <c r="M45" s="196">
        <f t="shared" si="30"/>
        <v>5</v>
      </c>
      <c r="N45" s="196">
        <f t="shared" si="30"/>
        <v>0</v>
      </c>
      <c r="O45" s="196">
        <f t="shared" si="30"/>
        <v>5</v>
      </c>
      <c r="P45" s="196">
        <f t="shared" si="30"/>
        <v>5</v>
      </c>
      <c r="Q45" s="196">
        <f t="shared" si="30"/>
        <v>5</v>
      </c>
      <c r="R45" s="196">
        <f t="shared" si="30"/>
        <v>5</v>
      </c>
    </row>
    <row r="46" spans="1:18" x14ac:dyDescent="0.25">
      <c r="A46" s="116" t="s">
        <v>675</v>
      </c>
      <c r="B46" s="194">
        <f>IF(B21&gt;=B25,25,0)</f>
        <v>25</v>
      </c>
      <c r="C46" s="194">
        <f t="shared" ref="C46:R46" si="31">IF(C21&gt;=C25,25,0)</f>
        <v>25</v>
      </c>
      <c r="D46" s="194">
        <f t="shared" si="31"/>
        <v>25</v>
      </c>
      <c r="E46" s="194">
        <f t="shared" si="31"/>
        <v>25</v>
      </c>
      <c r="F46" s="194">
        <f t="shared" si="31"/>
        <v>25</v>
      </c>
      <c r="G46" s="194">
        <f t="shared" si="31"/>
        <v>25</v>
      </c>
      <c r="H46" s="194">
        <f t="shared" si="31"/>
        <v>25</v>
      </c>
      <c r="I46" s="194">
        <f t="shared" si="31"/>
        <v>25</v>
      </c>
      <c r="J46" s="194">
        <f t="shared" si="31"/>
        <v>25</v>
      </c>
      <c r="K46" s="194">
        <f t="shared" si="31"/>
        <v>25</v>
      </c>
      <c r="L46" s="194">
        <f t="shared" si="31"/>
        <v>25</v>
      </c>
      <c r="M46" s="194">
        <f t="shared" si="31"/>
        <v>25</v>
      </c>
      <c r="N46" s="194">
        <f t="shared" si="31"/>
        <v>0</v>
      </c>
      <c r="O46" s="194">
        <f t="shared" si="31"/>
        <v>25</v>
      </c>
      <c r="P46" s="194">
        <f t="shared" si="31"/>
        <v>25</v>
      </c>
      <c r="Q46" s="194">
        <f t="shared" si="31"/>
        <v>25</v>
      </c>
      <c r="R46" s="194">
        <f t="shared" si="31"/>
        <v>25</v>
      </c>
    </row>
    <row r="47" spans="1:18" x14ac:dyDescent="0.25">
      <c r="A47" s="116" t="s">
        <v>676</v>
      </c>
      <c r="B47" s="194">
        <f>IF(B28&gt;=B32,25,0)</f>
        <v>25</v>
      </c>
      <c r="C47" s="194">
        <f t="shared" ref="C47:R47" si="32">IF(C28&gt;=C32,25,0)</f>
        <v>25</v>
      </c>
      <c r="D47" s="194">
        <f t="shared" si="32"/>
        <v>25</v>
      </c>
      <c r="E47" s="194">
        <f t="shared" si="32"/>
        <v>25</v>
      </c>
      <c r="F47" s="194">
        <f t="shared" si="32"/>
        <v>25</v>
      </c>
      <c r="G47" s="194">
        <f t="shared" si="32"/>
        <v>25</v>
      </c>
      <c r="H47" s="194">
        <f t="shared" si="32"/>
        <v>25</v>
      </c>
      <c r="I47" s="194">
        <f t="shared" si="32"/>
        <v>25</v>
      </c>
      <c r="J47" s="194">
        <f t="shared" si="32"/>
        <v>25</v>
      </c>
      <c r="K47" s="194">
        <f t="shared" si="32"/>
        <v>25</v>
      </c>
      <c r="L47" s="194">
        <f t="shared" si="32"/>
        <v>25</v>
      </c>
      <c r="M47" s="194">
        <f t="shared" si="32"/>
        <v>25</v>
      </c>
      <c r="N47" s="194">
        <f t="shared" si="32"/>
        <v>25</v>
      </c>
      <c r="O47" s="194">
        <f t="shared" si="32"/>
        <v>25</v>
      </c>
      <c r="P47" s="194">
        <f t="shared" si="32"/>
        <v>25</v>
      </c>
      <c r="Q47" s="194">
        <f t="shared" si="32"/>
        <v>25</v>
      </c>
      <c r="R47" s="194">
        <f t="shared" si="32"/>
        <v>25</v>
      </c>
    </row>
    <row r="48" spans="1:18" x14ac:dyDescent="0.25">
      <c r="A48" s="116" t="s">
        <v>311</v>
      </c>
      <c r="B48" s="194">
        <f>IF(B35&lt;=B40,20,0)</f>
        <v>20</v>
      </c>
      <c r="C48" s="194">
        <f t="shared" ref="C48:R48" si="33">IF(C35&lt;=C40,20,0)</f>
        <v>0</v>
      </c>
      <c r="D48" s="194">
        <f t="shared" si="33"/>
        <v>20</v>
      </c>
      <c r="E48" s="194">
        <f t="shared" si="33"/>
        <v>20</v>
      </c>
      <c r="F48" s="194">
        <f t="shared" si="33"/>
        <v>20</v>
      </c>
      <c r="G48" s="194">
        <f t="shared" si="33"/>
        <v>20</v>
      </c>
      <c r="H48" s="194">
        <f t="shared" si="33"/>
        <v>20</v>
      </c>
      <c r="I48" s="194">
        <f t="shared" si="33"/>
        <v>20</v>
      </c>
      <c r="J48" s="194">
        <f t="shared" si="33"/>
        <v>20</v>
      </c>
      <c r="K48" s="194">
        <f t="shared" si="33"/>
        <v>0</v>
      </c>
      <c r="L48" s="194">
        <f t="shared" si="33"/>
        <v>20</v>
      </c>
      <c r="M48" s="194">
        <f t="shared" si="33"/>
        <v>20</v>
      </c>
      <c r="N48" s="194">
        <f t="shared" si="33"/>
        <v>20</v>
      </c>
      <c r="O48" s="194">
        <f t="shared" si="33"/>
        <v>20</v>
      </c>
      <c r="P48" s="194">
        <f t="shared" si="33"/>
        <v>20</v>
      </c>
      <c r="Q48" s="194">
        <f t="shared" si="33"/>
        <v>20</v>
      </c>
      <c r="R48" s="194">
        <f t="shared" si="33"/>
        <v>0</v>
      </c>
    </row>
    <row r="49" spans="1:18" x14ac:dyDescent="0.25">
      <c r="A49" s="116"/>
      <c r="B49" s="194"/>
      <c r="C49" s="194"/>
      <c r="D49" s="194"/>
      <c r="E49" s="194"/>
      <c r="F49" s="194"/>
      <c r="G49" s="194"/>
      <c r="H49" s="194"/>
      <c r="I49" s="194"/>
      <c r="J49" s="194"/>
      <c r="K49" s="194"/>
      <c r="L49" s="194"/>
      <c r="M49" s="194"/>
      <c r="N49" s="194"/>
      <c r="O49" s="194"/>
      <c r="P49" s="194"/>
    </row>
    <row r="50" spans="1:18" x14ac:dyDescent="0.25">
      <c r="A50" s="116" t="s">
        <v>677</v>
      </c>
      <c r="B50" s="194">
        <f>SUM(B43:B48)</f>
        <v>100</v>
      </c>
      <c r="C50" s="194">
        <f t="shared" ref="C50:R50" si="34">SUM(C43:C48)</f>
        <v>80</v>
      </c>
      <c r="D50" s="194">
        <f t="shared" si="34"/>
        <v>100</v>
      </c>
      <c r="E50" s="194">
        <f t="shared" si="34"/>
        <v>95</v>
      </c>
      <c r="F50" s="194">
        <f t="shared" si="34"/>
        <v>95</v>
      </c>
      <c r="G50" s="194">
        <f t="shared" si="34"/>
        <v>95</v>
      </c>
      <c r="H50" s="194">
        <f t="shared" si="34"/>
        <v>95</v>
      </c>
      <c r="I50" s="194">
        <f t="shared" si="34"/>
        <v>100</v>
      </c>
      <c r="J50" s="194">
        <f t="shared" si="34"/>
        <v>100</v>
      </c>
      <c r="K50" s="194">
        <f t="shared" si="34"/>
        <v>80</v>
      </c>
      <c r="L50" s="194">
        <f t="shared" si="34"/>
        <v>85</v>
      </c>
      <c r="M50" s="194">
        <f t="shared" si="34"/>
        <v>85</v>
      </c>
      <c r="N50" s="194">
        <f t="shared" si="34"/>
        <v>60</v>
      </c>
      <c r="O50" s="194">
        <f t="shared" si="34"/>
        <v>100</v>
      </c>
      <c r="P50" s="194">
        <f t="shared" si="34"/>
        <v>100</v>
      </c>
      <c r="Q50" s="194">
        <f t="shared" si="34"/>
        <v>85</v>
      </c>
      <c r="R50" s="194">
        <f t="shared" si="34"/>
        <v>80</v>
      </c>
    </row>
    <row r="51" spans="1:18" x14ac:dyDescent="0.25">
      <c r="A51" s="116" t="s">
        <v>678</v>
      </c>
      <c r="B51" s="194" t="str">
        <f>IF(B50&gt;=50,"OKAY","KO")</f>
        <v>OKAY</v>
      </c>
      <c r="C51" s="194" t="str">
        <f t="shared" ref="C51:R51" si="35">IF(C50&gt;=50,"OKAY","KO")</f>
        <v>OKAY</v>
      </c>
      <c r="D51" s="194" t="str">
        <f t="shared" si="35"/>
        <v>OKAY</v>
      </c>
      <c r="E51" s="194" t="str">
        <f t="shared" si="35"/>
        <v>OKAY</v>
      </c>
      <c r="F51" s="194" t="str">
        <f t="shared" si="35"/>
        <v>OKAY</v>
      </c>
      <c r="G51" s="194" t="str">
        <f t="shared" si="35"/>
        <v>OKAY</v>
      </c>
      <c r="H51" s="194" t="str">
        <f t="shared" si="35"/>
        <v>OKAY</v>
      </c>
      <c r="I51" s="194" t="str">
        <f t="shared" si="35"/>
        <v>OKAY</v>
      </c>
      <c r="J51" s="194" t="str">
        <f t="shared" si="35"/>
        <v>OKAY</v>
      </c>
      <c r="K51" s="194" t="str">
        <f t="shared" si="35"/>
        <v>OKAY</v>
      </c>
      <c r="L51" s="194" t="str">
        <f t="shared" si="35"/>
        <v>OKAY</v>
      </c>
      <c r="M51" s="194" t="str">
        <f t="shared" si="35"/>
        <v>OKAY</v>
      </c>
      <c r="N51" s="194" t="str">
        <f t="shared" si="35"/>
        <v>OKAY</v>
      </c>
      <c r="O51" s="194" t="str">
        <f t="shared" si="35"/>
        <v>OKAY</v>
      </c>
      <c r="P51" s="194" t="str">
        <f t="shared" si="35"/>
        <v>OKAY</v>
      </c>
      <c r="Q51" s="194" t="str">
        <f t="shared" si="35"/>
        <v>OKAY</v>
      </c>
      <c r="R51" s="194" t="str">
        <f t="shared" si="35"/>
        <v>OKAY</v>
      </c>
    </row>
    <row r="60" spans="1:18" x14ac:dyDescent="0.25">
      <c r="C60" s="110"/>
      <c r="D60" s="110"/>
      <c r="E60" s="110"/>
      <c r="F60" s="110"/>
      <c r="G60" s="110"/>
      <c r="H60" s="110"/>
    </row>
  </sheetData>
  <phoneticPr fontId="3" type="noConversion"/>
  <conditionalFormatting sqref="A51:XFD51">
    <cfRule type="containsText" dxfId="165" priority="1" operator="containsText" text="KO">
      <formula>NOT(ISERROR(SEARCH("KO",A51)))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N95"/>
  <sheetViews>
    <sheetView topLeftCell="AT35" zoomScale="110" zoomScaleNormal="110" workbookViewId="0">
      <selection activeCell="AZ54" sqref="AZ54"/>
    </sheetView>
  </sheetViews>
  <sheetFormatPr defaultRowHeight="15" x14ac:dyDescent="0.25"/>
  <cols>
    <col min="1" max="1" width="25.140625" bestFit="1" customWidth="1"/>
    <col min="2" max="10" width="16.140625" bestFit="1" customWidth="1"/>
    <col min="11" max="11" width="14" customWidth="1"/>
    <col min="12" max="52" width="16.140625" bestFit="1" customWidth="1"/>
  </cols>
  <sheetData>
    <row r="1" spans="1:66" x14ac:dyDescent="0.25">
      <c r="A1" s="104" t="s">
        <v>652</v>
      </c>
      <c r="B1" s="105" t="s">
        <v>695</v>
      </c>
      <c r="C1" s="105" t="s">
        <v>696</v>
      </c>
      <c r="D1" s="105" t="s">
        <v>694</v>
      </c>
      <c r="E1" s="105" t="s">
        <v>697</v>
      </c>
      <c r="F1" s="105" t="s">
        <v>661</v>
      </c>
      <c r="G1" s="105" t="s">
        <v>662</v>
      </c>
      <c r="H1" s="117" t="s">
        <v>663</v>
      </c>
      <c r="I1" s="105" t="s">
        <v>685</v>
      </c>
      <c r="J1" s="170" t="s">
        <v>664</v>
      </c>
      <c r="K1" s="170" t="s">
        <v>665</v>
      </c>
      <c r="L1" s="170" t="s">
        <v>666</v>
      </c>
      <c r="M1" s="170" t="s">
        <v>698</v>
      </c>
      <c r="N1" s="170" t="s">
        <v>699</v>
      </c>
      <c r="O1" s="170" t="s">
        <v>700</v>
      </c>
      <c r="P1" s="170" t="s">
        <v>701</v>
      </c>
      <c r="Q1" s="170" t="s">
        <v>702</v>
      </c>
      <c r="R1" s="170" t="s">
        <v>703</v>
      </c>
      <c r="S1" s="170" t="s">
        <v>704</v>
      </c>
      <c r="T1" s="170" t="s">
        <v>705</v>
      </c>
      <c r="U1" s="170" t="s">
        <v>706</v>
      </c>
      <c r="V1" s="170" t="s">
        <v>707</v>
      </c>
      <c r="W1" s="170" t="s">
        <v>708</v>
      </c>
      <c r="X1" s="170" t="s">
        <v>709</v>
      </c>
      <c r="Y1" s="170" t="s">
        <v>710</v>
      </c>
      <c r="Z1" s="170" t="s">
        <v>711</v>
      </c>
      <c r="AA1" s="170" t="s">
        <v>712</v>
      </c>
      <c r="AB1" s="170" t="s">
        <v>713</v>
      </c>
      <c r="AC1" s="170" t="s">
        <v>714</v>
      </c>
      <c r="AD1" s="170" t="s">
        <v>715</v>
      </c>
      <c r="AE1" s="170" t="s">
        <v>716</v>
      </c>
      <c r="AF1" s="170" t="s">
        <v>717</v>
      </c>
      <c r="AG1" s="170" t="s">
        <v>718</v>
      </c>
      <c r="AH1" s="170" t="s">
        <v>719</v>
      </c>
      <c r="AI1" s="170" t="s">
        <v>720</v>
      </c>
      <c r="AJ1" s="170" t="s">
        <v>721</v>
      </c>
      <c r="AK1" s="170" t="s">
        <v>722</v>
      </c>
      <c r="AL1" s="170" t="s">
        <v>723</v>
      </c>
      <c r="AM1" s="170" t="s">
        <v>724</v>
      </c>
      <c r="AN1" s="170" t="s">
        <v>725</v>
      </c>
      <c r="AO1" s="170" t="s">
        <v>726</v>
      </c>
      <c r="AP1" s="170" t="s">
        <v>727</v>
      </c>
      <c r="AQ1" s="170" t="s">
        <v>728</v>
      </c>
      <c r="AR1" s="170" t="s">
        <v>729</v>
      </c>
      <c r="AS1" s="170" t="s">
        <v>730</v>
      </c>
      <c r="AT1" s="170" t="s">
        <v>731</v>
      </c>
      <c r="AU1" s="170" t="s">
        <v>732</v>
      </c>
      <c r="AV1" s="170" t="s">
        <v>733</v>
      </c>
      <c r="AW1" s="170" t="s">
        <v>734</v>
      </c>
      <c r="AX1" s="170" t="s">
        <v>735</v>
      </c>
      <c r="AY1" s="170" t="s">
        <v>736</v>
      </c>
      <c r="AZ1" s="170" t="s">
        <v>737</v>
      </c>
      <c r="BA1" s="105" t="s">
        <v>738</v>
      </c>
      <c r="BB1" s="105" t="s">
        <v>739</v>
      </c>
      <c r="BC1" s="105" t="s">
        <v>740</v>
      </c>
      <c r="BD1" s="105" t="s">
        <v>741</v>
      </c>
      <c r="BE1" s="170" t="s">
        <v>742</v>
      </c>
      <c r="BF1" s="170" t="s">
        <v>743</v>
      </c>
      <c r="BG1" s="170" t="s">
        <v>744</v>
      </c>
      <c r="BH1" s="170" t="s">
        <v>745</v>
      </c>
      <c r="BI1" s="170" t="s">
        <v>746</v>
      </c>
      <c r="BJ1" s="170" t="s">
        <v>747</v>
      </c>
      <c r="BK1" s="170" t="s">
        <v>748</v>
      </c>
      <c r="BL1" s="170" t="s">
        <v>749</v>
      </c>
      <c r="BM1" s="170" t="s">
        <v>750</v>
      </c>
      <c r="BN1" s="170" t="s">
        <v>751</v>
      </c>
    </row>
    <row r="2" spans="1:66" x14ac:dyDescent="0.25">
      <c r="A2" s="103" t="s">
        <v>668</v>
      </c>
      <c r="B2" s="196">
        <f>AVERAGE($B$5:$BN$5)</f>
        <v>70.276923076923083</v>
      </c>
      <c r="C2" s="196">
        <f t="shared" ref="C2:BN2" si="0">AVERAGE($B$5:$BN$5)</f>
        <v>70.276923076923083</v>
      </c>
      <c r="D2" s="196">
        <f t="shared" si="0"/>
        <v>70.276923076923083</v>
      </c>
      <c r="E2" s="196">
        <f t="shared" si="0"/>
        <v>70.276923076923083</v>
      </c>
      <c r="F2" s="196">
        <f t="shared" si="0"/>
        <v>70.276923076923083</v>
      </c>
      <c r="G2" s="196">
        <f t="shared" si="0"/>
        <v>70.276923076923083</v>
      </c>
      <c r="H2" s="196">
        <f t="shared" si="0"/>
        <v>70.276923076923083</v>
      </c>
      <c r="I2" s="196">
        <f t="shared" si="0"/>
        <v>70.276923076923083</v>
      </c>
      <c r="J2" s="196">
        <f t="shared" si="0"/>
        <v>70.276923076923083</v>
      </c>
      <c r="K2" s="196">
        <f t="shared" si="0"/>
        <v>70.276923076923083</v>
      </c>
      <c r="L2" s="196">
        <f t="shared" si="0"/>
        <v>70.276923076923083</v>
      </c>
      <c r="M2" s="196">
        <f t="shared" si="0"/>
        <v>70.276923076923083</v>
      </c>
      <c r="N2" s="196">
        <f t="shared" si="0"/>
        <v>70.276923076923083</v>
      </c>
      <c r="O2" s="196">
        <f t="shared" si="0"/>
        <v>70.276923076923083</v>
      </c>
      <c r="P2" s="196">
        <f t="shared" si="0"/>
        <v>70.276923076923083</v>
      </c>
      <c r="Q2" s="196">
        <f t="shared" si="0"/>
        <v>70.276923076923083</v>
      </c>
      <c r="R2" s="196">
        <f t="shared" si="0"/>
        <v>70.276923076923083</v>
      </c>
      <c r="S2" s="196">
        <f t="shared" si="0"/>
        <v>70.276923076923083</v>
      </c>
      <c r="T2" s="196">
        <f t="shared" si="0"/>
        <v>70.276923076923083</v>
      </c>
      <c r="U2" s="196">
        <f t="shared" si="0"/>
        <v>70.276923076923083</v>
      </c>
      <c r="V2" s="196">
        <f t="shared" si="0"/>
        <v>70.276923076923083</v>
      </c>
      <c r="W2" s="196">
        <f t="shared" si="0"/>
        <v>70.276923076923083</v>
      </c>
      <c r="X2" s="196">
        <f t="shared" si="0"/>
        <v>70.276923076923083</v>
      </c>
      <c r="Y2" s="196">
        <f t="shared" si="0"/>
        <v>70.276923076923083</v>
      </c>
      <c r="Z2" s="196">
        <f t="shared" si="0"/>
        <v>70.276923076923083</v>
      </c>
      <c r="AA2" s="196">
        <f t="shared" si="0"/>
        <v>70.276923076923083</v>
      </c>
      <c r="AB2" s="196">
        <f t="shared" si="0"/>
        <v>70.276923076923083</v>
      </c>
      <c r="AC2" s="196">
        <f t="shared" si="0"/>
        <v>70.276923076923083</v>
      </c>
      <c r="AD2" s="196">
        <f t="shared" si="0"/>
        <v>70.276923076923083</v>
      </c>
      <c r="AE2" s="196">
        <f t="shared" si="0"/>
        <v>70.276923076923083</v>
      </c>
      <c r="AF2" s="196">
        <f t="shared" si="0"/>
        <v>70.276923076923083</v>
      </c>
      <c r="AG2" s="196">
        <f t="shared" si="0"/>
        <v>70.276923076923083</v>
      </c>
      <c r="AH2" s="196">
        <f t="shared" si="0"/>
        <v>70.276923076923083</v>
      </c>
      <c r="AI2" s="196">
        <f t="shared" si="0"/>
        <v>70.276923076923083</v>
      </c>
      <c r="AJ2" s="196">
        <f t="shared" si="0"/>
        <v>70.276923076923083</v>
      </c>
      <c r="AK2" s="196">
        <f t="shared" si="0"/>
        <v>70.276923076923083</v>
      </c>
      <c r="AL2" s="196">
        <f t="shared" si="0"/>
        <v>70.276923076923083</v>
      </c>
      <c r="AM2" s="196">
        <f t="shared" si="0"/>
        <v>70.276923076923083</v>
      </c>
      <c r="AN2" s="196">
        <f t="shared" si="0"/>
        <v>70.276923076923083</v>
      </c>
      <c r="AO2" s="196">
        <f t="shared" si="0"/>
        <v>70.276923076923083</v>
      </c>
      <c r="AP2" s="196">
        <f t="shared" si="0"/>
        <v>70.276923076923083</v>
      </c>
      <c r="AQ2" s="196">
        <f t="shared" si="0"/>
        <v>70.276923076923083</v>
      </c>
      <c r="AR2" s="196">
        <f t="shared" si="0"/>
        <v>70.276923076923083</v>
      </c>
      <c r="AS2" s="196">
        <f t="shared" si="0"/>
        <v>70.276923076923083</v>
      </c>
      <c r="AT2" s="196">
        <f t="shared" si="0"/>
        <v>70.276923076923083</v>
      </c>
      <c r="AU2" s="196">
        <f t="shared" si="0"/>
        <v>70.276923076923083</v>
      </c>
      <c r="AV2" s="196">
        <f t="shared" si="0"/>
        <v>70.276923076923083</v>
      </c>
      <c r="AW2" s="196">
        <f t="shared" si="0"/>
        <v>70.276923076923083</v>
      </c>
      <c r="AX2" s="196">
        <f t="shared" si="0"/>
        <v>70.276923076923083</v>
      </c>
      <c r="AY2" s="196">
        <f t="shared" si="0"/>
        <v>70.276923076923083</v>
      </c>
      <c r="AZ2" s="196">
        <f t="shared" si="0"/>
        <v>70.276923076923083</v>
      </c>
      <c r="BA2" s="196">
        <f t="shared" si="0"/>
        <v>70.276923076923083</v>
      </c>
      <c r="BB2" s="196">
        <f t="shared" si="0"/>
        <v>70.276923076923083</v>
      </c>
      <c r="BC2" s="196">
        <f t="shared" si="0"/>
        <v>70.276923076923083</v>
      </c>
      <c r="BD2" s="196">
        <f t="shared" si="0"/>
        <v>70.276923076923083</v>
      </c>
      <c r="BE2" s="196">
        <f t="shared" si="0"/>
        <v>70.276923076923083</v>
      </c>
      <c r="BF2" s="196">
        <f t="shared" si="0"/>
        <v>70.276923076923083</v>
      </c>
      <c r="BG2" s="196">
        <f t="shared" si="0"/>
        <v>70.276923076923083</v>
      </c>
      <c r="BH2" s="196">
        <f t="shared" si="0"/>
        <v>70.276923076923083</v>
      </c>
      <c r="BI2" s="196">
        <f t="shared" si="0"/>
        <v>70.276923076923083</v>
      </c>
      <c r="BJ2" s="196">
        <f t="shared" si="0"/>
        <v>70.276923076923083</v>
      </c>
      <c r="BK2" s="196">
        <f t="shared" si="0"/>
        <v>70.276923076923083</v>
      </c>
      <c r="BL2" s="196">
        <f t="shared" si="0"/>
        <v>70.276923076923083</v>
      </c>
      <c r="BM2" s="196">
        <f t="shared" si="0"/>
        <v>70.276923076923083</v>
      </c>
      <c r="BN2" s="196">
        <f t="shared" si="0"/>
        <v>70.276923076923083</v>
      </c>
    </row>
    <row r="3" spans="1:66" x14ac:dyDescent="0.25">
      <c r="A3" s="103" t="s">
        <v>668</v>
      </c>
      <c r="B3" s="196">
        <f>AVERAGE($B$5:$BN$5)-2</f>
        <v>68.276923076923083</v>
      </c>
      <c r="C3" s="196">
        <f t="shared" ref="C3:BN3" si="1">AVERAGE($B$5:$BN$5)-2</f>
        <v>68.276923076923083</v>
      </c>
      <c r="D3" s="196">
        <f t="shared" si="1"/>
        <v>68.276923076923083</v>
      </c>
      <c r="E3" s="196">
        <f t="shared" si="1"/>
        <v>68.276923076923083</v>
      </c>
      <c r="F3" s="196">
        <f t="shared" si="1"/>
        <v>68.276923076923083</v>
      </c>
      <c r="G3" s="196">
        <f t="shared" si="1"/>
        <v>68.276923076923083</v>
      </c>
      <c r="H3" s="196">
        <f t="shared" si="1"/>
        <v>68.276923076923083</v>
      </c>
      <c r="I3" s="196">
        <f t="shared" si="1"/>
        <v>68.276923076923083</v>
      </c>
      <c r="J3" s="196">
        <f t="shared" si="1"/>
        <v>68.276923076923083</v>
      </c>
      <c r="K3" s="196">
        <f t="shared" si="1"/>
        <v>68.276923076923083</v>
      </c>
      <c r="L3" s="196">
        <f t="shared" si="1"/>
        <v>68.276923076923083</v>
      </c>
      <c r="M3" s="196">
        <f t="shared" si="1"/>
        <v>68.276923076923083</v>
      </c>
      <c r="N3" s="196">
        <f t="shared" si="1"/>
        <v>68.276923076923083</v>
      </c>
      <c r="O3" s="196">
        <f t="shared" si="1"/>
        <v>68.276923076923083</v>
      </c>
      <c r="P3" s="196">
        <f t="shared" si="1"/>
        <v>68.276923076923083</v>
      </c>
      <c r="Q3" s="196">
        <f t="shared" si="1"/>
        <v>68.276923076923083</v>
      </c>
      <c r="R3" s="196">
        <f t="shared" si="1"/>
        <v>68.276923076923083</v>
      </c>
      <c r="S3" s="196">
        <f t="shared" si="1"/>
        <v>68.276923076923083</v>
      </c>
      <c r="T3" s="196">
        <f t="shared" si="1"/>
        <v>68.276923076923083</v>
      </c>
      <c r="U3" s="196">
        <f t="shared" si="1"/>
        <v>68.276923076923083</v>
      </c>
      <c r="V3" s="196">
        <f t="shared" si="1"/>
        <v>68.276923076923083</v>
      </c>
      <c r="W3" s="196">
        <f t="shared" si="1"/>
        <v>68.276923076923083</v>
      </c>
      <c r="X3" s="196">
        <f t="shared" si="1"/>
        <v>68.276923076923083</v>
      </c>
      <c r="Y3" s="196">
        <f t="shared" si="1"/>
        <v>68.276923076923083</v>
      </c>
      <c r="Z3" s="196">
        <f t="shared" si="1"/>
        <v>68.276923076923083</v>
      </c>
      <c r="AA3" s="196">
        <f t="shared" si="1"/>
        <v>68.276923076923083</v>
      </c>
      <c r="AB3" s="196">
        <f t="shared" si="1"/>
        <v>68.276923076923083</v>
      </c>
      <c r="AC3" s="196">
        <f t="shared" si="1"/>
        <v>68.276923076923083</v>
      </c>
      <c r="AD3" s="196">
        <f t="shared" si="1"/>
        <v>68.276923076923083</v>
      </c>
      <c r="AE3" s="196">
        <f t="shared" si="1"/>
        <v>68.276923076923083</v>
      </c>
      <c r="AF3" s="196">
        <f t="shared" si="1"/>
        <v>68.276923076923083</v>
      </c>
      <c r="AG3" s="196">
        <f t="shared" si="1"/>
        <v>68.276923076923083</v>
      </c>
      <c r="AH3" s="196">
        <f t="shared" si="1"/>
        <v>68.276923076923083</v>
      </c>
      <c r="AI3" s="196">
        <f t="shared" si="1"/>
        <v>68.276923076923083</v>
      </c>
      <c r="AJ3" s="196">
        <f t="shared" si="1"/>
        <v>68.276923076923083</v>
      </c>
      <c r="AK3" s="196">
        <f t="shared" si="1"/>
        <v>68.276923076923083</v>
      </c>
      <c r="AL3" s="196">
        <f t="shared" si="1"/>
        <v>68.276923076923083</v>
      </c>
      <c r="AM3" s="196">
        <f t="shared" si="1"/>
        <v>68.276923076923083</v>
      </c>
      <c r="AN3" s="196">
        <f t="shared" si="1"/>
        <v>68.276923076923083</v>
      </c>
      <c r="AO3" s="196">
        <f t="shared" si="1"/>
        <v>68.276923076923083</v>
      </c>
      <c r="AP3" s="196">
        <f t="shared" si="1"/>
        <v>68.276923076923083</v>
      </c>
      <c r="AQ3" s="196">
        <f t="shared" si="1"/>
        <v>68.276923076923083</v>
      </c>
      <c r="AR3" s="196">
        <f t="shared" si="1"/>
        <v>68.276923076923083</v>
      </c>
      <c r="AS3" s="196">
        <f t="shared" si="1"/>
        <v>68.276923076923083</v>
      </c>
      <c r="AT3" s="196">
        <f t="shared" si="1"/>
        <v>68.276923076923083</v>
      </c>
      <c r="AU3" s="196">
        <f t="shared" si="1"/>
        <v>68.276923076923083</v>
      </c>
      <c r="AV3" s="196">
        <f t="shared" si="1"/>
        <v>68.276923076923083</v>
      </c>
      <c r="AW3" s="196">
        <f t="shared" si="1"/>
        <v>68.276923076923083</v>
      </c>
      <c r="AX3" s="196">
        <f t="shared" si="1"/>
        <v>68.276923076923083</v>
      </c>
      <c r="AY3" s="196">
        <f t="shared" si="1"/>
        <v>68.276923076923083</v>
      </c>
      <c r="AZ3" s="196">
        <f t="shared" si="1"/>
        <v>68.276923076923083</v>
      </c>
      <c r="BA3" s="196">
        <f t="shared" si="1"/>
        <v>68.276923076923083</v>
      </c>
      <c r="BB3" s="196">
        <f t="shared" si="1"/>
        <v>68.276923076923083</v>
      </c>
      <c r="BC3" s="196">
        <f t="shared" si="1"/>
        <v>68.276923076923083</v>
      </c>
      <c r="BD3" s="196">
        <f t="shared" si="1"/>
        <v>68.276923076923083</v>
      </c>
      <c r="BE3" s="196">
        <f t="shared" si="1"/>
        <v>68.276923076923083</v>
      </c>
      <c r="BF3" s="196">
        <f t="shared" si="1"/>
        <v>68.276923076923083</v>
      </c>
      <c r="BG3" s="196">
        <f t="shared" si="1"/>
        <v>68.276923076923083</v>
      </c>
      <c r="BH3" s="196">
        <f t="shared" si="1"/>
        <v>68.276923076923083</v>
      </c>
      <c r="BI3" s="196">
        <f t="shared" si="1"/>
        <v>68.276923076923083</v>
      </c>
      <c r="BJ3" s="196">
        <f t="shared" si="1"/>
        <v>68.276923076923083</v>
      </c>
      <c r="BK3" s="196">
        <f t="shared" si="1"/>
        <v>68.276923076923083</v>
      </c>
      <c r="BL3" s="196">
        <f>AVERAGE($B$5:$BN$5)-2</f>
        <v>68.276923076923083</v>
      </c>
      <c r="BM3" s="196">
        <f t="shared" si="1"/>
        <v>68.276923076923083</v>
      </c>
      <c r="BN3" s="196">
        <f t="shared" si="1"/>
        <v>68.276923076923083</v>
      </c>
    </row>
    <row r="4" spans="1:66" x14ac:dyDescent="0.25">
      <c r="A4" s="103" t="s">
        <v>668</v>
      </c>
      <c r="B4" s="196">
        <f>AVERAGE($B$5:$BN$5)+2</f>
        <v>72.276923076923083</v>
      </c>
      <c r="C4" s="196">
        <f t="shared" ref="C4:BN4" si="2">AVERAGE($B$5:$BN$5)+2</f>
        <v>72.276923076923083</v>
      </c>
      <c r="D4" s="196">
        <f t="shared" si="2"/>
        <v>72.276923076923083</v>
      </c>
      <c r="E4" s="196">
        <f t="shared" si="2"/>
        <v>72.276923076923083</v>
      </c>
      <c r="F4" s="196">
        <f t="shared" si="2"/>
        <v>72.276923076923083</v>
      </c>
      <c r="G4" s="196">
        <f t="shared" si="2"/>
        <v>72.276923076923083</v>
      </c>
      <c r="H4" s="196">
        <f t="shared" si="2"/>
        <v>72.276923076923083</v>
      </c>
      <c r="I4" s="196">
        <f t="shared" si="2"/>
        <v>72.276923076923083</v>
      </c>
      <c r="J4" s="196">
        <f t="shared" si="2"/>
        <v>72.276923076923083</v>
      </c>
      <c r="K4" s="196">
        <f t="shared" si="2"/>
        <v>72.276923076923083</v>
      </c>
      <c r="L4" s="196">
        <f t="shared" si="2"/>
        <v>72.276923076923083</v>
      </c>
      <c r="M4" s="196">
        <f t="shared" si="2"/>
        <v>72.276923076923083</v>
      </c>
      <c r="N4" s="196">
        <f t="shared" si="2"/>
        <v>72.276923076923083</v>
      </c>
      <c r="O4" s="196">
        <f t="shared" si="2"/>
        <v>72.276923076923083</v>
      </c>
      <c r="P4" s="196">
        <f t="shared" si="2"/>
        <v>72.276923076923083</v>
      </c>
      <c r="Q4" s="196">
        <f t="shared" si="2"/>
        <v>72.276923076923083</v>
      </c>
      <c r="R4" s="196">
        <f t="shared" si="2"/>
        <v>72.276923076923083</v>
      </c>
      <c r="S4" s="196">
        <f t="shared" si="2"/>
        <v>72.276923076923083</v>
      </c>
      <c r="T4" s="196">
        <f t="shared" si="2"/>
        <v>72.276923076923083</v>
      </c>
      <c r="U4" s="196">
        <f t="shared" si="2"/>
        <v>72.276923076923083</v>
      </c>
      <c r="V4" s="196">
        <f t="shared" si="2"/>
        <v>72.276923076923083</v>
      </c>
      <c r="W4" s="196">
        <f t="shared" si="2"/>
        <v>72.276923076923083</v>
      </c>
      <c r="X4" s="196">
        <f t="shared" si="2"/>
        <v>72.276923076923083</v>
      </c>
      <c r="Y4" s="196">
        <f t="shared" si="2"/>
        <v>72.276923076923083</v>
      </c>
      <c r="Z4" s="196">
        <f t="shared" si="2"/>
        <v>72.276923076923083</v>
      </c>
      <c r="AA4" s="196">
        <f t="shared" si="2"/>
        <v>72.276923076923083</v>
      </c>
      <c r="AB4" s="196">
        <f t="shared" si="2"/>
        <v>72.276923076923083</v>
      </c>
      <c r="AC4" s="196">
        <f t="shared" si="2"/>
        <v>72.276923076923083</v>
      </c>
      <c r="AD4" s="196">
        <f t="shared" si="2"/>
        <v>72.276923076923083</v>
      </c>
      <c r="AE4" s="196">
        <f t="shared" si="2"/>
        <v>72.276923076923083</v>
      </c>
      <c r="AF4" s="196">
        <f t="shared" si="2"/>
        <v>72.276923076923083</v>
      </c>
      <c r="AG4" s="196">
        <f t="shared" si="2"/>
        <v>72.276923076923083</v>
      </c>
      <c r="AH4" s="196">
        <f t="shared" si="2"/>
        <v>72.276923076923083</v>
      </c>
      <c r="AI4" s="196">
        <f t="shared" si="2"/>
        <v>72.276923076923083</v>
      </c>
      <c r="AJ4" s="196">
        <f t="shared" si="2"/>
        <v>72.276923076923083</v>
      </c>
      <c r="AK4" s="196">
        <f t="shared" si="2"/>
        <v>72.276923076923083</v>
      </c>
      <c r="AL4" s="196">
        <f t="shared" si="2"/>
        <v>72.276923076923083</v>
      </c>
      <c r="AM4" s="196">
        <f t="shared" si="2"/>
        <v>72.276923076923083</v>
      </c>
      <c r="AN4" s="196">
        <f t="shared" si="2"/>
        <v>72.276923076923083</v>
      </c>
      <c r="AO4" s="196">
        <f t="shared" si="2"/>
        <v>72.276923076923083</v>
      </c>
      <c r="AP4" s="196">
        <f t="shared" si="2"/>
        <v>72.276923076923083</v>
      </c>
      <c r="AQ4" s="196">
        <f t="shared" si="2"/>
        <v>72.276923076923083</v>
      </c>
      <c r="AR4" s="196">
        <f t="shared" si="2"/>
        <v>72.276923076923083</v>
      </c>
      <c r="AS4" s="196">
        <f t="shared" si="2"/>
        <v>72.276923076923083</v>
      </c>
      <c r="AT4" s="196">
        <f t="shared" si="2"/>
        <v>72.276923076923083</v>
      </c>
      <c r="AU4" s="196">
        <f t="shared" si="2"/>
        <v>72.276923076923083</v>
      </c>
      <c r="AV4" s="196">
        <f t="shared" si="2"/>
        <v>72.276923076923083</v>
      </c>
      <c r="AW4" s="196">
        <f t="shared" si="2"/>
        <v>72.276923076923083</v>
      </c>
      <c r="AX4" s="196">
        <f t="shared" si="2"/>
        <v>72.276923076923083</v>
      </c>
      <c r="AY4" s="196">
        <f t="shared" si="2"/>
        <v>72.276923076923083</v>
      </c>
      <c r="AZ4" s="196">
        <f t="shared" si="2"/>
        <v>72.276923076923083</v>
      </c>
      <c r="BA4" s="196">
        <f t="shared" si="2"/>
        <v>72.276923076923083</v>
      </c>
      <c r="BB4" s="196">
        <f t="shared" si="2"/>
        <v>72.276923076923083</v>
      </c>
      <c r="BC4" s="196">
        <f t="shared" si="2"/>
        <v>72.276923076923083</v>
      </c>
      <c r="BD4" s="196">
        <f t="shared" si="2"/>
        <v>72.276923076923083</v>
      </c>
      <c r="BE4" s="196">
        <f t="shared" si="2"/>
        <v>72.276923076923083</v>
      </c>
      <c r="BF4" s="196">
        <f t="shared" si="2"/>
        <v>72.276923076923083</v>
      </c>
      <c r="BG4" s="196">
        <f t="shared" si="2"/>
        <v>72.276923076923083</v>
      </c>
      <c r="BH4" s="196">
        <f t="shared" si="2"/>
        <v>72.276923076923083</v>
      </c>
      <c r="BI4" s="196">
        <f t="shared" si="2"/>
        <v>72.276923076923083</v>
      </c>
      <c r="BJ4" s="196">
        <f t="shared" si="2"/>
        <v>72.276923076923083</v>
      </c>
      <c r="BK4" s="196">
        <f t="shared" si="2"/>
        <v>72.276923076923083</v>
      </c>
      <c r="BL4" s="196">
        <f t="shared" si="2"/>
        <v>72.276923076923083</v>
      </c>
      <c r="BM4" s="196">
        <f t="shared" si="2"/>
        <v>72.276923076923083</v>
      </c>
      <c r="BN4" s="196">
        <f t="shared" si="2"/>
        <v>72.276923076923083</v>
      </c>
    </row>
    <row r="5" spans="1:66" x14ac:dyDescent="0.25">
      <c r="A5" s="5" t="s">
        <v>668</v>
      </c>
      <c r="B5" s="59">
        <v>70</v>
      </c>
      <c r="C5" s="59">
        <v>70</v>
      </c>
      <c r="D5" s="106">
        <v>70</v>
      </c>
      <c r="E5" s="59">
        <v>70</v>
      </c>
      <c r="F5" s="100">
        <v>68</v>
      </c>
      <c r="G5" s="100">
        <v>67</v>
      </c>
      <c r="H5" s="100">
        <v>69</v>
      </c>
      <c r="I5" s="100">
        <v>76</v>
      </c>
      <c r="J5" s="165">
        <v>72</v>
      </c>
      <c r="K5" s="59">
        <v>73</v>
      </c>
      <c r="L5" s="165">
        <v>68</v>
      </c>
      <c r="M5" s="165">
        <v>72</v>
      </c>
      <c r="N5" s="165">
        <v>72</v>
      </c>
      <c r="O5" s="165">
        <v>68</v>
      </c>
      <c r="P5" s="165">
        <v>72</v>
      </c>
      <c r="Q5" s="165">
        <v>72</v>
      </c>
      <c r="R5" s="165">
        <v>71</v>
      </c>
      <c r="S5" s="165">
        <v>68</v>
      </c>
      <c r="T5" s="165">
        <v>73</v>
      </c>
      <c r="U5" s="165">
        <v>75</v>
      </c>
      <c r="V5" s="165">
        <v>72</v>
      </c>
      <c r="W5" s="165">
        <v>72</v>
      </c>
      <c r="X5" s="165">
        <v>68</v>
      </c>
      <c r="Y5" s="165">
        <v>68</v>
      </c>
      <c r="Z5" s="165">
        <v>68</v>
      </c>
      <c r="AA5" s="165">
        <v>65</v>
      </c>
      <c r="AB5" s="165">
        <v>65</v>
      </c>
      <c r="AC5" s="59">
        <v>70</v>
      </c>
      <c r="AD5" s="173">
        <v>68</v>
      </c>
      <c r="AE5" s="173">
        <v>69</v>
      </c>
      <c r="AF5" s="173">
        <v>70</v>
      </c>
      <c r="AG5" s="173">
        <v>69</v>
      </c>
      <c r="AH5" s="173">
        <v>69</v>
      </c>
      <c r="AI5" s="173">
        <v>69</v>
      </c>
      <c r="AJ5" s="173">
        <v>68</v>
      </c>
      <c r="AK5" s="173">
        <v>70</v>
      </c>
      <c r="AL5" s="173">
        <v>69</v>
      </c>
      <c r="AM5" s="173">
        <v>69</v>
      </c>
      <c r="AN5" s="173">
        <v>68</v>
      </c>
      <c r="AO5" s="173">
        <v>69</v>
      </c>
      <c r="AP5" s="173">
        <v>68</v>
      </c>
      <c r="AQ5" s="173">
        <v>68</v>
      </c>
      <c r="AR5" s="173">
        <v>69</v>
      </c>
      <c r="AS5" s="173">
        <v>68</v>
      </c>
      <c r="AT5" s="173">
        <v>68</v>
      </c>
      <c r="AU5" s="173">
        <v>69</v>
      </c>
      <c r="AV5" s="173">
        <v>69</v>
      </c>
      <c r="AW5" s="173">
        <v>68</v>
      </c>
      <c r="AX5" s="173">
        <v>70</v>
      </c>
      <c r="AY5" s="173">
        <v>71</v>
      </c>
      <c r="AZ5" s="173">
        <v>70</v>
      </c>
      <c r="BA5" s="59">
        <v>72</v>
      </c>
      <c r="BB5" s="59">
        <v>75</v>
      </c>
      <c r="BC5" s="59">
        <v>74</v>
      </c>
      <c r="BD5" s="59">
        <v>75</v>
      </c>
      <c r="BE5" s="172">
        <v>70</v>
      </c>
      <c r="BF5" s="172">
        <v>71</v>
      </c>
      <c r="BG5" s="172">
        <v>72</v>
      </c>
      <c r="BH5" s="172">
        <v>75</v>
      </c>
      <c r="BI5" s="172">
        <v>71</v>
      </c>
      <c r="BJ5" s="172">
        <v>76</v>
      </c>
      <c r="BK5" s="172">
        <v>71</v>
      </c>
      <c r="BL5" s="172">
        <v>74</v>
      </c>
      <c r="BM5" s="172">
        <v>72</v>
      </c>
      <c r="BN5" s="172">
        <v>71</v>
      </c>
    </row>
    <row r="6" spans="1:66" s="180" customFormat="1" x14ac:dyDescent="0.25">
      <c r="A6" s="178" t="s">
        <v>652</v>
      </c>
      <c r="B6" s="179" t="s">
        <v>695</v>
      </c>
      <c r="C6" s="179" t="s">
        <v>696</v>
      </c>
      <c r="D6" s="179" t="s">
        <v>694</v>
      </c>
      <c r="E6" s="179" t="s">
        <v>697</v>
      </c>
      <c r="F6" s="179" t="s">
        <v>661</v>
      </c>
      <c r="G6" s="179" t="s">
        <v>662</v>
      </c>
      <c r="H6" s="102" t="s">
        <v>663</v>
      </c>
      <c r="I6" s="179" t="s">
        <v>685</v>
      </c>
      <c r="J6" s="102" t="s">
        <v>664</v>
      </c>
      <c r="K6" s="102" t="s">
        <v>665</v>
      </c>
      <c r="L6" s="102" t="s">
        <v>666</v>
      </c>
      <c r="M6" s="102" t="s">
        <v>698</v>
      </c>
      <c r="N6" s="102" t="s">
        <v>699</v>
      </c>
      <c r="O6" s="102" t="s">
        <v>700</v>
      </c>
      <c r="P6" s="102" t="s">
        <v>701</v>
      </c>
      <c r="Q6" s="102" t="s">
        <v>702</v>
      </c>
      <c r="R6" s="102" t="s">
        <v>703</v>
      </c>
      <c r="S6" s="102" t="s">
        <v>704</v>
      </c>
      <c r="T6" s="102" t="s">
        <v>705</v>
      </c>
      <c r="U6" s="102" t="s">
        <v>706</v>
      </c>
      <c r="V6" s="102" t="s">
        <v>707</v>
      </c>
      <c r="W6" s="102" t="s">
        <v>708</v>
      </c>
      <c r="X6" s="102" t="s">
        <v>709</v>
      </c>
      <c r="Y6" s="102" t="s">
        <v>710</v>
      </c>
      <c r="Z6" s="102" t="s">
        <v>711</v>
      </c>
      <c r="AA6" s="102" t="s">
        <v>712</v>
      </c>
      <c r="AB6" s="102" t="s">
        <v>713</v>
      </c>
      <c r="AC6" s="102" t="s">
        <v>714</v>
      </c>
      <c r="AD6" s="102" t="s">
        <v>715</v>
      </c>
      <c r="AE6" s="102" t="s">
        <v>716</v>
      </c>
      <c r="AF6" s="102" t="s">
        <v>717</v>
      </c>
      <c r="AG6" s="102" t="s">
        <v>718</v>
      </c>
      <c r="AH6" s="102" t="s">
        <v>719</v>
      </c>
      <c r="AI6" s="102" t="s">
        <v>720</v>
      </c>
      <c r="AJ6" s="102" t="s">
        <v>721</v>
      </c>
      <c r="AK6" s="102" t="s">
        <v>722</v>
      </c>
      <c r="AL6" s="102" t="s">
        <v>723</v>
      </c>
      <c r="AM6" s="102" t="s">
        <v>724</v>
      </c>
      <c r="AN6" s="102" t="s">
        <v>725</v>
      </c>
      <c r="AO6" s="102" t="s">
        <v>726</v>
      </c>
      <c r="AP6" s="102" t="s">
        <v>727</v>
      </c>
      <c r="AQ6" s="102" t="s">
        <v>728</v>
      </c>
      <c r="AR6" s="102" t="s">
        <v>729</v>
      </c>
      <c r="AS6" s="102" t="s">
        <v>730</v>
      </c>
      <c r="AT6" s="102" t="s">
        <v>731</v>
      </c>
      <c r="AU6" s="102" t="s">
        <v>732</v>
      </c>
      <c r="AV6" s="102" t="s">
        <v>733</v>
      </c>
      <c r="AW6" s="102" t="s">
        <v>734</v>
      </c>
      <c r="AX6" s="102" t="s">
        <v>735</v>
      </c>
      <c r="AY6" s="102" t="s">
        <v>736</v>
      </c>
      <c r="AZ6" s="102" t="s">
        <v>737</v>
      </c>
      <c r="BA6" s="105" t="s">
        <v>738</v>
      </c>
      <c r="BB6" s="105" t="s">
        <v>739</v>
      </c>
      <c r="BC6" s="105" t="s">
        <v>740</v>
      </c>
      <c r="BD6" s="105" t="s">
        <v>741</v>
      </c>
      <c r="BE6" s="102" t="s">
        <v>742</v>
      </c>
      <c r="BF6" s="102" t="s">
        <v>743</v>
      </c>
      <c r="BG6" s="102" t="s">
        <v>744</v>
      </c>
      <c r="BH6" s="102" t="s">
        <v>745</v>
      </c>
      <c r="BI6" s="102" t="s">
        <v>746</v>
      </c>
      <c r="BJ6" s="102" t="s">
        <v>747</v>
      </c>
      <c r="BK6" s="102" t="s">
        <v>748</v>
      </c>
      <c r="BL6" s="102" t="s">
        <v>749</v>
      </c>
      <c r="BM6" s="102" t="s">
        <v>750</v>
      </c>
      <c r="BN6" s="102" t="s">
        <v>751</v>
      </c>
    </row>
    <row r="7" spans="1:66" x14ac:dyDescent="0.25">
      <c r="A7" s="103" t="s">
        <v>669</v>
      </c>
      <c r="B7" s="196">
        <f>AVERAGE($B$10:$BN$10)</f>
        <v>7.7370769230769234</v>
      </c>
      <c r="C7" s="196">
        <f t="shared" ref="C7:BN7" si="3">AVERAGE($B$10:$BN$10)</f>
        <v>7.7370769230769234</v>
      </c>
      <c r="D7" s="196">
        <f t="shared" si="3"/>
        <v>7.7370769230769234</v>
      </c>
      <c r="E7" s="196">
        <f t="shared" si="3"/>
        <v>7.7370769230769234</v>
      </c>
      <c r="F7" s="196">
        <f t="shared" si="3"/>
        <v>7.7370769230769234</v>
      </c>
      <c r="G7" s="196">
        <f t="shared" si="3"/>
        <v>7.7370769230769234</v>
      </c>
      <c r="H7" s="196">
        <f t="shared" si="3"/>
        <v>7.7370769230769234</v>
      </c>
      <c r="I7" s="196">
        <f t="shared" si="3"/>
        <v>7.7370769230769234</v>
      </c>
      <c r="J7" s="196">
        <f t="shared" si="3"/>
        <v>7.7370769230769234</v>
      </c>
      <c r="K7" s="196">
        <f t="shared" si="3"/>
        <v>7.7370769230769234</v>
      </c>
      <c r="L7" s="196">
        <f t="shared" si="3"/>
        <v>7.7370769230769234</v>
      </c>
      <c r="M7" s="196">
        <f t="shared" si="3"/>
        <v>7.7370769230769234</v>
      </c>
      <c r="N7" s="196">
        <f t="shared" si="3"/>
        <v>7.7370769230769234</v>
      </c>
      <c r="O7" s="196">
        <f t="shared" si="3"/>
        <v>7.7370769230769234</v>
      </c>
      <c r="P7" s="196">
        <f t="shared" si="3"/>
        <v>7.7370769230769234</v>
      </c>
      <c r="Q7" s="196">
        <f t="shared" si="3"/>
        <v>7.7370769230769234</v>
      </c>
      <c r="R7" s="196">
        <f t="shared" si="3"/>
        <v>7.7370769230769234</v>
      </c>
      <c r="S7" s="196">
        <f t="shared" si="3"/>
        <v>7.7370769230769234</v>
      </c>
      <c r="T7" s="196">
        <f t="shared" si="3"/>
        <v>7.7370769230769234</v>
      </c>
      <c r="U7" s="196">
        <f t="shared" si="3"/>
        <v>7.7370769230769234</v>
      </c>
      <c r="V7" s="196">
        <f t="shared" si="3"/>
        <v>7.7370769230769234</v>
      </c>
      <c r="W7" s="196">
        <f t="shared" si="3"/>
        <v>7.7370769230769234</v>
      </c>
      <c r="X7" s="196">
        <f t="shared" si="3"/>
        <v>7.7370769230769234</v>
      </c>
      <c r="Y7" s="196">
        <f t="shared" si="3"/>
        <v>7.7370769230769234</v>
      </c>
      <c r="Z7" s="196">
        <f t="shared" si="3"/>
        <v>7.7370769230769234</v>
      </c>
      <c r="AA7" s="196">
        <f t="shared" si="3"/>
        <v>7.7370769230769234</v>
      </c>
      <c r="AB7" s="196">
        <f t="shared" si="3"/>
        <v>7.7370769230769234</v>
      </c>
      <c r="AC7" s="196">
        <f t="shared" si="3"/>
        <v>7.7370769230769234</v>
      </c>
      <c r="AD7" s="196">
        <f t="shared" si="3"/>
        <v>7.7370769230769234</v>
      </c>
      <c r="AE7" s="196">
        <f t="shared" si="3"/>
        <v>7.7370769230769234</v>
      </c>
      <c r="AF7" s="196">
        <f t="shared" si="3"/>
        <v>7.7370769230769234</v>
      </c>
      <c r="AG7" s="196">
        <f t="shared" si="3"/>
        <v>7.7370769230769234</v>
      </c>
      <c r="AH7" s="196">
        <f t="shared" si="3"/>
        <v>7.7370769230769234</v>
      </c>
      <c r="AI7" s="196">
        <f t="shared" si="3"/>
        <v>7.7370769230769234</v>
      </c>
      <c r="AJ7" s="196">
        <f t="shared" si="3"/>
        <v>7.7370769230769234</v>
      </c>
      <c r="AK7" s="196">
        <f t="shared" si="3"/>
        <v>7.7370769230769234</v>
      </c>
      <c r="AL7" s="196">
        <f t="shared" si="3"/>
        <v>7.7370769230769234</v>
      </c>
      <c r="AM7" s="196">
        <f t="shared" si="3"/>
        <v>7.7370769230769234</v>
      </c>
      <c r="AN7" s="196">
        <f t="shared" si="3"/>
        <v>7.7370769230769234</v>
      </c>
      <c r="AO7" s="196">
        <f t="shared" si="3"/>
        <v>7.7370769230769234</v>
      </c>
      <c r="AP7" s="196">
        <f t="shared" si="3"/>
        <v>7.7370769230769234</v>
      </c>
      <c r="AQ7" s="196">
        <f t="shared" si="3"/>
        <v>7.7370769230769234</v>
      </c>
      <c r="AR7" s="196">
        <f t="shared" si="3"/>
        <v>7.7370769230769234</v>
      </c>
      <c r="AS7" s="196">
        <f t="shared" si="3"/>
        <v>7.7370769230769234</v>
      </c>
      <c r="AT7" s="196">
        <f t="shared" si="3"/>
        <v>7.7370769230769234</v>
      </c>
      <c r="AU7" s="196">
        <f t="shared" si="3"/>
        <v>7.7370769230769234</v>
      </c>
      <c r="AV7" s="196">
        <f t="shared" si="3"/>
        <v>7.7370769230769234</v>
      </c>
      <c r="AW7" s="196">
        <f t="shared" si="3"/>
        <v>7.7370769230769234</v>
      </c>
      <c r="AX7" s="196">
        <f t="shared" si="3"/>
        <v>7.7370769230769234</v>
      </c>
      <c r="AY7" s="196">
        <f t="shared" si="3"/>
        <v>7.7370769230769234</v>
      </c>
      <c r="AZ7" s="196">
        <f t="shared" si="3"/>
        <v>7.7370769230769234</v>
      </c>
      <c r="BA7" s="196">
        <f t="shared" si="3"/>
        <v>7.7370769230769234</v>
      </c>
      <c r="BB7" s="196">
        <f t="shared" si="3"/>
        <v>7.7370769230769234</v>
      </c>
      <c r="BC7" s="196">
        <f t="shared" si="3"/>
        <v>7.7370769230769234</v>
      </c>
      <c r="BD7" s="196">
        <f t="shared" si="3"/>
        <v>7.7370769230769234</v>
      </c>
      <c r="BE7" s="196">
        <f t="shared" si="3"/>
        <v>7.7370769230769234</v>
      </c>
      <c r="BF7" s="196">
        <f t="shared" si="3"/>
        <v>7.7370769230769234</v>
      </c>
      <c r="BG7" s="196">
        <f t="shared" si="3"/>
        <v>7.7370769230769234</v>
      </c>
      <c r="BH7" s="196">
        <f t="shared" si="3"/>
        <v>7.7370769230769234</v>
      </c>
      <c r="BI7" s="196">
        <f t="shared" si="3"/>
        <v>7.7370769230769234</v>
      </c>
      <c r="BJ7" s="196">
        <f t="shared" si="3"/>
        <v>7.7370769230769234</v>
      </c>
      <c r="BK7" s="196">
        <f t="shared" si="3"/>
        <v>7.7370769230769234</v>
      </c>
      <c r="BL7" s="196">
        <f t="shared" si="3"/>
        <v>7.7370769230769234</v>
      </c>
      <c r="BM7" s="196">
        <f t="shared" si="3"/>
        <v>7.7370769230769234</v>
      </c>
      <c r="BN7" s="196">
        <f t="shared" si="3"/>
        <v>7.7370769230769234</v>
      </c>
    </row>
    <row r="8" spans="1:66" x14ac:dyDescent="0.25">
      <c r="A8" s="103" t="s">
        <v>669</v>
      </c>
      <c r="B8" s="194">
        <f>AVERAGE($B$10:$BN$10)/100*90</f>
        <v>6.9633692307692305</v>
      </c>
      <c r="C8" s="194">
        <f t="shared" ref="C8:BN8" si="4">AVERAGE($B$10:$BN$10)/100*90</f>
        <v>6.9633692307692305</v>
      </c>
      <c r="D8" s="194">
        <f t="shared" si="4"/>
        <v>6.9633692307692305</v>
      </c>
      <c r="E8" s="194">
        <f t="shared" si="4"/>
        <v>6.9633692307692305</v>
      </c>
      <c r="F8" s="194">
        <f t="shared" si="4"/>
        <v>6.9633692307692305</v>
      </c>
      <c r="G8" s="194">
        <f t="shared" si="4"/>
        <v>6.9633692307692305</v>
      </c>
      <c r="H8" s="194">
        <f t="shared" si="4"/>
        <v>6.9633692307692305</v>
      </c>
      <c r="I8" s="194">
        <f t="shared" si="4"/>
        <v>6.9633692307692305</v>
      </c>
      <c r="J8" s="194">
        <f t="shared" si="4"/>
        <v>6.9633692307692305</v>
      </c>
      <c r="K8" s="194">
        <f t="shared" si="4"/>
        <v>6.9633692307692305</v>
      </c>
      <c r="L8" s="194">
        <f t="shared" si="4"/>
        <v>6.9633692307692305</v>
      </c>
      <c r="M8" s="194">
        <f t="shared" si="4"/>
        <v>6.9633692307692305</v>
      </c>
      <c r="N8" s="194">
        <f t="shared" si="4"/>
        <v>6.9633692307692305</v>
      </c>
      <c r="O8" s="194">
        <f t="shared" si="4"/>
        <v>6.9633692307692305</v>
      </c>
      <c r="P8" s="194">
        <f t="shared" si="4"/>
        <v>6.9633692307692305</v>
      </c>
      <c r="Q8" s="194">
        <f t="shared" si="4"/>
        <v>6.9633692307692305</v>
      </c>
      <c r="R8" s="194">
        <f t="shared" si="4"/>
        <v>6.9633692307692305</v>
      </c>
      <c r="S8" s="194">
        <f t="shared" si="4"/>
        <v>6.9633692307692305</v>
      </c>
      <c r="T8" s="194">
        <f t="shared" si="4"/>
        <v>6.9633692307692305</v>
      </c>
      <c r="U8" s="194">
        <f t="shared" si="4"/>
        <v>6.9633692307692305</v>
      </c>
      <c r="V8" s="194">
        <f t="shared" si="4"/>
        <v>6.9633692307692305</v>
      </c>
      <c r="W8" s="194">
        <f t="shared" si="4"/>
        <v>6.9633692307692305</v>
      </c>
      <c r="X8" s="194">
        <f t="shared" si="4"/>
        <v>6.9633692307692305</v>
      </c>
      <c r="Y8" s="194">
        <f t="shared" si="4"/>
        <v>6.9633692307692305</v>
      </c>
      <c r="Z8" s="194">
        <f t="shared" si="4"/>
        <v>6.9633692307692305</v>
      </c>
      <c r="AA8" s="194">
        <f t="shared" si="4"/>
        <v>6.9633692307692305</v>
      </c>
      <c r="AB8" s="194">
        <f t="shared" si="4"/>
        <v>6.9633692307692305</v>
      </c>
      <c r="AC8" s="194">
        <f t="shared" si="4"/>
        <v>6.9633692307692305</v>
      </c>
      <c r="AD8" s="194">
        <f t="shared" si="4"/>
        <v>6.9633692307692305</v>
      </c>
      <c r="AE8" s="194">
        <f t="shared" si="4"/>
        <v>6.9633692307692305</v>
      </c>
      <c r="AF8" s="194">
        <f t="shared" si="4"/>
        <v>6.9633692307692305</v>
      </c>
      <c r="AG8" s="194">
        <f t="shared" si="4"/>
        <v>6.9633692307692305</v>
      </c>
      <c r="AH8" s="194">
        <f t="shared" si="4"/>
        <v>6.9633692307692305</v>
      </c>
      <c r="AI8" s="194">
        <f t="shared" si="4"/>
        <v>6.9633692307692305</v>
      </c>
      <c r="AJ8" s="194">
        <f t="shared" si="4"/>
        <v>6.9633692307692305</v>
      </c>
      <c r="AK8" s="194">
        <f t="shared" si="4"/>
        <v>6.9633692307692305</v>
      </c>
      <c r="AL8" s="194">
        <f t="shared" si="4"/>
        <v>6.9633692307692305</v>
      </c>
      <c r="AM8" s="194">
        <f t="shared" si="4"/>
        <v>6.9633692307692305</v>
      </c>
      <c r="AN8" s="194">
        <f t="shared" si="4"/>
        <v>6.9633692307692305</v>
      </c>
      <c r="AO8" s="194">
        <f t="shared" si="4"/>
        <v>6.9633692307692305</v>
      </c>
      <c r="AP8" s="194">
        <f t="shared" si="4"/>
        <v>6.9633692307692305</v>
      </c>
      <c r="AQ8" s="194">
        <f t="shared" si="4"/>
        <v>6.9633692307692305</v>
      </c>
      <c r="AR8" s="194">
        <f t="shared" si="4"/>
        <v>6.9633692307692305</v>
      </c>
      <c r="AS8" s="194">
        <f t="shared" si="4"/>
        <v>6.9633692307692305</v>
      </c>
      <c r="AT8" s="194">
        <f t="shared" si="4"/>
        <v>6.9633692307692305</v>
      </c>
      <c r="AU8" s="194">
        <f t="shared" si="4"/>
        <v>6.9633692307692305</v>
      </c>
      <c r="AV8" s="194">
        <f t="shared" si="4"/>
        <v>6.9633692307692305</v>
      </c>
      <c r="AW8" s="194">
        <f t="shared" si="4"/>
        <v>6.9633692307692305</v>
      </c>
      <c r="AX8" s="194">
        <f t="shared" si="4"/>
        <v>6.9633692307692305</v>
      </c>
      <c r="AY8" s="194">
        <f t="shared" si="4"/>
        <v>6.9633692307692305</v>
      </c>
      <c r="AZ8" s="194">
        <f t="shared" si="4"/>
        <v>6.9633692307692305</v>
      </c>
      <c r="BA8" s="194">
        <f t="shared" si="4"/>
        <v>6.9633692307692305</v>
      </c>
      <c r="BB8" s="194">
        <f t="shared" si="4"/>
        <v>6.9633692307692305</v>
      </c>
      <c r="BC8" s="194">
        <f t="shared" si="4"/>
        <v>6.9633692307692305</v>
      </c>
      <c r="BD8" s="194">
        <f t="shared" si="4"/>
        <v>6.9633692307692305</v>
      </c>
      <c r="BE8" s="194">
        <f t="shared" si="4"/>
        <v>6.9633692307692305</v>
      </c>
      <c r="BF8" s="194">
        <f t="shared" si="4"/>
        <v>6.9633692307692305</v>
      </c>
      <c r="BG8" s="194">
        <f t="shared" si="4"/>
        <v>6.9633692307692305</v>
      </c>
      <c r="BH8" s="194">
        <f t="shared" si="4"/>
        <v>6.9633692307692305</v>
      </c>
      <c r="BI8" s="194">
        <f t="shared" si="4"/>
        <v>6.9633692307692305</v>
      </c>
      <c r="BJ8" s="194">
        <f t="shared" si="4"/>
        <v>6.9633692307692305</v>
      </c>
      <c r="BK8" s="194">
        <f t="shared" si="4"/>
        <v>6.9633692307692305</v>
      </c>
      <c r="BL8" s="194">
        <f t="shared" si="4"/>
        <v>6.9633692307692305</v>
      </c>
      <c r="BM8" s="194">
        <f t="shared" si="4"/>
        <v>6.9633692307692305</v>
      </c>
      <c r="BN8" s="194">
        <f t="shared" si="4"/>
        <v>6.9633692307692305</v>
      </c>
    </row>
    <row r="9" spans="1:66" x14ac:dyDescent="0.25">
      <c r="A9" s="103" t="s">
        <v>669</v>
      </c>
      <c r="B9" s="194">
        <f>AVERAGE($B$10:$BN$10)+(AVERAGE($B$10:$BN$10)/100*10)</f>
        <v>8.5107846153846154</v>
      </c>
      <c r="C9" s="194">
        <f t="shared" ref="C9:BN9" si="5">AVERAGE($B$10:$BN$10)+(AVERAGE($B$10:$BN$10)/100*10)</f>
        <v>8.5107846153846154</v>
      </c>
      <c r="D9" s="194">
        <f t="shared" si="5"/>
        <v>8.5107846153846154</v>
      </c>
      <c r="E9" s="194">
        <f t="shared" si="5"/>
        <v>8.5107846153846154</v>
      </c>
      <c r="F9" s="194">
        <f t="shared" si="5"/>
        <v>8.5107846153846154</v>
      </c>
      <c r="G9" s="194">
        <f t="shared" si="5"/>
        <v>8.5107846153846154</v>
      </c>
      <c r="H9" s="194">
        <f t="shared" si="5"/>
        <v>8.5107846153846154</v>
      </c>
      <c r="I9" s="194">
        <f t="shared" si="5"/>
        <v>8.5107846153846154</v>
      </c>
      <c r="J9" s="194">
        <f t="shared" si="5"/>
        <v>8.5107846153846154</v>
      </c>
      <c r="K9" s="194">
        <f t="shared" si="5"/>
        <v>8.5107846153846154</v>
      </c>
      <c r="L9" s="194">
        <f t="shared" si="5"/>
        <v>8.5107846153846154</v>
      </c>
      <c r="M9" s="194">
        <f t="shared" si="5"/>
        <v>8.5107846153846154</v>
      </c>
      <c r="N9" s="194">
        <f t="shared" si="5"/>
        <v>8.5107846153846154</v>
      </c>
      <c r="O9" s="194">
        <f t="shared" si="5"/>
        <v>8.5107846153846154</v>
      </c>
      <c r="P9" s="194">
        <f t="shared" si="5"/>
        <v>8.5107846153846154</v>
      </c>
      <c r="Q9" s="194">
        <f t="shared" si="5"/>
        <v>8.5107846153846154</v>
      </c>
      <c r="R9" s="194">
        <f t="shared" si="5"/>
        <v>8.5107846153846154</v>
      </c>
      <c r="S9" s="194">
        <f t="shared" si="5"/>
        <v>8.5107846153846154</v>
      </c>
      <c r="T9" s="194">
        <f t="shared" si="5"/>
        <v>8.5107846153846154</v>
      </c>
      <c r="U9" s="194">
        <f t="shared" si="5"/>
        <v>8.5107846153846154</v>
      </c>
      <c r="V9" s="194">
        <f t="shared" si="5"/>
        <v>8.5107846153846154</v>
      </c>
      <c r="W9" s="194">
        <f t="shared" si="5"/>
        <v>8.5107846153846154</v>
      </c>
      <c r="X9" s="194">
        <f t="shared" si="5"/>
        <v>8.5107846153846154</v>
      </c>
      <c r="Y9" s="194">
        <f t="shared" si="5"/>
        <v>8.5107846153846154</v>
      </c>
      <c r="Z9" s="194">
        <f t="shared" si="5"/>
        <v>8.5107846153846154</v>
      </c>
      <c r="AA9" s="194">
        <f t="shared" si="5"/>
        <v>8.5107846153846154</v>
      </c>
      <c r="AB9" s="194">
        <f t="shared" si="5"/>
        <v>8.5107846153846154</v>
      </c>
      <c r="AC9" s="194">
        <f t="shared" si="5"/>
        <v>8.5107846153846154</v>
      </c>
      <c r="AD9" s="194">
        <f t="shared" si="5"/>
        <v>8.5107846153846154</v>
      </c>
      <c r="AE9" s="194">
        <f t="shared" si="5"/>
        <v>8.5107846153846154</v>
      </c>
      <c r="AF9" s="194">
        <f t="shared" si="5"/>
        <v>8.5107846153846154</v>
      </c>
      <c r="AG9" s="194">
        <f t="shared" si="5"/>
        <v>8.5107846153846154</v>
      </c>
      <c r="AH9" s="194">
        <f t="shared" si="5"/>
        <v>8.5107846153846154</v>
      </c>
      <c r="AI9" s="194">
        <f t="shared" si="5"/>
        <v>8.5107846153846154</v>
      </c>
      <c r="AJ9" s="194">
        <f t="shared" si="5"/>
        <v>8.5107846153846154</v>
      </c>
      <c r="AK9" s="194">
        <f t="shared" si="5"/>
        <v>8.5107846153846154</v>
      </c>
      <c r="AL9" s="194">
        <f t="shared" si="5"/>
        <v>8.5107846153846154</v>
      </c>
      <c r="AM9" s="194">
        <f t="shared" si="5"/>
        <v>8.5107846153846154</v>
      </c>
      <c r="AN9" s="194">
        <f t="shared" si="5"/>
        <v>8.5107846153846154</v>
      </c>
      <c r="AO9" s="194">
        <f t="shared" si="5"/>
        <v>8.5107846153846154</v>
      </c>
      <c r="AP9" s="194">
        <f t="shared" si="5"/>
        <v>8.5107846153846154</v>
      </c>
      <c r="AQ9" s="194">
        <f t="shared" si="5"/>
        <v>8.5107846153846154</v>
      </c>
      <c r="AR9" s="194">
        <f t="shared" si="5"/>
        <v>8.5107846153846154</v>
      </c>
      <c r="AS9" s="194">
        <f t="shared" si="5"/>
        <v>8.5107846153846154</v>
      </c>
      <c r="AT9" s="194">
        <f t="shared" si="5"/>
        <v>8.5107846153846154</v>
      </c>
      <c r="AU9" s="194">
        <f t="shared" si="5"/>
        <v>8.5107846153846154</v>
      </c>
      <c r="AV9" s="194">
        <f t="shared" si="5"/>
        <v>8.5107846153846154</v>
      </c>
      <c r="AW9" s="194">
        <f t="shared" si="5"/>
        <v>8.5107846153846154</v>
      </c>
      <c r="AX9" s="194">
        <f t="shared" si="5"/>
        <v>8.5107846153846154</v>
      </c>
      <c r="AY9" s="194">
        <f t="shared" si="5"/>
        <v>8.5107846153846154</v>
      </c>
      <c r="AZ9" s="194">
        <f t="shared" si="5"/>
        <v>8.5107846153846154</v>
      </c>
      <c r="BA9" s="194">
        <f t="shared" si="5"/>
        <v>8.5107846153846154</v>
      </c>
      <c r="BB9" s="194">
        <f t="shared" si="5"/>
        <v>8.5107846153846154</v>
      </c>
      <c r="BC9" s="194">
        <f t="shared" si="5"/>
        <v>8.5107846153846154</v>
      </c>
      <c r="BD9" s="194">
        <f t="shared" si="5"/>
        <v>8.5107846153846154</v>
      </c>
      <c r="BE9" s="194">
        <f t="shared" si="5"/>
        <v>8.5107846153846154</v>
      </c>
      <c r="BF9" s="194">
        <f t="shared" si="5"/>
        <v>8.5107846153846154</v>
      </c>
      <c r="BG9" s="194">
        <f t="shared" si="5"/>
        <v>8.5107846153846154</v>
      </c>
      <c r="BH9" s="194">
        <f t="shared" si="5"/>
        <v>8.5107846153846154</v>
      </c>
      <c r="BI9" s="194">
        <f t="shared" si="5"/>
        <v>8.5107846153846154</v>
      </c>
      <c r="BJ9" s="194">
        <f t="shared" si="5"/>
        <v>8.5107846153846154</v>
      </c>
      <c r="BK9" s="194">
        <f t="shared" si="5"/>
        <v>8.5107846153846154</v>
      </c>
      <c r="BL9" s="194">
        <f t="shared" si="5"/>
        <v>8.5107846153846154</v>
      </c>
      <c r="BM9" s="194">
        <f t="shared" si="5"/>
        <v>8.5107846153846154</v>
      </c>
      <c r="BN9" s="194">
        <f t="shared" si="5"/>
        <v>8.5107846153846154</v>
      </c>
    </row>
    <row r="10" spans="1:66" x14ac:dyDescent="0.25">
      <c r="A10" s="103" t="s">
        <v>669</v>
      </c>
      <c r="B10" s="175">
        <v>7</v>
      </c>
      <c r="C10" s="175">
        <v>7</v>
      </c>
      <c r="D10" s="176">
        <v>5</v>
      </c>
      <c r="E10" s="175">
        <v>6</v>
      </c>
      <c r="F10" s="175">
        <v>7</v>
      </c>
      <c r="G10" s="175">
        <v>6</v>
      </c>
      <c r="H10" s="175">
        <v>6</v>
      </c>
      <c r="I10" s="175">
        <v>9</v>
      </c>
      <c r="J10" s="168">
        <v>8</v>
      </c>
      <c r="K10" s="59">
        <v>5</v>
      </c>
      <c r="L10" s="168">
        <v>7</v>
      </c>
      <c r="M10" s="168">
        <v>8.43</v>
      </c>
      <c r="N10" s="168">
        <v>7.23</v>
      </c>
      <c r="O10" s="168">
        <v>7.89</v>
      </c>
      <c r="P10" s="168">
        <v>7.78</v>
      </c>
      <c r="Q10" s="168">
        <v>10.1</v>
      </c>
      <c r="R10" s="168">
        <v>7.27</v>
      </c>
      <c r="S10" s="168">
        <v>7.95</v>
      </c>
      <c r="T10" s="168">
        <v>7.65</v>
      </c>
      <c r="U10" s="168">
        <v>8.89</v>
      </c>
      <c r="V10" s="168">
        <v>7.8</v>
      </c>
      <c r="W10" s="168">
        <v>8.0500000000000007</v>
      </c>
      <c r="X10" s="168">
        <v>6.9</v>
      </c>
      <c r="Y10" s="168">
        <v>8.39</v>
      </c>
      <c r="Z10" s="168">
        <v>7.29</v>
      </c>
      <c r="AA10" s="168">
        <v>8.0299999999999994</v>
      </c>
      <c r="AB10" s="168">
        <v>8.2899999999999991</v>
      </c>
      <c r="AC10" s="177">
        <v>9</v>
      </c>
      <c r="AD10" s="173">
        <v>7.94</v>
      </c>
      <c r="AE10" s="173">
        <v>8.33</v>
      </c>
      <c r="AF10" s="173">
        <v>7.49</v>
      </c>
      <c r="AG10" s="173">
        <v>8</v>
      </c>
      <c r="AH10" s="173">
        <v>8</v>
      </c>
      <c r="AI10" s="173">
        <v>7.14</v>
      </c>
      <c r="AJ10" s="173">
        <v>8</v>
      </c>
      <c r="AK10" s="173">
        <v>8.02</v>
      </c>
      <c r="AL10" s="173">
        <v>8.43</v>
      </c>
      <c r="AM10" s="173">
        <v>7.24</v>
      </c>
      <c r="AN10" s="173">
        <v>8.7100000000000009</v>
      </c>
      <c r="AO10" s="173">
        <v>8.42</v>
      </c>
      <c r="AP10" s="173">
        <v>8.19</v>
      </c>
      <c r="AQ10" s="173">
        <v>8.4700000000000006</v>
      </c>
      <c r="AR10" s="173">
        <v>7.09</v>
      </c>
      <c r="AS10" s="173">
        <v>7.73</v>
      </c>
      <c r="AT10" s="173">
        <v>5.98</v>
      </c>
      <c r="AU10" s="173">
        <v>7</v>
      </c>
      <c r="AV10" s="173">
        <v>6.25</v>
      </c>
      <c r="AW10" s="173">
        <v>6.75</v>
      </c>
      <c r="AX10" s="173">
        <v>8.39</v>
      </c>
      <c r="AY10" s="173">
        <v>8.3000000000000007</v>
      </c>
      <c r="AZ10" s="173">
        <v>7.15</v>
      </c>
      <c r="BA10" s="59">
        <v>9</v>
      </c>
      <c r="BB10" s="59">
        <v>8</v>
      </c>
      <c r="BC10" s="59">
        <v>8</v>
      </c>
      <c r="BD10" s="59">
        <v>8</v>
      </c>
      <c r="BE10" s="172">
        <v>8.14</v>
      </c>
      <c r="BF10" s="172">
        <v>8.5</v>
      </c>
      <c r="BG10" s="172">
        <v>9.19</v>
      </c>
      <c r="BH10" s="172">
        <v>10</v>
      </c>
      <c r="BI10" s="172">
        <v>8.68</v>
      </c>
      <c r="BJ10" s="172">
        <v>8.68</v>
      </c>
      <c r="BK10" s="172">
        <v>8.5</v>
      </c>
      <c r="BL10" s="172">
        <v>6.61</v>
      </c>
      <c r="BM10" s="172">
        <v>7.56</v>
      </c>
      <c r="BN10" s="172">
        <v>7.09</v>
      </c>
    </row>
    <row r="11" spans="1:66" x14ac:dyDescent="0.25">
      <c r="A11" s="103" t="s">
        <v>669</v>
      </c>
      <c r="B11" s="194">
        <f>AVERAGE($B$10:$BN$10)/100*80</f>
        <v>6.1896615384615385</v>
      </c>
      <c r="C11" s="194">
        <f t="shared" ref="C11:BN11" si="6">AVERAGE($B$10:$BN$10)/100*80</f>
        <v>6.1896615384615385</v>
      </c>
      <c r="D11" s="194">
        <f t="shared" si="6"/>
        <v>6.1896615384615385</v>
      </c>
      <c r="E11" s="194">
        <f t="shared" si="6"/>
        <v>6.1896615384615385</v>
      </c>
      <c r="F11" s="194">
        <f t="shared" si="6"/>
        <v>6.1896615384615385</v>
      </c>
      <c r="G11" s="194">
        <f t="shared" si="6"/>
        <v>6.1896615384615385</v>
      </c>
      <c r="H11" s="194">
        <f t="shared" si="6"/>
        <v>6.1896615384615385</v>
      </c>
      <c r="I11" s="194">
        <f t="shared" si="6"/>
        <v>6.1896615384615385</v>
      </c>
      <c r="J11" s="194">
        <f t="shared" si="6"/>
        <v>6.1896615384615385</v>
      </c>
      <c r="K11" s="194">
        <f t="shared" si="6"/>
        <v>6.1896615384615385</v>
      </c>
      <c r="L11" s="194">
        <f t="shared" si="6"/>
        <v>6.1896615384615385</v>
      </c>
      <c r="M11" s="194">
        <f t="shared" si="6"/>
        <v>6.1896615384615385</v>
      </c>
      <c r="N11" s="194">
        <f t="shared" si="6"/>
        <v>6.1896615384615385</v>
      </c>
      <c r="O11" s="194">
        <f t="shared" si="6"/>
        <v>6.1896615384615385</v>
      </c>
      <c r="P11" s="194">
        <f t="shared" si="6"/>
        <v>6.1896615384615385</v>
      </c>
      <c r="Q11" s="194">
        <f t="shared" si="6"/>
        <v>6.1896615384615385</v>
      </c>
      <c r="R11" s="194">
        <f t="shared" si="6"/>
        <v>6.1896615384615385</v>
      </c>
      <c r="S11" s="194">
        <f t="shared" si="6"/>
        <v>6.1896615384615385</v>
      </c>
      <c r="T11" s="194">
        <f t="shared" si="6"/>
        <v>6.1896615384615385</v>
      </c>
      <c r="U11" s="194">
        <f t="shared" si="6"/>
        <v>6.1896615384615385</v>
      </c>
      <c r="V11" s="194">
        <f t="shared" si="6"/>
        <v>6.1896615384615385</v>
      </c>
      <c r="W11" s="194">
        <f t="shared" si="6"/>
        <v>6.1896615384615385</v>
      </c>
      <c r="X11" s="194">
        <f t="shared" si="6"/>
        <v>6.1896615384615385</v>
      </c>
      <c r="Y11" s="194">
        <f t="shared" si="6"/>
        <v>6.1896615384615385</v>
      </c>
      <c r="Z11" s="194">
        <f t="shared" si="6"/>
        <v>6.1896615384615385</v>
      </c>
      <c r="AA11" s="194">
        <f t="shared" si="6"/>
        <v>6.1896615384615385</v>
      </c>
      <c r="AB11" s="194">
        <f t="shared" si="6"/>
        <v>6.1896615384615385</v>
      </c>
      <c r="AC11" s="194">
        <f t="shared" si="6"/>
        <v>6.1896615384615385</v>
      </c>
      <c r="AD11" s="194">
        <f t="shared" si="6"/>
        <v>6.1896615384615385</v>
      </c>
      <c r="AE11" s="194">
        <f t="shared" si="6"/>
        <v>6.1896615384615385</v>
      </c>
      <c r="AF11" s="194">
        <f t="shared" si="6"/>
        <v>6.1896615384615385</v>
      </c>
      <c r="AG11" s="194">
        <f t="shared" si="6"/>
        <v>6.1896615384615385</v>
      </c>
      <c r="AH11" s="194">
        <f t="shared" si="6"/>
        <v>6.1896615384615385</v>
      </c>
      <c r="AI11" s="194">
        <f t="shared" si="6"/>
        <v>6.1896615384615385</v>
      </c>
      <c r="AJ11" s="194">
        <f t="shared" si="6"/>
        <v>6.1896615384615385</v>
      </c>
      <c r="AK11" s="194">
        <f t="shared" si="6"/>
        <v>6.1896615384615385</v>
      </c>
      <c r="AL11" s="194">
        <f t="shared" si="6"/>
        <v>6.1896615384615385</v>
      </c>
      <c r="AM11" s="194">
        <f t="shared" si="6"/>
        <v>6.1896615384615385</v>
      </c>
      <c r="AN11" s="194">
        <f t="shared" si="6"/>
        <v>6.1896615384615385</v>
      </c>
      <c r="AO11" s="194">
        <f t="shared" si="6"/>
        <v>6.1896615384615385</v>
      </c>
      <c r="AP11" s="194">
        <f t="shared" si="6"/>
        <v>6.1896615384615385</v>
      </c>
      <c r="AQ11" s="194">
        <f t="shared" si="6"/>
        <v>6.1896615384615385</v>
      </c>
      <c r="AR11" s="194">
        <f t="shared" si="6"/>
        <v>6.1896615384615385</v>
      </c>
      <c r="AS11" s="194">
        <f t="shared" si="6"/>
        <v>6.1896615384615385</v>
      </c>
      <c r="AT11" s="194">
        <f t="shared" si="6"/>
        <v>6.1896615384615385</v>
      </c>
      <c r="AU11" s="194">
        <f t="shared" si="6"/>
        <v>6.1896615384615385</v>
      </c>
      <c r="AV11" s="194">
        <f t="shared" si="6"/>
        <v>6.1896615384615385</v>
      </c>
      <c r="AW11" s="194">
        <f t="shared" si="6"/>
        <v>6.1896615384615385</v>
      </c>
      <c r="AX11" s="194">
        <f t="shared" si="6"/>
        <v>6.1896615384615385</v>
      </c>
      <c r="AY11" s="194">
        <f t="shared" si="6"/>
        <v>6.1896615384615385</v>
      </c>
      <c r="AZ11" s="194">
        <f t="shared" si="6"/>
        <v>6.1896615384615385</v>
      </c>
      <c r="BA11" s="194">
        <f t="shared" si="6"/>
        <v>6.1896615384615385</v>
      </c>
      <c r="BB11" s="194">
        <f t="shared" si="6"/>
        <v>6.1896615384615385</v>
      </c>
      <c r="BC11" s="194">
        <f t="shared" si="6"/>
        <v>6.1896615384615385</v>
      </c>
      <c r="BD11" s="194">
        <f t="shared" si="6"/>
        <v>6.1896615384615385</v>
      </c>
      <c r="BE11" s="194">
        <f t="shared" si="6"/>
        <v>6.1896615384615385</v>
      </c>
      <c r="BF11" s="194">
        <f t="shared" si="6"/>
        <v>6.1896615384615385</v>
      </c>
      <c r="BG11" s="194">
        <f t="shared" si="6"/>
        <v>6.1896615384615385</v>
      </c>
      <c r="BH11" s="194">
        <f t="shared" si="6"/>
        <v>6.1896615384615385</v>
      </c>
      <c r="BI11" s="194">
        <f t="shared" si="6"/>
        <v>6.1896615384615385</v>
      </c>
      <c r="BJ11" s="194">
        <f t="shared" si="6"/>
        <v>6.1896615384615385</v>
      </c>
      <c r="BK11" s="194">
        <f t="shared" si="6"/>
        <v>6.1896615384615385</v>
      </c>
      <c r="BL11" s="194">
        <f t="shared" si="6"/>
        <v>6.1896615384615385</v>
      </c>
      <c r="BM11" s="194">
        <f t="shared" si="6"/>
        <v>6.1896615384615385</v>
      </c>
      <c r="BN11" s="194">
        <f t="shared" si="6"/>
        <v>6.1896615384615385</v>
      </c>
    </row>
    <row r="12" spans="1:66" x14ac:dyDescent="0.25">
      <c r="A12" s="103" t="s">
        <v>669</v>
      </c>
      <c r="B12" s="194">
        <f>AVERAGE($B$10:$BN$10)+(AVERAGE($B$10:$BN$10)/100*20)</f>
        <v>9.2844923076923074</v>
      </c>
      <c r="C12" s="194">
        <f t="shared" ref="C12:BN12" si="7">AVERAGE($B$10:$BN$10)+(AVERAGE($B$10:$BN$10)/100*20)</f>
        <v>9.2844923076923074</v>
      </c>
      <c r="D12" s="194">
        <f t="shared" si="7"/>
        <v>9.2844923076923074</v>
      </c>
      <c r="E12" s="194">
        <f t="shared" si="7"/>
        <v>9.2844923076923074</v>
      </c>
      <c r="F12" s="194">
        <f t="shared" si="7"/>
        <v>9.2844923076923074</v>
      </c>
      <c r="G12" s="194">
        <f t="shared" si="7"/>
        <v>9.2844923076923074</v>
      </c>
      <c r="H12" s="194">
        <f t="shared" si="7"/>
        <v>9.2844923076923074</v>
      </c>
      <c r="I12" s="194">
        <f t="shared" si="7"/>
        <v>9.2844923076923074</v>
      </c>
      <c r="J12" s="194">
        <f t="shared" si="7"/>
        <v>9.2844923076923074</v>
      </c>
      <c r="K12" s="194">
        <f t="shared" si="7"/>
        <v>9.2844923076923074</v>
      </c>
      <c r="L12" s="194">
        <f t="shared" si="7"/>
        <v>9.2844923076923074</v>
      </c>
      <c r="M12" s="194">
        <f t="shared" si="7"/>
        <v>9.2844923076923074</v>
      </c>
      <c r="N12" s="194">
        <f t="shared" si="7"/>
        <v>9.2844923076923074</v>
      </c>
      <c r="O12" s="194">
        <f t="shared" si="7"/>
        <v>9.2844923076923074</v>
      </c>
      <c r="P12" s="194">
        <f t="shared" si="7"/>
        <v>9.2844923076923074</v>
      </c>
      <c r="Q12" s="194">
        <f t="shared" si="7"/>
        <v>9.2844923076923074</v>
      </c>
      <c r="R12" s="194">
        <f t="shared" si="7"/>
        <v>9.2844923076923074</v>
      </c>
      <c r="S12" s="194">
        <f t="shared" si="7"/>
        <v>9.2844923076923074</v>
      </c>
      <c r="T12" s="194">
        <f t="shared" si="7"/>
        <v>9.2844923076923074</v>
      </c>
      <c r="U12" s="194">
        <f t="shared" si="7"/>
        <v>9.2844923076923074</v>
      </c>
      <c r="V12" s="194">
        <f t="shared" si="7"/>
        <v>9.2844923076923074</v>
      </c>
      <c r="W12" s="194">
        <f t="shared" si="7"/>
        <v>9.2844923076923074</v>
      </c>
      <c r="X12" s="194">
        <f t="shared" si="7"/>
        <v>9.2844923076923074</v>
      </c>
      <c r="Y12" s="194">
        <f t="shared" si="7"/>
        <v>9.2844923076923074</v>
      </c>
      <c r="Z12" s="194">
        <f t="shared" si="7"/>
        <v>9.2844923076923074</v>
      </c>
      <c r="AA12" s="194">
        <f t="shared" si="7"/>
        <v>9.2844923076923074</v>
      </c>
      <c r="AB12" s="194">
        <f t="shared" si="7"/>
        <v>9.2844923076923074</v>
      </c>
      <c r="AC12" s="194">
        <f t="shared" si="7"/>
        <v>9.2844923076923074</v>
      </c>
      <c r="AD12" s="194">
        <f t="shared" si="7"/>
        <v>9.2844923076923074</v>
      </c>
      <c r="AE12" s="194">
        <f t="shared" si="7"/>
        <v>9.2844923076923074</v>
      </c>
      <c r="AF12" s="194">
        <f t="shared" si="7"/>
        <v>9.2844923076923074</v>
      </c>
      <c r="AG12" s="194">
        <f t="shared" si="7"/>
        <v>9.2844923076923074</v>
      </c>
      <c r="AH12" s="194">
        <f t="shared" si="7"/>
        <v>9.2844923076923074</v>
      </c>
      <c r="AI12" s="194">
        <f t="shared" si="7"/>
        <v>9.2844923076923074</v>
      </c>
      <c r="AJ12" s="194">
        <f t="shared" si="7"/>
        <v>9.2844923076923074</v>
      </c>
      <c r="AK12" s="194">
        <f t="shared" si="7"/>
        <v>9.2844923076923074</v>
      </c>
      <c r="AL12" s="194">
        <f t="shared" si="7"/>
        <v>9.2844923076923074</v>
      </c>
      <c r="AM12" s="194">
        <f t="shared" si="7"/>
        <v>9.2844923076923074</v>
      </c>
      <c r="AN12" s="194">
        <f t="shared" si="7"/>
        <v>9.2844923076923074</v>
      </c>
      <c r="AO12" s="194">
        <f t="shared" si="7"/>
        <v>9.2844923076923074</v>
      </c>
      <c r="AP12" s="194">
        <f t="shared" si="7"/>
        <v>9.2844923076923074</v>
      </c>
      <c r="AQ12" s="194">
        <f t="shared" si="7"/>
        <v>9.2844923076923074</v>
      </c>
      <c r="AR12" s="194">
        <f t="shared" si="7"/>
        <v>9.2844923076923074</v>
      </c>
      <c r="AS12" s="194">
        <f t="shared" si="7"/>
        <v>9.2844923076923074</v>
      </c>
      <c r="AT12" s="194">
        <f t="shared" si="7"/>
        <v>9.2844923076923074</v>
      </c>
      <c r="AU12" s="194">
        <f t="shared" si="7"/>
        <v>9.2844923076923074</v>
      </c>
      <c r="AV12" s="194">
        <f t="shared" si="7"/>
        <v>9.2844923076923074</v>
      </c>
      <c r="AW12" s="194">
        <f t="shared" si="7"/>
        <v>9.2844923076923074</v>
      </c>
      <c r="AX12" s="194">
        <f t="shared" si="7"/>
        <v>9.2844923076923074</v>
      </c>
      <c r="AY12" s="194">
        <f t="shared" si="7"/>
        <v>9.2844923076923074</v>
      </c>
      <c r="AZ12" s="194">
        <f t="shared" si="7"/>
        <v>9.2844923076923074</v>
      </c>
      <c r="BA12" s="194">
        <f t="shared" si="7"/>
        <v>9.2844923076923074</v>
      </c>
      <c r="BB12" s="194">
        <f t="shared" si="7"/>
        <v>9.2844923076923074</v>
      </c>
      <c r="BC12" s="194">
        <f t="shared" si="7"/>
        <v>9.2844923076923074</v>
      </c>
      <c r="BD12" s="194">
        <f t="shared" si="7"/>
        <v>9.2844923076923074</v>
      </c>
      <c r="BE12" s="194">
        <f t="shared" si="7"/>
        <v>9.2844923076923074</v>
      </c>
      <c r="BF12" s="194">
        <f t="shared" si="7"/>
        <v>9.2844923076923074</v>
      </c>
      <c r="BG12" s="194">
        <f t="shared" si="7"/>
        <v>9.2844923076923074</v>
      </c>
      <c r="BH12" s="194">
        <f t="shared" si="7"/>
        <v>9.2844923076923074</v>
      </c>
      <c r="BI12" s="194">
        <f t="shared" si="7"/>
        <v>9.2844923076923074</v>
      </c>
      <c r="BJ12" s="194">
        <f t="shared" si="7"/>
        <v>9.2844923076923074</v>
      </c>
      <c r="BK12" s="194">
        <f t="shared" si="7"/>
        <v>9.2844923076923074</v>
      </c>
      <c r="BL12" s="194">
        <f t="shared" si="7"/>
        <v>9.2844923076923074</v>
      </c>
      <c r="BM12" s="194">
        <f t="shared" si="7"/>
        <v>9.2844923076923074</v>
      </c>
      <c r="BN12" s="194">
        <f t="shared" si="7"/>
        <v>9.2844923076923074</v>
      </c>
    </row>
    <row r="13" spans="1:66" s="180" customFormat="1" x14ac:dyDescent="0.25">
      <c r="A13" s="178" t="s">
        <v>652</v>
      </c>
      <c r="B13" s="179" t="s">
        <v>695</v>
      </c>
      <c r="C13" s="179" t="s">
        <v>696</v>
      </c>
      <c r="D13" s="179" t="s">
        <v>694</v>
      </c>
      <c r="E13" s="179" t="s">
        <v>697</v>
      </c>
      <c r="F13" s="179" t="s">
        <v>661</v>
      </c>
      <c r="G13" s="179" t="s">
        <v>662</v>
      </c>
      <c r="H13" s="102" t="s">
        <v>663</v>
      </c>
      <c r="I13" s="179" t="s">
        <v>685</v>
      </c>
      <c r="J13" s="102" t="s">
        <v>664</v>
      </c>
      <c r="K13" s="102" t="s">
        <v>665</v>
      </c>
      <c r="L13" s="102" t="s">
        <v>666</v>
      </c>
      <c r="M13" s="102" t="s">
        <v>698</v>
      </c>
      <c r="N13" s="102" t="s">
        <v>699</v>
      </c>
      <c r="O13" s="102" t="s">
        <v>700</v>
      </c>
      <c r="P13" s="102" t="s">
        <v>701</v>
      </c>
      <c r="Q13" s="102" t="s">
        <v>702</v>
      </c>
      <c r="R13" s="102" t="s">
        <v>703</v>
      </c>
      <c r="S13" s="102" t="s">
        <v>704</v>
      </c>
      <c r="T13" s="102" t="s">
        <v>705</v>
      </c>
      <c r="U13" s="102" t="s">
        <v>706</v>
      </c>
      <c r="V13" s="102" t="s">
        <v>707</v>
      </c>
      <c r="W13" s="102" t="s">
        <v>708</v>
      </c>
      <c r="X13" s="102" t="s">
        <v>709</v>
      </c>
      <c r="Y13" s="102" t="s">
        <v>710</v>
      </c>
      <c r="Z13" s="102" t="s">
        <v>711</v>
      </c>
      <c r="AA13" s="102" t="s">
        <v>712</v>
      </c>
      <c r="AB13" s="102" t="s">
        <v>713</v>
      </c>
      <c r="AC13" s="102" t="s">
        <v>714</v>
      </c>
      <c r="AD13" s="102" t="s">
        <v>715</v>
      </c>
      <c r="AE13" s="102" t="s">
        <v>716</v>
      </c>
      <c r="AF13" s="102" t="s">
        <v>717</v>
      </c>
      <c r="AG13" s="102" t="s">
        <v>718</v>
      </c>
      <c r="AH13" s="102" t="s">
        <v>719</v>
      </c>
      <c r="AI13" s="102" t="s">
        <v>720</v>
      </c>
      <c r="AJ13" s="102" t="s">
        <v>721</v>
      </c>
      <c r="AK13" s="102" t="s">
        <v>722</v>
      </c>
      <c r="AL13" s="102" t="s">
        <v>723</v>
      </c>
      <c r="AM13" s="102" t="s">
        <v>724</v>
      </c>
      <c r="AN13" s="102" t="s">
        <v>725</v>
      </c>
      <c r="AO13" s="102" t="s">
        <v>726</v>
      </c>
      <c r="AP13" s="102" t="s">
        <v>727</v>
      </c>
      <c r="AQ13" s="102" t="s">
        <v>728</v>
      </c>
      <c r="AR13" s="102" t="s">
        <v>729</v>
      </c>
      <c r="AS13" s="102" t="s">
        <v>730</v>
      </c>
      <c r="AT13" s="102" t="s">
        <v>731</v>
      </c>
      <c r="AU13" s="102" t="s">
        <v>732</v>
      </c>
      <c r="AV13" s="102" t="s">
        <v>733</v>
      </c>
      <c r="AW13" s="102" t="s">
        <v>734</v>
      </c>
      <c r="AX13" s="102" t="s">
        <v>735</v>
      </c>
      <c r="AY13" s="102" t="s">
        <v>736</v>
      </c>
      <c r="AZ13" s="102" t="s">
        <v>737</v>
      </c>
      <c r="BA13" s="105" t="s">
        <v>738</v>
      </c>
      <c r="BB13" s="105" t="s">
        <v>739</v>
      </c>
      <c r="BC13" s="105" t="s">
        <v>740</v>
      </c>
      <c r="BD13" s="105" t="s">
        <v>741</v>
      </c>
      <c r="BE13" s="102" t="s">
        <v>742</v>
      </c>
      <c r="BF13" s="102" t="s">
        <v>743</v>
      </c>
      <c r="BG13" s="102" t="s">
        <v>744</v>
      </c>
      <c r="BH13" s="102" t="s">
        <v>745</v>
      </c>
      <c r="BI13" s="102" t="s">
        <v>746</v>
      </c>
      <c r="BJ13" s="102" t="s">
        <v>747</v>
      </c>
      <c r="BK13" s="102" t="s">
        <v>748</v>
      </c>
      <c r="BL13" s="102" t="s">
        <v>749</v>
      </c>
      <c r="BM13" s="102" t="s">
        <v>750</v>
      </c>
      <c r="BN13" s="102" t="s">
        <v>751</v>
      </c>
    </row>
    <row r="14" spans="1:66" x14ac:dyDescent="0.25">
      <c r="A14" s="103" t="s">
        <v>670</v>
      </c>
      <c r="B14" s="100">
        <v>401</v>
      </c>
      <c r="C14" s="100">
        <v>298</v>
      </c>
      <c r="D14" s="100">
        <v>175</v>
      </c>
      <c r="E14" s="100">
        <v>334</v>
      </c>
      <c r="F14" s="100">
        <v>392</v>
      </c>
      <c r="G14" s="100">
        <v>386</v>
      </c>
      <c r="H14" s="100">
        <v>349</v>
      </c>
      <c r="I14" s="100">
        <v>411</v>
      </c>
      <c r="J14" s="169">
        <v>420</v>
      </c>
      <c r="K14" s="169">
        <v>282</v>
      </c>
      <c r="L14" s="169">
        <v>433</v>
      </c>
      <c r="M14" s="168">
        <v>400.7</v>
      </c>
      <c r="N14" s="168">
        <v>361.8</v>
      </c>
      <c r="O14" s="168">
        <v>401.2</v>
      </c>
      <c r="P14" s="168">
        <v>395</v>
      </c>
      <c r="Q14" s="168">
        <v>446.7</v>
      </c>
      <c r="R14" s="168">
        <v>375.2</v>
      </c>
      <c r="S14" s="168">
        <v>427</v>
      </c>
      <c r="T14" s="168">
        <v>364.2</v>
      </c>
      <c r="U14" s="168">
        <v>399.6</v>
      </c>
      <c r="V14" s="168">
        <v>397.9</v>
      </c>
      <c r="W14" s="168">
        <v>395.1</v>
      </c>
      <c r="X14" s="168">
        <v>375.5</v>
      </c>
      <c r="Y14" s="168">
        <v>460.2</v>
      </c>
      <c r="Z14" s="168">
        <v>405.5</v>
      </c>
      <c r="AA14" s="168">
        <v>446.2</v>
      </c>
      <c r="AB14" s="168">
        <v>461.2</v>
      </c>
      <c r="AC14" s="174">
        <v>436</v>
      </c>
      <c r="AD14" s="173">
        <v>405.5</v>
      </c>
      <c r="AE14" s="173">
        <v>430.4</v>
      </c>
      <c r="AF14" s="173">
        <v>401.8</v>
      </c>
      <c r="AG14" s="173">
        <v>416</v>
      </c>
      <c r="AH14" s="173">
        <v>435</v>
      </c>
      <c r="AI14" s="173">
        <v>396.5</v>
      </c>
      <c r="AJ14" s="173">
        <v>450</v>
      </c>
      <c r="AK14" s="173">
        <v>414.2</v>
      </c>
      <c r="AL14" s="173">
        <v>435.3</v>
      </c>
      <c r="AM14" s="173">
        <v>438.3</v>
      </c>
      <c r="AN14" s="173">
        <v>460.7</v>
      </c>
      <c r="AO14" s="173">
        <v>452.8</v>
      </c>
      <c r="AP14" s="173">
        <v>451</v>
      </c>
      <c r="AQ14" s="173">
        <v>503.3</v>
      </c>
      <c r="AR14" s="173">
        <v>386.1</v>
      </c>
      <c r="AS14" s="173">
        <v>405.7</v>
      </c>
      <c r="AT14" s="173">
        <v>407.9</v>
      </c>
      <c r="AU14" s="173">
        <v>388</v>
      </c>
      <c r="AV14" s="173">
        <v>345</v>
      </c>
      <c r="AW14" s="173">
        <v>422.3</v>
      </c>
      <c r="AX14" s="173">
        <v>417.5</v>
      </c>
      <c r="AY14" s="173">
        <v>415.5</v>
      </c>
      <c r="AZ14" s="173">
        <v>386.3</v>
      </c>
      <c r="BA14" s="59">
        <v>434</v>
      </c>
      <c r="BB14" s="59">
        <v>424</v>
      </c>
      <c r="BC14" s="59">
        <v>420</v>
      </c>
      <c r="BD14" s="59">
        <v>438</v>
      </c>
      <c r="BE14" s="172">
        <v>419.3</v>
      </c>
      <c r="BF14" s="172">
        <v>438.6</v>
      </c>
      <c r="BG14" s="172">
        <v>457.1</v>
      </c>
      <c r="BH14" s="172">
        <v>475</v>
      </c>
      <c r="BI14" s="172">
        <v>440.2</v>
      </c>
      <c r="BJ14" s="172">
        <v>433.1</v>
      </c>
      <c r="BK14" s="172">
        <v>438.6</v>
      </c>
      <c r="BL14" s="172">
        <v>418.1</v>
      </c>
      <c r="BM14" s="172">
        <v>394.9</v>
      </c>
      <c r="BN14" s="172">
        <v>370.9</v>
      </c>
    </row>
    <row r="15" spans="1:66" x14ac:dyDescent="0.25">
      <c r="A15" s="116" t="s">
        <v>670</v>
      </c>
      <c r="B15" s="196">
        <f>AVERAGE($B$14:$BN$14)</f>
        <v>407.64461538461529</v>
      </c>
      <c r="C15" s="196">
        <f t="shared" ref="C15:BN15" si="8">AVERAGE($B$14:$BN$14)</f>
        <v>407.64461538461529</v>
      </c>
      <c r="D15" s="196">
        <f t="shared" si="8"/>
        <v>407.64461538461529</v>
      </c>
      <c r="E15" s="196">
        <f t="shared" si="8"/>
        <v>407.64461538461529</v>
      </c>
      <c r="F15" s="196">
        <f t="shared" si="8"/>
        <v>407.64461538461529</v>
      </c>
      <c r="G15" s="196">
        <f t="shared" si="8"/>
        <v>407.64461538461529</v>
      </c>
      <c r="H15" s="196">
        <f t="shared" si="8"/>
        <v>407.64461538461529</v>
      </c>
      <c r="I15" s="196">
        <f t="shared" si="8"/>
        <v>407.64461538461529</v>
      </c>
      <c r="J15" s="196">
        <f t="shared" si="8"/>
        <v>407.64461538461529</v>
      </c>
      <c r="K15" s="196">
        <f t="shared" si="8"/>
        <v>407.64461538461529</v>
      </c>
      <c r="L15" s="196">
        <f t="shared" si="8"/>
        <v>407.64461538461529</v>
      </c>
      <c r="M15" s="196">
        <f t="shared" si="8"/>
        <v>407.64461538461529</v>
      </c>
      <c r="N15" s="196">
        <f t="shared" si="8"/>
        <v>407.64461538461529</v>
      </c>
      <c r="O15" s="196">
        <f t="shared" si="8"/>
        <v>407.64461538461529</v>
      </c>
      <c r="P15" s="196">
        <f t="shared" si="8"/>
        <v>407.64461538461529</v>
      </c>
      <c r="Q15" s="196">
        <f t="shared" si="8"/>
        <v>407.64461538461529</v>
      </c>
      <c r="R15" s="196">
        <f t="shared" si="8"/>
        <v>407.64461538461529</v>
      </c>
      <c r="S15" s="196">
        <f t="shared" si="8"/>
        <v>407.64461538461529</v>
      </c>
      <c r="T15" s="196">
        <f t="shared" si="8"/>
        <v>407.64461538461529</v>
      </c>
      <c r="U15" s="196">
        <f t="shared" si="8"/>
        <v>407.64461538461529</v>
      </c>
      <c r="V15" s="196">
        <f t="shared" si="8"/>
        <v>407.64461538461529</v>
      </c>
      <c r="W15" s="196">
        <f t="shared" si="8"/>
        <v>407.64461538461529</v>
      </c>
      <c r="X15" s="196">
        <f t="shared" si="8"/>
        <v>407.64461538461529</v>
      </c>
      <c r="Y15" s="196">
        <f t="shared" si="8"/>
        <v>407.64461538461529</v>
      </c>
      <c r="Z15" s="196">
        <f t="shared" si="8"/>
        <v>407.64461538461529</v>
      </c>
      <c r="AA15" s="196">
        <f t="shared" si="8"/>
        <v>407.64461538461529</v>
      </c>
      <c r="AB15" s="196">
        <f t="shared" si="8"/>
        <v>407.64461538461529</v>
      </c>
      <c r="AC15" s="196">
        <f t="shared" si="8"/>
        <v>407.64461538461529</v>
      </c>
      <c r="AD15" s="196">
        <f t="shared" si="8"/>
        <v>407.64461538461529</v>
      </c>
      <c r="AE15" s="196">
        <f t="shared" si="8"/>
        <v>407.64461538461529</v>
      </c>
      <c r="AF15" s="196">
        <f t="shared" si="8"/>
        <v>407.64461538461529</v>
      </c>
      <c r="AG15" s="196">
        <f t="shared" si="8"/>
        <v>407.64461538461529</v>
      </c>
      <c r="AH15" s="196">
        <f t="shared" si="8"/>
        <v>407.64461538461529</v>
      </c>
      <c r="AI15" s="196">
        <f t="shared" si="8"/>
        <v>407.64461538461529</v>
      </c>
      <c r="AJ15" s="196">
        <f t="shared" si="8"/>
        <v>407.64461538461529</v>
      </c>
      <c r="AK15" s="196">
        <f t="shared" si="8"/>
        <v>407.64461538461529</v>
      </c>
      <c r="AL15" s="196">
        <f t="shared" si="8"/>
        <v>407.64461538461529</v>
      </c>
      <c r="AM15" s="196">
        <f t="shared" si="8"/>
        <v>407.64461538461529</v>
      </c>
      <c r="AN15" s="196">
        <f t="shared" si="8"/>
        <v>407.64461538461529</v>
      </c>
      <c r="AO15" s="196">
        <f t="shared" si="8"/>
        <v>407.64461538461529</v>
      </c>
      <c r="AP15" s="196">
        <f t="shared" si="8"/>
        <v>407.64461538461529</v>
      </c>
      <c r="AQ15" s="196">
        <f t="shared" si="8"/>
        <v>407.64461538461529</v>
      </c>
      <c r="AR15" s="196">
        <f t="shared" si="8"/>
        <v>407.64461538461529</v>
      </c>
      <c r="AS15" s="196">
        <f t="shared" si="8"/>
        <v>407.64461538461529</v>
      </c>
      <c r="AT15" s="196">
        <f t="shared" si="8"/>
        <v>407.64461538461529</v>
      </c>
      <c r="AU15" s="196">
        <f t="shared" si="8"/>
        <v>407.64461538461529</v>
      </c>
      <c r="AV15" s="196">
        <f t="shared" si="8"/>
        <v>407.64461538461529</v>
      </c>
      <c r="AW15" s="196">
        <f t="shared" si="8"/>
        <v>407.64461538461529</v>
      </c>
      <c r="AX15" s="196">
        <f t="shared" si="8"/>
        <v>407.64461538461529</v>
      </c>
      <c r="AY15" s="196">
        <f t="shared" si="8"/>
        <v>407.64461538461529</v>
      </c>
      <c r="AZ15" s="196">
        <f t="shared" si="8"/>
        <v>407.64461538461529</v>
      </c>
      <c r="BA15" s="196">
        <f t="shared" si="8"/>
        <v>407.64461538461529</v>
      </c>
      <c r="BB15" s="196">
        <f t="shared" si="8"/>
        <v>407.64461538461529</v>
      </c>
      <c r="BC15" s="196">
        <f t="shared" si="8"/>
        <v>407.64461538461529</v>
      </c>
      <c r="BD15" s="196">
        <f t="shared" si="8"/>
        <v>407.64461538461529</v>
      </c>
      <c r="BE15" s="196">
        <f t="shared" si="8"/>
        <v>407.64461538461529</v>
      </c>
      <c r="BF15" s="196">
        <f t="shared" si="8"/>
        <v>407.64461538461529</v>
      </c>
      <c r="BG15" s="196">
        <f t="shared" si="8"/>
        <v>407.64461538461529</v>
      </c>
      <c r="BH15" s="196">
        <f t="shared" si="8"/>
        <v>407.64461538461529</v>
      </c>
      <c r="BI15" s="196">
        <f t="shared" si="8"/>
        <v>407.64461538461529</v>
      </c>
      <c r="BJ15" s="196">
        <f t="shared" si="8"/>
        <v>407.64461538461529</v>
      </c>
      <c r="BK15" s="196">
        <f t="shared" si="8"/>
        <v>407.64461538461529</v>
      </c>
      <c r="BL15" s="196">
        <f t="shared" si="8"/>
        <v>407.64461538461529</v>
      </c>
      <c r="BM15" s="196">
        <f t="shared" si="8"/>
        <v>407.64461538461529</v>
      </c>
      <c r="BN15" s="196">
        <f t="shared" si="8"/>
        <v>407.64461538461529</v>
      </c>
    </row>
    <row r="16" spans="1:66" x14ac:dyDescent="0.25">
      <c r="A16" s="116" t="s">
        <v>670</v>
      </c>
      <c r="B16" s="196">
        <f>AVERAGE($B$14:$BN$14)/100*90</f>
        <v>366.88015384615375</v>
      </c>
      <c r="C16" s="196">
        <f t="shared" ref="C16:BN16" si="9">AVERAGE($B$14:$BN$14)/100*90</f>
        <v>366.88015384615375</v>
      </c>
      <c r="D16" s="196">
        <f t="shared" si="9"/>
        <v>366.88015384615375</v>
      </c>
      <c r="E16" s="196">
        <f t="shared" si="9"/>
        <v>366.88015384615375</v>
      </c>
      <c r="F16" s="196">
        <f t="shared" si="9"/>
        <v>366.88015384615375</v>
      </c>
      <c r="G16" s="196">
        <f t="shared" si="9"/>
        <v>366.88015384615375</v>
      </c>
      <c r="H16" s="196">
        <f t="shared" si="9"/>
        <v>366.88015384615375</v>
      </c>
      <c r="I16" s="196">
        <f t="shared" si="9"/>
        <v>366.88015384615375</v>
      </c>
      <c r="J16" s="196">
        <f t="shared" si="9"/>
        <v>366.88015384615375</v>
      </c>
      <c r="K16" s="196">
        <f t="shared" si="9"/>
        <v>366.88015384615375</v>
      </c>
      <c r="L16" s="196">
        <f t="shared" si="9"/>
        <v>366.88015384615375</v>
      </c>
      <c r="M16" s="196">
        <f t="shared" si="9"/>
        <v>366.88015384615375</v>
      </c>
      <c r="N16" s="196">
        <f t="shared" si="9"/>
        <v>366.88015384615375</v>
      </c>
      <c r="O16" s="196">
        <f t="shared" si="9"/>
        <v>366.88015384615375</v>
      </c>
      <c r="P16" s="196">
        <f t="shared" si="9"/>
        <v>366.88015384615375</v>
      </c>
      <c r="Q16" s="196">
        <f t="shared" si="9"/>
        <v>366.88015384615375</v>
      </c>
      <c r="R16" s="196">
        <f t="shared" si="9"/>
        <v>366.88015384615375</v>
      </c>
      <c r="S16" s="196">
        <f t="shared" si="9"/>
        <v>366.88015384615375</v>
      </c>
      <c r="T16" s="196">
        <f t="shared" si="9"/>
        <v>366.88015384615375</v>
      </c>
      <c r="U16" s="196">
        <f t="shared" si="9"/>
        <v>366.88015384615375</v>
      </c>
      <c r="V16" s="196">
        <f t="shared" si="9"/>
        <v>366.88015384615375</v>
      </c>
      <c r="W16" s="196">
        <f t="shared" si="9"/>
        <v>366.88015384615375</v>
      </c>
      <c r="X16" s="196">
        <f t="shared" si="9"/>
        <v>366.88015384615375</v>
      </c>
      <c r="Y16" s="196">
        <f t="shared" si="9"/>
        <v>366.88015384615375</v>
      </c>
      <c r="Z16" s="196">
        <f t="shared" si="9"/>
        <v>366.88015384615375</v>
      </c>
      <c r="AA16" s="196">
        <f t="shared" si="9"/>
        <v>366.88015384615375</v>
      </c>
      <c r="AB16" s="196">
        <f t="shared" si="9"/>
        <v>366.88015384615375</v>
      </c>
      <c r="AC16" s="196">
        <f t="shared" si="9"/>
        <v>366.88015384615375</v>
      </c>
      <c r="AD16" s="196">
        <f t="shared" si="9"/>
        <v>366.88015384615375</v>
      </c>
      <c r="AE16" s="196">
        <f t="shared" si="9"/>
        <v>366.88015384615375</v>
      </c>
      <c r="AF16" s="196">
        <f t="shared" si="9"/>
        <v>366.88015384615375</v>
      </c>
      <c r="AG16" s="196">
        <f t="shared" si="9"/>
        <v>366.88015384615375</v>
      </c>
      <c r="AH16" s="196">
        <f t="shared" si="9"/>
        <v>366.88015384615375</v>
      </c>
      <c r="AI16" s="196">
        <f t="shared" si="9"/>
        <v>366.88015384615375</v>
      </c>
      <c r="AJ16" s="196">
        <f t="shared" si="9"/>
        <v>366.88015384615375</v>
      </c>
      <c r="AK16" s="196">
        <f t="shared" si="9"/>
        <v>366.88015384615375</v>
      </c>
      <c r="AL16" s="196">
        <f t="shared" si="9"/>
        <v>366.88015384615375</v>
      </c>
      <c r="AM16" s="196">
        <f t="shared" si="9"/>
        <v>366.88015384615375</v>
      </c>
      <c r="AN16" s="196">
        <f t="shared" si="9"/>
        <v>366.88015384615375</v>
      </c>
      <c r="AO16" s="196">
        <f t="shared" si="9"/>
        <v>366.88015384615375</v>
      </c>
      <c r="AP16" s="196">
        <f t="shared" si="9"/>
        <v>366.88015384615375</v>
      </c>
      <c r="AQ16" s="196">
        <f t="shared" si="9"/>
        <v>366.88015384615375</v>
      </c>
      <c r="AR16" s="196">
        <f t="shared" si="9"/>
        <v>366.88015384615375</v>
      </c>
      <c r="AS16" s="196">
        <f t="shared" si="9"/>
        <v>366.88015384615375</v>
      </c>
      <c r="AT16" s="196">
        <f t="shared" si="9"/>
        <v>366.88015384615375</v>
      </c>
      <c r="AU16" s="196">
        <f t="shared" si="9"/>
        <v>366.88015384615375</v>
      </c>
      <c r="AV16" s="196">
        <f t="shared" si="9"/>
        <v>366.88015384615375</v>
      </c>
      <c r="AW16" s="196">
        <f t="shared" si="9"/>
        <v>366.88015384615375</v>
      </c>
      <c r="AX16" s="196">
        <f t="shared" si="9"/>
        <v>366.88015384615375</v>
      </c>
      <c r="AY16" s="196">
        <f t="shared" si="9"/>
        <v>366.88015384615375</v>
      </c>
      <c r="AZ16" s="196">
        <f t="shared" si="9"/>
        <v>366.88015384615375</v>
      </c>
      <c r="BA16" s="196">
        <f t="shared" si="9"/>
        <v>366.88015384615375</v>
      </c>
      <c r="BB16" s="196">
        <f t="shared" si="9"/>
        <v>366.88015384615375</v>
      </c>
      <c r="BC16" s="196">
        <f t="shared" si="9"/>
        <v>366.88015384615375</v>
      </c>
      <c r="BD16" s="196">
        <f t="shared" si="9"/>
        <v>366.88015384615375</v>
      </c>
      <c r="BE16" s="196">
        <f t="shared" si="9"/>
        <v>366.88015384615375</v>
      </c>
      <c r="BF16" s="196">
        <f t="shared" si="9"/>
        <v>366.88015384615375</v>
      </c>
      <c r="BG16" s="196">
        <f t="shared" si="9"/>
        <v>366.88015384615375</v>
      </c>
      <c r="BH16" s="196">
        <f t="shared" si="9"/>
        <v>366.88015384615375</v>
      </c>
      <c r="BI16" s="196">
        <f t="shared" si="9"/>
        <v>366.88015384615375</v>
      </c>
      <c r="BJ16" s="196">
        <f t="shared" si="9"/>
        <v>366.88015384615375</v>
      </c>
      <c r="BK16" s="196">
        <f t="shared" si="9"/>
        <v>366.88015384615375</v>
      </c>
      <c r="BL16" s="196">
        <f t="shared" si="9"/>
        <v>366.88015384615375</v>
      </c>
      <c r="BM16" s="196">
        <f t="shared" si="9"/>
        <v>366.88015384615375</v>
      </c>
      <c r="BN16" s="196">
        <f t="shared" si="9"/>
        <v>366.88015384615375</v>
      </c>
    </row>
    <row r="17" spans="1:66" x14ac:dyDescent="0.25">
      <c r="A17" s="116" t="s">
        <v>670</v>
      </c>
      <c r="B17" s="196">
        <f>AVERAGE($B$14:$BN$14)/100*80</f>
        <v>326.1156923076922</v>
      </c>
      <c r="C17" s="196">
        <f t="shared" ref="C17:BN17" si="10">AVERAGE($B$14:$BN$14)/100*80</f>
        <v>326.1156923076922</v>
      </c>
      <c r="D17" s="196">
        <f t="shared" si="10"/>
        <v>326.1156923076922</v>
      </c>
      <c r="E17" s="196">
        <f t="shared" si="10"/>
        <v>326.1156923076922</v>
      </c>
      <c r="F17" s="196">
        <f t="shared" si="10"/>
        <v>326.1156923076922</v>
      </c>
      <c r="G17" s="196">
        <f t="shared" si="10"/>
        <v>326.1156923076922</v>
      </c>
      <c r="H17" s="196">
        <f t="shared" si="10"/>
        <v>326.1156923076922</v>
      </c>
      <c r="I17" s="196">
        <f t="shared" si="10"/>
        <v>326.1156923076922</v>
      </c>
      <c r="J17" s="196">
        <f t="shared" si="10"/>
        <v>326.1156923076922</v>
      </c>
      <c r="K17" s="196">
        <f t="shared" si="10"/>
        <v>326.1156923076922</v>
      </c>
      <c r="L17" s="196">
        <f t="shared" si="10"/>
        <v>326.1156923076922</v>
      </c>
      <c r="M17" s="196">
        <f t="shared" si="10"/>
        <v>326.1156923076922</v>
      </c>
      <c r="N17" s="196">
        <f t="shared" si="10"/>
        <v>326.1156923076922</v>
      </c>
      <c r="O17" s="196">
        <f t="shared" si="10"/>
        <v>326.1156923076922</v>
      </c>
      <c r="P17" s="196">
        <f t="shared" si="10"/>
        <v>326.1156923076922</v>
      </c>
      <c r="Q17" s="196">
        <f t="shared" si="10"/>
        <v>326.1156923076922</v>
      </c>
      <c r="R17" s="196">
        <f t="shared" si="10"/>
        <v>326.1156923076922</v>
      </c>
      <c r="S17" s="196">
        <f t="shared" si="10"/>
        <v>326.1156923076922</v>
      </c>
      <c r="T17" s="196">
        <f t="shared" si="10"/>
        <v>326.1156923076922</v>
      </c>
      <c r="U17" s="196">
        <f t="shared" si="10"/>
        <v>326.1156923076922</v>
      </c>
      <c r="V17" s="196">
        <f t="shared" si="10"/>
        <v>326.1156923076922</v>
      </c>
      <c r="W17" s="196">
        <f t="shared" si="10"/>
        <v>326.1156923076922</v>
      </c>
      <c r="X17" s="196">
        <f t="shared" si="10"/>
        <v>326.1156923076922</v>
      </c>
      <c r="Y17" s="196">
        <f t="shared" si="10"/>
        <v>326.1156923076922</v>
      </c>
      <c r="Z17" s="196">
        <f t="shared" si="10"/>
        <v>326.1156923076922</v>
      </c>
      <c r="AA17" s="196">
        <f t="shared" si="10"/>
        <v>326.1156923076922</v>
      </c>
      <c r="AB17" s="196">
        <f t="shared" si="10"/>
        <v>326.1156923076922</v>
      </c>
      <c r="AC17" s="196">
        <f t="shared" si="10"/>
        <v>326.1156923076922</v>
      </c>
      <c r="AD17" s="196">
        <f t="shared" si="10"/>
        <v>326.1156923076922</v>
      </c>
      <c r="AE17" s="196">
        <f t="shared" si="10"/>
        <v>326.1156923076922</v>
      </c>
      <c r="AF17" s="196">
        <f t="shared" si="10"/>
        <v>326.1156923076922</v>
      </c>
      <c r="AG17" s="196">
        <f t="shared" si="10"/>
        <v>326.1156923076922</v>
      </c>
      <c r="AH17" s="196">
        <f t="shared" si="10"/>
        <v>326.1156923076922</v>
      </c>
      <c r="AI17" s="196">
        <f t="shared" si="10"/>
        <v>326.1156923076922</v>
      </c>
      <c r="AJ17" s="196">
        <f t="shared" si="10"/>
        <v>326.1156923076922</v>
      </c>
      <c r="AK17" s="196">
        <f t="shared" si="10"/>
        <v>326.1156923076922</v>
      </c>
      <c r="AL17" s="196">
        <f t="shared" si="10"/>
        <v>326.1156923076922</v>
      </c>
      <c r="AM17" s="196">
        <f t="shared" si="10"/>
        <v>326.1156923076922</v>
      </c>
      <c r="AN17" s="196">
        <f t="shared" si="10"/>
        <v>326.1156923076922</v>
      </c>
      <c r="AO17" s="196">
        <f t="shared" si="10"/>
        <v>326.1156923076922</v>
      </c>
      <c r="AP17" s="196">
        <f t="shared" si="10"/>
        <v>326.1156923076922</v>
      </c>
      <c r="AQ17" s="196">
        <f t="shared" si="10"/>
        <v>326.1156923076922</v>
      </c>
      <c r="AR17" s="196">
        <f t="shared" si="10"/>
        <v>326.1156923076922</v>
      </c>
      <c r="AS17" s="196">
        <f t="shared" si="10"/>
        <v>326.1156923076922</v>
      </c>
      <c r="AT17" s="196">
        <f t="shared" si="10"/>
        <v>326.1156923076922</v>
      </c>
      <c r="AU17" s="196">
        <f t="shared" si="10"/>
        <v>326.1156923076922</v>
      </c>
      <c r="AV17" s="196">
        <f t="shared" si="10"/>
        <v>326.1156923076922</v>
      </c>
      <c r="AW17" s="196">
        <f t="shared" si="10"/>
        <v>326.1156923076922</v>
      </c>
      <c r="AX17" s="196">
        <f t="shared" si="10"/>
        <v>326.1156923076922</v>
      </c>
      <c r="AY17" s="196">
        <f t="shared" si="10"/>
        <v>326.1156923076922</v>
      </c>
      <c r="AZ17" s="196">
        <f t="shared" si="10"/>
        <v>326.1156923076922</v>
      </c>
      <c r="BA17" s="196">
        <f t="shared" si="10"/>
        <v>326.1156923076922</v>
      </c>
      <c r="BB17" s="196">
        <f t="shared" si="10"/>
        <v>326.1156923076922</v>
      </c>
      <c r="BC17" s="196">
        <f t="shared" si="10"/>
        <v>326.1156923076922</v>
      </c>
      <c r="BD17" s="196">
        <f t="shared" si="10"/>
        <v>326.1156923076922</v>
      </c>
      <c r="BE17" s="196">
        <f t="shared" si="10"/>
        <v>326.1156923076922</v>
      </c>
      <c r="BF17" s="196">
        <f t="shared" si="10"/>
        <v>326.1156923076922</v>
      </c>
      <c r="BG17" s="196">
        <f t="shared" si="10"/>
        <v>326.1156923076922</v>
      </c>
      <c r="BH17" s="196">
        <f t="shared" si="10"/>
        <v>326.1156923076922</v>
      </c>
      <c r="BI17" s="196">
        <f t="shared" si="10"/>
        <v>326.1156923076922</v>
      </c>
      <c r="BJ17" s="196">
        <f t="shared" si="10"/>
        <v>326.1156923076922</v>
      </c>
      <c r="BK17" s="196">
        <f t="shared" si="10"/>
        <v>326.1156923076922</v>
      </c>
      <c r="BL17" s="196">
        <f t="shared" si="10"/>
        <v>326.1156923076922</v>
      </c>
      <c r="BM17" s="196">
        <f t="shared" si="10"/>
        <v>326.1156923076922</v>
      </c>
      <c r="BN17" s="196">
        <f t="shared" si="10"/>
        <v>326.1156923076922</v>
      </c>
    </row>
    <row r="18" spans="1:66" x14ac:dyDescent="0.25">
      <c r="A18" s="116" t="s">
        <v>670</v>
      </c>
      <c r="B18" s="196">
        <f>AVERAGE($B$14:$BN$14)/100*110</f>
        <v>448.40907692307678</v>
      </c>
      <c r="C18" s="196">
        <f t="shared" ref="C18:BN18" si="11">AVERAGE($B$14:$BN$14)/100*110</f>
        <v>448.40907692307678</v>
      </c>
      <c r="D18" s="196">
        <f t="shared" si="11"/>
        <v>448.40907692307678</v>
      </c>
      <c r="E18" s="196">
        <f t="shared" si="11"/>
        <v>448.40907692307678</v>
      </c>
      <c r="F18" s="196">
        <f t="shared" si="11"/>
        <v>448.40907692307678</v>
      </c>
      <c r="G18" s="196">
        <f t="shared" si="11"/>
        <v>448.40907692307678</v>
      </c>
      <c r="H18" s="196">
        <f t="shared" si="11"/>
        <v>448.40907692307678</v>
      </c>
      <c r="I18" s="196">
        <f t="shared" si="11"/>
        <v>448.40907692307678</v>
      </c>
      <c r="J18" s="196">
        <f t="shared" si="11"/>
        <v>448.40907692307678</v>
      </c>
      <c r="K18" s="196">
        <f t="shared" si="11"/>
        <v>448.40907692307678</v>
      </c>
      <c r="L18" s="196">
        <f t="shared" si="11"/>
        <v>448.40907692307678</v>
      </c>
      <c r="M18" s="196">
        <f t="shared" si="11"/>
        <v>448.40907692307678</v>
      </c>
      <c r="N18" s="196">
        <f t="shared" si="11"/>
        <v>448.40907692307678</v>
      </c>
      <c r="O18" s="196">
        <f t="shared" si="11"/>
        <v>448.40907692307678</v>
      </c>
      <c r="P18" s="196">
        <f t="shared" si="11"/>
        <v>448.40907692307678</v>
      </c>
      <c r="Q18" s="196">
        <f t="shared" si="11"/>
        <v>448.40907692307678</v>
      </c>
      <c r="R18" s="196">
        <f t="shared" si="11"/>
        <v>448.40907692307678</v>
      </c>
      <c r="S18" s="196">
        <f t="shared" si="11"/>
        <v>448.40907692307678</v>
      </c>
      <c r="T18" s="196">
        <f t="shared" si="11"/>
        <v>448.40907692307678</v>
      </c>
      <c r="U18" s="196">
        <f t="shared" si="11"/>
        <v>448.40907692307678</v>
      </c>
      <c r="V18" s="196">
        <f t="shared" si="11"/>
        <v>448.40907692307678</v>
      </c>
      <c r="W18" s="196">
        <f t="shared" si="11"/>
        <v>448.40907692307678</v>
      </c>
      <c r="X18" s="196">
        <f t="shared" si="11"/>
        <v>448.40907692307678</v>
      </c>
      <c r="Y18" s="196">
        <f t="shared" si="11"/>
        <v>448.40907692307678</v>
      </c>
      <c r="Z18" s="196">
        <f t="shared" si="11"/>
        <v>448.40907692307678</v>
      </c>
      <c r="AA18" s="196">
        <f t="shared" si="11"/>
        <v>448.40907692307678</v>
      </c>
      <c r="AB18" s="196">
        <f t="shared" si="11"/>
        <v>448.40907692307678</v>
      </c>
      <c r="AC18" s="196">
        <f t="shared" si="11"/>
        <v>448.40907692307678</v>
      </c>
      <c r="AD18" s="196">
        <f t="shared" si="11"/>
        <v>448.40907692307678</v>
      </c>
      <c r="AE18" s="196">
        <f t="shared" si="11"/>
        <v>448.40907692307678</v>
      </c>
      <c r="AF18" s="196">
        <f t="shared" si="11"/>
        <v>448.40907692307678</v>
      </c>
      <c r="AG18" s="196">
        <f t="shared" si="11"/>
        <v>448.40907692307678</v>
      </c>
      <c r="AH18" s="196">
        <f t="shared" si="11"/>
        <v>448.40907692307678</v>
      </c>
      <c r="AI18" s="196">
        <f t="shared" si="11"/>
        <v>448.40907692307678</v>
      </c>
      <c r="AJ18" s="196">
        <f t="shared" si="11"/>
        <v>448.40907692307678</v>
      </c>
      <c r="AK18" s="196">
        <f t="shared" si="11"/>
        <v>448.40907692307678</v>
      </c>
      <c r="AL18" s="196">
        <f t="shared" si="11"/>
        <v>448.40907692307678</v>
      </c>
      <c r="AM18" s="196">
        <f t="shared" si="11"/>
        <v>448.40907692307678</v>
      </c>
      <c r="AN18" s="196">
        <f t="shared" si="11"/>
        <v>448.40907692307678</v>
      </c>
      <c r="AO18" s="196">
        <f t="shared" si="11"/>
        <v>448.40907692307678</v>
      </c>
      <c r="AP18" s="196">
        <f t="shared" si="11"/>
        <v>448.40907692307678</v>
      </c>
      <c r="AQ18" s="196">
        <f t="shared" si="11"/>
        <v>448.40907692307678</v>
      </c>
      <c r="AR18" s="196">
        <f t="shared" si="11"/>
        <v>448.40907692307678</v>
      </c>
      <c r="AS18" s="196">
        <f t="shared" si="11"/>
        <v>448.40907692307678</v>
      </c>
      <c r="AT18" s="196">
        <f t="shared" si="11"/>
        <v>448.40907692307678</v>
      </c>
      <c r="AU18" s="196">
        <f t="shared" si="11"/>
        <v>448.40907692307678</v>
      </c>
      <c r="AV18" s="196">
        <f t="shared" si="11"/>
        <v>448.40907692307678</v>
      </c>
      <c r="AW18" s="196">
        <f t="shared" si="11"/>
        <v>448.40907692307678</v>
      </c>
      <c r="AX18" s="196">
        <f t="shared" si="11"/>
        <v>448.40907692307678</v>
      </c>
      <c r="AY18" s="196">
        <f t="shared" si="11"/>
        <v>448.40907692307678</v>
      </c>
      <c r="AZ18" s="196">
        <f t="shared" si="11"/>
        <v>448.40907692307678</v>
      </c>
      <c r="BA18" s="196">
        <f t="shared" si="11"/>
        <v>448.40907692307678</v>
      </c>
      <c r="BB18" s="196">
        <f t="shared" si="11"/>
        <v>448.40907692307678</v>
      </c>
      <c r="BC18" s="196">
        <f t="shared" si="11"/>
        <v>448.40907692307678</v>
      </c>
      <c r="BD18" s="196">
        <f t="shared" si="11"/>
        <v>448.40907692307678</v>
      </c>
      <c r="BE18" s="196">
        <f t="shared" si="11"/>
        <v>448.40907692307678</v>
      </c>
      <c r="BF18" s="196">
        <f t="shared" si="11"/>
        <v>448.40907692307678</v>
      </c>
      <c r="BG18" s="196">
        <f t="shared" si="11"/>
        <v>448.40907692307678</v>
      </c>
      <c r="BH18" s="196">
        <f t="shared" si="11"/>
        <v>448.40907692307678</v>
      </c>
      <c r="BI18" s="196">
        <f t="shared" si="11"/>
        <v>448.40907692307678</v>
      </c>
      <c r="BJ18" s="196">
        <f t="shared" si="11"/>
        <v>448.40907692307678</v>
      </c>
      <c r="BK18" s="196">
        <f t="shared" si="11"/>
        <v>448.40907692307678</v>
      </c>
      <c r="BL18" s="196">
        <f t="shared" si="11"/>
        <v>448.40907692307678</v>
      </c>
      <c r="BM18" s="196">
        <f t="shared" si="11"/>
        <v>448.40907692307678</v>
      </c>
      <c r="BN18" s="196">
        <f t="shared" si="11"/>
        <v>448.40907692307678</v>
      </c>
    </row>
    <row r="19" spans="1:66" x14ac:dyDescent="0.25">
      <c r="A19" s="116" t="s">
        <v>670</v>
      </c>
      <c r="B19" s="196">
        <f>AVERAGE($B$14:$BN$14)/100*120</f>
        <v>489.17353846153833</v>
      </c>
      <c r="C19" s="196">
        <f t="shared" ref="C19:BN19" si="12">AVERAGE($B$14:$BN$14)/100*120</f>
        <v>489.17353846153833</v>
      </c>
      <c r="D19" s="196">
        <f t="shared" si="12"/>
        <v>489.17353846153833</v>
      </c>
      <c r="E19" s="196">
        <f t="shared" si="12"/>
        <v>489.17353846153833</v>
      </c>
      <c r="F19" s="196">
        <f t="shared" si="12"/>
        <v>489.17353846153833</v>
      </c>
      <c r="G19" s="196">
        <f t="shared" si="12"/>
        <v>489.17353846153833</v>
      </c>
      <c r="H19" s="196">
        <f t="shared" si="12"/>
        <v>489.17353846153833</v>
      </c>
      <c r="I19" s="196">
        <f t="shared" si="12"/>
        <v>489.17353846153833</v>
      </c>
      <c r="J19" s="196">
        <f t="shared" si="12"/>
        <v>489.17353846153833</v>
      </c>
      <c r="K19" s="196">
        <f t="shared" si="12"/>
        <v>489.17353846153833</v>
      </c>
      <c r="L19" s="196">
        <f t="shared" si="12"/>
        <v>489.17353846153833</v>
      </c>
      <c r="M19" s="196">
        <f t="shared" si="12"/>
        <v>489.17353846153833</v>
      </c>
      <c r="N19" s="196">
        <f t="shared" si="12"/>
        <v>489.17353846153833</v>
      </c>
      <c r="O19" s="196">
        <f t="shared" si="12"/>
        <v>489.17353846153833</v>
      </c>
      <c r="P19" s="196">
        <f t="shared" si="12"/>
        <v>489.17353846153833</v>
      </c>
      <c r="Q19" s="196">
        <f t="shared" si="12"/>
        <v>489.17353846153833</v>
      </c>
      <c r="R19" s="196">
        <f t="shared" si="12"/>
        <v>489.17353846153833</v>
      </c>
      <c r="S19" s="196">
        <f t="shared" si="12"/>
        <v>489.17353846153833</v>
      </c>
      <c r="T19" s="196">
        <f t="shared" si="12"/>
        <v>489.17353846153833</v>
      </c>
      <c r="U19" s="196">
        <f t="shared" si="12"/>
        <v>489.17353846153833</v>
      </c>
      <c r="V19" s="196">
        <f t="shared" si="12"/>
        <v>489.17353846153833</v>
      </c>
      <c r="W19" s="196">
        <f t="shared" si="12"/>
        <v>489.17353846153833</v>
      </c>
      <c r="X19" s="196">
        <f t="shared" si="12"/>
        <v>489.17353846153833</v>
      </c>
      <c r="Y19" s="196">
        <f t="shared" si="12"/>
        <v>489.17353846153833</v>
      </c>
      <c r="Z19" s="196">
        <f t="shared" si="12"/>
        <v>489.17353846153833</v>
      </c>
      <c r="AA19" s="196">
        <f t="shared" si="12"/>
        <v>489.17353846153833</v>
      </c>
      <c r="AB19" s="196">
        <f t="shared" si="12"/>
        <v>489.17353846153833</v>
      </c>
      <c r="AC19" s="196">
        <f t="shared" si="12"/>
        <v>489.17353846153833</v>
      </c>
      <c r="AD19" s="196">
        <f t="shared" si="12"/>
        <v>489.17353846153833</v>
      </c>
      <c r="AE19" s="196">
        <f t="shared" si="12"/>
        <v>489.17353846153833</v>
      </c>
      <c r="AF19" s="196">
        <f t="shared" si="12"/>
        <v>489.17353846153833</v>
      </c>
      <c r="AG19" s="196">
        <f t="shared" si="12"/>
        <v>489.17353846153833</v>
      </c>
      <c r="AH19" s="196">
        <f t="shared" si="12"/>
        <v>489.17353846153833</v>
      </c>
      <c r="AI19" s="196">
        <f t="shared" si="12"/>
        <v>489.17353846153833</v>
      </c>
      <c r="AJ19" s="196">
        <f t="shared" si="12"/>
        <v>489.17353846153833</v>
      </c>
      <c r="AK19" s="196">
        <f t="shared" si="12"/>
        <v>489.17353846153833</v>
      </c>
      <c r="AL19" s="196">
        <f t="shared" si="12"/>
        <v>489.17353846153833</v>
      </c>
      <c r="AM19" s="196">
        <f t="shared" si="12"/>
        <v>489.17353846153833</v>
      </c>
      <c r="AN19" s="196">
        <f t="shared" si="12"/>
        <v>489.17353846153833</v>
      </c>
      <c r="AO19" s="196">
        <f t="shared" si="12"/>
        <v>489.17353846153833</v>
      </c>
      <c r="AP19" s="196">
        <f t="shared" si="12"/>
        <v>489.17353846153833</v>
      </c>
      <c r="AQ19" s="196">
        <f t="shared" si="12"/>
        <v>489.17353846153833</v>
      </c>
      <c r="AR19" s="196">
        <f t="shared" si="12"/>
        <v>489.17353846153833</v>
      </c>
      <c r="AS19" s="196">
        <f t="shared" si="12"/>
        <v>489.17353846153833</v>
      </c>
      <c r="AT19" s="196">
        <f t="shared" si="12"/>
        <v>489.17353846153833</v>
      </c>
      <c r="AU19" s="196">
        <f t="shared" si="12"/>
        <v>489.17353846153833</v>
      </c>
      <c r="AV19" s="196">
        <f t="shared" si="12"/>
        <v>489.17353846153833</v>
      </c>
      <c r="AW19" s="196">
        <f t="shared" si="12"/>
        <v>489.17353846153833</v>
      </c>
      <c r="AX19" s="196">
        <f t="shared" si="12"/>
        <v>489.17353846153833</v>
      </c>
      <c r="AY19" s="196">
        <f t="shared" si="12"/>
        <v>489.17353846153833</v>
      </c>
      <c r="AZ19" s="196">
        <f t="shared" si="12"/>
        <v>489.17353846153833</v>
      </c>
      <c r="BA19" s="196">
        <f t="shared" si="12"/>
        <v>489.17353846153833</v>
      </c>
      <c r="BB19" s="196">
        <f t="shared" si="12"/>
        <v>489.17353846153833</v>
      </c>
      <c r="BC19" s="196">
        <f t="shared" si="12"/>
        <v>489.17353846153833</v>
      </c>
      <c r="BD19" s="196">
        <f t="shared" si="12"/>
        <v>489.17353846153833</v>
      </c>
      <c r="BE19" s="196">
        <f t="shared" si="12"/>
        <v>489.17353846153833</v>
      </c>
      <c r="BF19" s="196">
        <f t="shared" si="12"/>
        <v>489.17353846153833</v>
      </c>
      <c r="BG19" s="196">
        <f t="shared" si="12"/>
        <v>489.17353846153833</v>
      </c>
      <c r="BH19" s="196">
        <f t="shared" si="12"/>
        <v>489.17353846153833</v>
      </c>
      <c r="BI19" s="196">
        <f t="shared" si="12"/>
        <v>489.17353846153833</v>
      </c>
      <c r="BJ19" s="196">
        <f t="shared" si="12"/>
        <v>489.17353846153833</v>
      </c>
      <c r="BK19" s="196">
        <f t="shared" si="12"/>
        <v>489.17353846153833</v>
      </c>
      <c r="BL19" s="196">
        <f t="shared" si="12"/>
        <v>489.17353846153833</v>
      </c>
      <c r="BM19" s="196">
        <f t="shared" si="12"/>
        <v>489.17353846153833</v>
      </c>
      <c r="BN19" s="196">
        <f t="shared" si="12"/>
        <v>489.17353846153833</v>
      </c>
    </row>
    <row r="20" spans="1:66" s="180" customFormat="1" x14ac:dyDescent="0.25">
      <c r="A20" s="178" t="s">
        <v>652</v>
      </c>
      <c r="B20" s="179" t="s">
        <v>695</v>
      </c>
      <c r="C20" s="179" t="s">
        <v>696</v>
      </c>
      <c r="D20" s="179" t="s">
        <v>694</v>
      </c>
      <c r="E20" s="179" t="s">
        <v>697</v>
      </c>
      <c r="F20" s="179" t="s">
        <v>661</v>
      </c>
      <c r="G20" s="179" t="s">
        <v>662</v>
      </c>
      <c r="H20" s="102" t="s">
        <v>663</v>
      </c>
      <c r="I20" s="179" t="s">
        <v>685</v>
      </c>
      <c r="J20" s="102" t="s">
        <v>664</v>
      </c>
      <c r="K20" s="102" t="s">
        <v>665</v>
      </c>
      <c r="L20" s="102" t="s">
        <v>666</v>
      </c>
      <c r="M20" s="102" t="s">
        <v>698</v>
      </c>
      <c r="N20" s="102" t="s">
        <v>699</v>
      </c>
      <c r="O20" s="102" t="s">
        <v>700</v>
      </c>
      <c r="P20" s="102" t="s">
        <v>701</v>
      </c>
      <c r="Q20" s="102" t="s">
        <v>702</v>
      </c>
      <c r="R20" s="102" t="s">
        <v>703</v>
      </c>
      <c r="S20" s="102" t="s">
        <v>704</v>
      </c>
      <c r="T20" s="102" t="s">
        <v>705</v>
      </c>
      <c r="U20" s="102" t="s">
        <v>706</v>
      </c>
      <c r="V20" s="102" t="s">
        <v>707</v>
      </c>
      <c r="W20" s="102" t="s">
        <v>708</v>
      </c>
      <c r="X20" s="102" t="s">
        <v>709</v>
      </c>
      <c r="Y20" s="102" t="s">
        <v>710</v>
      </c>
      <c r="Z20" s="102" t="s">
        <v>711</v>
      </c>
      <c r="AA20" s="102" t="s">
        <v>712</v>
      </c>
      <c r="AB20" s="102" t="s">
        <v>713</v>
      </c>
      <c r="AC20" s="102" t="s">
        <v>714</v>
      </c>
      <c r="AD20" s="102" t="s">
        <v>715</v>
      </c>
      <c r="AE20" s="102" t="s">
        <v>716</v>
      </c>
      <c r="AF20" s="102" t="s">
        <v>717</v>
      </c>
      <c r="AG20" s="102" t="s">
        <v>718</v>
      </c>
      <c r="AH20" s="102" t="s">
        <v>719</v>
      </c>
      <c r="AI20" s="102" t="s">
        <v>720</v>
      </c>
      <c r="AJ20" s="102" t="s">
        <v>721</v>
      </c>
      <c r="AK20" s="102" t="s">
        <v>722</v>
      </c>
      <c r="AL20" s="102" t="s">
        <v>723</v>
      </c>
      <c r="AM20" s="102" t="s">
        <v>724</v>
      </c>
      <c r="AN20" s="102" t="s">
        <v>725</v>
      </c>
      <c r="AO20" s="102" t="s">
        <v>726</v>
      </c>
      <c r="AP20" s="102" t="s">
        <v>727</v>
      </c>
      <c r="AQ20" s="102" t="s">
        <v>728</v>
      </c>
      <c r="AR20" s="102" t="s">
        <v>729</v>
      </c>
      <c r="AS20" s="102" t="s">
        <v>730</v>
      </c>
      <c r="AT20" s="102" t="s">
        <v>731</v>
      </c>
      <c r="AU20" s="102" t="s">
        <v>732</v>
      </c>
      <c r="AV20" s="102" t="s">
        <v>733</v>
      </c>
      <c r="AW20" s="102" t="s">
        <v>734</v>
      </c>
      <c r="AX20" s="102" t="s">
        <v>735</v>
      </c>
      <c r="AY20" s="102" t="s">
        <v>736</v>
      </c>
      <c r="AZ20" s="102" t="s">
        <v>737</v>
      </c>
      <c r="BA20" s="105" t="s">
        <v>738</v>
      </c>
      <c r="BB20" s="105" t="s">
        <v>739</v>
      </c>
      <c r="BC20" s="105" t="s">
        <v>740</v>
      </c>
      <c r="BD20" s="105" t="s">
        <v>741</v>
      </c>
      <c r="BE20" s="102" t="s">
        <v>742</v>
      </c>
      <c r="BF20" s="102" t="s">
        <v>743</v>
      </c>
      <c r="BG20" s="102" t="s">
        <v>744</v>
      </c>
      <c r="BH20" s="102" t="s">
        <v>745</v>
      </c>
      <c r="BI20" s="102" t="s">
        <v>746</v>
      </c>
      <c r="BJ20" s="102" t="s">
        <v>747</v>
      </c>
      <c r="BK20" s="102" t="s">
        <v>748</v>
      </c>
      <c r="BL20" s="102" t="s">
        <v>749</v>
      </c>
      <c r="BM20" s="102" t="s">
        <v>750</v>
      </c>
      <c r="BN20" s="102" t="s">
        <v>751</v>
      </c>
    </row>
    <row r="21" spans="1:66" x14ac:dyDescent="0.25">
      <c r="A21" s="103" t="s">
        <v>671</v>
      </c>
      <c r="B21" s="196">
        <f>AVERAGE($B$24:$BN$24)</f>
        <v>26.320000000000004</v>
      </c>
      <c r="C21" s="196">
        <f t="shared" ref="C21:BN21" si="13">AVERAGE($B$24:$BN$24)</f>
        <v>26.320000000000004</v>
      </c>
      <c r="D21" s="196">
        <f t="shared" si="13"/>
        <v>26.320000000000004</v>
      </c>
      <c r="E21" s="196">
        <f t="shared" si="13"/>
        <v>26.320000000000004</v>
      </c>
      <c r="F21" s="196">
        <f t="shared" si="13"/>
        <v>26.320000000000004</v>
      </c>
      <c r="G21" s="196">
        <f t="shared" si="13"/>
        <v>26.320000000000004</v>
      </c>
      <c r="H21" s="196">
        <f t="shared" si="13"/>
        <v>26.320000000000004</v>
      </c>
      <c r="I21" s="196">
        <f t="shared" si="13"/>
        <v>26.320000000000004</v>
      </c>
      <c r="J21" s="196">
        <f t="shared" si="13"/>
        <v>26.320000000000004</v>
      </c>
      <c r="K21" s="196">
        <f t="shared" si="13"/>
        <v>26.320000000000004</v>
      </c>
      <c r="L21" s="196">
        <f t="shared" si="13"/>
        <v>26.320000000000004</v>
      </c>
      <c r="M21" s="196">
        <f t="shared" si="13"/>
        <v>26.320000000000004</v>
      </c>
      <c r="N21" s="196">
        <f t="shared" si="13"/>
        <v>26.320000000000004</v>
      </c>
      <c r="O21" s="196">
        <f t="shared" si="13"/>
        <v>26.320000000000004</v>
      </c>
      <c r="P21" s="196">
        <f t="shared" si="13"/>
        <v>26.320000000000004</v>
      </c>
      <c r="Q21" s="196">
        <f t="shared" si="13"/>
        <v>26.320000000000004</v>
      </c>
      <c r="R21" s="196">
        <f t="shared" si="13"/>
        <v>26.320000000000004</v>
      </c>
      <c r="S21" s="196">
        <f t="shared" si="13"/>
        <v>26.320000000000004</v>
      </c>
      <c r="T21" s="196">
        <f t="shared" si="13"/>
        <v>26.320000000000004</v>
      </c>
      <c r="U21" s="196">
        <f t="shared" si="13"/>
        <v>26.320000000000004</v>
      </c>
      <c r="V21" s="196">
        <f t="shared" si="13"/>
        <v>26.320000000000004</v>
      </c>
      <c r="W21" s="196">
        <f t="shared" si="13"/>
        <v>26.320000000000004</v>
      </c>
      <c r="X21" s="196">
        <f t="shared" si="13"/>
        <v>26.320000000000004</v>
      </c>
      <c r="Y21" s="196">
        <f t="shared" si="13"/>
        <v>26.320000000000004</v>
      </c>
      <c r="Z21" s="196">
        <f t="shared" si="13"/>
        <v>26.320000000000004</v>
      </c>
      <c r="AA21" s="196">
        <f t="shared" si="13"/>
        <v>26.320000000000004</v>
      </c>
      <c r="AB21" s="196">
        <f t="shared" si="13"/>
        <v>26.320000000000004</v>
      </c>
      <c r="AC21" s="196">
        <f t="shared" si="13"/>
        <v>26.320000000000004</v>
      </c>
      <c r="AD21" s="196">
        <f t="shared" si="13"/>
        <v>26.320000000000004</v>
      </c>
      <c r="AE21" s="196">
        <f t="shared" si="13"/>
        <v>26.320000000000004</v>
      </c>
      <c r="AF21" s="196">
        <f t="shared" si="13"/>
        <v>26.320000000000004</v>
      </c>
      <c r="AG21" s="196">
        <f t="shared" si="13"/>
        <v>26.320000000000004</v>
      </c>
      <c r="AH21" s="196">
        <f t="shared" si="13"/>
        <v>26.320000000000004</v>
      </c>
      <c r="AI21" s="196">
        <f t="shared" si="13"/>
        <v>26.320000000000004</v>
      </c>
      <c r="AJ21" s="196">
        <f t="shared" si="13"/>
        <v>26.320000000000004</v>
      </c>
      <c r="AK21" s="196">
        <f t="shared" si="13"/>
        <v>26.320000000000004</v>
      </c>
      <c r="AL21" s="196">
        <f t="shared" si="13"/>
        <v>26.320000000000004</v>
      </c>
      <c r="AM21" s="196">
        <f t="shared" si="13"/>
        <v>26.320000000000004</v>
      </c>
      <c r="AN21" s="196">
        <f t="shared" si="13"/>
        <v>26.320000000000004</v>
      </c>
      <c r="AO21" s="196">
        <f t="shared" si="13"/>
        <v>26.320000000000004</v>
      </c>
      <c r="AP21" s="196">
        <f t="shared" si="13"/>
        <v>26.320000000000004</v>
      </c>
      <c r="AQ21" s="196">
        <f t="shared" si="13"/>
        <v>26.320000000000004</v>
      </c>
      <c r="AR21" s="196">
        <f t="shared" si="13"/>
        <v>26.320000000000004</v>
      </c>
      <c r="AS21" s="196">
        <f t="shared" si="13"/>
        <v>26.320000000000004</v>
      </c>
      <c r="AT21" s="196">
        <f t="shared" si="13"/>
        <v>26.320000000000004</v>
      </c>
      <c r="AU21" s="196">
        <f t="shared" si="13"/>
        <v>26.320000000000004</v>
      </c>
      <c r="AV21" s="196">
        <f t="shared" si="13"/>
        <v>26.320000000000004</v>
      </c>
      <c r="AW21" s="196">
        <f t="shared" si="13"/>
        <v>26.320000000000004</v>
      </c>
      <c r="AX21" s="196">
        <f t="shared" si="13"/>
        <v>26.320000000000004</v>
      </c>
      <c r="AY21" s="196">
        <f t="shared" si="13"/>
        <v>26.320000000000004</v>
      </c>
      <c r="AZ21" s="196">
        <f t="shared" si="13"/>
        <v>26.320000000000004</v>
      </c>
      <c r="BA21" s="196">
        <f t="shared" si="13"/>
        <v>26.320000000000004</v>
      </c>
      <c r="BB21" s="196">
        <f t="shared" si="13"/>
        <v>26.320000000000004</v>
      </c>
      <c r="BC21" s="196">
        <f t="shared" si="13"/>
        <v>26.320000000000004</v>
      </c>
      <c r="BD21" s="196">
        <f t="shared" si="13"/>
        <v>26.320000000000004</v>
      </c>
      <c r="BE21" s="196">
        <f t="shared" si="13"/>
        <v>26.320000000000004</v>
      </c>
      <c r="BF21" s="196">
        <f t="shared" si="13"/>
        <v>26.320000000000004</v>
      </c>
      <c r="BG21" s="196">
        <f t="shared" si="13"/>
        <v>26.320000000000004</v>
      </c>
      <c r="BH21" s="196">
        <f t="shared" si="13"/>
        <v>26.320000000000004</v>
      </c>
      <c r="BI21" s="196">
        <f t="shared" si="13"/>
        <v>26.320000000000004</v>
      </c>
      <c r="BJ21" s="196">
        <f t="shared" si="13"/>
        <v>26.320000000000004</v>
      </c>
      <c r="BK21" s="196">
        <f t="shared" si="13"/>
        <v>26.320000000000004</v>
      </c>
      <c r="BL21" s="196">
        <f t="shared" si="13"/>
        <v>26.320000000000004</v>
      </c>
      <c r="BM21" s="196">
        <f t="shared" si="13"/>
        <v>26.320000000000004</v>
      </c>
      <c r="BN21" s="196">
        <f t="shared" si="13"/>
        <v>26.320000000000004</v>
      </c>
    </row>
    <row r="22" spans="1:66" x14ac:dyDescent="0.25">
      <c r="A22" s="103" t="s">
        <v>671</v>
      </c>
      <c r="B22" s="194">
        <f>AVERAGE($B$24:$BN$24)/100*90</f>
        <v>23.688000000000002</v>
      </c>
      <c r="C22" s="194">
        <f t="shared" ref="C22:BN22" si="14">AVERAGE($B$24:$BN$24)/100*90</f>
        <v>23.688000000000002</v>
      </c>
      <c r="D22" s="194">
        <f t="shared" si="14"/>
        <v>23.688000000000002</v>
      </c>
      <c r="E22" s="194">
        <f t="shared" si="14"/>
        <v>23.688000000000002</v>
      </c>
      <c r="F22" s="194">
        <f t="shared" si="14"/>
        <v>23.688000000000002</v>
      </c>
      <c r="G22" s="194">
        <f t="shared" si="14"/>
        <v>23.688000000000002</v>
      </c>
      <c r="H22" s="194">
        <f t="shared" si="14"/>
        <v>23.688000000000002</v>
      </c>
      <c r="I22" s="194">
        <f t="shared" si="14"/>
        <v>23.688000000000002</v>
      </c>
      <c r="J22" s="194">
        <f t="shared" si="14"/>
        <v>23.688000000000002</v>
      </c>
      <c r="K22" s="194">
        <f t="shared" si="14"/>
        <v>23.688000000000002</v>
      </c>
      <c r="L22" s="194">
        <f t="shared" si="14"/>
        <v>23.688000000000002</v>
      </c>
      <c r="M22" s="194">
        <f t="shared" si="14"/>
        <v>23.688000000000002</v>
      </c>
      <c r="N22" s="194">
        <f t="shared" si="14"/>
        <v>23.688000000000002</v>
      </c>
      <c r="O22" s="194">
        <f t="shared" si="14"/>
        <v>23.688000000000002</v>
      </c>
      <c r="P22" s="194">
        <f t="shared" si="14"/>
        <v>23.688000000000002</v>
      </c>
      <c r="Q22" s="194">
        <f t="shared" si="14"/>
        <v>23.688000000000002</v>
      </c>
      <c r="R22" s="194">
        <f t="shared" si="14"/>
        <v>23.688000000000002</v>
      </c>
      <c r="S22" s="194">
        <f t="shared" si="14"/>
        <v>23.688000000000002</v>
      </c>
      <c r="T22" s="194">
        <f t="shared" si="14"/>
        <v>23.688000000000002</v>
      </c>
      <c r="U22" s="194">
        <f t="shared" si="14"/>
        <v>23.688000000000002</v>
      </c>
      <c r="V22" s="194">
        <f t="shared" si="14"/>
        <v>23.688000000000002</v>
      </c>
      <c r="W22" s="194">
        <f t="shared" si="14"/>
        <v>23.688000000000002</v>
      </c>
      <c r="X22" s="194">
        <f t="shared" si="14"/>
        <v>23.688000000000002</v>
      </c>
      <c r="Y22" s="194">
        <f t="shared" si="14"/>
        <v>23.688000000000002</v>
      </c>
      <c r="Z22" s="194">
        <f t="shared" si="14"/>
        <v>23.688000000000002</v>
      </c>
      <c r="AA22" s="194">
        <f t="shared" si="14"/>
        <v>23.688000000000002</v>
      </c>
      <c r="AB22" s="194">
        <f t="shared" si="14"/>
        <v>23.688000000000002</v>
      </c>
      <c r="AC22" s="194">
        <f t="shared" si="14"/>
        <v>23.688000000000002</v>
      </c>
      <c r="AD22" s="194">
        <f t="shared" si="14"/>
        <v>23.688000000000002</v>
      </c>
      <c r="AE22" s="194">
        <f t="shared" si="14"/>
        <v>23.688000000000002</v>
      </c>
      <c r="AF22" s="194">
        <f t="shared" si="14"/>
        <v>23.688000000000002</v>
      </c>
      <c r="AG22" s="194">
        <f t="shared" si="14"/>
        <v>23.688000000000002</v>
      </c>
      <c r="AH22" s="194">
        <f t="shared" si="14"/>
        <v>23.688000000000002</v>
      </c>
      <c r="AI22" s="194">
        <f t="shared" si="14"/>
        <v>23.688000000000002</v>
      </c>
      <c r="AJ22" s="194">
        <f t="shared" si="14"/>
        <v>23.688000000000002</v>
      </c>
      <c r="AK22" s="194">
        <f t="shared" si="14"/>
        <v>23.688000000000002</v>
      </c>
      <c r="AL22" s="194">
        <f t="shared" si="14"/>
        <v>23.688000000000002</v>
      </c>
      <c r="AM22" s="194">
        <f t="shared" si="14"/>
        <v>23.688000000000002</v>
      </c>
      <c r="AN22" s="194">
        <f t="shared" si="14"/>
        <v>23.688000000000002</v>
      </c>
      <c r="AO22" s="194">
        <f t="shared" si="14"/>
        <v>23.688000000000002</v>
      </c>
      <c r="AP22" s="194">
        <f t="shared" si="14"/>
        <v>23.688000000000002</v>
      </c>
      <c r="AQ22" s="194">
        <f t="shared" si="14"/>
        <v>23.688000000000002</v>
      </c>
      <c r="AR22" s="194">
        <f t="shared" si="14"/>
        <v>23.688000000000002</v>
      </c>
      <c r="AS22" s="194">
        <f t="shared" si="14"/>
        <v>23.688000000000002</v>
      </c>
      <c r="AT22" s="194">
        <f t="shared" si="14"/>
        <v>23.688000000000002</v>
      </c>
      <c r="AU22" s="194">
        <f t="shared" si="14"/>
        <v>23.688000000000002</v>
      </c>
      <c r="AV22" s="194">
        <f t="shared" si="14"/>
        <v>23.688000000000002</v>
      </c>
      <c r="AW22" s="194">
        <f t="shared" si="14"/>
        <v>23.688000000000002</v>
      </c>
      <c r="AX22" s="194">
        <f t="shared" si="14"/>
        <v>23.688000000000002</v>
      </c>
      <c r="AY22" s="194">
        <f t="shared" si="14"/>
        <v>23.688000000000002</v>
      </c>
      <c r="AZ22" s="194">
        <f t="shared" si="14"/>
        <v>23.688000000000002</v>
      </c>
      <c r="BA22" s="194">
        <f t="shared" si="14"/>
        <v>23.688000000000002</v>
      </c>
      <c r="BB22" s="194">
        <f t="shared" si="14"/>
        <v>23.688000000000002</v>
      </c>
      <c r="BC22" s="194">
        <f t="shared" si="14"/>
        <v>23.688000000000002</v>
      </c>
      <c r="BD22" s="194">
        <f t="shared" si="14"/>
        <v>23.688000000000002</v>
      </c>
      <c r="BE22" s="194">
        <f t="shared" si="14"/>
        <v>23.688000000000002</v>
      </c>
      <c r="BF22" s="194">
        <f t="shared" si="14"/>
        <v>23.688000000000002</v>
      </c>
      <c r="BG22" s="194">
        <f t="shared" si="14"/>
        <v>23.688000000000002</v>
      </c>
      <c r="BH22" s="194">
        <f t="shared" si="14"/>
        <v>23.688000000000002</v>
      </c>
      <c r="BI22" s="194">
        <f t="shared" si="14"/>
        <v>23.688000000000002</v>
      </c>
      <c r="BJ22" s="194">
        <f t="shared" si="14"/>
        <v>23.688000000000002</v>
      </c>
      <c r="BK22" s="194">
        <f t="shared" si="14"/>
        <v>23.688000000000002</v>
      </c>
      <c r="BL22" s="194">
        <f t="shared" si="14"/>
        <v>23.688000000000002</v>
      </c>
      <c r="BM22" s="194">
        <f t="shared" si="14"/>
        <v>23.688000000000002</v>
      </c>
      <c r="BN22" s="194">
        <f t="shared" si="14"/>
        <v>23.688000000000002</v>
      </c>
    </row>
    <row r="23" spans="1:66" x14ac:dyDescent="0.25">
      <c r="A23" s="103" t="s">
        <v>671</v>
      </c>
      <c r="B23" s="194">
        <f>AVERAGE($B$24:$BN$24)+(AVERAGE($B$24:$BN$24)/100*10)</f>
        <v>28.952000000000005</v>
      </c>
      <c r="C23" s="194">
        <f t="shared" ref="C23:BN23" si="15">AVERAGE($B$24:$BN$24)+(AVERAGE($B$24:$BN$24)/100*10)</f>
        <v>28.952000000000005</v>
      </c>
      <c r="D23" s="194">
        <f t="shared" si="15"/>
        <v>28.952000000000005</v>
      </c>
      <c r="E23" s="194">
        <f t="shared" si="15"/>
        <v>28.952000000000005</v>
      </c>
      <c r="F23" s="194">
        <f t="shared" si="15"/>
        <v>28.952000000000005</v>
      </c>
      <c r="G23" s="194">
        <f t="shared" si="15"/>
        <v>28.952000000000005</v>
      </c>
      <c r="H23" s="194">
        <f t="shared" si="15"/>
        <v>28.952000000000005</v>
      </c>
      <c r="I23" s="194">
        <f t="shared" si="15"/>
        <v>28.952000000000005</v>
      </c>
      <c r="J23" s="194">
        <f t="shared" si="15"/>
        <v>28.952000000000005</v>
      </c>
      <c r="K23" s="194">
        <f t="shared" si="15"/>
        <v>28.952000000000005</v>
      </c>
      <c r="L23" s="194">
        <f t="shared" si="15"/>
        <v>28.952000000000005</v>
      </c>
      <c r="M23" s="194">
        <f t="shared" si="15"/>
        <v>28.952000000000005</v>
      </c>
      <c r="N23" s="194">
        <f t="shared" si="15"/>
        <v>28.952000000000005</v>
      </c>
      <c r="O23" s="194">
        <f t="shared" si="15"/>
        <v>28.952000000000005</v>
      </c>
      <c r="P23" s="194">
        <f t="shared" si="15"/>
        <v>28.952000000000005</v>
      </c>
      <c r="Q23" s="194">
        <f t="shared" si="15"/>
        <v>28.952000000000005</v>
      </c>
      <c r="R23" s="194">
        <f t="shared" si="15"/>
        <v>28.952000000000005</v>
      </c>
      <c r="S23" s="194">
        <f t="shared" si="15"/>
        <v>28.952000000000005</v>
      </c>
      <c r="T23" s="194">
        <f t="shared" si="15"/>
        <v>28.952000000000005</v>
      </c>
      <c r="U23" s="194">
        <f t="shared" si="15"/>
        <v>28.952000000000005</v>
      </c>
      <c r="V23" s="194">
        <f t="shared" si="15"/>
        <v>28.952000000000005</v>
      </c>
      <c r="W23" s="194">
        <f t="shared" si="15"/>
        <v>28.952000000000005</v>
      </c>
      <c r="X23" s="194">
        <f t="shared" si="15"/>
        <v>28.952000000000005</v>
      </c>
      <c r="Y23" s="194">
        <f t="shared" si="15"/>
        <v>28.952000000000005</v>
      </c>
      <c r="Z23" s="194">
        <f t="shared" si="15"/>
        <v>28.952000000000005</v>
      </c>
      <c r="AA23" s="194">
        <f t="shared" si="15"/>
        <v>28.952000000000005</v>
      </c>
      <c r="AB23" s="194">
        <f t="shared" si="15"/>
        <v>28.952000000000005</v>
      </c>
      <c r="AC23" s="194">
        <f t="shared" si="15"/>
        <v>28.952000000000005</v>
      </c>
      <c r="AD23" s="194">
        <f t="shared" si="15"/>
        <v>28.952000000000005</v>
      </c>
      <c r="AE23" s="194">
        <f t="shared" si="15"/>
        <v>28.952000000000005</v>
      </c>
      <c r="AF23" s="194">
        <f t="shared" si="15"/>
        <v>28.952000000000005</v>
      </c>
      <c r="AG23" s="194">
        <f t="shared" si="15"/>
        <v>28.952000000000005</v>
      </c>
      <c r="AH23" s="194">
        <f t="shared" si="15"/>
        <v>28.952000000000005</v>
      </c>
      <c r="AI23" s="194">
        <f t="shared" si="15"/>
        <v>28.952000000000005</v>
      </c>
      <c r="AJ23" s="194">
        <f t="shared" si="15"/>
        <v>28.952000000000005</v>
      </c>
      <c r="AK23" s="194">
        <f t="shared" si="15"/>
        <v>28.952000000000005</v>
      </c>
      <c r="AL23" s="194">
        <f t="shared" si="15"/>
        <v>28.952000000000005</v>
      </c>
      <c r="AM23" s="194">
        <f t="shared" si="15"/>
        <v>28.952000000000005</v>
      </c>
      <c r="AN23" s="194">
        <f t="shared" si="15"/>
        <v>28.952000000000005</v>
      </c>
      <c r="AO23" s="194">
        <f t="shared" si="15"/>
        <v>28.952000000000005</v>
      </c>
      <c r="AP23" s="194">
        <f t="shared" si="15"/>
        <v>28.952000000000005</v>
      </c>
      <c r="AQ23" s="194">
        <f t="shared" si="15"/>
        <v>28.952000000000005</v>
      </c>
      <c r="AR23" s="194">
        <f t="shared" si="15"/>
        <v>28.952000000000005</v>
      </c>
      <c r="AS23" s="194">
        <f t="shared" si="15"/>
        <v>28.952000000000005</v>
      </c>
      <c r="AT23" s="194">
        <f t="shared" si="15"/>
        <v>28.952000000000005</v>
      </c>
      <c r="AU23" s="194">
        <f t="shared" si="15"/>
        <v>28.952000000000005</v>
      </c>
      <c r="AV23" s="194">
        <f t="shared" si="15"/>
        <v>28.952000000000005</v>
      </c>
      <c r="AW23" s="194">
        <f t="shared" si="15"/>
        <v>28.952000000000005</v>
      </c>
      <c r="AX23" s="194">
        <f t="shared" si="15"/>
        <v>28.952000000000005</v>
      </c>
      <c r="AY23" s="194">
        <f t="shared" si="15"/>
        <v>28.952000000000005</v>
      </c>
      <c r="AZ23" s="194">
        <f t="shared" si="15"/>
        <v>28.952000000000005</v>
      </c>
      <c r="BA23" s="194">
        <f t="shared" si="15"/>
        <v>28.952000000000005</v>
      </c>
      <c r="BB23" s="194">
        <f t="shared" si="15"/>
        <v>28.952000000000005</v>
      </c>
      <c r="BC23" s="194">
        <f t="shared" si="15"/>
        <v>28.952000000000005</v>
      </c>
      <c r="BD23" s="194">
        <f t="shared" si="15"/>
        <v>28.952000000000005</v>
      </c>
      <c r="BE23" s="194">
        <f t="shared" si="15"/>
        <v>28.952000000000005</v>
      </c>
      <c r="BF23" s="194">
        <f t="shared" si="15"/>
        <v>28.952000000000005</v>
      </c>
      <c r="BG23" s="194">
        <f t="shared" si="15"/>
        <v>28.952000000000005</v>
      </c>
      <c r="BH23" s="194">
        <f t="shared" si="15"/>
        <v>28.952000000000005</v>
      </c>
      <c r="BI23" s="194">
        <f t="shared" si="15"/>
        <v>28.952000000000005</v>
      </c>
      <c r="BJ23" s="194">
        <f t="shared" si="15"/>
        <v>28.952000000000005</v>
      </c>
      <c r="BK23" s="194">
        <f t="shared" si="15"/>
        <v>28.952000000000005</v>
      </c>
      <c r="BL23" s="194">
        <f t="shared" si="15"/>
        <v>28.952000000000005</v>
      </c>
      <c r="BM23" s="194">
        <f t="shared" si="15"/>
        <v>28.952000000000005</v>
      </c>
      <c r="BN23" s="194">
        <f t="shared" si="15"/>
        <v>28.952000000000005</v>
      </c>
    </row>
    <row r="24" spans="1:66" x14ac:dyDescent="0.25">
      <c r="A24" s="103" t="s">
        <v>671</v>
      </c>
      <c r="B24" s="100">
        <v>28</v>
      </c>
      <c r="C24" s="100">
        <v>29</v>
      </c>
      <c r="D24" s="100">
        <v>26</v>
      </c>
      <c r="E24" s="100">
        <v>26</v>
      </c>
      <c r="F24" s="100">
        <v>24</v>
      </c>
      <c r="G24" s="100">
        <v>25</v>
      </c>
      <c r="H24" s="100">
        <v>21</v>
      </c>
      <c r="I24" s="100">
        <v>28</v>
      </c>
      <c r="J24" s="165">
        <v>26</v>
      </c>
      <c r="K24" s="195">
        <v>23</v>
      </c>
      <c r="L24" s="165">
        <v>23</v>
      </c>
      <c r="M24" s="168">
        <v>27.7</v>
      </c>
      <c r="N24" s="168">
        <v>25.6</v>
      </c>
      <c r="O24" s="168">
        <v>26</v>
      </c>
      <c r="P24" s="168">
        <v>26.5</v>
      </c>
      <c r="Q24" s="168">
        <v>31.6</v>
      </c>
      <c r="R24" s="168">
        <v>26.5</v>
      </c>
      <c r="S24" s="168">
        <v>26.4</v>
      </c>
      <c r="T24" s="168">
        <v>28.5</v>
      </c>
      <c r="U24" s="168">
        <v>32</v>
      </c>
      <c r="V24" s="168">
        <v>26.4</v>
      </c>
      <c r="W24" s="168">
        <v>29.4</v>
      </c>
      <c r="X24" s="168">
        <v>28</v>
      </c>
      <c r="Y24" s="168">
        <v>26.5</v>
      </c>
      <c r="Z24" s="168">
        <v>24.3</v>
      </c>
      <c r="AA24" s="168">
        <v>24.4</v>
      </c>
      <c r="AB24" s="168">
        <v>26</v>
      </c>
      <c r="AC24" s="59">
        <v>26</v>
      </c>
      <c r="AD24" s="173">
        <v>26.3</v>
      </c>
      <c r="AE24" s="173">
        <v>35.200000000000003</v>
      </c>
      <c r="AF24" s="173">
        <v>26.9</v>
      </c>
      <c r="AG24" s="173">
        <v>27</v>
      </c>
      <c r="AH24" s="173">
        <v>26</v>
      </c>
      <c r="AI24" s="173">
        <v>24.6</v>
      </c>
      <c r="AJ24" s="173">
        <v>24</v>
      </c>
      <c r="AK24" s="173">
        <v>25.9</v>
      </c>
      <c r="AL24" s="173">
        <v>24.8</v>
      </c>
      <c r="AM24" s="173">
        <v>26.3</v>
      </c>
      <c r="AN24" s="173">
        <v>25.7</v>
      </c>
      <c r="AO24" s="173">
        <v>24.7</v>
      </c>
      <c r="AP24" s="173">
        <v>26.7</v>
      </c>
      <c r="AQ24" s="173">
        <v>26</v>
      </c>
      <c r="AR24" s="173">
        <v>25.2</v>
      </c>
      <c r="AS24" s="173">
        <v>25.5</v>
      </c>
      <c r="AT24" s="173">
        <v>22.5</v>
      </c>
      <c r="AU24" s="173">
        <v>25</v>
      </c>
      <c r="AV24" s="173">
        <v>24.7</v>
      </c>
      <c r="AW24" s="173">
        <v>25</v>
      </c>
      <c r="AX24" s="173">
        <v>25.9</v>
      </c>
      <c r="AY24" s="173">
        <v>27.2</v>
      </c>
      <c r="AZ24" s="173">
        <v>25.4</v>
      </c>
      <c r="BA24" s="59">
        <v>22</v>
      </c>
      <c r="BB24" s="59">
        <v>23</v>
      </c>
      <c r="BC24" s="59">
        <v>25</v>
      </c>
      <c r="BD24" s="59">
        <v>25</v>
      </c>
      <c r="BE24" s="172">
        <v>28.3</v>
      </c>
      <c r="BF24" s="172">
        <v>28.2</v>
      </c>
      <c r="BG24" s="172">
        <v>23.1</v>
      </c>
      <c r="BH24" s="172">
        <v>26</v>
      </c>
      <c r="BI24" s="172">
        <v>26.7</v>
      </c>
      <c r="BJ24" s="172">
        <v>32.700000000000003</v>
      </c>
      <c r="BK24" s="172">
        <v>28.2</v>
      </c>
      <c r="BL24" s="172">
        <v>29.4</v>
      </c>
      <c r="BM24" s="172">
        <v>28.6</v>
      </c>
      <c r="BN24" s="172">
        <v>27.3</v>
      </c>
    </row>
    <row r="25" spans="1:66" x14ac:dyDescent="0.25">
      <c r="A25" s="103" t="s">
        <v>671</v>
      </c>
      <c r="B25" s="194">
        <f>AVERAGE($B$24:$BN$24)/100*80</f>
        <v>21.056000000000004</v>
      </c>
      <c r="C25" s="194">
        <f t="shared" ref="C25:BN25" si="16">AVERAGE($B$24:$BN$24)/100*80</f>
        <v>21.056000000000004</v>
      </c>
      <c r="D25" s="194">
        <f t="shared" si="16"/>
        <v>21.056000000000004</v>
      </c>
      <c r="E25" s="194">
        <f t="shared" si="16"/>
        <v>21.056000000000004</v>
      </c>
      <c r="F25" s="194">
        <f t="shared" si="16"/>
        <v>21.056000000000004</v>
      </c>
      <c r="G25" s="194">
        <f t="shared" si="16"/>
        <v>21.056000000000004</v>
      </c>
      <c r="H25" s="194">
        <f t="shared" si="16"/>
        <v>21.056000000000004</v>
      </c>
      <c r="I25" s="194">
        <f t="shared" si="16"/>
        <v>21.056000000000004</v>
      </c>
      <c r="J25" s="194">
        <f t="shared" si="16"/>
        <v>21.056000000000004</v>
      </c>
      <c r="K25" s="194">
        <f t="shared" si="16"/>
        <v>21.056000000000004</v>
      </c>
      <c r="L25" s="194">
        <f t="shared" si="16"/>
        <v>21.056000000000004</v>
      </c>
      <c r="M25" s="194">
        <f t="shared" si="16"/>
        <v>21.056000000000004</v>
      </c>
      <c r="N25" s="194">
        <f t="shared" si="16"/>
        <v>21.056000000000004</v>
      </c>
      <c r="O25" s="194">
        <f t="shared" si="16"/>
        <v>21.056000000000004</v>
      </c>
      <c r="P25" s="194">
        <f t="shared" si="16"/>
        <v>21.056000000000004</v>
      </c>
      <c r="Q25" s="194">
        <f t="shared" si="16"/>
        <v>21.056000000000004</v>
      </c>
      <c r="R25" s="194">
        <f t="shared" si="16"/>
        <v>21.056000000000004</v>
      </c>
      <c r="S25" s="194">
        <f t="shared" si="16"/>
        <v>21.056000000000004</v>
      </c>
      <c r="T25" s="194">
        <f t="shared" si="16"/>
        <v>21.056000000000004</v>
      </c>
      <c r="U25" s="194">
        <f t="shared" si="16"/>
        <v>21.056000000000004</v>
      </c>
      <c r="V25" s="194">
        <f t="shared" si="16"/>
        <v>21.056000000000004</v>
      </c>
      <c r="W25" s="194">
        <f t="shared" si="16"/>
        <v>21.056000000000004</v>
      </c>
      <c r="X25" s="194">
        <f t="shared" si="16"/>
        <v>21.056000000000004</v>
      </c>
      <c r="Y25" s="194">
        <f t="shared" si="16"/>
        <v>21.056000000000004</v>
      </c>
      <c r="Z25" s="194">
        <f t="shared" si="16"/>
        <v>21.056000000000004</v>
      </c>
      <c r="AA25" s="194">
        <f t="shared" si="16"/>
        <v>21.056000000000004</v>
      </c>
      <c r="AB25" s="194">
        <f t="shared" si="16"/>
        <v>21.056000000000004</v>
      </c>
      <c r="AC25" s="194">
        <f t="shared" si="16"/>
        <v>21.056000000000004</v>
      </c>
      <c r="AD25" s="194">
        <f t="shared" si="16"/>
        <v>21.056000000000004</v>
      </c>
      <c r="AE25" s="194">
        <f t="shared" si="16"/>
        <v>21.056000000000004</v>
      </c>
      <c r="AF25" s="194">
        <f t="shared" si="16"/>
        <v>21.056000000000004</v>
      </c>
      <c r="AG25" s="194">
        <f t="shared" si="16"/>
        <v>21.056000000000004</v>
      </c>
      <c r="AH25" s="194">
        <f t="shared" si="16"/>
        <v>21.056000000000004</v>
      </c>
      <c r="AI25" s="194">
        <f t="shared" si="16"/>
        <v>21.056000000000004</v>
      </c>
      <c r="AJ25" s="194">
        <f t="shared" si="16"/>
        <v>21.056000000000004</v>
      </c>
      <c r="AK25" s="194">
        <f t="shared" si="16"/>
        <v>21.056000000000004</v>
      </c>
      <c r="AL25" s="194">
        <f t="shared" si="16"/>
        <v>21.056000000000004</v>
      </c>
      <c r="AM25" s="194">
        <f t="shared" si="16"/>
        <v>21.056000000000004</v>
      </c>
      <c r="AN25" s="194">
        <f t="shared" si="16"/>
        <v>21.056000000000004</v>
      </c>
      <c r="AO25" s="194">
        <f t="shared" si="16"/>
        <v>21.056000000000004</v>
      </c>
      <c r="AP25" s="194">
        <f t="shared" si="16"/>
        <v>21.056000000000004</v>
      </c>
      <c r="AQ25" s="194">
        <f t="shared" si="16"/>
        <v>21.056000000000004</v>
      </c>
      <c r="AR25" s="194">
        <f t="shared" si="16"/>
        <v>21.056000000000004</v>
      </c>
      <c r="AS25" s="194">
        <f t="shared" si="16"/>
        <v>21.056000000000004</v>
      </c>
      <c r="AT25" s="194">
        <f t="shared" si="16"/>
        <v>21.056000000000004</v>
      </c>
      <c r="AU25" s="194">
        <f t="shared" si="16"/>
        <v>21.056000000000004</v>
      </c>
      <c r="AV25" s="194">
        <f t="shared" si="16"/>
        <v>21.056000000000004</v>
      </c>
      <c r="AW25" s="194">
        <f t="shared" si="16"/>
        <v>21.056000000000004</v>
      </c>
      <c r="AX25" s="194">
        <f t="shared" si="16"/>
        <v>21.056000000000004</v>
      </c>
      <c r="AY25" s="194">
        <f t="shared" si="16"/>
        <v>21.056000000000004</v>
      </c>
      <c r="AZ25" s="194">
        <f t="shared" si="16"/>
        <v>21.056000000000004</v>
      </c>
      <c r="BA25" s="194">
        <f t="shared" si="16"/>
        <v>21.056000000000004</v>
      </c>
      <c r="BB25" s="194">
        <f t="shared" si="16"/>
        <v>21.056000000000004</v>
      </c>
      <c r="BC25" s="194">
        <f t="shared" si="16"/>
        <v>21.056000000000004</v>
      </c>
      <c r="BD25" s="194">
        <f t="shared" si="16"/>
        <v>21.056000000000004</v>
      </c>
      <c r="BE25" s="194">
        <f t="shared" si="16"/>
        <v>21.056000000000004</v>
      </c>
      <c r="BF25" s="194">
        <f t="shared" si="16"/>
        <v>21.056000000000004</v>
      </c>
      <c r="BG25" s="194">
        <f t="shared" si="16"/>
        <v>21.056000000000004</v>
      </c>
      <c r="BH25" s="194">
        <f t="shared" si="16"/>
        <v>21.056000000000004</v>
      </c>
      <c r="BI25" s="194">
        <f t="shared" si="16"/>
        <v>21.056000000000004</v>
      </c>
      <c r="BJ25" s="194">
        <f t="shared" si="16"/>
        <v>21.056000000000004</v>
      </c>
      <c r="BK25" s="194">
        <f t="shared" si="16"/>
        <v>21.056000000000004</v>
      </c>
      <c r="BL25" s="194">
        <f t="shared" si="16"/>
        <v>21.056000000000004</v>
      </c>
      <c r="BM25" s="194">
        <f t="shared" si="16"/>
        <v>21.056000000000004</v>
      </c>
      <c r="BN25" s="194">
        <f t="shared" si="16"/>
        <v>21.056000000000004</v>
      </c>
    </row>
    <row r="26" spans="1:66" x14ac:dyDescent="0.25">
      <c r="A26" s="103" t="s">
        <v>671</v>
      </c>
      <c r="B26" s="194">
        <f>AVERAGE($B$24:$BN$24)+(AVERAGE($B$24:$BN$24)/100*20)</f>
        <v>31.584000000000003</v>
      </c>
      <c r="C26" s="194">
        <f t="shared" ref="C26:BN26" si="17">AVERAGE($B$24:$BN$24)+(AVERAGE($B$24:$BN$24)/100*20)</f>
        <v>31.584000000000003</v>
      </c>
      <c r="D26" s="194">
        <f t="shared" si="17"/>
        <v>31.584000000000003</v>
      </c>
      <c r="E26" s="194">
        <f t="shared" si="17"/>
        <v>31.584000000000003</v>
      </c>
      <c r="F26" s="194">
        <f t="shared" si="17"/>
        <v>31.584000000000003</v>
      </c>
      <c r="G26" s="194">
        <f t="shared" si="17"/>
        <v>31.584000000000003</v>
      </c>
      <c r="H26" s="194">
        <f t="shared" si="17"/>
        <v>31.584000000000003</v>
      </c>
      <c r="I26" s="194">
        <f t="shared" si="17"/>
        <v>31.584000000000003</v>
      </c>
      <c r="J26" s="194">
        <f t="shared" si="17"/>
        <v>31.584000000000003</v>
      </c>
      <c r="K26" s="194">
        <f t="shared" si="17"/>
        <v>31.584000000000003</v>
      </c>
      <c r="L26" s="194">
        <f t="shared" si="17"/>
        <v>31.584000000000003</v>
      </c>
      <c r="M26" s="194">
        <f t="shared" si="17"/>
        <v>31.584000000000003</v>
      </c>
      <c r="N26" s="194">
        <f t="shared" si="17"/>
        <v>31.584000000000003</v>
      </c>
      <c r="O26" s="194">
        <f t="shared" si="17"/>
        <v>31.584000000000003</v>
      </c>
      <c r="P26" s="194">
        <f t="shared" si="17"/>
        <v>31.584000000000003</v>
      </c>
      <c r="Q26" s="194">
        <f t="shared" si="17"/>
        <v>31.584000000000003</v>
      </c>
      <c r="R26" s="194">
        <f t="shared" si="17"/>
        <v>31.584000000000003</v>
      </c>
      <c r="S26" s="194">
        <f t="shared" si="17"/>
        <v>31.584000000000003</v>
      </c>
      <c r="T26" s="194">
        <f t="shared" si="17"/>
        <v>31.584000000000003</v>
      </c>
      <c r="U26" s="194">
        <f t="shared" si="17"/>
        <v>31.584000000000003</v>
      </c>
      <c r="V26" s="194">
        <f t="shared" si="17"/>
        <v>31.584000000000003</v>
      </c>
      <c r="W26" s="194">
        <f t="shared" si="17"/>
        <v>31.584000000000003</v>
      </c>
      <c r="X26" s="194">
        <f t="shared" si="17"/>
        <v>31.584000000000003</v>
      </c>
      <c r="Y26" s="194">
        <f t="shared" si="17"/>
        <v>31.584000000000003</v>
      </c>
      <c r="Z26" s="194">
        <f t="shared" si="17"/>
        <v>31.584000000000003</v>
      </c>
      <c r="AA26" s="194">
        <f t="shared" si="17"/>
        <v>31.584000000000003</v>
      </c>
      <c r="AB26" s="194">
        <f t="shared" si="17"/>
        <v>31.584000000000003</v>
      </c>
      <c r="AC26" s="194">
        <f t="shared" si="17"/>
        <v>31.584000000000003</v>
      </c>
      <c r="AD26" s="194">
        <f t="shared" si="17"/>
        <v>31.584000000000003</v>
      </c>
      <c r="AE26" s="194">
        <f t="shared" si="17"/>
        <v>31.584000000000003</v>
      </c>
      <c r="AF26" s="194">
        <f t="shared" si="17"/>
        <v>31.584000000000003</v>
      </c>
      <c r="AG26" s="194">
        <f t="shared" si="17"/>
        <v>31.584000000000003</v>
      </c>
      <c r="AH26" s="194">
        <f t="shared" si="17"/>
        <v>31.584000000000003</v>
      </c>
      <c r="AI26" s="194">
        <f t="shared" si="17"/>
        <v>31.584000000000003</v>
      </c>
      <c r="AJ26" s="194">
        <f t="shared" si="17"/>
        <v>31.584000000000003</v>
      </c>
      <c r="AK26" s="194">
        <f t="shared" si="17"/>
        <v>31.584000000000003</v>
      </c>
      <c r="AL26" s="194">
        <f t="shared" si="17"/>
        <v>31.584000000000003</v>
      </c>
      <c r="AM26" s="194">
        <f t="shared" si="17"/>
        <v>31.584000000000003</v>
      </c>
      <c r="AN26" s="194">
        <f t="shared" si="17"/>
        <v>31.584000000000003</v>
      </c>
      <c r="AO26" s="194">
        <f t="shared" si="17"/>
        <v>31.584000000000003</v>
      </c>
      <c r="AP26" s="194">
        <f t="shared" si="17"/>
        <v>31.584000000000003</v>
      </c>
      <c r="AQ26" s="194">
        <f t="shared" si="17"/>
        <v>31.584000000000003</v>
      </c>
      <c r="AR26" s="194">
        <f t="shared" si="17"/>
        <v>31.584000000000003</v>
      </c>
      <c r="AS26" s="194">
        <f t="shared" si="17"/>
        <v>31.584000000000003</v>
      </c>
      <c r="AT26" s="194">
        <f t="shared" si="17"/>
        <v>31.584000000000003</v>
      </c>
      <c r="AU26" s="194">
        <f t="shared" si="17"/>
        <v>31.584000000000003</v>
      </c>
      <c r="AV26" s="194">
        <f t="shared" si="17"/>
        <v>31.584000000000003</v>
      </c>
      <c r="AW26" s="194">
        <f t="shared" si="17"/>
        <v>31.584000000000003</v>
      </c>
      <c r="AX26" s="194">
        <f t="shared" si="17"/>
        <v>31.584000000000003</v>
      </c>
      <c r="AY26" s="194">
        <f t="shared" si="17"/>
        <v>31.584000000000003</v>
      </c>
      <c r="AZ26" s="194">
        <f t="shared" si="17"/>
        <v>31.584000000000003</v>
      </c>
      <c r="BA26" s="194">
        <f t="shared" si="17"/>
        <v>31.584000000000003</v>
      </c>
      <c r="BB26" s="194">
        <f t="shared" si="17"/>
        <v>31.584000000000003</v>
      </c>
      <c r="BC26" s="194">
        <f t="shared" si="17"/>
        <v>31.584000000000003</v>
      </c>
      <c r="BD26" s="194">
        <f t="shared" si="17"/>
        <v>31.584000000000003</v>
      </c>
      <c r="BE26" s="194">
        <f t="shared" si="17"/>
        <v>31.584000000000003</v>
      </c>
      <c r="BF26" s="194">
        <f t="shared" si="17"/>
        <v>31.584000000000003</v>
      </c>
      <c r="BG26" s="194">
        <f t="shared" si="17"/>
        <v>31.584000000000003</v>
      </c>
      <c r="BH26" s="194">
        <f t="shared" si="17"/>
        <v>31.584000000000003</v>
      </c>
      <c r="BI26" s="194">
        <f t="shared" si="17"/>
        <v>31.584000000000003</v>
      </c>
      <c r="BJ26" s="194">
        <f t="shared" si="17"/>
        <v>31.584000000000003</v>
      </c>
      <c r="BK26" s="194">
        <f t="shared" si="17"/>
        <v>31.584000000000003</v>
      </c>
      <c r="BL26" s="194">
        <f t="shared" si="17"/>
        <v>31.584000000000003</v>
      </c>
      <c r="BM26" s="194">
        <f t="shared" si="17"/>
        <v>31.584000000000003</v>
      </c>
      <c r="BN26" s="194">
        <f t="shared" si="17"/>
        <v>31.584000000000003</v>
      </c>
    </row>
    <row r="27" spans="1:66" s="180" customFormat="1" x14ac:dyDescent="0.25">
      <c r="A27" s="178" t="s">
        <v>652</v>
      </c>
      <c r="B27" s="179" t="s">
        <v>695</v>
      </c>
      <c r="C27" s="179" t="s">
        <v>696</v>
      </c>
      <c r="D27" s="179" t="s">
        <v>694</v>
      </c>
      <c r="E27" s="179" t="s">
        <v>697</v>
      </c>
      <c r="F27" s="179" t="s">
        <v>661</v>
      </c>
      <c r="G27" s="179" t="s">
        <v>662</v>
      </c>
      <c r="H27" s="102" t="s">
        <v>663</v>
      </c>
      <c r="I27" s="179" t="s">
        <v>685</v>
      </c>
      <c r="J27" s="102" t="s">
        <v>664</v>
      </c>
      <c r="K27" s="102" t="s">
        <v>665</v>
      </c>
      <c r="L27" s="102" t="s">
        <v>666</v>
      </c>
      <c r="M27" s="102" t="s">
        <v>698</v>
      </c>
      <c r="N27" s="102" t="s">
        <v>699</v>
      </c>
      <c r="O27" s="102" t="s">
        <v>700</v>
      </c>
      <c r="P27" s="102" t="s">
        <v>701</v>
      </c>
      <c r="Q27" s="102" t="s">
        <v>702</v>
      </c>
      <c r="R27" s="102" t="s">
        <v>703</v>
      </c>
      <c r="S27" s="102" t="s">
        <v>704</v>
      </c>
      <c r="T27" s="102" t="s">
        <v>705</v>
      </c>
      <c r="U27" s="102" t="s">
        <v>706</v>
      </c>
      <c r="V27" s="102" t="s">
        <v>707</v>
      </c>
      <c r="W27" s="102" t="s">
        <v>708</v>
      </c>
      <c r="X27" s="102" t="s">
        <v>709</v>
      </c>
      <c r="Y27" s="102" t="s">
        <v>710</v>
      </c>
      <c r="Z27" s="102" t="s">
        <v>711</v>
      </c>
      <c r="AA27" s="102" t="s">
        <v>712</v>
      </c>
      <c r="AB27" s="102" t="s">
        <v>713</v>
      </c>
      <c r="AC27" s="102" t="s">
        <v>714</v>
      </c>
      <c r="AD27" s="102" t="s">
        <v>715</v>
      </c>
      <c r="AE27" s="102" t="s">
        <v>716</v>
      </c>
      <c r="AF27" s="102" t="s">
        <v>717</v>
      </c>
      <c r="AG27" s="102" t="s">
        <v>718</v>
      </c>
      <c r="AH27" s="102" t="s">
        <v>719</v>
      </c>
      <c r="AI27" s="102" t="s">
        <v>720</v>
      </c>
      <c r="AJ27" s="102" t="s">
        <v>721</v>
      </c>
      <c r="AK27" s="102" t="s">
        <v>722</v>
      </c>
      <c r="AL27" s="102" t="s">
        <v>723</v>
      </c>
      <c r="AM27" s="102" t="s">
        <v>724</v>
      </c>
      <c r="AN27" s="102" t="s">
        <v>725</v>
      </c>
      <c r="AO27" s="102" t="s">
        <v>726</v>
      </c>
      <c r="AP27" s="102" t="s">
        <v>727</v>
      </c>
      <c r="AQ27" s="102" t="s">
        <v>728</v>
      </c>
      <c r="AR27" s="102" t="s">
        <v>729</v>
      </c>
      <c r="AS27" s="102" t="s">
        <v>730</v>
      </c>
      <c r="AT27" s="102" t="s">
        <v>731</v>
      </c>
      <c r="AU27" s="102" t="s">
        <v>732</v>
      </c>
      <c r="AV27" s="102" t="s">
        <v>733</v>
      </c>
      <c r="AW27" s="102" t="s">
        <v>734</v>
      </c>
      <c r="AX27" s="102" t="s">
        <v>735</v>
      </c>
      <c r="AY27" s="102" t="s">
        <v>736</v>
      </c>
      <c r="AZ27" s="102" t="s">
        <v>737</v>
      </c>
      <c r="BA27" s="105" t="s">
        <v>738</v>
      </c>
      <c r="BB27" s="105" t="s">
        <v>739</v>
      </c>
      <c r="BC27" s="105" t="s">
        <v>740</v>
      </c>
      <c r="BD27" s="105" t="s">
        <v>741</v>
      </c>
      <c r="BE27" s="102" t="s">
        <v>742</v>
      </c>
      <c r="BF27" s="102" t="s">
        <v>743</v>
      </c>
      <c r="BG27" s="102" t="s">
        <v>744</v>
      </c>
      <c r="BH27" s="102" t="s">
        <v>745</v>
      </c>
      <c r="BI27" s="102" t="s">
        <v>746</v>
      </c>
      <c r="BJ27" s="102" t="s">
        <v>747</v>
      </c>
      <c r="BK27" s="102" t="s">
        <v>748</v>
      </c>
      <c r="BL27" s="102" t="s">
        <v>749</v>
      </c>
      <c r="BM27" s="102" t="s">
        <v>750</v>
      </c>
      <c r="BN27" s="102" t="s">
        <v>751</v>
      </c>
    </row>
    <row r="28" spans="1:66" x14ac:dyDescent="0.25">
      <c r="A28" s="103" t="s">
        <v>672</v>
      </c>
      <c r="B28" s="196">
        <f>AVERAGE($B$31:$BN$31)</f>
        <v>40.476923076923079</v>
      </c>
      <c r="C28" s="196">
        <f t="shared" ref="C28:BN28" si="18">AVERAGE($B$31:$BN$31)</f>
        <v>40.476923076923079</v>
      </c>
      <c r="D28" s="196">
        <f t="shared" si="18"/>
        <v>40.476923076923079</v>
      </c>
      <c r="E28" s="196">
        <f t="shared" si="18"/>
        <v>40.476923076923079</v>
      </c>
      <c r="F28" s="196">
        <f t="shared" si="18"/>
        <v>40.476923076923079</v>
      </c>
      <c r="G28" s="196">
        <f t="shared" si="18"/>
        <v>40.476923076923079</v>
      </c>
      <c r="H28" s="196">
        <f t="shared" si="18"/>
        <v>40.476923076923079</v>
      </c>
      <c r="I28" s="196">
        <f t="shared" si="18"/>
        <v>40.476923076923079</v>
      </c>
      <c r="J28" s="196">
        <f t="shared" si="18"/>
        <v>40.476923076923079</v>
      </c>
      <c r="K28" s="196">
        <f t="shared" si="18"/>
        <v>40.476923076923079</v>
      </c>
      <c r="L28" s="196">
        <f t="shared" si="18"/>
        <v>40.476923076923079</v>
      </c>
      <c r="M28" s="196">
        <f t="shared" si="18"/>
        <v>40.476923076923079</v>
      </c>
      <c r="N28" s="196">
        <f t="shared" si="18"/>
        <v>40.476923076923079</v>
      </c>
      <c r="O28" s="196">
        <f t="shared" si="18"/>
        <v>40.476923076923079</v>
      </c>
      <c r="P28" s="196">
        <f t="shared" si="18"/>
        <v>40.476923076923079</v>
      </c>
      <c r="Q28" s="196">
        <f t="shared" si="18"/>
        <v>40.476923076923079</v>
      </c>
      <c r="R28" s="196">
        <f t="shared" si="18"/>
        <v>40.476923076923079</v>
      </c>
      <c r="S28" s="196">
        <f t="shared" si="18"/>
        <v>40.476923076923079</v>
      </c>
      <c r="T28" s="196">
        <f t="shared" si="18"/>
        <v>40.476923076923079</v>
      </c>
      <c r="U28" s="196">
        <f t="shared" si="18"/>
        <v>40.476923076923079</v>
      </c>
      <c r="V28" s="196">
        <f t="shared" si="18"/>
        <v>40.476923076923079</v>
      </c>
      <c r="W28" s="196">
        <f t="shared" si="18"/>
        <v>40.476923076923079</v>
      </c>
      <c r="X28" s="196">
        <f t="shared" si="18"/>
        <v>40.476923076923079</v>
      </c>
      <c r="Y28" s="196">
        <f t="shared" si="18"/>
        <v>40.476923076923079</v>
      </c>
      <c r="Z28" s="196">
        <f t="shared" si="18"/>
        <v>40.476923076923079</v>
      </c>
      <c r="AA28" s="196">
        <f t="shared" si="18"/>
        <v>40.476923076923079</v>
      </c>
      <c r="AB28" s="196">
        <f t="shared" si="18"/>
        <v>40.476923076923079</v>
      </c>
      <c r="AC28" s="196">
        <f t="shared" si="18"/>
        <v>40.476923076923079</v>
      </c>
      <c r="AD28" s="196">
        <f t="shared" si="18"/>
        <v>40.476923076923079</v>
      </c>
      <c r="AE28" s="196">
        <f t="shared" si="18"/>
        <v>40.476923076923079</v>
      </c>
      <c r="AF28" s="196">
        <f t="shared" si="18"/>
        <v>40.476923076923079</v>
      </c>
      <c r="AG28" s="196">
        <f t="shared" si="18"/>
        <v>40.476923076923079</v>
      </c>
      <c r="AH28" s="196">
        <f t="shared" si="18"/>
        <v>40.476923076923079</v>
      </c>
      <c r="AI28" s="196">
        <f t="shared" si="18"/>
        <v>40.476923076923079</v>
      </c>
      <c r="AJ28" s="196">
        <f t="shared" si="18"/>
        <v>40.476923076923079</v>
      </c>
      <c r="AK28" s="196">
        <f t="shared" si="18"/>
        <v>40.476923076923079</v>
      </c>
      <c r="AL28" s="196">
        <f t="shared" si="18"/>
        <v>40.476923076923079</v>
      </c>
      <c r="AM28" s="196">
        <f t="shared" si="18"/>
        <v>40.476923076923079</v>
      </c>
      <c r="AN28" s="196">
        <f t="shared" si="18"/>
        <v>40.476923076923079</v>
      </c>
      <c r="AO28" s="196">
        <f t="shared" si="18"/>
        <v>40.476923076923079</v>
      </c>
      <c r="AP28" s="196">
        <f t="shared" si="18"/>
        <v>40.476923076923079</v>
      </c>
      <c r="AQ28" s="196">
        <f t="shared" si="18"/>
        <v>40.476923076923079</v>
      </c>
      <c r="AR28" s="196">
        <f t="shared" si="18"/>
        <v>40.476923076923079</v>
      </c>
      <c r="AS28" s="196">
        <f t="shared" si="18"/>
        <v>40.476923076923079</v>
      </c>
      <c r="AT28" s="196">
        <f t="shared" si="18"/>
        <v>40.476923076923079</v>
      </c>
      <c r="AU28" s="196">
        <f t="shared" si="18"/>
        <v>40.476923076923079</v>
      </c>
      <c r="AV28" s="196">
        <f t="shared" si="18"/>
        <v>40.476923076923079</v>
      </c>
      <c r="AW28" s="196">
        <f t="shared" si="18"/>
        <v>40.476923076923079</v>
      </c>
      <c r="AX28" s="196">
        <f t="shared" si="18"/>
        <v>40.476923076923079</v>
      </c>
      <c r="AY28" s="196">
        <f t="shared" si="18"/>
        <v>40.476923076923079</v>
      </c>
      <c r="AZ28" s="196">
        <f t="shared" si="18"/>
        <v>40.476923076923079</v>
      </c>
      <c r="BA28" s="196">
        <f t="shared" si="18"/>
        <v>40.476923076923079</v>
      </c>
      <c r="BB28" s="196">
        <f t="shared" si="18"/>
        <v>40.476923076923079</v>
      </c>
      <c r="BC28" s="196">
        <f t="shared" si="18"/>
        <v>40.476923076923079</v>
      </c>
      <c r="BD28" s="196">
        <f t="shared" si="18"/>
        <v>40.476923076923079</v>
      </c>
      <c r="BE28" s="196">
        <f t="shared" si="18"/>
        <v>40.476923076923079</v>
      </c>
      <c r="BF28" s="196">
        <f t="shared" si="18"/>
        <v>40.476923076923079</v>
      </c>
      <c r="BG28" s="196">
        <f t="shared" si="18"/>
        <v>40.476923076923079</v>
      </c>
      <c r="BH28" s="196">
        <f t="shared" si="18"/>
        <v>40.476923076923079</v>
      </c>
      <c r="BI28" s="196">
        <f t="shared" si="18"/>
        <v>40.476923076923079</v>
      </c>
      <c r="BJ28" s="196">
        <f t="shared" si="18"/>
        <v>40.476923076923079</v>
      </c>
      <c r="BK28" s="196">
        <f t="shared" si="18"/>
        <v>40.476923076923079</v>
      </c>
      <c r="BL28" s="196">
        <f t="shared" si="18"/>
        <v>40.476923076923079</v>
      </c>
      <c r="BM28" s="196">
        <f t="shared" si="18"/>
        <v>40.476923076923079</v>
      </c>
      <c r="BN28" s="196">
        <f t="shared" si="18"/>
        <v>40.476923076923079</v>
      </c>
    </row>
    <row r="29" spans="1:66" x14ac:dyDescent="0.25">
      <c r="A29" s="103" t="s">
        <v>672</v>
      </c>
      <c r="B29" s="194">
        <f>AVERAGE($B$31:$BN$31)/100*90</f>
        <v>36.42923076923077</v>
      </c>
      <c r="C29" s="194">
        <f t="shared" ref="C29:BN29" si="19">AVERAGE($B$31:$BN$31)/100*90</f>
        <v>36.42923076923077</v>
      </c>
      <c r="D29" s="194">
        <f t="shared" si="19"/>
        <v>36.42923076923077</v>
      </c>
      <c r="E29" s="194">
        <f t="shared" si="19"/>
        <v>36.42923076923077</v>
      </c>
      <c r="F29" s="194">
        <f t="shared" si="19"/>
        <v>36.42923076923077</v>
      </c>
      <c r="G29" s="194">
        <f t="shared" si="19"/>
        <v>36.42923076923077</v>
      </c>
      <c r="H29" s="194">
        <f t="shared" si="19"/>
        <v>36.42923076923077</v>
      </c>
      <c r="I29" s="194">
        <f t="shared" si="19"/>
        <v>36.42923076923077</v>
      </c>
      <c r="J29" s="194">
        <f t="shared" si="19"/>
        <v>36.42923076923077</v>
      </c>
      <c r="K29" s="194">
        <f t="shared" si="19"/>
        <v>36.42923076923077</v>
      </c>
      <c r="L29" s="194">
        <f t="shared" si="19"/>
        <v>36.42923076923077</v>
      </c>
      <c r="M29" s="194">
        <f t="shared" si="19"/>
        <v>36.42923076923077</v>
      </c>
      <c r="N29" s="194">
        <f t="shared" si="19"/>
        <v>36.42923076923077</v>
      </c>
      <c r="O29" s="194">
        <f t="shared" si="19"/>
        <v>36.42923076923077</v>
      </c>
      <c r="P29" s="194">
        <f t="shared" si="19"/>
        <v>36.42923076923077</v>
      </c>
      <c r="Q29" s="194">
        <f t="shared" si="19"/>
        <v>36.42923076923077</v>
      </c>
      <c r="R29" s="194">
        <f t="shared" si="19"/>
        <v>36.42923076923077</v>
      </c>
      <c r="S29" s="194">
        <f t="shared" si="19"/>
        <v>36.42923076923077</v>
      </c>
      <c r="T29" s="194">
        <f t="shared" si="19"/>
        <v>36.42923076923077</v>
      </c>
      <c r="U29" s="194">
        <f t="shared" si="19"/>
        <v>36.42923076923077</v>
      </c>
      <c r="V29" s="194">
        <f t="shared" si="19"/>
        <v>36.42923076923077</v>
      </c>
      <c r="W29" s="194">
        <f t="shared" si="19"/>
        <v>36.42923076923077</v>
      </c>
      <c r="X29" s="194">
        <f t="shared" si="19"/>
        <v>36.42923076923077</v>
      </c>
      <c r="Y29" s="194">
        <f t="shared" si="19"/>
        <v>36.42923076923077</v>
      </c>
      <c r="Z29" s="194">
        <f t="shared" si="19"/>
        <v>36.42923076923077</v>
      </c>
      <c r="AA29" s="194">
        <f t="shared" si="19"/>
        <v>36.42923076923077</v>
      </c>
      <c r="AB29" s="194">
        <f t="shared" si="19"/>
        <v>36.42923076923077</v>
      </c>
      <c r="AC29" s="194">
        <f t="shared" si="19"/>
        <v>36.42923076923077</v>
      </c>
      <c r="AD29" s="194">
        <f t="shared" si="19"/>
        <v>36.42923076923077</v>
      </c>
      <c r="AE29" s="194">
        <f t="shared" si="19"/>
        <v>36.42923076923077</v>
      </c>
      <c r="AF29" s="194">
        <f t="shared" si="19"/>
        <v>36.42923076923077</v>
      </c>
      <c r="AG29" s="194">
        <f t="shared" si="19"/>
        <v>36.42923076923077</v>
      </c>
      <c r="AH29" s="194">
        <f t="shared" si="19"/>
        <v>36.42923076923077</v>
      </c>
      <c r="AI29" s="194">
        <f t="shared" si="19"/>
        <v>36.42923076923077</v>
      </c>
      <c r="AJ29" s="194">
        <f t="shared" si="19"/>
        <v>36.42923076923077</v>
      </c>
      <c r="AK29" s="194">
        <f t="shared" si="19"/>
        <v>36.42923076923077</v>
      </c>
      <c r="AL29" s="194">
        <f t="shared" si="19"/>
        <v>36.42923076923077</v>
      </c>
      <c r="AM29" s="194">
        <f t="shared" si="19"/>
        <v>36.42923076923077</v>
      </c>
      <c r="AN29" s="194">
        <f t="shared" si="19"/>
        <v>36.42923076923077</v>
      </c>
      <c r="AO29" s="194">
        <f t="shared" si="19"/>
        <v>36.42923076923077</v>
      </c>
      <c r="AP29" s="194">
        <f t="shared" si="19"/>
        <v>36.42923076923077</v>
      </c>
      <c r="AQ29" s="194">
        <f t="shared" si="19"/>
        <v>36.42923076923077</v>
      </c>
      <c r="AR29" s="194">
        <f t="shared" si="19"/>
        <v>36.42923076923077</v>
      </c>
      <c r="AS29" s="194">
        <f t="shared" si="19"/>
        <v>36.42923076923077</v>
      </c>
      <c r="AT29" s="194">
        <f t="shared" si="19"/>
        <v>36.42923076923077</v>
      </c>
      <c r="AU29" s="194">
        <f t="shared" si="19"/>
        <v>36.42923076923077</v>
      </c>
      <c r="AV29" s="194">
        <f t="shared" si="19"/>
        <v>36.42923076923077</v>
      </c>
      <c r="AW29" s="194">
        <f t="shared" si="19"/>
        <v>36.42923076923077</v>
      </c>
      <c r="AX29" s="194">
        <f t="shared" si="19"/>
        <v>36.42923076923077</v>
      </c>
      <c r="AY29" s="194">
        <f t="shared" si="19"/>
        <v>36.42923076923077</v>
      </c>
      <c r="AZ29" s="194">
        <f t="shared" si="19"/>
        <v>36.42923076923077</v>
      </c>
      <c r="BA29" s="194">
        <f t="shared" si="19"/>
        <v>36.42923076923077</v>
      </c>
      <c r="BB29" s="194">
        <f t="shared" si="19"/>
        <v>36.42923076923077</v>
      </c>
      <c r="BC29" s="194">
        <f t="shared" si="19"/>
        <v>36.42923076923077</v>
      </c>
      <c r="BD29" s="194">
        <f t="shared" si="19"/>
        <v>36.42923076923077</v>
      </c>
      <c r="BE29" s="194">
        <f t="shared" si="19"/>
        <v>36.42923076923077</v>
      </c>
      <c r="BF29" s="194">
        <f t="shared" si="19"/>
        <v>36.42923076923077</v>
      </c>
      <c r="BG29" s="194">
        <f t="shared" si="19"/>
        <v>36.42923076923077</v>
      </c>
      <c r="BH29" s="194">
        <f t="shared" si="19"/>
        <v>36.42923076923077</v>
      </c>
      <c r="BI29" s="194">
        <f t="shared" si="19"/>
        <v>36.42923076923077</v>
      </c>
      <c r="BJ29" s="194">
        <f t="shared" si="19"/>
        <v>36.42923076923077</v>
      </c>
      <c r="BK29" s="194">
        <f t="shared" si="19"/>
        <v>36.42923076923077</v>
      </c>
      <c r="BL29" s="194">
        <f t="shared" si="19"/>
        <v>36.42923076923077</v>
      </c>
      <c r="BM29" s="194">
        <f t="shared" si="19"/>
        <v>36.42923076923077</v>
      </c>
      <c r="BN29" s="194">
        <f t="shared" si="19"/>
        <v>36.42923076923077</v>
      </c>
    </row>
    <row r="30" spans="1:66" x14ac:dyDescent="0.25">
      <c r="A30" s="103" t="s">
        <v>672</v>
      </c>
      <c r="B30" s="194">
        <f>AVERAGE($B$31:$BN$31)+(AVERAGE($B$31:$BN$31)/100*10)</f>
        <v>44.524615384615387</v>
      </c>
      <c r="C30" s="194">
        <f t="shared" ref="C30:BN30" si="20">AVERAGE($B$31:$BN$31)+(AVERAGE($B$31:$BN$31)/100*10)</f>
        <v>44.524615384615387</v>
      </c>
      <c r="D30" s="194">
        <f t="shared" si="20"/>
        <v>44.524615384615387</v>
      </c>
      <c r="E30" s="194">
        <f t="shared" si="20"/>
        <v>44.524615384615387</v>
      </c>
      <c r="F30" s="194">
        <f t="shared" si="20"/>
        <v>44.524615384615387</v>
      </c>
      <c r="G30" s="194">
        <f t="shared" si="20"/>
        <v>44.524615384615387</v>
      </c>
      <c r="H30" s="194">
        <f t="shared" si="20"/>
        <v>44.524615384615387</v>
      </c>
      <c r="I30" s="194">
        <f t="shared" si="20"/>
        <v>44.524615384615387</v>
      </c>
      <c r="J30" s="194">
        <f t="shared" si="20"/>
        <v>44.524615384615387</v>
      </c>
      <c r="K30" s="194">
        <f t="shared" si="20"/>
        <v>44.524615384615387</v>
      </c>
      <c r="L30" s="194">
        <f t="shared" si="20"/>
        <v>44.524615384615387</v>
      </c>
      <c r="M30" s="194">
        <f t="shared" si="20"/>
        <v>44.524615384615387</v>
      </c>
      <c r="N30" s="194">
        <f t="shared" si="20"/>
        <v>44.524615384615387</v>
      </c>
      <c r="O30" s="194">
        <f t="shared" si="20"/>
        <v>44.524615384615387</v>
      </c>
      <c r="P30" s="194">
        <f t="shared" si="20"/>
        <v>44.524615384615387</v>
      </c>
      <c r="Q30" s="194">
        <f t="shared" si="20"/>
        <v>44.524615384615387</v>
      </c>
      <c r="R30" s="194">
        <f t="shared" si="20"/>
        <v>44.524615384615387</v>
      </c>
      <c r="S30" s="194">
        <f t="shared" si="20"/>
        <v>44.524615384615387</v>
      </c>
      <c r="T30" s="194">
        <f t="shared" si="20"/>
        <v>44.524615384615387</v>
      </c>
      <c r="U30" s="194">
        <f t="shared" si="20"/>
        <v>44.524615384615387</v>
      </c>
      <c r="V30" s="194">
        <f t="shared" si="20"/>
        <v>44.524615384615387</v>
      </c>
      <c r="W30" s="194">
        <f t="shared" si="20"/>
        <v>44.524615384615387</v>
      </c>
      <c r="X30" s="194">
        <f t="shared" si="20"/>
        <v>44.524615384615387</v>
      </c>
      <c r="Y30" s="194">
        <f t="shared" si="20"/>
        <v>44.524615384615387</v>
      </c>
      <c r="Z30" s="194">
        <f t="shared" si="20"/>
        <v>44.524615384615387</v>
      </c>
      <c r="AA30" s="194">
        <f t="shared" si="20"/>
        <v>44.524615384615387</v>
      </c>
      <c r="AB30" s="194">
        <f t="shared" si="20"/>
        <v>44.524615384615387</v>
      </c>
      <c r="AC30" s="194">
        <f t="shared" si="20"/>
        <v>44.524615384615387</v>
      </c>
      <c r="AD30" s="194">
        <f t="shared" si="20"/>
        <v>44.524615384615387</v>
      </c>
      <c r="AE30" s="194">
        <f t="shared" si="20"/>
        <v>44.524615384615387</v>
      </c>
      <c r="AF30" s="194">
        <f t="shared" si="20"/>
        <v>44.524615384615387</v>
      </c>
      <c r="AG30" s="194">
        <f t="shared" si="20"/>
        <v>44.524615384615387</v>
      </c>
      <c r="AH30" s="194">
        <f t="shared" si="20"/>
        <v>44.524615384615387</v>
      </c>
      <c r="AI30" s="194">
        <f t="shared" si="20"/>
        <v>44.524615384615387</v>
      </c>
      <c r="AJ30" s="194">
        <f t="shared" si="20"/>
        <v>44.524615384615387</v>
      </c>
      <c r="AK30" s="194">
        <f t="shared" si="20"/>
        <v>44.524615384615387</v>
      </c>
      <c r="AL30" s="194">
        <f t="shared" si="20"/>
        <v>44.524615384615387</v>
      </c>
      <c r="AM30" s="194">
        <f t="shared" si="20"/>
        <v>44.524615384615387</v>
      </c>
      <c r="AN30" s="194">
        <f t="shared" si="20"/>
        <v>44.524615384615387</v>
      </c>
      <c r="AO30" s="194">
        <f t="shared" si="20"/>
        <v>44.524615384615387</v>
      </c>
      <c r="AP30" s="194">
        <f t="shared" si="20"/>
        <v>44.524615384615387</v>
      </c>
      <c r="AQ30" s="194">
        <f t="shared" si="20"/>
        <v>44.524615384615387</v>
      </c>
      <c r="AR30" s="194">
        <f t="shared" si="20"/>
        <v>44.524615384615387</v>
      </c>
      <c r="AS30" s="194">
        <f t="shared" si="20"/>
        <v>44.524615384615387</v>
      </c>
      <c r="AT30" s="194">
        <f t="shared" si="20"/>
        <v>44.524615384615387</v>
      </c>
      <c r="AU30" s="194">
        <f t="shared" si="20"/>
        <v>44.524615384615387</v>
      </c>
      <c r="AV30" s="194">
        <f t="shared" si="20"/>
        <v>44.524615384615387</v>
      </c>
      <c r="AW30" s="194">
        <f t="shared" si="20"/>
        <v>44.524615384615387</v>
      </c>
      <c r="AX30" s="194">
        <f t="shared" si="20"/>
        <v>44.524615384615387</v>
      </c>
      <c r="AY30" s="194">
        <f t="shared" si="20"/>
        <v>44.524615384615387</v>
      </c>
      <c r="AZ30" s="194">
        <f t="shared" si="20"/>
        <v>44.524615384615387</v>
      </c>
      <c r="BA30" s="194">
        <f t="shared" si="20"/>
        <v>44.524615384615387</v>
      </c>
      <c r="BB30" s="194">
        <f t="shared" si="20"/>
        <v>44.524615384615387</v>
      </c>
      <c r="BC30" s="194">
        <f t="shared" si="20"/>
        <v>44.524615384615387</v>
      </c>
      <c r="BD30" s="194">
        <f t="shared" si="20"/>
        <v>44.524615384615387</v>
      </c>
      <c r="BE30" s="194">
        <f t="shared" si="20"/>
        <v>44.524615384615387</v>
      </c>
      <c r="BF30" s="194">
        <f t="shared" si="20"/>
        <v>44.524615384615387</v>
      </c>
      <c r="BG30" s="194">
        <f t="shared" si="20"/>
        <v>44.524615384615387</v>
      </c>
      <c r="BH30" s="194">
        <f t="shared" si="20"/>
        <v>44.524615384615387</v>
      </c>
      <c r="BI30" s="194">
        <f t="shared" si="20"/>
        <v>44.524615384615387</v>
      </c>
      <c r="BJ30" s="194">
        <f t="shared" si="20"/>
        <v>44.524615384615387</v>
      </c>
      <c r="BK30" s="194">
        <f t="shared" si="20"/>
        <v>44.524615384615387</v>
      </c>
      <c r="BL30" s="194">
        <f t="shared" si="20"/>
        <v>44.524615384615387</v>
      </c>
      <c r="BM30" s="194">
        <f t="shared" si="20"/>
        <v>44.524615384615387</v>
      </c>
      <c r="BN30" s="194">
        <f t="shared" si="20"/>
        <v>44.524615384615387</v>
      </c>
    </row>
    <row r="31" spans="1:66" x14ac:dyDescent="0.25">
      <c r="A31" s="103" t="s">
        <v>672</v>
      </c>
      <c r="B31" s="100">
        <v>36</v>
      </c>
      <c r="C31" s="100">
        <v>38</v>
      </c>
      <c r="D31" s="100">
        <v>37</v>
      </c>
      <c r="E31" s="100">
        <v>34</v>
      </c>
      <c r="F31" s="100">
        <v>31</v>
      </c>
      <c r="G31" s="100">
        <v>32</v>
      </c>
      <c r="H31" s="100">
        <v>35</v>
      </c>
      <c r="I31" s="100">
        <v>40</v>
      </c>
      <c r="J31" s="165">
        <v>40</v>
      </c>
      <c r="K31" s="100">
        <v>31</v>
      </c>
      <c r="L31" s="165">
        <v>40</v>
      </c>
      <c r="M31" s="168">
        <v>43.6</v>
      </c>
      <c r="N31" s="168">
        <v>36.9</v>
      </c>
      <c r="O31" s="168">
        <v>36.6</v>
      </c>
      <c r="P31" s="168">
        <v>45.6</v>
      </c>
      <c r="Q31" s="168">
        <v>49.8</v>
      </c>
      <c r="R31" s="168">
        <v>36.9</v>
      </c>
      <c r="S31" s="168">
        <v>40.299999999999997</v>
      </c>
      <c r="T31" s="168">
        <v>45.5</v>
      </c>
      <c r="U31" s="168">
        <v>48</v>
      </c>
      <c r="V31" s="168">
        <v>42.4</v>
      </c>
      <c r="W31" s="168">
        <v>43.1</v>
      </c>
      <c r="X31" s="168">
        <v>38.6</v>
      </c>
      <c r="Y31" s="168">
        <v>38</v>
      </c>
      <c r="Z31" s="168">
        <v>37.299999999999997</v>
      </c>
      <c r="AA31" s="168">
        <v>38</v>
      </c>
      <c r="AB31" s="168">
        <v>44.5</v>
      </c>
      <c r="AC31" s="59">
        <v>41</v>
      </c>
      <c r="AD31" s="173">
        <v>40.6</v>
      </c>
      <c r="AE31" s="173">
        <v>39.9</v>
      </c>
      <c r="AF31" s="173">
        <v>41.7</v>
      </c>
      <c r="AG31" s="173">
        <v>44</v>
      </c>
      <c r="AH31" s="173">
        <v>42</v>
      </c>
      <c r="AI31" s="173">
        <v>37.700000000000003</v>
      </c>
      <c r="AJ31" s="173">
        <v>50</v>
      </c>
      <c r="AK31" s="173">
        <v>42.2</v>
      </c>
      <c r="AL31" s="173">
        <v>36.5</v>
      </c>
      <c r="AM31" s="173">
        <v>37.299999999999997</v>
      </c>
      <c r="AN31" s="173">
        <v>41.5</v>
      </c>
      <c r="AO31" s="173">
        <v>40</v>
      </c>
      <c r="AP31" s="173">
        <v>41.7</v>
      </c>
      <c r="AQ31" s="173">
        <v>40.6</v>
      </c>
      <c r="AR31" s="173">
        <v>38.299999999999997</v>
      </c>
      <c r="AS31" s="173">
        <v>36.700000000000003</v>
      </c>
      <c r="AT31" s="173">
        <v>34.4</v>
      </c>
      <c r="AU31" s="173">
        <v>36</v>
      </c>
      <c r="AV31" s="173">
        <v>37.700000000000003</v>
      </c>
      <c r="AW31" s="173">
        <v>37.9</v>
      </c>
      <c r="AX31" s="173">
        <v>39.700000000000003</v>
      </c>
      <c r="AY31" s="173">
        <v>37.5</v>
      </c>
      <c r="AZ31" s="173">
        <v>37.6</v>
      </c>
      <c r="BA31" s="59">
        <v>45</v>
      </c>
      <c r="BB31" s="59">
        <v>44</v>
      </c>
      <c r="BC31" s="59">
        <v>43</v>
      </c>
      <c r="BD31" s="59">
        <v>44</v>
      </c>
      <c r="BE31" s="172">
        <v>47</v>
      </c>
      <c r="BF31" s="172">
        <v>41.2</v>
      </c>
      <c r="BG31" s="172">
        <v>42.3</v>
      </c>
      <c r="BH31" s="172">
        <v>42</v>
      </c>
      <c r="BI31" s="172">
        <v>45.7</v>
      </c>
      <c r="BJ31" s="172">
        <v>50</v>
      </c>
      <c r="BK31" s="172">
        <v>41.2</v>
      </c>
      <c r="BL31" s="172">
        <v>44.7</v>
      </c>
      <c r="BM31" s="172">
        <v>46.8</v>
      </c>
      <c r="BN31" s="172">
        <v>42.5</v>
      </c>
    </row>
    <row r="32" spans="1:66" x14ac:dyDescent="0.25">
      <c r="A32" s="103" t="s">
        <v>672</v>
      </c>
      <c r="B32" s="194">
        <f>AVERAGE($B$31:$BN$31)/100*80</f>
        <v>32.381538461538462</v>
      </c>
      <c r="C32" s="194">
        <f t="shared" ref="C32:BN32" si="21">AVERAGE($B$31:$BN$31)/100*80</f>
        <v>32.381538461538462</v>
      </c>
      <c r="D32" s="194">
        <f t="shared" si="21"/>
        <v>32.381538461538462</v>
      </c>
      <c r="E32" s="194">
        <f t="shared" si="21"/>
        <v>32.381538461538462</v>
      </c>
      <c r="F32" s="194">
        <f t="shared" si="21"/>
        <v>32.381538461538462</v>
      </c>
      <c r="G32" s="194">
        <f t="shared" si="21"/>
        <v>32.381538461538462</v>
      </c>
      <c r="H32" s="194">
        <f t="shared" si="21"/>
        <v>32.381538461538462</v>
      </c>
      <c r="I32" s="194">
        <f t="shared" si="21"/>
        <v>32.381538461538462</v>
      </c>
      <c r="J32" s="194">
        <f t="shared" si="21"/>
        <v>32.381538461538462</v>
      </c>
      <c r="K32" s="194">
        <f t="shared" si="21"/>
        <v>32.381538461538462</v>
      </c>
      <c r="L32" s="194">
        <f t="shared" si="21"/>
        <v>32.381538461538462</v>
      </c>
      <c r="M32" s="194">
        <f t="shared" si="21"/>
        <v>32.381538461538462</v>
      </c>
      <c r="N32" s="194">
        <f t="shared" si="21"/>
        <v>32.381538461538462</v>
      </c>
      <c r="O32" s="194">
        <f t="shared" si="21"/>
        <v>32.381538461538462</v>
      </c>
      <c r="P32" s="194">
        <f t="shared" si="21"/>
        <v>32.381538461538462</v>
      </c>
      <c r="Q32" s="194">
        <f t="shared" si="21"/>
        <v>32.381538461538462</v>
      </c>
      <c r="R32" s="194">
        <f t="shared" si="21"/>
        <v>32.381538461538462</v>
      </c>
      <c r="S32" s="194">
        <f t="shared" si="21"/>
        <v>32.381538461538462</v>
      </c>
      <c r="T32" s="194">
        <f t="shared" si="21"/>
        <v>32.381538461538462</v>
      </c>
      <c r="U32" s="194">
        <f t="shared" si="21"/>
        <v>32.381538461538462</v>
      </c>
      <c r="V32" s="194">
        <f t="shared" si="21"/>
        <v>32.381538461538462</v>
      </c>
      <c r="W32" s="194">
        <f t="shared" si="21"/>
        <v>32.381538461538462</v>
      </c>
      <c r="X32" s="194">
        <f t="shared" si="21"/>
        <v>32.381538461538462</v>
      </c>
      <c r="Y32" s="194">
        <f t="shared" si="21"/>
        <v>32.381538461538462</v>
      </c>
      <c r="Z32" s="194">
        <f t="shared" si="21"/>
        <v>32.381538461538462</v>
      </c>
      <c r="AA32" s="194">
        <f t="shared" si="21"/>
        <v>32.381538461538462</v>
      </c>
      <c r="AB32" s="194">
        <f t="shared" si="21"/>
        <v>32.381538461538462</v>
      </c>
      <c r="AC32" s="194">
        <f t="shared" si="21"/>
        <v>32.381538461538462</v>
      </c>
      <c r="AD32" s="194">
        <f t="shared" si="21"/>
        <v>32.381538461538462</v>
      </c>
      <c r="AE32" s="194">
        <f t="shared" si="21"/>
        <v>32.381538461538462</v>
      </c>
      <c r="AF32" s="194">
        <f t="shared" si="21"/>
        <v>32.381538461538462</v>
      </c>
      <c r="AG32" s="194">
        <f t="shared" si="21"/>
        <v>32.381538461538462</v>
      </c>
      <c r="AH32" s="194">
        <f t="shared" si="21"/>
        <v>32.381538461538462</v>
      </c>
      <c r="AI32" s="194">
        <f t="shared" si="21"/>
        <v>32.381538461538462</v>
      </c>
      <c r="AJ32" s="194">
        <f t="shared" si="21"/>
        <v>32.381538461538462</v>
      </c>
      <c r="AK32" s="194">
        <f t="shared" si="21"/>
        <v>32.381538461538462</v>
      </c>
      <c r="AL32" s="194">
        <f t="shared" si="21"/>
        <v>32.381538461538462</v>
      </c>
      <c r="AM32" s="194">
        <f t="shared" si="21"/>
        <v>32.381538461538462</v>
      </c>
      <c r="AN32" s="194">
        <f t="shared" si="21"/>
        <v>32.381538461538462</v>
      </c>
      <c r="AO32" s="194">
        <f t="shared" si="21"/>
        <v>32.381538461538462</v>
      </c>
      <c r="AP32" s="194">
        <f t="shared" si="21"/>
        <v>32.381538461538462</v>
      </c>
      <c r="AQ32" s="194">
        <f t="shared" si="21"/>
        <v>32.381538461538462</v>
      </c>
      <c r="AR32" s="194">
        <f t="shared" si="21"/>
        <v>32.381538461538462</v>
      </c>
      <c r="AS32" s="194">
        <f t="shared" si="21"/>
        <v>32.381538461538462</v>
      </c>
      <c r="AT32" s="194">
        <f t="shared" si="21"/>
        <v>32.381538461538462</v>
      </c>
      <c r="AU32" s="194">
        <f t="shared" si="21"/>
        <v>32.381538461538462</v>
      </c>
      <c r="AV32" s="194">
        <f t="shared" si="21"/>
        <v>32.381538461538462</v>
      </c>
      <c r="AW32" s="194">
        <f t="shared" si="21"/>
        <v>32.381538461538462</v>
      </c>
      <c r="AX32" s="194">
        <f t="shared" si="21"/>
        <v>32.381538461538462</v>
      </c>
      <c r="AY32" s="194">
        <f t="shared" si="21"/>
        <v>32.381538461538462</v>
      </c>
      <c r="AZ32" s="194">
        <f t="shared" si="21"/>
        <v>32.381538461538462</v>
      </c>
      <c r="BA32" s="194">
        <f t="shared" si="21"/>
        <v>32.381538461538462</v>
      </c>
      <c r="BB32" s="194">
        <f t="shared" si="21"/>
        <v>32.381538461538462</v>
      </c>
      <c r="BC32" s="194">
        <f t="shared" si="21"/>
        <v>32.381538461538462</v>
      </c>
      <c r="BD32" s="194">
        <f t="shared" si="21"/>
        <v>32.381538461538462</v>
      </c>
      <c r="BE32" s="194">
        <f t="shared" si="21"/>
        <v>32.381538461538462</v>
      </c>
      <c r="BF32" s="194">
        <f t="shared" si="21"/>
        <v>32.381538461538462</v>
      </c>
      <c r="BG32" s="194">
        <f t="shared" si="21"/>
        <v>32.381538461538462</v>
      </c>
      <c r="BH32" s="194">
        <f t="shared" si="21"/>
        <v>32.381538461538462</v>
      </c>
      <c r="BI32" s="194">
        <f t="shared" si="21"/>
        <v>32.381538461538462</v>
      </c>
      <c r="BJ32" s="194">
        <f t="shared" si="21"/>
        <v>32.381538461538462</v>
      </c>
      <c r="BK32" s="194">
        <f t="shared" si="21"/>
        <v>32.381538461538462</v>
      </c>
      <c r="BL32" s="194">
        <f t="shared" si="21"/>
        <v>32.381538461538462</v>
      </c>
      <c r="BM32" s="194">
        <f t="shared" si="21"/>
        <v>32.381538461538462</v>
      </c>
      <c r="BN32" s="194">
        <f t="shared" si="21"/>
        <v>32.381538461538462</v>
      </c>
    </row>
    <row r="33" spans="1:66" x14ac:dyDescent="0.25">
      <c r="A33" s="103" t="s">
        <v>672</v>
      </c>
      <c r="B33" s="194">
        <f>AVERAGE($B$31:$BN$31)+(AVERAGE($B$31:$BN$31)/100*20)</f>
        <v>48.572307692307696</v>
      </c>
      <c r="C33" s="194">
        <f t="shared" ref="C33:BN33" si="22">AVERAGE($B$31:$BN$31)+(AVERAGE($B$31:$BN$31)/100*20)</f>
        <v>48.572307692307696</v>
      </c>
      <c r="D33" s="194">
        <f t="shared" si="22"/>
        <v>48.572307692307696</v>
      </c>
      <c r="E33" s="194">
        <f t="shared" si="22"/>
        <v>48.572307692307696</v>
      </c>
      <c r="F33" s="194">
        <f t="shared" si="22"/>
        <v>48.572307692307696</v>
      </c>
      <c r="G33" s="194">
        <f t="shared" si="22"/>
        <v>48.572307692307696</v>
      </c>
      <c r="H33" s="194">
        <f t="shared" si="22"/>
        <v>48.572307692307696</v>
      </c>
      <c r="I33" s="194">
        <f t="shared" si="22"/>
        <v>48.572307692307696</v>
      </c>
      <c r="J33" s="194">
        <f t="shared" si="22"/>
        <v>48.572307692307696</v>
      </c>
      <c r="K33" s="194">
        <f t="shared" si="22"/>
        <v>48.572307692307696</v>
      </c>
      <c r="L33" s="194">
        <f t="shared" si="22"/>
        <v>48.572307692307696</v>
      </c>
      <c r="M33" s="194">
        <f t="shared" si="22"/>
        <v>48.572307692307696</v>
      </c>
      <c r="N33" s="194">
        <f t="shared" si="22"/>
        <v>48.572307692307696</v>
      </c>
      <c r="O33" s="194">
        <f t="shared" si="22"/>
        <v>48.572307692307696</v>
      </c>
      <c r="P33" s="194">
        <f t="shared" si="22"/>
        <v>48.572307692307696</v>
      </c>
      <c r="Q33" s="194">
        <f t="shared" si="22"/>
        <v>48.572307692307696</v>
      </c>
      <c r="R33" s="194">
        <f t="shared" si="22"/>
        <v>48.572307692307696</v>
      </c>
      <c r="S33" s="194">
        <f t="shared" si="22"/>
        <v>48.572307692307696</v>
      </c>
      <c r="T33" s="194">
        <f t="shared" si="22"/>
        <v>48.572307692307696</v>
      </c>
      <c r="U33" s="194">
        <f t="shared" si="22"/>
        <v>48.572307692307696</v>
      </c>
      <c r="V33" s="194">
        <f t="shared" si="22"/>
        <v>48.572307692307696</v>
      </c>
      <c r="W33" s="194">
        <f t="shared" si="22"/>
        <v>48.572307692307696</v>
      </c>
      <c r="X33" s="194">
        <f t="shared" si="22"/>
        <v>48.572307692307696</v>
      </c>
      <c r="Y33" s="194">
        <f t="shared" si="22"/>
        <v>48.572307692307696</v>
      </c>
      <c r="Z33" s="194">
        <f t="shared" si="22"/>
        <v>48.572307692307696</v>
      </c>
      <c r="AA33" s="194">
        <f t="shared" si="22"/>
        <v>48.572307692307696</v>
      </c>
      <c r="AB33" s="194">
        <f t="shared" si="22"/>
        <v>48.572307692307696</v>
      </c>
      <c r="AC33" s="194">
        <f t="shared" si="22"/>
        <v>48.572307692307696</v>
      </c>
      <c r="AD33" s="194">
        <f t="shared" si="22"/>
        <v>48.572307692307696</v>
      </c>
      <c r="AE33" s="194">
        <f t="shared" si="22"/>
        <v>48.572307692307696</v>
      </c>
      <c r="AF33" s="194">
        <f t="shared" si="22"/>
        <v>48.572307692307696</v>
      </c>
      <c r="AG33" s="194">
        <f t="shared" si="22"/>
        <v>48.572307692307696</v>
      </c>
      <c r="AH33" s="194">
        <f t="shared" si="22"/>
        <v>48.572307692307696</v>
      </c>
      <c r="AI33" s="194">
        <f t="shared" si="22"/>
        <v>48.572307692307696</v>
      </c>
      <c r="AJ33" s="194">
        <f t="shared" si="22"/>
        <v>48.572307692307696</v>
      </c>
      <c r="AK33" s="194">
        <f t="shared" si="22"/>
        <v>48.572307692307696</v>
      </c>
      <c r="AL33" s="194">
        <f t="shared" si="22"/>
        <v>48.572307692307696</v>
      </c>
      <c r="AM33" s="194">
        <f t="shared" si="22"/>
        <v>48.572307692307696</v>
      </c>
      <c r="AN33" s="194">
        <f t="shared" si="22"/>
        <v>48.572307692307696</v>
      </c>
      <c r="AO33" s="194">
        <f t="shared" si="22"/>
        <v>48.572307692307696</v>
      </c>
      <c r="AP33" s="194">
        <f t="shared" si="22"/>
        <v>48.572307692307696</v>
      </c>
      <c r="AQ33" s="194">
        <f t="shared" si="22"/>
        <v>48.572307692307696</v>
      </c>
      <c r="AR33" s="194">
        <f t="shared" si="22"/>
        <v>48.572307692307696</v>
      </c>
      <c r="AS33" s="194">
        <f t="shared" si="22"/>
        <v>48.572307692307696</v>
      </c>
      <c r="AT33" s="194">
        <f t="shared" si="22"/>
        <v>48.572307692307696</v>
      </c>
      <c r="AU33" s="194">
        <f t="shared" si="22"/>
        <v>48.572307692307696</v>
      </c>
      <c r="AV33" s="194">
        <f t="shared" si="22"/>
        <v>48.572307692307696</v>
      </c>
      <c r="AW33" s="194">
        <f t="shared" si="22"/>
        <v>48.572307692307696</v>
      </c>
      <c r="AX33" s="194">
        <f t="shared" si="22"/>
        <v>48.572307692307696</v>
      </c>
      <c r="AY33" s="194">
        <f t="shared" si="22"/>
        <v>48.572307692307696</v>
      </c>
      <c r="AZ33" s="194">
        <f t="shared" si="22"/>
        <v>48.572307692307696</v>
      </c>
      <c r="BA33" s="194">
        <f t="shared" si="22"/>
        <v>48.572307692307696</v>
      </c>
      <c r="BB33" s="194">
        <f t="shared" si="22"/>
        <v>48.572307692307696</v>
      </c>
      <c r="BC33" s="194">
        <f t="shared" si="22"/>
        <v>48.572307692307696</v>
      </c>
      <c r="BD33" s="194">
        <f t="shared" si="22"/>
        <v>48.572307692307696</v>
      </c>
      <c r="BE33" s="194">
        <f t="shared" si="22"/>
        <v>48.572307692307696</v>
      </c>
      <c r="BF33" s="194">
        <f t="shared" si="22"/>
        <v>48.572307692307696</v>
      </c>
      <c r="BG33" s="194">
        <f t="shared" si="22"/>
        <v>48.572307692307696</v>
      </c>
      <c r="BH33" s="194">
        <f t="shared" si="22"/>
        <v>48.572307692307696</v>
      </c>
      <c r="BI33" s="194">
        <f t="shared" si="22"/>
        <v>48.572307692307696</v>
      </c>
      <c r="BJ33" s="194">
        <f t="shared" si="22"/>
        <v>48.572307692307696</v>
      </c>
      <c r="BK33" s="194">
        <f t="shared" si="22"/>
        <v>48.572307692307696</v>
      </c>
      <c r="BL33" s="194">
        <f t="shared" si="22"/>
        <v>48.572307692307696</v>
      </c>
      <c r="BM33" s="194">
        <f t="shared" si="22"/>
        <v>48.572307692307696</v>
      </c>
      <c r="BN33" s="194">
        <f t="shared" si="22"/>
        <v>48.572307692307696</v>
      </c>
    </row>
    <row r="34" spans="1:66" s="180" customFormat="1" x14ac:dyDescent="0.25">
      <c r="A34" s="178" t="s">
        <v>652</v>
      </c>
      <c r="B34" s="179" t="s">
        <v>695</v>
      </c>
      <c r="C34" s="179" t="s">
        <v>696</v>
      </c>
      <c r="D34" s="179" t="s">
        <v>694</v>
      </c>
      <c r="E34" s="179" t="s">
        <v>697</v>
      </c>
      <c r="F34" s="179" t="s">
        <v>661</v>
      </c>
      <c r="G34" s="179" t="s">
        <v>662</v>
      </c>
      <c r="H34" s="102" t="s">
        <v>663</v>
      </c>
      <c r="I34" s="179" t="s">
        <v>685</v>
      </c>
      <c r="J34" s="102" t="s">
        <v>664</v>
      </c>
      <c r="K34" s="102" t="s">
        <v>665</v>
      </c>
      <c r="L34" s="102" t="s">
        <v>666</v>
      </c>
      <c r="M34" s="102" t="s">
        <v>698</v>
      </c>
      <c r="N34" s="102" t="s">
        <v>699</v>
      </c>
      <c r="O34" s="102" t="s">
        <v>700</v>
      </c>
      <c r="P34" s="102" t="s">
        <v>701</v>
      </c>
      <c r="Q34" s="102" t="s">
        <v>702</v>
      </c>
      <c r="R34" s="102" t="s">
        <v>703</v>
      </c>
      <c r="S34" s="102" t="s">
        <v>704</v>
      </c>
      <c r="T34" s="102" t="s">
        <v>705</v>
      </c>
      <c r="U34" s="102" t="s">
        <v>706</v>
      </c>
      <c r="V34" s="102" t="s">
        <v>707</v>
      </c>
      <c r="W34" s="102" t="s">
        <v>708</v>
      </c>
      <c r="X34" s="102" t="s">
        <v>709</v>
      </c>
      <c r="Y34" s="102" t="s">
        <v>710</v>
      </c>
      <c r="Z34" s="102" t="s">
        <v>711</v>
      </c>
      <c r="AA34" s="102" t="s">
        <v>712</v>
      </c>
      <c r="AB34" s="102" t="s">
        <v>713</v>
      </c>
      <c r="AC34" s="102" t="s">
        <v>714</v>
      </c>
      <c r="AD34" s="102" t="s">
        <v>715</v>
      </c>
      <c r="AE34" s="102" t="s">
        <v>716</v>
      </c>
      <c r="AF34" s="102" t="s">
        <v>717</v>
      </c>
      <c r="AG34" s="102" t="s">
        <v>718</v>
      </c>
      <c r="AH34" s="102" t="s">
        <v>719</v>
      </c>
      <c r="AI34" s="102" t="s">
        <v>720</v>
      </c>
      <c r="AJ34" s="102" t="s">
        <v>721</v>
      </c>
      <c r="AK34" s="102" t="s">
        <v>722</v>
      </c>
      <c r="AL34" s="102" t="s">
        <v>723</v>
      </c>
      <c r="AM34" s="102" t="s">
        <v>724</v>
      </c>
      <c r="AN34" s="102" t="s">
        <v>725</v>
      </c>
      <c r="AO34" s="102" t="s">
        <v>726</v>
      </c>
      <c r="AP34" s="102" t="s">
        <v>727</v>
      </c>
      <c r="AQ34" s="102" t="s">
        <v>728</v>
      </c>
      <c r="AR34" s="102" t="s">
        <v>729</v>
      </c>
      <c r="AS34" s="102" t="s">
        <v>730</v>
      </c>
      <c r="AT34" s="102" t="s">
        <v>731</v>
      </c>
      <c r="AU34" s="102" t="s">
        <v>732</v>
      </c>
      <c r="AV34" s="102" t="s">
        <v>733</v>
      </c>
      <c r="AW34" s="102" t="s">
        <v>734</v>
      </c>
      <c r="AX34" s="102" t="s">
        <v>735</v>
      </c>
      <c r="AY34" s="102" t="s">
        <v>736</v>
      </c>
      <c r="AZ34" s="102" t="s">
        <v>737</v>
      </c>
      <c r="BA34" s="105" t="s">
        <v>738</v>
      </c>
      <c r="BB34" s="105" t="s">
        <v>739</v>
      </c>
      <c r="BC34" s="105" t="s">
        <v>740</v>
      </c>
      <c r="BD34" s="105" t="s">
        <v>741</v>
      </c>
      <c r="BE34" s="102" t="s">
        <v>742</v>
      </c>
      <c r="BF34" s="102" t="s">
        <v>743</v>
      </c>
      <c r="BG34" s="102" t="s">
        <v>744</v>
      </c>
      <c r="BH34" s="102" t="s">
        <v>745</v>
      </c>
      <c r="BI34" s="102" t="s">
        <v>746</v>
      </c>
      <c r="BJ34" s="102" t="s">
        <v>747</v>
      </c>
      <c r="BK34" s="102" t="s">
        <v>748</v>
      </c>
      <c r="BL34" s="102" t="s">
        <v>749</v>
      </c>
      <c r="BM34" s="102" t="s">
        <v>750</v>
      </c>
      <c r="BN34" s="102" t="s">
        <v>751</v>
      </c>
    </row>
    <row r="35" spans="1:66" x14ac:dyDescent="0.25">
      <c r="A35" s="103" t="s">
        <v>673</v>
      </c>
      <c r="B35" s="196">
        <f>AVERAGE($B$38:$BN$38)</f>
        <v>64.892307692307696</v>
      </c>
      <c r="C35" s="196">
        <f t="shared" ref="C35:BN35" si="23">AVERAGE($B$38:$BN$38)</f>
        <v>64.892307692307696</v>
      </c>
      <c r="D35" s="196">
        <f t="shared" si="23"/>
        <v>64.892307692307696</v>
      </c>
      <c r="E35" s="196">
        <f t="shared" si="23"/>
        <v>64.892307692307696</v>
      </c>
      <c r="F35" s="196">
        <f t="shared" si="23"/>
        <v>64.892307692307696</v>
      </c>
      <c r="G35" s="196">
        <f t="shared" si="23"/>
        <v>64.892307692307696</v>
      </c>
      <c r="H35" s="196">
        <f t="shared" si="23"/>
        <v>64.892307692307696</v>
      </c>
      <c r="I35" s="196">
        <f t="shared" si="23"/>
        <v>64.892307692307696</v>
      </c>
      <c r="J35" s="196">
        <f t="shared" si="23"/>
        <v>64.892307692307696</v>
      </c>
      <c r="K35" s="196">
        <f t="shared" si="23"/>
        <v>64.892307692307696</v>
      </c>
      <c r="L35" s="196">
        <f t="shared" si="23"/>
        <v>64.892307692307696</v>
      </c>
      <c r="M35" s="196">
        <f t="shared" si="23"/>
        <v>64.892307692307696</v>
      </c>
      <c r="N35" s="196">
        <f t="shared" si="23"/>
        <v>64.892307692307696</v>
      </c>
      <c r="O35" s="196">
        <f t="shared" si="23"/>
        <v>64.892307692307696</v>
      </c>
      <c r="P35" s="196">
        <f t="shared" si="23"/>
        <v>64.892307692307696</v>
      </c>
      <c r="Q35" s="196">
        <f t="shared" si="23"/>
        <v>64.892307692307696</v>
      </c>
      <c r="R35" s="196">
        <f t="shared" si="23"/>
        <v>64.892307692307696</v>
      </c>
      <c r="S35" s="196">
        <f t="shared" si="23"/>
        <v>64.892307692307696</v>
      </c>
      <c r="T35" s="196">
        <f t="shared" si="23"/>
        <v>64.892307692307696</v>
      </c>
      <c r="U35" s="196">
        <f t="shared" si="23"/>
        <v>64.892307692307696</v>
      </c>
      <c r="V35" s="196">
        <f t="shared" si="23"/>
        <v>64.892307692307696</v>
      </c>
      <c r="W35" s="196">
        <f t="shared" si="23"/>
        <v>64.892307692307696</v>
      </c>
      <c r="X35" s="196">
        <f t="shared" si="23"/>
        <v>64.892307692307696</v>
      </c>
      <c r="Y35" s="196">
        <f t="shared" si="23"/>
        <v>64.892307692307696</v>
      </c>
      <c r="Z35" s="196">
        <f t="shared" si="23"/>
        <v>64.892307692307696</v>
      </c>
      <c r="AA35" s="196">
        <f t="shared" si="23"/>
        <v>64.892307692307696</v>
      </c>
      <c r="AB35" s="196">
        <f t="shared" si="23"/>
        <v>64.892307692307696</v>
      </c>
      <c r="AC35" s="196">
        <f t="shared" si="23"/>
        <v>64.892307692307696</v>
      </c>
      <c r="AD35" s="196">
        <f t="shared" si="23"/>
        <v>64.892307692307696</v>
      </c>
      <c r="AE35" s="196">
        <f t="shared" si="23"/>
        <v>64.892307692307696</v>
      </c>
      <c r="AF35" s="196">
        <f t="shared" si="23"/>
        <v>64.892307692307696</v>
      </c>
      <c r="AG35" s="196">
        <f t="shared" si="23"/>
        <v>64.892307692307696</v>
      </c>
      <c r="AH35" s="196">
        <f t="shared" si="23"/>
        <v>64.892307692307696</v>
      </c>
      <c r="AI35" s="196">
        <f t="shared" si="23"/>
        <v>64.892307692307696</v>
      </c>
      <c r="AJ35" s="196">
        <f t="shared" si="23"/>
        <v>64.892307692307696</v>
      </c>
      <c r="AK35" s="196">
        <f t="shared" si="23"/>
        <v>64.892307692307696</v>
      </c>
      <c r="AL35" s="196">
        <f t="shared" si="23"/>
        <v>64.892307692307696</v>
      </c>
      <c r="AM35" s="196">
        <f t="shared" si="23"/>
        <v>64.892307692307696</v>
      </c>
      <c r="AN35" s="196">
        <f t="shared" si="23"/>
        <v>64.892307692307696</v>
      </c>
      <c r="AO35" s="196">
        <f t="shared" si="23"/>
        <v>64.892307692307696</v>
      </c>
      <c r="AP35" s="196">
        <f t="shared" si="23"/>
        <v>64.892307692307696</v>
      </c>
      <c r="AQ35" s="196">
        <f t="shared" si="23"/>
        <v>64.892307692307696</v>
      </c>
      <c r="AR35" s="196">
        <f t="shared" si="23"/>
        <v>64.892307692307696</v>
      </c>
      <c r="AS35" s="196">
        <f t="shared" si="23"/>
        <v>64.892307692307696</v>
      </c>
      <c r="AT35" s="196">
        <f t="shared" si="23"/>
        <v>64.892307692307696</v>
      </c>
      <c r="AU35" s="196">
        <f t="shared" si="23"/>
        <v>64.892307692307696</v>
      </c>
      <c r="AV35" s="196">
        <f t="shared" si="23"/>
        <v>64.892307692307696</v>
      </c>
      <c r="AW35" s="196">
        <f t="shared" si="23"/>
        <v>64.892307692307696</v>
      </c>
      <c r="AX35" s="196">
        <f t="shared" si="23"/>
        <v>64.892307692307696</v>
      </c>
      <c r="AY35" s="196">
        <f t="shared" si="23"/>
        <v>64.892307692307696</v>
      </c>
      <c r="AZ35" s="196">
        <f t="shared" si="23"/>
        <v>64.892307692307696</v>
      </c>
      <c r="BA35" s="196">
        <f t="shared" si="23"/>
        <v>64.892307692307696</v>
      </c>
      <c r="BB35" s="196">
        <f t="shared" si="23"/>
        <v>64.892307692307696</v>
      </c>
      <c r="BC35" s="196">
        <f t="shared" si="23"/>
        <v>64.892307692307696</v>
      </c>
      <c r="BD35" s="196">
        <f t="shared" si="23"/>
        <v>64.892307692307696</v>
      </c>
      <c r="BE35" s="196">
        <f t="shared" si="23"/>
        <v>64.892307692307696</v>
      </c>
      <c r="BF35" s="196">
        <f t="shared" si="23"/>
        <v>64.892307692307696</v>
      </c>
      <c r="BG35" s="196">
        <f t="shared" si="23"/>
        <v>64.892307692307696</v>
      </c>
      <c r="BH35" s="196">
        <f t="shared" si="23"/>
        <v>64.892307692307696</v>
      </c>
      <c r="BI35" s="196">
        <f t="shared" si="23"/>
        <v>64.892307692307696</v>
      </c>
      <c r="BJ35" s="196">
        <f t="shared" si="23"/>
        <v>64.892307692307696</v>
      </c>
      <c r="BK35" s="196">
        <f t="shared" si="23"/>
        <v>64.892307692307696</v>
      </c>
      <c r="BL35" s="196">
        <f t="shared" si="23"/>
        <v>64.892307692307696</v>
      </c>
      <c r="BM35" s="196">
        <f t="shared" si="23"/>
        <v>64.892307692307696</v>
      </c>
      <c r="BN35" s="196">
        <f t="shared" si="23"/>
        <v>64.892307692307696</v>
      </c>
    </row>
    <row r="36" spans="1:66" x14ac:dyDescent="0.25">
      <c r="A36" s="103" t="s">
        <v>673</v>
      </c>
      <c r="B36" s="194">
        <f>AVERAGE($B$38:$BN$38)/100*90</f>
        <v>58.403076923076924</v>
      </c>
      <c r="C36" s="194">
        <f t="shared" ref="C36:BN36" si="24">AVERAGE($B$38:$BN$38)/100*90</f>
        <v>58.403076923076924</v>
      </c>
      <c r="D36" s="194">
        <f t="shared" si="24"/>
        <v>58.403076923076924</v>
      </c>
      <c r="E36" s="194">
        <f t="shared" si="24"/>
        <v>58.403076923076924</v>
      </c>
      <c r="F36" s="194">
        <f t="shared" si="24"/>
        <v>58.403076923076924</v>
      </c>
      <c r="G36" s="194">
        <f t="shared" si="24"/>
        <v>58.403076923076924</v>
      </c>
      <c r="H36" s="194">
        <f t="shared" si="24"/>
        <v>58.403076923076924</v>
      </c>
      <c r="I36" s="194">
        <f t="shared" si="24"/>
        <v>58.403076923076924</v>
      </c>
      <c r="J36" s="194">
        <f t="shared" si="24"/>
        <v>58.403076923076924</v>
      </c>
      <c r="K36" s="194">
        <f t="shared" si="24"/>
        <v>58.403076923076924</v>
      </c>
      <c r="L36" s="194">
        <f t="shared" si="24"/>
        <v>58.403076923076924</v>
      </c>
      <c r="M36" s="194">
        <f t="shared" si="24"/>
        <v>58.403076923076924</v>
      </c>
      <c r="N36" s="194">
        <f t="shared" si="24"/>
        <v>58.403076923076924</v>
      </c>
      <c r="O36" s="194">
        <f t="shared" si="24"/>
        <v>58.403076923076924</v>
      </c>
      <c r="P36" s="194">
        <f t="shared" si="24"/>
        <v>58.403076923076924</v>
      </c>
      <c r="Q36" s="194">
        <f t="shared" si="24"/>
        <v>58.403076923076924</v>
      </c>
      <c r="R36" s="194">
        <f t="shared" si="24"/>
        <v>58.403076923076924</v>
      </c>
      <c r="S36" s="194">
        <f t="shared" si="24"/>
        <v>58.403076923076924</v>
      </c>
      <c r="T36" s="194">
        <f t="shared" si="24"/>
        <v>58.403076923076924</v>
      </c>
      <c r="U36" s="194">
        <f t="shared" si="24"/>
        <v>58.403076923076924</v>
      </c>
      <c r="V36" s="194">
        <f t="shared" si="24"/>
        <v>58.403076923076924</v>
      </c>
      <c r="W36" s="194">
        <f t="shared" si="24"/>
        <v>58.403076923076924</v>
      </c>
      <c r="X36" s="194">
        <f t="shared" si="24"/>
        <v>58.403076923076924</v>
      </c>
      <c r="Y36" s="194">
        <f t="shared" si="24"/>
        <v>58.403076923076924</v>
      </c>
      <c r="Z36" s="194">
        <f t="shared" si="24"/>
        <v>58.403076923076924</v>
      </c>
      <c r="AA36" s="194">
        <f t="shared" si="24"/>
        <v>58.403076923076924</v>
      </c>
      <c r="AB36" s="194">
        <f t="shared" si="24"/>
        <v>58.403076923076924</v>
      </c>
      <c r="AC36" s="194">
        <f t="shared" si="24"/>
        <v>58.403076923076924</v>
      </c>
      <c r="AD36" s="194">
        <f t="shared" si="24"/>
        <v>58.403076923076924</v>
      </c>
      <c r="AE36" s="194">
        <f t="shared" si="24"/>
        <v>58.403076923076924</v>
      </c>
      <c r="AF36" s="194">
        <f t="shared" si="24"/>
        <v>58.403076923076924</v>
      </c>
      <c r="AG36" s="194">
        <f t="shared" si="24"/>
        <v>58.403076923076924</v>
      </c>
      <c r="AH36" s="194">
        <f t="shared" si="24"/>
        <v>58.403076923076924</v>
      </c>
      <c r="AI36" s="194">
        <f t="shared" si="24"/>
        <v>58.403076923076924</v>
      </c>
      <c r="AJ36" s="194">
        <f t="shared" si="24"/>
        <v>58.403076923076924</v>
      </c>
      <c r="AK36" s="194">
        <f t="shared" si="24"/>
        <v>58.403076923076924</v>
      </c>
      <c r="AL36" s="194">
        <f t="shared" si="24"/>
        <v>58.403076923076924</v>
      </c>
      <c r="AM36" s="194">
        <f t="shared" si="24"/>
        <v>58.403076923076924</v>
      </c>
      <c r="AN36" s="194">
        <f t="shared" si="24"/>
        <v>58.403076923076924</v>
      </c>
      <c r="AO36" s="194">
        <f t="shared" si="24"/>
        <v>58.403076923076924</v>
      </c>
      <c r="AP36" s="194">
        <f t="shared" si="24"/>
        <v>58.403076923076924</v>
      </c>
      <c r="AQ36" s="194">
        <f t="shared" si="24"/>
        <v>58.403076923076924</v>
      </c>
      <c r="AR36" s="194">
        <f t="shared" si="24"/>
        <v>58.403076923076924</v>
      </c>
      <c r="AS36" s="194">
        <f t="shared" si="24"/>
        <v>58.403076923076924</v>
      </c>
      <c r="AT36" s="194">
        <f t="shared" si="24"/>
        <v>58.403076923076924</v>
      </c>
      <c r="AU36" s="194">
        <f t="shared" si="24"/>
        <v>58.403076923076924</v>
      </c>
      <c r="AV36" s="194">
        <f t="shared" si="24"/>
        <v>58.403076923076924</v>
      </c>
      <c r="AW36" s="194">
        <f t="shared" si="24"/>
        <v>58.403076923076924</v>
      </c>
      <c r="AX36" s="194">
        <f t="shared" si="24"/>
        <v>58.403076923076924</v>
      </c>
      <c r="AY36" s="194">
        <f t="shared" si="24"/>
        <v>58.403076923076924</v>
      </c>
      <c r="AZ36" s="194">
        <f t="shared" si="24"/>
        <v>58.403076923076924</v>
      </c>
      <c r="BA36" s="194">
        <f t="shared" si="24"/>
        <v>58.403076923076924</v>
      </c>
      <c r="BB36" s="194">
        <f t="shared" si="24"/>
        <v>58.403076923076924</v>
      </c>
      <c r="BC36" s="194">
        <f t="shared" si="24"/>
        <v>58.403076923076924</v>
      </c>
      <c r="BD36" s="194">
        <f t="shared" si="24"/>
        <v>58.403076923076924</v>
      </c>
      <c r="BE36" s="194">
        <f t="shared" si="24"/>
        <v>58.403076923076924</v>
      </c>
      <c r="BF36" s="194">
        <f t="shared" si="24"/>
        <v>58.403076923076924</v>
      </c>
      <c r="BG36" s="194">
        <f t="shared" si="24"/>
        <v>58.403076923076924</v>
      </c>
      <c r="BH36" s="194">
        <f t="shared" si="24"/>
        <v>58.403076923076924</v>
      </c>
      <c r="BI36" s="194">
        <f t="shared" si="24"/>
        <v>58.403076923076924</v>
      </c>
      <c r="BJ36" s="194">
        <f t="shared" si="24"/>
        <v>58.403076923076924</v>
      </c>
      <c r="BK36" s="194">
        <f t="shared" si="24"/>
        <v>58.403076923076924</v>
      </c>
      <c r="BL36" s="194">
        <f t="shared" si="24"/>
        <v>58.403076923076924</v>
      </c>
      <c r="BM36" s="194">
        <f t="shared" si="24"/>
        <v>58.403076923076924</v>
      </c>
      <c r="BN36" s="194">
        <f t="shared" si="24"/>
        <v>58.403076923076924</v>
      </c>
    </row>
    <row r="37" spans="1:66" x14ac:dyDescent="0.25">
      <c r="A37" s="103" t="s">
        <v>673</v>
      </c>
      <c r="B37" s="194">
        <f>AVERAGE($B$38:$BN$38)+(AVERAGE($B$38:$BN$38)/100*10)</f>
        <v>71.381538461538469</v>
      </c>
      <c r="C37" s="194">
        <f t="shared" ref="C37:BN37" si="25">AVERAGE($B$38:$BN$38)+(AVERAGE($B$38:$BN$38)/100*10)</f>
        <v>71.381538461538469</v>
      </c>
      <c r="D37" s="194">
        <f t="shared" si="25"/>
        <v>71.381538461538469</v>
      </c>
      <c r="E37" s="194">
        <f t="shared" si="25"/>
        <v>71.381538461538469</v>
      </c>
      <c r="F37" s="194">
        <f t="shared" si="25"/>
        <v>71.381538461538469</v>
      </c>
      <c r="G37" s="194">
        <f t="shared" si="25"/>
        <v>71.381538461538469</v>
      </c>
      <c r="H37" s="194">
        <f t="shared" si="25"/>
        <v>71.381538461538469</v>
      </c>
      <c r="I37" s="194">
        <f t="shared" si="25"/>
        <v>71.381538461538469</v>
      </c>
      <c r="J37" s="194">
        <f t="shared" si="25"/>
        <v>71.381538461538469</v>
      </c>
      <c r="K37" s="194">
        <f t="shared" si="25"/>
        <v>71.381538461538469</v>
      </c>
      <c r="L37" s="194">
        <f t="shared" si="25"/>
        <v>71.381538461538469</v>
      </c>
      <c r="M37" s="194">
        <f t="shared" si="25"/>
        <v>71.381538461538469</v>
      </c>
      <c r="N37" s="194">
        <f t="shared" si="25"/>
        <v>71.381538461538469</v>
      </c>
      <c r="O37" s="194">
        <f t="shared" si="25"/>
        <v>71.381538461538469</v>
      </c>
      <c r="P37" s="194">
        <f t="shared" si="25"/>
        <v>71.381538461538469</v>
      </c>
      <c r="Q37" s="194">
        <f t="shared" si="25"/>
        <v>71.381538461538469</v>
      </c>
      <c r="R37" s="194">
        <f t="shared" si="25"/>
        <v>71.381538461538469</v>
      </c>
      <c r="S37" s="194">
        <f t="shared" si="25"/>
        <v>71.381538461538469</v>
      </c>
      <c r="T37" s="194">
        <f t="shared" si="25"/>
        <v>71.381538461538469</v>
      </c>
      <c r="U37" s="194">
        <f t="shared" si="25"/>
        <v>71.381538461538469</v>
      </c>
      <c r="V37" s="194">
        <f t="shared" si="25"/>
        <v>71.381538461538469</v>
      </c>
      <c r="W37" s="194">
        <f t="shared" si="25"/>
        <v>71.381538461538469</v>
      </c>
      <c r="X37" s="194">
        <f t="shared" si="25"/>
        <v>71.381538461538469</v>
      </c>
      <c r="Y37" s="194">
        <f t="shared" si="25"/>
        <v>71.381538461538469</v>
      </c>
      <c r="Z37" s="194">
        <f t="shared" si="25"/>
        <v>71.381538461538469</v>
      </c>
      <c r="AA37" s="194">
        <f t="shared" si="25"/>
        <v>71.381538461538469</v>
      </c>
      <c r="AB37" s="194">
        <f t="shared" si="25"/>
        <v>71.381538461538469</v>
      </c>
      <c r="AC37" s="194">
        <f t="shared" si="25"/>
        <v>71.381538461538469</v>
      </c>
      <c r="AD37" s="194">
        <f t="shared" si="25"/>
        <v>71.381538461538469</v>
      </c>
      <c r="AE37" s="194">
        <f t="shared" si="25"/>
        <v>71.381538461538469</v>
      </c>
      <c r="AF37" s="194">
        <f t="shared" si="25"/>
        <v>71.381538461538469</v>
      </c>
      <c r="AG37" s="194">
        <f t="shared" si="25"/>
        <v>71.381538461538469</v>
      </c>
      <c r="AH37" s="194">
        <f t="shared" si="25"/>
        <v>71.381538461538469</v>
      </c>
      <c r="AI37" s="194">
        <f t="shared" si="25"/>
        <v>71.381538461538469</v>
      </c>
      <c r="AJ37" s="194">
        <f t="shared" si="25"/>
        <v>71.381538461538469</v>
      </c>
      <c r="AK37" s="194">
        <f t="shared" si="25"/>
        <v>71.381538461538469</v>
      </c>
      <c r="AL37" s="194">
        <f t="shared" si="25"/>
        <v>71.381538461538469</v>
      </c>
      <c r="AM37" s="194">
        <f t="shared" si="25"/>
        <v>71.381538461538469</v>
      </c>
      <c r="AN37" s="194">
        <f t="shared" si="25"/>
        <v>71.381538461538469</v>
      </c>
      <c r="AO37" s="194">
        <f t="shared" si="25"/>
        <v>71.381538461538469</v>
      </c>
      <c r="AP37" s="194">
        <f t="shared" si="25"/>
        <v>71.381538461538469</v>
      </c>
      <c r="AQ37" s="194">
        <f t="shared" si="25"/>
        <v>71.381538461538469</v>
      </c>
      <c r="AR37" s="194">
        <f t="shared" si="25"/>
        <v>71.381538461538469</v>
      </c>
      <c r="AS37" s="194">
        <f t="shared" si="25"/>
        <v>71.381538461538469</v>
      </c>
      <c r="AT37" s="194">
        <f t="shared" si="25"/>
        <v>71.381538461538469</v>
      </c>
      <c r="AU37" s="194">
        <f t="shared" si="25"/>
        <v>71.381538461538469</v>
      </c>
      <c r="AV37" s="194">
        <f t="shared" si="25"/>
        <v>71.381538461538469</v>
      </c>
      <c r="AW37" s="194">
        <f t="shared" si="25"/>
        <v>71.381538461538469</v>
      </c>
      <c r="AX37" s="194">
        <f t="shared" si="25"/>
        <v>71.381538461538469</v>
      </c>
      <c r="AY37" s="194">
        <f t="shared" si="25"/>
        <v>71.381538461538469</v>
      </c>
      <c r="AZ37" s="194">
        <f t="shared" si="25"/>
        <v>71.381538461538469</v>
      </c>
      <c r="BA37" s="194">
        <f t="shared" si="25"/>
        <v>71.381538461538469</v>
      </c>
      <c r="BB37" s="194">
        <f t="shared" si="25"/>
        <v>71.381538461538469</v>
      </c>
      <c r="BC37" s="194">
        <f t="shared" si="25"/>
        <v>71.381538461538469</v>
      </c>
      <c r="BD37" s="194">
        <f t="shared" si="25"/>
        <v>71.381538461538469</v>
      </c>
      <c r="BE37" s="194">
        <f t="shared" si="25"/>
        <v>71.381538461538469</v>
      </c>
      <c r="BF37" s="194">
        <f t="shared" si="25"/>
        <v>71.381538461538469</v>
      </c>
      <c r="BG37" s="194">
        <f t="shared" si="25"/>
        <v>71.381538461538469</v>
      </c>
      <c r="BH37" s="194">
        <f t="shared" si="25"/>
        <v>71.381538461538469</v>
      </c>
      <c r="BI37" s="194">
        <f t="shared" si="25"/>
        <v>71.381538461538469</v>
      </c>
      <c r="BJ37" s="194">
        <f t="shared" si="25"/>
        <v>71.381538461538469</v>
      </c>
      <c r="BK37" s="194">
        <f t="shared" si="25"/>
        <v>71.381538461538469</v>
      </c>
      <c r="BL37" s="194">
        <f t="shared" si="25"/>
        <v>71.381538461538469</v>
      </c>
      <c r="BM37" s="194">
        <f t="shared" si="25"/>
        <v>71.381538461538469</v>
      </c>
      <c r="BN37" s="194">
        <f t="shared" si="25"/>
        <v>71.381538461538469</v>
      </c>
    </row>
    <row r="38" spans="1:66" x14ac:dyDescent="0.25">
      <c r="A38" s="103" t="s">
        <v>673</v>
      </c>
      <c r="B38" s="100">
        <v>83</v>
      </c>
      <c r="C38" s="100">
        <v>15</v>
      </c>
      <c r="D38" s="100">
        <v>51</v>
      </c>
      <c r="E38" s="100">
        <v>65</v>
      </c>
      <c r="F38" s="100">
        <v>58</v>
      </c>
      <c r="G38" s="100">
        <v>60</v>
      </c>
      <c r="H38" s="100">
        <v>52</v>
      </c>
      <c r="I38" s="100">
        <v>50</v>
      </c>
      <c r="J38" s="165">
        <v>51</v>
      </c>
      <c r="K38" s="100">
        <v>38</v>
      </c>
      <c r="L38" s="165">
        <v>75</v>
      </c>
      <c r="M38" s="165">
        <v>47</v>
      </c>
      <c r="N38" s="165">
        <v>60</v>
      </c>
      <c r="O38" s="165">
        <v>55</v>
      </c>
      <c r="P38" s="165">
        <v>52</v>
      </c>
      <c r="Q38" s="165">
        <v>59</v>
      </c>
      <c r="R38" s="165">
        <v>62</v>
      </c>
      <c r="S38" s="165">
        <v>45</v>
      </c>
      <c r="T38" s="165">
        <v>55</v>
      </c>
      <c r="U38" s="165">
        <v>59</v>
      </c>
      <c r="V38" s="165">
        <v>57</v>
      </c>
      <c r="W38" s="165">
        <v>49</v>
      </c>
      <c r="X38" s="165">
        <v>47</v>
      </c>
      <c r="Y38" s="165">
        <v>59</v>
      </c>
      <c r="Z38" s="165">
        <v>62</v>
      </c>
      <c r="AA38" s="165">
        <v>60</v>
      </c>
      <c r="AB38" s="165">
        <v>48</v>
      </c>
      <c r="AC38" s="59">
        <v>60</v>
      </c>
      <c r="AD38" s="173">
        <v>68</v>
      </c>
      <c r="AE38" s="173">
        <v>59</v>
      </c>
      <c r="AF38" s="173">
        <v>60</v>
      </c>
      <c r="AG38" s="173">
        <v>65</v>
      </c>
      <c r="AH38" s="173">
        <v>66</v>
      </c>
      <c r="AI38" s="173">
        <v>52</v>
      </c>
      <c r="AJ38" s="173">
        <v>67</v>
      </c>
      <c r="AK38" s="173">
        <v>64</v>
      </c>
      <c r="AL38" s="173">
        <v>70</v>
      </c>
      <c r="AM38" s="173">
        <v>60</v>
      </c>
      <c r="AN38" s="173">
        <v>58</v>
      </c>
      <c r="AO38" s="173">
        <v>68</v>
      </c>
      <c r="AP38" s="173">
        <v>73</v>
      </c>
      <c r="AQ38" s="173">
        <v>61</v>
      </c>
      <c r="AR38" s="173">
        <v>69</v>
      </c>
      <c r="AS38" s="173">
        <v>67</v>
      </c>
      <c r="AT38" s="173">
        <v>68</v>
      </c>
      <c r="AU38" s="173">
        <v>70</v>
      </c>
      <c r="AV38" s="173">
        <v>69</v>
      </c>
      <c r="AW38" s="173">
        <v>67</v>
      </c>
      <c r="AX38" s="173">
        <v>63</v>
      </c>
      <c r="AY38" s="173">
        <v>57</v>
      </c>
      <c r="AZ38" s="173">
        <v>65</v>
      </c>
      <c r="BA38" s="59">
        <v>78</v>
      </c>
      <c r="BB38" s="59">
        <v>87</v>
      </c>
      <c r="BC38" s="59">
        <v>76</v>
      </c>
      <c r="BD38" s="59">
        <v>75</v>
      </c>
      <c r="BE38" s="172">
        <v>93</v>
      </c>
      <c r="BF38" s="172">
        <v>82</v>
      </c>
      <c r="BG38" s="172">
        <v>86</v>
      </c>
      <c r="BH38" s="172">
        <v>96</v>
      </c>
      <c r="BI38" s="172">
        <v>51</v>
      </c>
      <c r="BJ38" s="172">
        <v>77</v>
      </c>
      <c r="BK38" s="172">
        <v>93</v>
      </c>
      <c r="BL38" s="172">
        <v>99</v>
      </c>
      <c r="BM38" s="172">
        <v>99</v>
      </c>
      <c r="BN38" s="172">
        <v>106</v>
      </c>
    </row>
    <row r="39" spans="1:66" x14ac:dyDescent="0.25">
      <c r="A39" s="102" t="s">
        <v>673</v>
      </c>
      <c r="B39" s="194">
        <f>AVERAGE($B$38:$BN$38)/100*80</f>
        <v>51.913846153846151</v>
      </c>
      <c r="C39" s="194">
        <f t="shared" ref="C39:BN39" si="26">AVERAGE($B$38:$BN$38)/100*80</f>
        <v>51.913846153846151</v>
      </c>
      <c r="D39" s="194">
        <f t="shared" si="26"/>
        <v>51.913846153846151</v>
      </c>
      <c r="E39" s="194">
        <f t="shared" si="26"/>
        <v>51.913846153846151</v>
      </c>
      <c r="F39" s="194">
        <f t="shared" si="26"/>
        <v>51.913846153846151</v>
      </c>
      <c r="G39" s="194">
        <f t="shared" si="26"/>
        <v>51.913846153846151</v>
      </c>
      <c r="H39" s="194">
        <f t="shared" si="26"/>
        <v>51.913846153846151</v>
      </c>
      <c r="I39" s="194">
        <f t="shared" si="26"/>
        <v>51.913846153846151</v>
      </c>
      <c r="J39" s="194">
        <f t="shared" si="26"/>
        <v>51.913846153846151</v>
      </c>
      <c r="K39" s="194">
        <f t="shared" si="26"/>
        <v>51.913846153846151</v>
      </c>
      <c r="L39" s="194">
        <f t="shared" si="26"/>
        <v>51.913846153846151</v>
      </c>
      <c r="M39" s="194">
        <f t="shared" si="26"/>
        <v>51.913846153846151</v>
      </c>
      <c r="N39" s="194">
        <f t="shared" si="26"/>
        <v>51.913846153846151</v>
      </c>
      <c r="O39" s="194">
        <f t="shared" si="26"/>
        <v>51.913846153846151</v>
      </c>
      <c r="P39" s="194">
        <f t="shared" si="26"/>
        <v>51.913846153846151</v>
      </c>
      <c r="Q39" s="194">
        <f t="shared" si="26"/>
        <v>51.913846153846151</v>
      </c>
      <c r="R39" s="194">
        <f t="shared" si="26"/>
        <v>51.913846153846151</v>
      </c>
      <c r="S39" s="194">
        <f t="shared" si="26"/>
        <v>51.913846153846151</v>
      </c>
      <c r="T39" s="194">
        <f t="shared" si="26"/>
        <v>51.913846153846151</v>
      </c>
      <c r="U39" s="194">
        <f t="shared" si="26"/>
        <v>51.913846153846151</v>
      </c>
      <c r="V39" s="194">
        <f t="shared" si="26"/>
        <v>51.913846153846151</v>
      </c>
      <c r="W39" s="194">
        <f t="shared" si="26"/>
        <v>51.913846153846151</v>
      </c>
      <c r="X39" s="194">
        <f t="shared" si="26"/>
        <v>51.913846153846151</v>
      </c>
      <c r="Y39" s="194">
        <f t="shared" si="26"/>
        <v>51.913846153846151</v>
      </c>
      <c r="Z39" s="194">
        <f t="shared" si="26"/>
        <v>51.913846153846151</v>
      </c>
      <c r="AA39" s="194">
        <f t="shared" si="26"/>
        <v>51.913846153846151</v>
      </c>
      <c r="AB39" s="194">
        <f t="shared" si="26"/>
        <v>51.913846153846151</v>
      </c>
      <c r="AC39" s="194">
        <f t="shared" si="26"/>
        <v>51.913846153846151</v>
      </c>
      <c r="AD39" s="194">
        <f t="shared" si="26"/>
        <v>51.913846153846151</v>
      </c>
      <c r="AE39" s="194">
        <f t="shared" si="26"/>
        <v>51.913846153846151</v>
      </c>
      <c r="AF39" s="194">
        <f t="shared" si="26"/>
        <v>51.913846153846151</v>
      </c>
      <c r="AG39" s="194">
        <f t="shared" si="26"/>
        <v>51.913846153846151</v>
      </c>
      <c r="AH39" s="194">
        <f t="shared" si="26"/>
        <v>51.913846153846151</v>
      </c>
      <c r="AI39" s="194">
        <f t="shared" si="26"/>
        <v>51.913846153846151</v>
      </c>
      <c r="AJ39" s="194">
        <f t="shared" si="26"/>
        <v>51.913846153846151</v>
      </c>
      <c r="AK39" s="194">
        <f t="shared" si="26"/>
        <v>51.913846153846151</v>
      </c>
      <c r="AL39" s="194">
        <f t="shared" si="26"/>
        <v>51.913846153846151</v>
      </c>
      <c r="AM39" s="194">
        <f t="shared" si="26"/>
        <v>51.913846153846151</v>
      </c>
      <c r="AN39" s="194">
        <f t="shared" si="26"/>
        <v>51.913846153846151</v>
      </c>
      <c r="AO39" s="194">
        <f t="shared" si="26"/>
        <v>51.913846153846151</v>
      </c>
      <c r="AP39" s="194">
        <f t="shared" si="26"/>
        <v>51.913846153846151</v>
      </c>
      <c r="AQ39" s="194">
        <f t="shared" si="26"/>
        <v>51.913846153846151</v>
      </c>
      <c r="AR39" s="194">
        <f t="shared" si="26"/>
        <v>51.913846153846151</v>
      </c>
      <c r="AS39" s="194">
        <f t="shared" si="26"/>
        <v>51.913846153846151</v>
      </c>
      <c r="AT39" s="194">
        <f t="shared" si="26"/>
        <v>51.913846153846151</v>
      </c>
      <c r="AU39" s="194">
        <f t="shared" si="26"/>
        <v>51.913846153846151</v>
      </c>
      <c r="AV39" s="194">
        <f t="shared" si="26"/>
        <v>51.913846153846151</v>
      </c>
      <c r="AW39" s="194">
        <f t="shared" si="26"/>
        <v>51.913846153846151</v>
      </c>
      <c r="AX39" s="194">
        <f t="shared" si="26"/>
        <v>51.913846153846151</v>
      </c>
      <c r="AY39" s="194">
        <f t="shared" si="26"/>
        <v>51.913846153846151</v>
      </c>
      <c r="AZ39" s="194">
        <f t="shared" si="26"/>
        <v>51.913846153846151</v>
      </c>
      <c r="BA39" s="194">
        <f t="shared" si="26"/>
        <v>51.913846153846151</v>
      </c>
      <c r="BB39" s="194">
        <f t="shared" si="26"/>
        <v>51.913846153846151</v>
      </c>
      <c r="BC39" s="194">
        <f t="shared" si="26"/>
        <v>51.913846153846151</v>
      </c>
      <c r="BD39" s="194">
        <f t="shared" si="26"/>
        <v>51.913846153846151</v>
      </c>
      <c r="BE39" s="194">
        <f t="shared" si="26"/>
        <v>51.913846153846151</v>
      </c>
      <c r="BF39" s="194">
        <f t="shared" si="26"/>
        <v>51.913846153846151</v>
      </c>
      <c r="BG39" s="194">
        <f t="shared" si="26"/>
        <v>51.913846153846151</v>
      </c>
      <c r="BH39" s="194">
        <f t="shared" si="26"/>
        <v>51.913846153846151</v>
      </c>
      <c r="BI39" s="194">
        <f t="shared" si="26"/>
        <v>51.913846153846151</v>
      </c>
      <c r="BJ39" s="194">
        <f t="shared" si="26"/>
        <v>51.913846153846151</v>
      </c>
      <c r="BK39" s="194">
        <f t="shared" si="26"/>
        <v>51.913846153846151</v>
      </c>
      <c r="BL39" s="194">
        <f t="shared" si="26"/>
        <v>51.913846153846151</v>
      </c>
      <c r="BM39" s="194">
        <f t="shared" si="26"/>
        <v>51.913846153846151</v>
      </c>
      <c r="BN39" s="194">
        <f t="shared" si="26"/>
        <v>51.913846153846151</v>
      </c>
    </row>
    <row r="40" spans="1:66" x14ac:dyDescent="0.25">
      <c r="A40" s="102" t="s">
        <v>673</v>
      </c>
      <c r="B40" s="194">
        <f>AVERAGE($B$38:$BN$38)+(AVERAGE($B$38:$BN$38)/100*20)</f>
        <v>77.870769230769241</v>
      </c>
      <c r="C40" s="194">
        <f t="shared" ref="C40:BN40" si="27">AVERAGE($B$38:$BN$38)+(AVERAGE($B$38:$BN$38)/100*20)</f>
        <v>77.870769230769241</v>
      </c>
      <c r="D40" s="194">
        <f t="shared" si="27"/>
        <v>77.870769230769241</v>
      </c>
      <c r="E40" s="194">
        <f t="shared" si="27"/>
        <v>77.870769230769241</v>
      </c>
      <c r="F40" s="194">
        <f t="shared" si="27"/>
        <v>77.870769230769241</v>
      </c>
      <c r="G40" s="194">
        <f t="shared" si="27"/>
        <v>77.870769230769241</v>
      </c>
      <c r="H40" s="194">
        <f t="shared" si="27"/>
        <v>77.870769230769241</v>
      </c>
      <c r="I40" s="194">
        <f t="shared" si="27"/>
        <v>77.870769230769241</v>
      </c>
      <c r="J40" s="194">
        <f t="shared" si="27"/>
        <v>77.870769230769241</v>
      </c>
      <c r="K40" s="194">
        <f t="shared" si="27"/>
        <v>77.870769230769241</v>
      </c>
      <c r="L40" s="194">
        <f t="shared" si="27"/>
        <v>77.870769230769241</v>
      </c>
      <c r="M40" s="194">
        <f t="shared" si="27"/>
        <v>77.870769230769241</v>
      </c>
      <c r="N40" s="194">
        <f t="shared" si="27"/>
        <v>77.870769230769241</v>
      </c>
      <c r="O40" s="194">
        <f t="shared" si="27"/>
        <v>77.870769230769241</v>
      </c>
      <c r="P40" s="194">
        <f t="shared" si="27"/>
        <v>77.870769230769241</v>
      </c>
      <c r="Q40" s="194">
        <f t="shared" si="27"/>
        <v>77.870769230769241</v>
      </c>
      <c r="R40" s="194">
        <f t="shared" si="27"/>
        <v>77.870769230769241</v>
      </c>
      <c r="S40" s="194">
        <f t="shared" si="27"/>
        <v>77.870769230769241</v>
      </c>
      <c r="T40" s="194">
        <f t="shared" si="27"/>
        <v>77.870769230769241</v>
      </c>
      <c r="U40" s="194">
        <f t="shared" si="27"/>
        <v>77.870769230769241</v>
      </c>
      <c r="V40" s="194">
        <f t="shared" si="27"/>
        <v>77.870769230769241</v>
      </c>
      <c r="W40" s="194">
        <f t="shared" si="27"/>
        <v>77.870769230769241</v>
      </c>
      <c r="X40" s="194">
        <f t="shared" si="27"/>
        <v>77.870769230769241</v>
      </c>
      <c r="Y40" s="194">
        <f t="shared" si="27"/>
        <v>77.870769230769241</v>
      </c>
      <c r="Z40" s="194">
        <f t="shared" si="27"/>
        <v>77.870769230769241</v>
      </c>
      <c r="AA40" s="194">
        <f t="shared" si="27"/>
        <v>77.870769230769241</v>
      </c>
      <c r="AB40" s="194">
        <f t="shared" si="27"/>
        <v>77.870769230769241</v>
      </c>
      <c r="AC40" s="194">
        <f t="shared" si="27"/>
        <v>77.870769230769241</v>
      </c>
      <c r="AD40" s="194">
        <f t="shared" si="27"/>
        <v>77.870769230769241</v>
      </c>
      <c r="AE40" s="194">
        <f t="shared" si="27"/>
        <v>77.870769230769241</v>
      </c>
      <c r="AF40" s="194">
        <f t="shared" si="27"/>
        <v>77.870769230769241</v>
      </c>
      <c r="AG40" s="194">
        <f t="shared" si="27"/>
        <v>77.870769230769241</v>
      </c>
      <c r="AH40" s="194">
        <f t="shared" si="27"/>
        <v>77.870769230769241</v>
      </c>
      <c r="AI40" s="194">
        <f t="shared" si="27"/>
        <v>77.870769230769241</v>
      </c>
      <c r="AJ40" s="194">
        <f t="shared" si="27"/>
        <v>77.870769230769241</v>
      </c>
      <c r="AK40" s="194">
        <f t="shared" si="27"/>
        <v>77.870769230769241</v>
      </c>
      <c r="AL40" s="194">
        <f t="shared" si="27"/>
        <v>77.870769230769241</v>
      </c>
      <c r="AM40" s="194">
        <f t="shared" si="27"/>
        <v>77.870769230769241</v>
      </c>
      <c r="AN40" s="194">
        <f t="shared" si="27"/>
        <v>77.870769230769241</v>
      </c>
      <c r="AO40" s="194">
        <f t="shared" si="27"/>
        <v>77.870769230769241</v>
      </c>
      <c r="AP40" s="194">
        <f t="shared" si="27"/>
        <v>77.870769230769241</v>
      </c>
      <c r="AQ40" s="194">
        <f t="shared" si="27"/>
        <v>77.870769230769241</v>
      </c>
      <c r="AR40" s="194">
        <f t="shared" si="27"/>
        <v>77.870769230769241</v>
      </c>
      <c r="AS40" s="194">
        <f t="shared" si="27"/>
        <v>77.870769230769241</v>
      </c>
      <c r="AT40" s="194">
        <f t="shared" si="27"/>
        <v>77.870769230769241</v>
      </c>
      <c r="AU40" s="194">
        <f t="shared" si="27"/>
        <v>77.870769230769241</v>
      </c>
      <c r="AV40" s="194">
        <f t="shared" si="27"/>
        <v>77.870769230769241</v>
      </c>
      <c r="AW40" s="194">
        <f t="shared" si="27"/>
        <v>77.870769230769241</v>
      </c>
      <c r="AX40" s="194">
        <f t="shared" si="27"/>
        <v>77.870769230769241</v>
      </c>
      <c r="AY40" s="194">
        <f t="shared" si="27"/>
        <v>77.870769230769241</v>
      </c>
      <c r="AZ40" s="194">
        <f t="shared" si="27"/>
        <v>77.870769230769241</v>
      </c>
      <c r="BA40" s="194">
        <f t="shared" si="27"/>
        <v>77.870769230769241</v>
      </c>
      <c r="BB40" s="194">
        <f t="shared" si="27"/>
        <v>77.870769230769241</v>
      </c>
      <c r="BC40" s="194">
        <f t="shared" si="27"/>
        <v>77.870769230769241</v>
      </c>
      <c r="BD40" s="194">
        <f t="shared" si="27"/>
        <v>77.870769230769241</v>
      </c>
      <c r="BE40" s="194">
        <f t="shared" si="27"/>
        <v>77.870769230769241</v>
      </c>
      <c r="BF40" s="194">
        <f t="shared" si="27"/>
        <v>77.870769230769241</v>
      </c>
      <c r="BG40" s="194">
        <f t="shared" si="27"/>
        <v>77.870769230769241</v>
      </c>
      <c r="BH40" s="194">
        <f t="shared" si="27"/>
        <v>77.870769230769241</v>
      </c>
      <c r="BI40" s="194">
        <f t="shared" si="27"/>
        <v>77.870769230769241</v>
      </c>
      <c r="BJ40" s="194">
        <f t="shared" si="27"/>
        <v>77.870769230769241</v>
      </c>
      <c r="BK40" s="194">
        <f t="shared" si="27"/>
        <v>77.870769230769241</v>
      </c>
      <c r="BL40" s="194">
        <f t="shared" si="27"/>
        <v>77.870769230769241</v>
      </c>
      <c r="BM40" s="194">
        <f t="shared" si="27"/>
        <v>77.870769230769241</v>
      </c>
      <c r="BN40" s="194">
        <f t="shared" si="27"/>
        <v>77.870769230769241</v>
      </c>
    </row>
    <row r="41" spans="1:66" x14ac:dyDescent="0.25">
      <c r="A41" s="102"/>
      <c r="B41" s="194"/>
      <c r="C41" s="194"/>
      <c r="D41" s="194"/>
      <c r="E41" s="194"/>
      <c r="F41" s="194"/>
      <c r="G41" s="194"/>
      <c r="H41" s="194"/>
      <c r="I41" s="194"/>
      <c r="J41" s="194"/>
      <c r="K41" s="194"/>
      <c r="L41" s="194"/>
      <c r="M41" s="194"/>
      <c r="N41" s="194"/>
      <c r="O41" s="194"/>
      <c r="P41" s="194"/>
      <c r="Q41" s="194"/>
      <c r="R41" s="194"/>
      <c r="S41" s="194"/>
      <c r="T41" s="194"/>
      <c r="U41" s="194"/>
      <c r="V41" s="194"/>
      <c r="W41" s="194"/>
      <c r="X41" s="194"/>
      <c r="Y41" s="194"/>
      <c r="Z41" s="194"/>
      <c r="AA41" s="194"/>
      <c r="AB41" s="194"/>
      <c r="AC41" s="194"/>
      <c r="AD41" s="194"/>
      <c r="AE41" s="194"/>
      <c r="AF41" s="194"/>
      <c r="AG41" s="194"/>
      <c r="AH41" s="194"/>
      <c r="AI41" s="194"/>
      <c r="AJ41" s="194"/>
      <c r="AK41" s="194"/>
      <c r="AL41" s="194"/>
      <c r="AM41" s="194"/>
      <c r="AN41" s="194"/>
      <c r="AO41" s="194"/>
      <c r="AP41" s="194"/>
      <c r="AQ41" s="194"/>
      <c r="AR41" s="194"/>
      <c r="AS41" s="194"/>
      <c r="AT41" s="194"/>
      <c r="AU41" s="194"/>
      <c r="AV41" s="194"/>
      <c r="AW41" s="194"/>
      <c r="AX41" s="194"/>
      <c r="AY41" s="194"/>
      <c r="AZ41" s="194"/>
      <c r="BA41" s="194"/>
      <c r="BB41" s="194"/>
      <c r="BC41" s="194"/>
      <c r="BD41" s="194"/>
      <c r="BE41" s="194"/>
      <c r="BF41" s="194"/>
      <c r="BG41" s="194"/>
      <c r="BH41" s="194"/>
      <c r="BI41" s="194"/>
      <c r="BJ41" s="194"/>
      <c r="BK41" s="194"/>
      <c r="BL41" s="194"/>
      <c r="BM41" s="194"/>
      <c r="BN41" s="194"/>
    </row>
    <row r="42" spans="1:66" x14ac:dyDescent="0.25">
      <c r="A42" s="116" t="s">
        <v>306</v>
      </c>
      <c r="B42" s="196">
        <f>IF(B5&gt;=B3,15,0)</f>
        <v>15</v>
      </c>
      <c r="C42" s="196">
        <f t="shared" ref="C42:BN42" si="28">IF(C5&gt;=C3,15,0)</f>
        <v>15</v>
      </c>
      <c r="D42" s="196">
        <f t="shared" si="28"/>
        <v>15</v>
      </c>
      <c r="E42" s="196">
        <f t="shared" si="28"/>
        <v>15</v>
      </c>
      <c r="F42" s="196">
        <f t="shared" si="28"/>
        <v>0</v>
      </c>
      <c r="G42" s="196">
        <f t="shared" si="28"/>
        <v>0</v>
      </c>
      <c r="H42" s="196">
        <f t="shared" si="28"/>
        <v>15</v>
      </c>
      <c r="I42" s="196">
        <f t="shared" si="28"/>
        <v>15</v>
      </c>
      <c r="J42" s="196">
        <f t="shared" si="28"/>
        <v>15</v>
      </c>
      <c r="K42" s="196">
        <f t="shared" si="28"/>
        <v>15</v>
      </c>
      <c r="L42" s="196">
        <f t="shared" si="28"/>
        <v>0</v>
      </c>
      <c r="M42" s="196">
        <f t="shared" si="28"/>
        <v>15</v>
      </c>
      <c r="N42" s="196">
        <f t="shared" si="28"/>
        <v>15</v>
      </c>
      <c r="O42" s="196">
        <f t="shared" si="28"/>
        <v>0</v>
      </c>
      <c r="P42" s="196">
        <f t="shared" si="28"/>
        <v>15</v>
      </c>
      <c r="Q42" s="196">
        <f t="shared" si="28"/>
        <v>15</v>
      </c>
      <c r="R42" s="196">
        <f t="shared" si="28"/>
        <v>15</v>
      </c>
      <c r="S42" s="196">
        <f t="shared" si="28"/>
        <v>0</v>
      </c>
      <c r="T42" s="196">
        <f t="shared" si="28"/>
        <v>15</v>
      </c>
      <c r="U42" s="196">
        <f t="shared" si="28"/>
        <v>15</v>
      </c>
      <c r="V42" s="196">
        <f t="shared" si="28"/>
        <v>15</v>
      </c>
      <c r="W42" s="196">
        <f t="shared" si="28"/>
        <v>15</v>
      </c>
      <c r="X42" s="196">
        <f t="shared" si="28"/>
        <v>0</v>
      </c>
      <c r="Y42" s="196">
        <f t="shared" si="28"/>
        <v>0</v>
      </c>
      <c r="Z42" s="196">
        <f t="shared" si="28"/>
        <v>0</v>
      </c>
      <c r="AA42" s="196">
        <f t="shared" si="28"/>
        <v>0</v>
      </c>
      <c r="AB42" s="196">
        <f t="shared" si="28"/>
        <v>0</v>
      </c>
      <c r="AC42" s="196">
        <f t="shared" si="28"/>
        <v>15</v>
      </c>
      <c r="AD42" s="196">
        <f t="shared" si="28"/>
        <v>0</v>
      </c>
      <c r="AE42" s="196">
        <f t="shared" si="28"/>
        <v>15</v>
      </c>
      <c r="AF42" s="196">
        <f t="shared" si="28"/>
        <v>15</v>
      </c>
      <c r="AG42" s="196">
        <f t="shared" si="28"/>
        <v>15</v>
      </c>
      <c r="AH42" s="196">
        <f t="shared" si="28"/>
        <v>15</v>
      </c>
      <c r="AI42" s="196">
        <f t="shared" si="28"/>
        <v>15</v>
      </c>
      <c r="AJ42" s="196">
        <f t="shared" si="28"/>
        <v>0</v>
      </c>
      <c r="AK42" s="196">
        <f t="shared" si="28"/>
        <v>15</v>
      </c>
      <c r="AL42" s="196">
        <f t="shared" si="28"/>
        <v>15</v>
      </c>
      <c r="AM42" s="196">
        <f t="shared" si="28"/>
        <v>15</v>
      </c>
      <c r="AN42" s="196">
        <f t="shared" si="28"/>
        <v>0</v>
      </c>
      <c r="AO42" s="196">
        <f t="shared" si="28"/>
        <v>15</v>
      </c>
      <c r="AP42" s="196">
        <f t="shared" si="28"/>
        <v>0</v>
      </c>
      <c r="AQ42" s="196">
        <f t="shared" si="28"/>
        <v>0</v>
      </c>
      <c r="AR42" s="196">
        <f t="shared" si="28"/>
        <v>15</v>
      </c>
      <c r="AS42" s="196">
        <f t="shared" si="28"/>
        <v>0</v>
      </c>
      <c r="AT42" s="196">
        <f t="shared" si="28"/>
        <v>0</v>
      </c>
      <c r="AU42" s="196">
        <f t="shared" si="28"/>
        <v>15</v>
      </c>
      <c r="AV42" s="196">
        <f t="shared" si="28"/>
        <v>15</v>
      </c>
      <c r="AW42" s="196">
        <f t="shared" si="28"/>
        <v>0</v>
      </c>
      <c r="AX42" s="196">
        <f t="shared" si="28"/>
        <v>15</v>
      </c>
      <c r="AY42" s="196">
        <f t="shared" si="28"/>
        <v>15</v>
      </c>
      <c r="AZ42" s="196">
        <f t="shared" si="28"/>
        <v>15</v>
      </c>
      <c r="BA42" s="196">
        <f t="shared" si="28"/>
        <v>15</v>
      </c>
      <c r="BB42" s="196">
        <f t="shared" si="28"/>
        <v>15</v>
      </c>
      <c r="BC42" s="196">
        <f t="shared" si="28"/>
        <v>15</v>
      </c>
      <c r="BD42" s="196">
        <f t="shared" si="28"/>
        <v>15</v>
      </c>
      <c r="BE42" s="196">
        <f t="shared" si="28"/>
        <v>15</v>
      </c>
      <c r="BF42" s="196">
        <f t="shared" si="28"/>
        <v>15</v>
      </c>
      <c r="BG42" s="196">
        <f t="shared" si="28"/>
        <v>15</v>
      </c>
      <c r="BH42" s="196">
        <f t="shared" si="28"/>
        <v>15</v>
      </c>
      <c r="BI42" s="196">
        <f t="shared" si="28"/>
        <v>15</v>
      </c>
      <c r="BJ42" s="196">
        <f t="shared" si="28"/>
        <v>15</v>
      </c>
      <c r="BK42" s="196">
        <f t="shared" si="28"/>
        <v>15</v>
      </c>
      <c r="BL42" s="196">
        <f t="shared" si="28"/>
        <v>15</v>
      </c>
      <c r="BM42" s="196">
        <f t="shared" si="28"/>
        <v>15</v>
      </c>
      <c r="BN42" s="196">
        <f t="shared" si="28"/>
        <v>15</v>
      </c>
    </row>
    <row r="43" spans="1:66" x14ac:dyDescent="0.25">
      <c r="A43" s="116" t="s">
        <v>307</v>
      </c>
      <c r="B43" s="196">
        <f>IF(B10&gt;=B11,10,0)</f>
        <v>10</v>
      </c>
      <c r="C43" s="196">
        <f t="shared" ref="C43:BN43" si="29">IF(C10&gt;=C11,10,0)</f>
        <v>10</v>
      </c>
      <c r="D43" s="196">
        <f t="shared" si="29"/>
        <v>0</v>
      </c>
      <c r="E43" s="196">
        <f t="shared" si="29"/>
        <v>0</v>
      </c>
      <c r="F43" s="196">
        <f t="shared" si="29"/>
        <v>10</v>
      </c>
      <c r="G43" s="196">
        <f t="shared" si="29"/>
        <v>0</v>
      </c>
      <c r="H43" s="196">
        <f t="shared" si="29"/>
        <v>0</v>
      </c>
      <c r="I43" s="196">
        <f t="shared" si="29"/>
        <v>10</v>
      </c>
      <c r="J43" s="196">
        <f t="shared" si="29"/>
        <v>10</v>
      </c>
      <c r="K43" s="196">
        <f t="shared" si="29"/>
        <v>0</v>
      </c>
      <c r="L43" s="196">
        <f t="shared" si="29"/>
        <v>10</v>
      </c>
      <c r="M43" s="196">
        <f t="shared" si="29"/>
        <v>10</v>
      </c>
      <c r="N43" s="196">
        <f t="shared" si="29"/>
        <v>10</v>
      </c>
      <c r="O43" s="196">
        <f t="shared" si="29"/>
        <v>10</v>
      </c>
      <c r="P43" s="196">
        <f t="shared" si="29"/>
        <v>10</v>
      </c>
      <c r="Q43" s="196">
        <f t="shared" si="29"/>
        <v>10</v>
      </c>
      <c r="R43" s="196">
        <f t="shared" si="29"/>
        <v>10</v>
      </c>
      <c r="S43" s="196">
        <f t="shared" si="29"/>
        <v>10</v>
      </c>
      <c r="T43" s="196">
        <f t="shared" si="29"/>
        <v>10</v>
      </c>
      <c r="U43" s="196">
        <f t="shared" si="29"/>
        <v>10</v>
      </c>
      <c r="V43" s="196">
        <f t="shared" si="29"/>
        <v>10</v>
      </c>
      <c r="W43" s="196">
        <f t="shared" si="29"/>
        <v>10</v>
      </c>
      <c r="X43" s="196">
        <f t="shared" si="29"/>
        <v>10</v>
      </c>
      <c r="Y43" s="196">
        <f t="shared" si="29"/>
        <v>10</v>
      </c>
      <c r="Z43" s="196">
        <f t="shared" si="29"/>
        <v>10</v>
      </c>
      <c r="AA43" s="196">
        <f t="shared" si="29"/>
        <v>10</v>
      </c>
      <c r="AB43" s="196">
        <f t="shared" si="29"/>
        <v>10</v>
      </c>
      <c r="AC43" s="196">
        <f t="shared" si="29"/>
        <v>10</v>
      </c>
      <c r="AD43" s="196">
        <f t="shared" si="29"/>
        <v>10</v>
      </c>
      <c r="AE43" s="196">
        <f t="shared" si="29"/>
        <v>10</v>
      </c>
      <c r="AF43" s="196">
        <f t="shared" si="29"/>
        <v>10</v>
      </c>
      <c r="AG43" s="196">
        <f t="shared" si="29"/>
        <v>10</v>
      </c>
      <c r="AH43" s="196">
        <f t="shared" si="29"/>
        <v>10</v>
      </c>
      <c r="AI43" s="196">
        <f t="shared" si="29"/>
        <v>10</v>
      </c>
      <c r="AJ43" s="196">
        <f t="shared" si="29"/>
        <v>10</v>
      </c>
      <c r="AK43" s="196">
        <f t="shared" si="29"/>
        <v>10</v>
      </c>
      <c r="AL43" s="196">
        <f t="shared" si="29"/>
        <v>10</v>
      </c>
      <c r="AM43" s="196">
        <f t="shared" si="29"/>
        <v>10</v>
      </c>
      <c r="AN43" s="196">
        <f t="shared" si="29"/>
        <v>10</v>
      </c>
      <c r="AO43" s="196">
        <f t="shared" si="29"/>
        <v>10</v>
      </c>
      <c r="AP43" s="196">
        <f t="shared" si="29"/>
        <v>10</v>
      </c>
      <c r="AQ43" s="196">
        <f t="shared" si="29"/>
        <v>10</v>
      </c>
      <c r="AR43" s="196">
        <f t="shared" si="29"/>
        <v>10</v>
      </c>
      <c r="AS43" s="196">
        <f t="shared" si="29"/>
        <v>10</v>
      </c>
      <c r="AT43" s="196">
        <f t="shared" si="29"/>
        <v>0</v>
      </c>
      <c r="AU43" s="196">
        <f t="shared" si="29"/>
        <v>10</v>
      </c>
      <c r="AV43" s="196">
        <f t="shared" si="29"/>
        <v>10</v>
      </c>
      <c r="AW43" s="196">
        <f t="shared" si="29"/>
        <v>10</v>
      </c>
      <c r="AX43" s="196">
        <f t="shared" si="29"/>
        <v>10</v>
      </c>
      <c r="AY43" s="196">
        <f t="shared" si="29"/>
        <v>10</v>
      </c>
      <c r="AZ43" s="196">
        <f t="shared" si="29"/>
        <v>10</v>
      </c>
      <c r="BA43" s="196">
        <f t="shared" si="29"/>
        <v>10</v>
      </c>
      <c r="BB43" s="196">
        <f t="shared" si="29"/>
        <v>10</v>
      </c>
      <c r="BC43" s="196">
        <f t="shared" si="29"/>
        <v>10</v>
      </c>
      <c r="BD43" s="196">
        <f t="shared" si="29"/>
        <v>10</v>
      </c>
      <c r="BE43" s="196">
        <f t="shared" si="29"/>
        <v>10</v>
      </c>
      <c r="BF43" s="196">
        <f t="shared" si="29"/>
        <v>10</v>
      </c>
      <c r="BG43" s="196">
        <f t="shared" si="29"/>
        <v>10</v>
      </c>
      <c r="BH43" s="196">
        <f t="shared" si="29"/>
        <v>10</v>
      </c>
      <c r="BI43" s="196">
        <f t="shared" si="29"/>
        <v>10</v>
      </c>
      <c r="BJ43" s="196">
        <f t="shared" si="29"/>
        <v>10</v>
      </c>
      <c r="BK43" s="196">
        <f t="shared" si="29"/>
        <v>10</v>
      </c>
      <c r="BL43" s="196">
        <f t="shared" si="29"/>
        <v>10</v>
      </c>
      <c r="BM43" s="196">
        <f t="shared" si="29"/>
        <v>10</v>
      </c>
      <c r="BN43" s="196">
        <f t="shared" si="29"/>
        <v>10</v>
      </c>
    </row>
    <row r="44" spans="1:66" x14ac:dyDescent="0.25">
      <c r="A44" s="116" t="s">
        <v>674</v>
      </c>
      <c r="B44" s="196">
        <f>IF(B14&gt;B17,5,0)</f>
        <v>5</v>
      </c>
      <c r="C44" s="196">
        <f t="shared" ref="C44:BN44" si="30">IF(C14&gt;C17,5,0)</f>
        <v>0</v>
      </c>
      <c r="D44" s="196">
        <f t="shared" si="30"/>
        <v>0</v>
      </c>
      <c r="E44" s="196">
        <f t="shared" si="30"/>
        <v>5</v>
      </c>
      <c r="F44" s="196">
        <f t="shared" si="30"/>
        <v>5</v>
      </c>
      <c r="G44" s="196">
        <f t="shared" si="30"/>
        <v>5</v>
      </c>
      <c r="H44" s="196">
        <f t="shared" si="30"/>
        <v>5</v>
      </c>
      <c r="I44" s="196">
        <f t="shared" si="30"/>
        <v>5</v>
      </c>
      <c r="J44" s="196">
        <f t="shared" si="30"/>
        <v>5</v>
      </c>
      <c r="K44" s="196">
        <f t="shared" si="30"/>
        <v>0</v>
      </c>
      <c r="L44" s="196">
        <f t="shared" si="30"/>
        <v>5</v>
      </c>
      <c r="M44" s="196">
        <f t="shared" si="30"/>
        <v>5</v>
      </c>
      <c r="N44" s="196">
        <f t="shared" si="30"/>
        <v>5</v>
      </c>
      <c r="O44" s="196">
        <f t="shared" si="30"/>
        <v>5</v>
      </c>
      <c r="P44" s="196">
        <f t="shared" si="30"/>
        <v>5</v>
      </c>
      <c r="Q44" s="196">
        <f t="shared" si="30"/>
        <v>5</v>
      </c>
      <c r="R44" s="196">
        <f t="shared" si="30"/>
        <v>5</v>
      </c>
      <c r="S44" s="196">
        <f t="shared" si="30"/>
        <v>5</v>
      </c>
      <c r="T44" s="196">
        <f t="shared" si="30"/>
        <v>5</v>
      </c>
      <c r="U44" s="196">
        <f t="shared" si="30"/>
        <v>5</v>
      </c>
      <c r="V44" s="196">
        <f t="shared" si="30"/>
        <v>5</v>
      </c>
      <c r="W44" s="196">
        <f t="shared" si="30"/>
        <v>5</v>
      </c>
      <c r="X44" s="196">
        <f t="shared" si="30"/>
        <v>5</v>
      </c>
      <c r="Y44" s="196">
        <f t="shared" si="30"/>
        <v>5</v>
      </c>
      <c r="Z44" s="196">
        <f t="shared" si="30"/>
        <v>5</v>
      </c>
      <c r="AA44" s="196">
        <f t="shared" si="30"/>
        <v>5</v>
      </c>
      <c r="AB44" s="196">
        <f t="shared" si="30"/>
        <v>5</v>
      </c>
      <c r="AC44" s="196">
        <f t="shared" si="30"/>
        <v>5</v>
      </c>
      <c r="AD44" s="196">
        <f t="shared" si="30"/>
        <v>5</v>
      </c>
      <c r="AE44" s="196">
        <f t="shared" si="30"/>
        <v>5</v>
      </c>
      <c r="AF44" s="196">
        <f t="shared" si="30"/>
        <v>5</v>
      </c>
      <c r="AG44" s="196">
        <f t="shared" si="30"/>
        <v>5</v>
      </c>
      <c r="AH44" s="196">
        <f t="shared" si="30"/>
        <v>5</v>
      </c>
      <c r="AI44" s="196">
        <f t="shared" si="30"/>
        <v>5</v>
      </c>
      <c r="AJ44" s="196">
        <f t="shared" si="30"/>
        <v>5</v>
      </c>
      <c r="AK44" s="196">
        <f t="shared" si="30"/>
        <v>5</v>
      </c>
      <c r="AL44" s="196">
        <f t="shared" si="30"/>
        <v>5</v>
      </c>
      <c r="AM44" s="196">
        <f t="shared" si="30"/>
        <v>5</v>
      </c>
      <c r="AN44" s="196">
        <f t="shared" si="30"/>
        <v>5</v>
      </c>
      <c r="AO44" s="196">
        <f t="shared" si="30"/>
        <v>5</v>
      </c>
      <c r="AP44" s="196">
        <f t="shared" si="30"/>
        <v>5</v>
      </c>
      <c r="AQ44" s="196">
        <f t="shared" si="30"/>
        <v>5</v>
      </c>
      <c r="AR44" s="196">
        <f t="shared" si="30"/>
        <v>5</v>
      </c>
      <c r="AS44" s="196">
        <f t="shared" si="30"/>
        <v>5</v>
      </c>
      <c r="AT44" s="196">
        <f t="shared" si="30"/>
        <v>5</v>
      </c>
      <c r="AU44" s="196">
        <f t="shared" si="30"/>
        <v>5</v>
      </c>
      <c r="AV44" s="196">
        <f t="shared" si="30"/>
        <v>5</v>
      </c>
      <c r="AW44" s="196">
        <f t="shared" si="30"/>
        <v>5</v>
      </c>
      <c r="AX44" s="196">
        <f t="shared" si="30"/>
        <v>5</v>
      </c>
      <c r="AY44" s="196">
        <f t="shared" si="30"/>
        <v>5</v>
      </c>
      <c r="AZ44" s="196">
        <f t="shared" si="30"/>
        <v>5</v>
      </c>
      <c r="BA44" s="196">
        <f t="shared" si="30"/>
        <v>5</v>
      </c>
      <c r="BB44" s="196">
        <f t="shared" si="30"/>
        <v>5</v>
      </c>
      <c r="BC44" s="196">
        <f t="shared" si="30"/>
        <v>5</v>
      </c>
      <c r="BD44" s="196">
        <f t="shared" si="30"/>
        <v>5</v>
      </c>
      <c r="BE44" s="196">
        <f t="shared" si="30"/>
        <v>5</v>
      </c>
      <c r="BF44" s="196">
        <f t="shared" si="30"/>
        <v>5</v>
      </c>
      <c r="BG44" s="196">
        <f t="shared" si="30"/>
        <v>5</v>
      </c>
      <c r="BH44" s="196">
        <f t="shared" si="30"/>
        <v>5</v>
      </c>
      <c r="BI44" s="196">
        <f t="shared" si="30"/>
        <v>5</v>
      </c>
      <c r="BJ44" s="196">
        <f t="shared" si="30"/>
        <v>5</v>
      </c>
      <c r="BK44" s="196">
        <f t="shared" si="30"/>
        <v>5</v>
      </c>
      <c r="BL44" s="196">
        <f t="shared" si="30"/>
        <v>5</v>
      </c>
      <c r="BM44" s="196">
        <f t="shared" si="30"/>
        <v>5</v>
      </c>
      <c r="BN44" s="196">
        <f t="shared" si="30"/>
        <v>5</v>
      </c>
    </row>
    <row r="45" spans="1:66" x14ac:dyDescent="0.25">
      <c r="A45" s="116" t="s">
        <v>675</v>
      </c>
      <c r="B45" s="194">
        <f>IF(B24&gt;=B25,25,0)</f>
        <v>25</v>
      </c>
      <c r="C45" s="194">
        <f t="shared" ref="C45:BN45" si="31">IF(C24&gt;=C25,25,0)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0</v>
      </c>
      <c r="I45" s="194">
        <f t="shared" si="31"/>
        <v>25</v>
      </c>
      <c r="J45" s="194">
        <f t="shared" si="31"/>
        <v>25</v>
      </c>
      <c r="K45" s="194">
        <f t="shared" si="31"/>
        <v>25</v>
      </c>
      <c r="L45" s="194">
        <f t="shared" si="31"/>
        <v>25</v>
      </c>
      <c r="M45" s="194">
        <f t="shared" si="31"/>
        <v>25</v>
      </c>
      <c r="N45" s="194">
        <f t="shared" si="31"/>
        <v>25</v>
      </c>
      <c r="O45" s="194">
        <f t="shared" si="31"/>
        <v>25</v>
      </c>
      <c r="P45" s="194">
        <f t="shared" si="31"/>
        <v>25</v>
      </c>
      <c r="Q45" s="194">
        <f t="shared" si="31"/>
        <v>25</v>
      </c>
      <c r="R45" s="194">
        <f t="shared" si="31"/>
        <v>25</v>
      </c>
      <c r="S45" s="194">
        <f t="shared" si="31"/>
        <v>25</v>
      </c>
      <c r="T45" s="194">
        <f t="shared" si="31"/>
        <v>25</v>
      </c>
      <c r="U45" s="194">
        <f t="shared" si="31"/>
        <v>25</v>
      </c>
      <c r="V45" s="194">
        <f t="shared" si="31"/>
        <v>25</v>
      </c>
      <c r="W45" s="194">
        <f t="shared" si="31"/>
        <v>25</v>
      </c>
      <c r="X45" s="194">
        <f t="shared" si="31"/>
        <v>25</v>
      </c>
      <c r="Y45" s="194">
        <f t="shared" si="31"/>
        <v>25</v>
      </c>
      <c r="Z45" s="194">
        <f t="shared" si="31"/>
        <v>25</v>
      </c>
      <c r="AA45" s="194">
        <f t="shared" si="31"/>
        <v>25</v>
      </c>
      <c r="AB45" s="194">
        <f t="shared" si="31"/>
        <v>25</v>
      </c>
      <c r="AC45" s="194">
        <f t="shared" si="31"/>
        <v>25</v>
      </c>
      <c r="AD45" s="194">
        <f t="shared" si="31"/>
        <v>25</v>
      </c>
      <c r="AE45" s="194">
        <f t="shared" si="31"/>
        <v>25</v>
      </c>
      <c r="AF45" s="194">
        <f t="shared" si="31"/>
        <v>25</v>
      </c>
      <c r="AG45" s="194">
        <f t="shared" si="31"/>
        <v>25</v>
      </c>
      <c r="AH45" s="194">
        <f t="shared" si="31"/>
        <v>25</v>
      </c>
      <c r="AI45" s="194">
        <f t="shared" si="31"/>
        <v>25</v>
      </c>
      <c r="AJ45" s="194">
        <f t="shared" si="31"/>
        <v>25</v>
      </c>
      <c r="AK45" s="194">
        <f t="shared" si="31"/>
        <v>25</v>
      </c>
      <c r="AL45" s="194">
        <f t="shared" si="31"/>
        <v>25</v>
      </c>
      <c r="AM45" s="194">
        <f t="shared" si="31"/>
        <v>25</v>
      </c>
      <c r="AN45" s="194">
        <f t="shared" si="31"/>
        <v>25</v>
      </c>
      <c r="AO45" s="194">
        <f t="shared" si="31"/>
        <v>25</v>
      </c>
      <c r="AP45" s="194">
        <f t="shared" si="31"/>
        <v>25</v>
      </c>
      <c r="AQ45" s="194">
        <f t="shared" si="31"/>
        <v>25</v>
      </c>
      <c r="AR45" s="194">
        <f t="shared" si="31"/>
        <v>25</v>
      </c>
      <c r="AS45" s="194">
        <f t="shared" si="31"/>
        <v>25</v>
      </c>
      <c r="AT45" s="194">
        <f t="shared" si="31"/>
        <v>25</v>
      </c>
      <c r="AU45" s="194">
        <f t="shared" si="31"/>
        <v>25</v>
      </c>
      <c r="AV45" s="194">
        <f t="shared" si="31"/>
        <v>25</v>
      </c>
      <c r="AW45" s="194">
        <f t="shared" si="31"/>
        <v>25</v>
      </c>
      <c r="AX45" s="194">
        <f t="shared" si="31"/>
        <v>25</v>
      </c>
      <c r="AY45" s="194">
        <f t="shared" si="31"/>
        <v>25</v>
      </c>
      <c r="AZ45" s="194">
        <f t="shared" si="31"/>
        <v>25</v>
      </c>
      <c r="BA45" s="194">
        <f t="shared" si="31"/>
        <v>25</v>
      </c>
      <c r="BB45" s="194">
        <f t="shared" si="31"/>
        <v>25</v>
      </c>
      <c r="BC45" s="194">
        <f t="shared" si="31"/>
        <v>25</v>
      </c>
      <c r="BD45" s="194">
        <f t="shared" si="31"/>
        <v>25</v>
      </c>
      <c r="BE45" s="194">
        <f t="shared" si="31"/>
        <v>25</v>
      </c>
      <c r="BF45" s="194">
        <f t="shared" si="31"/>
        <v>25</v>
      </c>
      <c r="BG45" s="194">
        <f t="shared" si="31"/>
        <v>25</v>
      </c>
      <c r="BH45" s="194">
        <f t="shared" si="31"/>
        <v>25</v>
      </c>
      <c r="BI45" s="194">
        <f t="shared" si="31"/>
        <v>25</v>
      </c>
      <c r="BJ45" s="194">
        <f t="shared" si="31"/>
        <v>25</v>
      </c>
      <c r="BK45" s="194">
        <f t="shared" si="31"/>
        <v>25</v>
      </c>
      <c r="BL45" s="194">
        <f t="shared" si="31"/>
        <v>25</v>
      </c>
      <c r="BM45" s="194">
        <f t="shared" si="31"/>
        <v>25</v>
      </c>
      <c r="BN45" s="194">
        <f t="shared" si="31"/>
        <v>25</v>
      </c>
    </row>
    <row r="46" spans="1:66" x14ac:dyDescent="0.25">
      <c r="A46" s="116" t="s">
        <v>676</v>
      </c>
      <c r="B46" s="194">
        <f>IF(B31&gt;=B32,25,0)</f>
        <v>25</v>
      </c>
      <c r="C46" s="194">
        <f t="shared" ref="C46:BN46" si="32">IF(C31&gt;=C32,25,0)</f>
        <v>25</v>
      </c>
      <c r="D46" s="194">
        <f t="shared" si="32"/>
        <v>25</v>
      </c>
      <c r="E46" s="194">
        <f t="shared" si="32"/>
        <v>25</v>
      </c>
      <c r="F46" s="194">
        <f t="shared" si="32"/>
        <v>0</v>
      </c>
      <c r="G46" s="194">
        <f t="shared" si="32"/>
        <v>0</v>
      </c>
      <c r="H46" s="194">
        <f t="shared" si="32"/>
        <v>25</v>
      </c>
      <c r="I46" s="194">
        <f t="shared" si="32"/>
        <v>25</v>
      </c>
      <c r="J46" s="194">
        <f t="shared" si="32"/>
        <v>25</v>
      </c>
      <c r="K46" s="194">
        <f t="shared" si="32"/>
        <v>0</v>
      </c>
      <c r="L46" s="194">
        <f t="shared" si="32"/>
        <v>25</v>
      </c>
      <c r="M46" s="194">
        <f t="shared" si="32"/>
        <v>25</v>
      </c>
      <c r="N46" s="194">
        <f t="shared" si="32"/>
        <v>25</v>
      </c>
      <c r="O46" s="194">
        <f t="shared" si="32"/>
        <v>25</v>
      </c>
      <c r="P46" s="194">
        <f t="shared" si="32"/>
        <v>25</v>
      </c>
      <c r="Q46" s="194">
        <f t="shared" si="32"/>
        <v>25</v>
      </c>
      <c r="R46" s="194">
        <f t="shared" si="32"/>
        <v>25</v>
      </c>
      <c r="S46" s="194">
        <f t="shared" si="32"/>
        <v>25</v>
      </c>
      <c r="T46" s="194">
        <f t="shared" si="32"/>
        <v>25</v>
      </c>
      <c r="U46" s="194">
        <f t="shared" si="32"/>
        <v>25</v>
      </c>
      <c r="V46" s="194">
        <f t="shared" si="32"/>
        <v>25</v>
      </c>
      <c r="W46" s="194">
        <f t="shared" si="32"/>
        <v>25</v>
      </c>
      <c r="X46" s="194">
        <f t="shared" si="32"/>
        <v>25</v>
      </c>
      <c r="Y46" s="194">
        <f t="shared" si="32"/>
        <v>25</v>
      </c>
      <c r="Z46" s="194">
        <f t="shared" si="32"/>
        <v>25</v>
      </c>
      <c r="AA46" s="194">
        <f t="shared" si="32"/>
        <v>25</v>
      </c>
      <c r="AB46" s="194">
        <f t="shared" si="32"/>
        <v>25</v>
      </c>
      <c r="AC46" s="194">
        <f t="shared" si="32"/>
        <v>25</v>
      </c>
      <c r="AD46" s="194">
        <f t="shared" si="32"/>
        <v>25</v>
      </c>
      <c r="AE46" s="194">
        <f t="shared" si="32"/>
        <v>25</v>
      </c>
      <c r="AF46" s="194">
        <f t="shared" si="32"/>
        <v>25</v>
      </c>
      <c r="AG46" s="194">
        <f t="shared" si="32"/>
        <v>25</v>
      </c>
      <c r="AH46" s="194">
        <f t="shared" si="32"/>
        <v>25</v>
      </c>
      <c r="AI46" s="194">
        <f t="shared" si="32"/>
        <v>25</v>
      </c>
      <c r="AJ46" s="194">
        <f t="shared" si="32"/>
        <v>25</v>
      </c>
      <c r="AK46" s="194">
        <f t="shared" si="32"/>
        <v>25</v>
      </c>
      <c r="AL46" s="194">
        <f t="shared" si="32"/>
        <v>25</v>
      </c>
      <c r="AM46" s="194">
        <f t="shared" si="32"/>
        <v>25</v>
      </c>
      <c r="AN46" s="194">
        <f t="shared" si="32"/>
        <v>25</v>
      </c>
      <c r="AO46" s="194">
        <f t="shared" si="32"/>
        <v>25</v>
      </c>
      <c r="AP46" s="194">
        <f t="shared" si="32"/>
        <v>25</v>
      </c>
      <c r="AQ46" s="194">
        <f t="shared" si="32"/>
        <v>25</v>
      </c>
      <c r="AR46" s="194">
        <f t="shared" si="32"/>
        <v>25</v>
      </c>
      <c r="AS46" s="194">
        <f t="shared" si="32"/>
        <v>25</v>
      </c>
      <c r="AT46" s="194">
        <f t="shared" si="32"/>
        <v>25</v>
      </c>
      <c r="AU46" s="194">
        <f t="shared" si="32"/>
        <v>25</v>
      </c>
      <c r="AV46" s="194">
        <f t="shared" si="32"/>
        <v>25</v>
      </c>
      <c r="AW46" s="194">
        <f t="shared" si="32"/>
        <v>25</v>
      </c>
      <c r="AX46" s="194">
        <f t="shared" si="32"/>
        <v>25</v>
      </c>
      <c r="AY46" s="194">
        <f t="shared" si="32"/>
        <v>25</v>
      </c>
      <c r="AZ46" s="194">
        <f t="shared" si="32"/>
        <v>25</v>
      </c>
      <c r="BA46" s="194">
        <f t="shared" si="32"/>
        <v>25</v>
      </c>
      <c r="BB46" s="194">
        <f t="shared" si="32"/>
        <v>25</v>
      </c>
      <c r="BC46" s="194">
        <f t="shared" si="32"/>
        <v>25</v>
      </c>
      <c r="BD46" s="194">
        <f t="shared" si="32"/>
        <v>25</v>
      </c>
      <c r="BE46" s="194">
        <f t="shared" si="32"/>
        <v>25</v>
      </c>
      <c r="BF46" s="194">
        <f t="shared" si="32"/>
        <v>25</v>
      </c>
      <c r="BG46" s="194">
        <f t="shared" si="32"/>
        <v>25</v>
      </c>
      <c r="BH46" s="194">
        <f t="shared" si="32"/>
        <v>25</v>
      </c>
      <c r="BI46" s="194">
        <f t="shared" si="32"/>
        <v>25</v>
      </c>
      <c r="BJ46" s="194">
        <f t="shared" si="32"/>
        <v>25</v>
      </c>
      <c r="BK46" s="194">
        <f t="shared" si="32"/>
        <v>25</v>
      </c>
      <c r="BL46" s="194">
        <f t="shared" si="32"/>
        <v>25</v>
      </c>
      <c r="BM46" s="194">
        <f t="shared" si="32"/>
        <v>25</v>
      </c>
      <c r="BN46" s="194">
        <f t="shared" si="32"/>
        <v>25</v>
      </c>
    </row>
    <row r="47" spans="1:66" x14ac:dyDescent="0.25">
      <c r="A47" s="116" t="s">
        <v>311</v>
      </c>
      <c r="B47" s="194">
        <f>IF(B38&lt;=B39,20,0)</f>
        <v>0</v>
      </c>
      <c r="C47" s="194">
        <f t="shared" ref="C47:BN47" si="33">IF(C38&lt;=C39,20,0)</f>
        <v>20</v>
      </c>
      <c r="D47" s="194">
        <f t="shared" si="33"/>
        <v>20</v>
      </c>
      <c r="E47" s="194">
        <f t="shared" si="33"/>
        <v>0</v>
      </c>
      <c r="F47" s="194">
        <f t="shared" si="33"/>
        <v>0</v>
      </c>
      <c r="G47" s="194">
        <f t="shared" si="33"/>
        <v>0</v>
      </c>
      <c r="H47" s="194">
        <f t="shared" si="33"/>
        <v>0</v>
      </c>
      <c r="I47" s="194">
        <f t="shared" si="33"/>
        <v>20</v>
      </c>
      <c r="J47" s="194">
        <f t="shared" si="33"/>
        <v>20</v>
      </c>
      <c r="K47" s="194">
        <f t="shared" si="33"/>
        <v>20</v>
      </c>
      <c r="L47" s="194">
        <f t="shared" si="33"/>
        <v>0</v>
      </c>
      <c r="M47" s="194">
        <f t="shared" si="33"/>
        <v>20</v>
      </c>
      <c r="N47" s="194">
        <f t="shared" si="33"/>
        <v>0</v>
      </c>
      <c r="O47" s="194">
        <f t="shared" si="33"/>
        <v>0</v>
      </c>
      <c r="P47" s="194">
        <f t="shared" si="33"/>
        <v>0</v>
      </c>
      <c r="Q47" s="194">
        <f t="shared" si="33"/>
        <v>0</v>
      </c>
      <c r="R47" s="194">
        <f t="shared" si="33"/>
        <v>0</v>
      </c>
      <c r="S47" s="194">
        <f t="shared" si="33"/>
        <v>20</v>
      </c>
      <c r="T47" s="194">
        <f t="shared" si="33"/>
        <v>0</v>
      </c>
      <c r="U47" s="194">
        <f t="shared" si="33"/>
        <v>0</v>
      </c>
      <c r="V47" s="194">
        <f t="shared" si="33"/>
        <v>0</v>
      </c>
      <c r="W47" s="194">
        <f t="shared" si="33"/>
        <v>20</v>
      </c>
      <c r="X47" s="194">
        <f t="shared" si="33"/>
        <v>20</v>
      </c>
      <c r="Y47" s="194">
        <f t="shared" si="33"/>
        <v>0</v>
      </c>
      <c r="Z47" s="194">
        <f t="shared" si="33"/>
        <v>0</v>
      </c>
      <c r="AA47" s="194">
        <f t="shared" si="33"/>
        <v>0</v>
      </c>
      <c r="AB47" s="194">
        <f t="shared" si="33"/>
        <v>20</v>
      </c>
      <c r="AC47" s="194">
        <f t="shared" si="33"/>
        <v>0</v>
      </c>
      <c r="AD47" s="194">
        <f t="shared" si="33"/>
        <v>0</v>
      </c>
      <c r="AE47" s="194">
        <f t="shared" si="33"/>
        <v>0</v>
      </c>
      <c r="AF47" s="194">
        <f t="shared" si="33"/>
        <v>0</v>
      </c>
      <c r="AG47" s="194">
        <f t="shared" si="33"/>
        <v>0</v>
      </c>
      <c r="AH47" s="194">
        <f t="shared" si="33"/>
        <v>0</v>
      </c>
      <c r="AI47" s="194">
        <f t="shared" si="33"/>
        <v>0</v>
      </c>
      <c r="AJ47" s="194">
        <f t="shared" si="33"/>
        <v>0</v>
      </c>
      <c r="AK47" s="194">
        <f t="shared" si="33"/>
        <v>0</v>
      </c>
      <c r="AL47" s="194">
        <f t="shared" si="33"/>
        <v>0</v>
      </c>
      <c r="AM47" s="194">
        <f t="shared" si="33"/>
        <v>0</v>
      </c>
      <c r="AN47" s="194">
        <f t="shared" si="33"/>
        <v>0</v>
      </c>
      <c r="AO47" s="194">
        <f t="shared" si="33"/>
        <v>0</v>
      </c>
      <c r="AP47" s="194">
        <f t="shared" si="33"/>
        <v>0</v>
      </c>
      <c r="AQ47" s="194">
        <f t="shared" si="33"/>
        <v>0</v>
      </c>
      <c r="AR47" s="194">
        <f t="shared" si="33"/>
        <v>0</v>
      </c>
      <c r="AS47" s="194">
        <f t="shared" si="33"/>
        <v>0</v>
      </c>
      <c r="AT47" s="194">
        <f t="shared" si="33"/>
        <v>0</v>
      </c>
      <c r="AU47" s="194">
        <f t="shared" si="33"/>
        <v>0</v>
      </c>
      <c r="AV47" s="194">
        <f t="shared" si="33"/>
        <v>0</v>
      </c>
      <c r="AW47" s="194">
        <f t="shared" si="33"/>
        <v>0</v>
      </c>
      <c r="AX47" s="194">
        <f t="shared" si="33"/>
        <v>0</v>
      </c>
      <c r="AY47" s="194">
        <f t="shared" si="33"/>
        <v>0</v>
      </c>
      <c r="AZ47" s="194">
        <f t="shared" si="33"/>
        <v>0</v>
      </c>
      <c r="BA47" s="194">
        <f t="shared" si="33"/>
        <v>0</v>
      </c>
      <c r="BB47" s="194">
        <f t="shared" si="33"/>
        <v>0</v>
      </c>
      <c r="BC47" s="194">
        <f t="shared" si="33"/>
        <v>0</v>
      </c>
      <c r="BD47" s="194">
        <f t="shared" si="33"/>
        <v>0</v>
      </c>
      <c r="BE47" s="194">
        <f t="shared" si="33"/>
        <v>0</v>
      </c>
      <c r="BF47" s="194">
        <f t="shared" si="33"/>
        <v>0</v>
      </c>
      <c r="BG47" s="194">
        <f t="shared" si="33"/>
        <v>0</v>
      </c>
      <c r="BH47" s="194">
        <f t="shared" si="33"/>
        <v>0</v>
      </c>
      <c r="BI47" s="194">
        <f t="shared" si="33"/>
        <v>20</v>
      </c>
      <c r="BJ47" s="194">
        <f t="shared" si="33"/>
        <v>0</v>
      </c>
      <c r="BK47" s="194">
        <f t="shared" si="33"/>
        <v>0</v>
      </c>
      <c r="BL47" s="194">
        <f t="shared" si="33"/>
        <v>0</v>
      </c>
      <c r="BM47" s="194">
        <f t="shared" si="33"/>
        <v>0</v>
      </c>
      <c r="BN47" s="194">
        <f t="shared" si="33"/>
        <v>0</v>
      </c>
    </row>
    <row r="48" spans="1:66" x14ac:dyDescent="0.25">
      <c r="A48" s="116"/>
      <c r="B48" s="194"/>
      <c r="C48" s="194"/>
      <c r="D48" s="194"/>
      <c r="E48" s="194"/>
      <c r="F48" s="194"/>
      <c r="G48" s="194"/>
      <c r="H48" s="194"/>
      <c r="I48" s="194"/>
      <c r="J48" s="194"/>
      <c r="K48" s="194"/>
      <c r="L48" s="194"/>
      <c r="M48" s="194"/>
      <c r="N48" s="194"/>
      <c r="O48" s="194"/>
      <c r="P48" s="194"/>
    </row>
    <row r="49" spans="1:66" x14ac:dyDescent="0.25">
      <c r="A49" s="116" t="s">
        <v>677</v>
      </c>
      <c r="B49" s="194">
        <f>SUM(B42:B47)</f>
        <v>80</v>
      </c>
      <c r="C49" s="194">
        <f t="shared" ref="C49:R49" si="34">SUM(C42:C47)</f>
        <v>95</v>
      </c>
      <c r="D49" s="194">
        <f t="shared" si="34"/>
        <v>85</v>
      </c>
      <c r="E49" s="194">
        <f t="shared" si="34"/>
        <v>70</v>
      </c>
      <c r="F49" s="194">
        <f t="shared" si="34"/>
        <v>40</v>
      </c>
      <c r="G49" s="194">
        <f t="shared" si="34"/>
        <v>30</v>
      </c>
      <c r="H49" s="194">
        <f t="shared" si="34"/>
        <v>45</v>
      </c>
      <c r="I49" s="194">
        <f t="shared" si="34"/>
        <v>100</v>
      </c>
      <c r="J49" s="194">
        <f t="shared" si="34"/>
        <v>100</v>
      </c>
      <c r="K49" s="194">
        <f t="shared" si="34"/>
        <v>60</v>
      </c>
      <c r="L49" s="194">
        <f t="shared" si="34"/>
        <v>65</v>
      </c>
      <c r="M49" s="194">
        <f t="shared" si="34"/>
        <v>100</v>
      </c>
      <c r="N49" s="194">
        <f t="shared" si="34"/>
        <v>80</v>
      </c>
      <c r="O49" s="194">
        <f t="shared" si="34"/>
        <v>65</v>
      </c>
      <c r="P49" s="194">
        <f t="shared" si="34"/>
        <v>80</v>
      </c>
      <c r="Q49" s="194">
        <f t="shared" si="34"/>
        <v>80</v>
      </c>
      <c r="R49" s="194">
        <f t="shared" si="34"/>
        <v>80</v>
      </c>
      <c r="S49" s="194">
        <f t="shared" ref="S49:BN49" si="35">SUM(S42:S47)</f>
        <v>85</v>
      </c>
      <c r="T49" s="194">
        <f t="shared" si="35"/>
        <v>80</v>
      </c>
      <c r="U49" s="194">
        <f t="shared" si="35"/>
        <v>80</v>
      </c>
      <c r="V49" s="194">
        <f t="shared" si="35"/>
        <v>80</v>
      </c>
      <c r="W49" s="194">
        <f t="shared" si="35"/>
        <v>100</v>
      </c>
      <c r="X49" s="194">
        <f t="shared" si="35"/>
        <v>85</v>
      </c>
      <c r="Y49" s="194">
        <f t="shared" si="35"/>
        <v>65</v>
      </c>
      <c r="Z49" s="194">
        <f t="shared" si="35"/>
        <v>65</v>
      </c>
      <c r="AA49" s="194">
        <f t="shared" si="35"/>
        <v>65</v>
      </c>
      <c r="AB49" s="194">
        <f t="shared" si="35"/>
        <v>85</v>
      </c>
      <c r="AC49" s="194">
        <f t="shared" si="35"/>
        <v>80</v>
      </c>
      <c r="AD49" s="194">
        <f t="shared" si="35"/>
        <v>65</v>
      </c>
      <c r="AE49" s="194">
        <f t="shared" si="35"/>
        <v>80</v>
      </c>
      <c r="AF49" s="194">
        <f t="shared" si="35"/>
        <v>80</v>
      </c>
      <c r="AG49" s="194">
        <f t="shared" si="35"/>
        <v>80</v>
      </c>
      <c r="AH49" s="194">
        <f t="shared" si="35"/>
        <v>80</v>
      </c>
      <c r="AI49" s="194">
        <f t="shared" si="35"/>
        <v>80</v>
      </c>
      <c r="AJ49" s="194">
        <f t="shared" si="35"/>
        <v>65</v>
      </c>
      <c r="AK49" s="194">
        <f t="shared" si="35"/>
        <v>80</v>
      </c>
      <c r="AL49" s="194">
        <f t="shared" si="35"/>
        <v>80</v>
      </c>
      <c r="AM49" s="194">
        <f t="shared" si="35"/>
        <v>80</v>
      </c>
      <c r="AN49" s="194">
        <f t="shared" si="35"/>
        <v>65</v>
      </c>
      <c r="AO49" s="194">
        <f t="shared" si="35"/>
        <v>80</v>
      </c>
      <c r="AP49" s="194">
        <f t="shared" si="35"/>
        <v>65</v>
      </c>
      <c r="AQ49" s="194">
        <f t="shared" si="35"/>
        <v>65</v>
      </c>
      <c r="AR49" s="194">
        <f t="shared" si="35"/>
        <v>80</v>
      </c>
      <c r="AS49" s="194">
        <f t="shared" si="35"/>
        <v>65</v>
      </c>
      <c r="AT49" s="194">
        <f t="shared" si="35"/>
        <v>55</v>
      </c>
      <c r="AU49" s="194">
        <f t="shared" si="35"/>
        <v>80</v>
      </c>
      <c r="AV49" s="194">
        <f t="shared" si="35"/>
        <v>80</v>
      </c>
      <c r="AW49" s="194">
        <f t="shared" si="35"/>
        <v>65</v>
      </c>
      <c r="AX49" s="194">
        <f t="shared" si="35"/>
        <v>80</v>
      </c>
      <c r="AY49" s="194">
        <f t="shared" si="35"/>
        <v>80</v>
      </c>
      <c r="AZ49" s="194">
        <f t="shared" si="35"/>
        <v>80</v>
      </c>
      <c r="BA49" s="194">
        <f t="shared" si="35"/>
        <v>80</v>
      </c>
      <c r="BB49" s="194">
        <f t="shared" si="35"/>
        <v>80</v>
      </c>
      <c r="BC49" s="194">
        <f t="shared" si="35"/>
        <v>80</v>
      </c>
      <c r="BD49" s="194">
        <f t="shared" si="35"/>
        <v>80</v>
      </c>
      <c r="BE49" s="194">
        <f t="shared" si="35"/>
        <v>80</v>
      </c>
      <c r="BF49" s="194">
        <f t="shared" si="35"/>
        <v>80</v>
      </c>
      <c r="BG49" s="194">
        <f t="shared" si="35"/>
        <v>80</v>
      </c>
      <c r="BH49" s="194">
        <f t="shared" si="35"/>
        <v>80</v>
      </c>
      <c r="BI49" s="194">
        <f t="shared" si="35"/>
        <v>100</v>
      </c>
      <c r="BJ49" s="194">
        <f t="shared" si="35"/>
        <v>80</v>
      </c>
      <c r="BK49" s="194">
        <f t="shared" si="35"/>
        <v>80</v>
      </c>
      <c r="BL49" s="194">
        <f t="shared" si="35"/>
        <v>80</v>
      </c>
      <c r="BM49" s="194">
        <f t="shared" si="35"/>
        <v>80</v>
      </c>
      <c r="BN49" s="194">
        <f t="shared" si="35"/>
        <v>80</v>
      </c>
    </row>
    <row r="50" spans="1:66" x14ac:dyDescent="0.25">
      <c r="A50" s="116" t="s">
        <v>678</v>
      </c>
      <c r="B50" s="194" t="str">
        <f>IF(B49&gt;=50,"OKAY","KO")</f>
        <v>OKAY</v>
      </c>
      <c r="C50" s="194" t="str">
        <f t="shared" ref="C50:R50" si="36">IF(C49&gt;=50,"OKAY","KO")</f>
        <v>OKAY</v>
      </c>
      <c r="D50" s="194" t="str">
        <f t="shared" si="36"/>
        <v>OKAY</v>
      </c>
      <c r="E50" s="194" t="str">
        <f t="shared" si="36"/>
        <v>OKAY</v>
      </c>
      <c r="F50" s="194" t="str">
        <f t="shared" si="36"/>
        <v>KO</v>
      </c>
      <c r="G50" s="194" t="str">
        <f t="shared" si="36"/>
        <v>KO</v>
      </c>
      <c r="H50" s="194" t="str">
        <f t="shared" si="36"/>
        <v>KO</v>
      </c>
      <c r="I50" s="194" t="str">
        <f t="shared" si="36"/>
        <v>OKAY</v>
      </c>
      <c r="J50" s="194" t="str">
        <f t="shared" si="36"/>
        <v>OKAY</v>
      </c>
      <c r="K50" s="194" t="str">
        <f t="shared" si="36"/>
        <v>OKAY</v>
      </c>
      <c r="L50" s="194" t="str">
        <f t="shared" si="36"/>
        <v>OKAY</v>
      </c>
      <c r="M50" s="194" t="str">
        <f t="shared" si="36"/>
        <v>OKAY</v>
      </c>
      <c r="N50" s="194" t="str">
        <f t="shared" si="36"/>
        <v>OKAY</v>
      </c>
      <c r="O50" s="194" t="str">
        <f t="shared" si="36"/>
        <v>OKAY</v>
      </c>
      <c r="P50" s="194" t="str">
        <f t="shared" si="36"/>
        <v>OKAY</v>
      </c>
      <c r="Q50" s="194" t="str">
        <f t="shared" si="36"/>
        <v>OKAY</v>
      </c>
      <c r="R50" s="194" t="str">
        <f t="shared" si="36"/>
        <v>OKAY</v>
      </c>
      <c r="S50" s="194" t="str">
        <f t="shared" ref="S50" si="37">IF(S49&gt;=50,"OKAY","KO")</f>
        <v>OKAY</v>
      </c>
      <c r="T50" s="194" t="str">
        <f t="shared" ref="T50" si="38">IF(T49&gt;=50,"OKAY","KO")</f>
        <v>OKAY</v>
      </c>
      <c r="U50" s="194" t="str">
        <f t="shared" ref="U50" si="39">IF(U49&gt;=50,"OKAY","KO")</f>
        <v>OKAY</v>
      </c>
      <c r="V50" s="194" t="str">
        <f t="shared" ref="V50" si="40">IF(V49&gt;=50,"OKAY","KO")</f>
        <v>OKAY</v>
      </c>
      <c r="W50" s="194" t="str">
        <f t="shared" ref="W50" si="41">IF(W49&gt;=50,"OKAY","KO")</f>
        <v>OKAY</v>
      </c>
      <c r="X50" s="194" t="str">
        <f t="shared" ref="X50" si="42">IF(X49&gt;=50,"OKAY","KO")</f>
        <v>OKAY</v>
      </c>
      <c r="Y50" s="194" t="str">
        <f t="shared" ref="Y50" si="43">IF(Y49&gt;=50,"OKAY","KO")</f>
        <v>OKAY</v>
      </c>
      <c r="Z50" s="194" t="str">
        <f t="shared" ref="Z50" si="44">IF(Z49&gt;=50,"OKAY","KO")</f>
        <v>OKAY</v>
      </c>
      <c r="AA50" s="194" t="str">
        <f t="shared" ref="AA50" si="45">IF(AA49&gt;=50,"OKAY","KO")</f>
        <v>OKAY</v>
      </c>
      <c r="AB50" s="194" t="str">
        <f t="shared" ref="AB50" si="46">IF(AB49&gt;=50,"OKAY","KO")</f>
        <v>OKAY</v>
      </c>
      <c r="AC50" s="194" t="str">
        <f t="shared" ref="AC50" si="47">IF(AC49&gt;=50,"OKAY","KO")</f>
        <v>OKAY</v>
      </c>
      <c r="AD50" s="194" t="str">
        <f t="shared" ref="AD50" si="48">IF(AD49&gt;=50,"OKAY","KO")</f>
        <v>OKAY</v>
      </c>
      <c r="AE50" s="194" t="str">
        <f t="shared" ref="AE50" si="49">IF(AE49&gt;=50,"OKAY","KO")</f>
        <v>OKAY</v>
      </c>
      <c r="AF50" s="194" t="str">
        <f t="shared" ref="AF50" si="50">IF(AF49&gt;=50,"OKAY","KO")</f>
        <v>OKAY</v>
      </c>
      <c r="AG50" s="194" t="str">
        <f t="shared" ref="AG50" si="51">IF(AG49&gt;=50,"OKAY","KO")</f>
        <v>OKAY</v>
      </c>
      <c r="AH50" s="194" t="str">
        <f t="shared" ref="AH50" si="52">IF(AH49&gt;=50,"OKAY","KO")</f>
        <v>OKAY</v>
      </c>
      <c r="AI50" s="194" t="str">
        <f t="shared" ref="AI50" si="53">IF(AI49&gt;=50,"OKAY","KO")</f>
        <v>OKAY</v>
      </c>
      <c r="AJ50" s="194" t="str">
        <f t="shared" ref="AJ50" si="54">IF(AJ49&gt;=50,"OKAY","KO")</f>
        <v>OKAY</v>
      </c>
      <c r="AK50" s="194" t="str">
        <f t="shared" ref="AK50" si="55">IF(AK49&gt;=50,"OKAY","KO")</f>
        <v>OKAY</v>
      </c>
      <c r="AL50" s="194" t="str">
        <f t="shared" ref="AL50" si="56">IF(AL49&gt;=50,"OKAY","KO")</f>
        <v>OKAY</v>
      </c>
      <c r="AM50" s="194" t="str">
        <f t="shared" ref="AM50" si="57">IF(AM49&gt;=50,"OKAY","KO")</f>
        <v>OKAY</v>
      </c>
      <c r="AN50" s="194" t="str">
        <f t="shared" ref="AN50" si="58">IF(AN49&gt;=50,"OKAY","KO")</f>
        <v>OKAY</v>
      </c>
      <c r="AO50" s="194" t="str">
        <f t="shared" ref="AO50" si="59">IF(AO49&gt;=50,"OKAY","KO")</f>
        <v>OKAY</v>
      </c>
      <c r="AP50" s="194" t="str">
        <f t="shared" ref="AP50" si="60">IF(AP49&gt;=50,"OKAY","KO")</f>
        <v>OKAY</v>
      </c>
      <c r="AQ50" s="194" t="str">
        <f t="shared" ref="AQ50" si="61">IF(AQ49&gt;=50,"OKAY","KO")</f>
        <v>OKAY</v>
      </c>
      <c r="AR50" s="194" t="str">
        <f t="shared" ref="AR50" si="62">IF(AR49&gt;=50,"OKAY","KO")</f>
        <v>OKAY</v>
      </c>
      <c r="AS50" s="194" t="str">
        <f t="shared" ref="AS50" si="63">IF(AS49&gt;=50,"OKAY","KO")</f>
        <v>OKAY</v>
      </c>
      <c r="AT50" s="194" t="str">
        <f t="shared" ref="AT50" si="64">IF(AT49&gt;=50,"OKAY","KO")</f>
        <v>OKAY</v>
      </c>
      <c r="AU50" s="194" t="str">
        <f t="shared" ref="AU50" si="65">IF(AU49&gt;=50,"OKAY","KO")</f>
        <v>OKAY</v>
      </c>
      <c r="AV50" s="194" t="str">
        <f t="shared" ref="AV50" si="66">IF(AV49&gt;=50,"OKAY","KO")</f>
        <v>OKAY</v>
      </c>
      <c r="AW50" s="194" t="str">
        <f t="shared" ref="AW50" si="67">IF(AW49&gt;=50,"OKAY","KO")</f>
        <v>OKAY</v>
      </c>
      <c r="AX50" s="194" t="str">
        <f t="shared" ref="AX50" si="68">IF(AX49&gt;=50,"OKAY","KO")</f>
        <v>OKAY</v>
      </c>
      <c r="AY50" s="194" t="str">
        <f t="shared" ref="AY50" si="69">IF(AY49&gt;=50,"OKAY","KO")</f>
        <v>OKAY</v>
      </c>
      <c r="AZ50" s="194" t="str">
        <f t="shared" ref="AZ50" si="70">IF(AZ49&gt;=50,"OKAY","KO")</f>
        <v>OKAY</v>
      </c>
      <c r="BA50" s="194" t="str">
        <f t="shared" ref="BA50" si="71">IF(BA49&gt;=50,"OKAY","KO")</f>
        <v>OKAY</v>
      </c>
      <c r="BB50" s="194" t="str">
        <f t="shared" ref="BB50" si="72">IF(BB49&gt;=50,"OKAY","KO")</f>
        <v>OKAY</v>
      </c>
      <c r="BC50" s="194" t="str">
        <f t="shared" ref="BC50" si="73">IF(BC49&gt;=50,"OKAY","KO")</f>
        <v>OKAY</v>
      </c>
      <c r="BD50" s="194" t="str">
        <f t="shared" ref="BD50" si="74">IF(BD49&gt;=50,"OKAY","KO")</f>
        <v>OKAY</v>
      </c>
      <c r="BE50" s="194" t="str">
        <f t="shared" ref="BE50" si="75">IF(BE49&gt;=50,"OKAY","KO")</f>
        <v>OKAY</v>
      </c>
      <c r="BF50" s="194" t="str">
        <f t="shared" ref="BF50" si="76">IF(BF49&gt;=50,"OKAY","KO")</f>
        <v>OKAY</v>
      </c>
      <c r="BG50" s="194" t="str">
        <f t="shared" ref="BG50" si="77">IF(BG49&gt;=50,"OKAY","KO")</f>
        <v>OKAY</v>
      </c>
      <c r="BH50" s="194" t="str">
        <f t="shared" ref="BH50" si="78">IF(BH49&gt;=50,"OKAY","KO")</f>
        <v>OKAY</v>
      </c>
      <c r="BI50" s="194" t="str">
        <f t="shared" ref="BI50" si="79">IF(BI49&gt;=50,"OKAY","KO")</f>
        <v>OKAY</v>
      </c>
      <c r="BJ50" s="194" t="str">
        <f t="shared" ref="BJ50" si="80">IF(BJ49&gt;=50,"OKAY","KO")</f>
        <v>OKAY</v>
      </c>
      <c r="BK50" s="194" t="str">
        <f t="shared" ref="BK50" si="81">IF(BK49&gt;=50,"OKAY","KO")</f>
        <v>OKAY</v>
      </c>
      <c r="BL50" s="194" t="str">
        <f t="shared" ref="BL50" si="82">IF(BL49&gt;=50,"OKAY","KO")</f>
        <v>OKAY</v>
      </c>
      <c r="BM50" s="194" t="str">
        <f t="shared" ref="BM50" si="83">IF(BM49&gt;=50,"OKAY","KO")</f>
        <v>OKAY</v>
      </c>
      <c r="BN50" s="194" t="str">
        <f t="shared" ref="BN50" si="84">IF(BN49&gt;=50,"OKAY","KO")</f>
        <v>OKAY</v>
      </c>
    </row>
    <row r="51" spans="1:66" x14ac:dyDescent="0.25">
      <c r="A51" s="102"/>
      <c r="B51" s="194"/>
      <c r="C51" s="194"/>
      <c r="D51" s="194"/>
      <c r="E51" s="194"/>
      <c r="F51" s="194"/>
      <c r="G51" s="194"/>
      <c r="H51" s="194"/>
      <c r="I51" s="194"/>
      <c r="J51" s="194"/>
      <c r="K51" s="194"/>
      <c r="L51" s="194"/>
      <c r="M51" s="194"/>
      <c r="N51" s="194"/>
      <c r="O51" s="194"/>
      <c r="P51" s="194"/>
      <c r="Q51" s="194"/>
      <c r="R51" s="194"/>
      <c r="S51" s="194"/>
      <c r="T51" s="194"/>
      <c r="U51" s="194"/>
      <c r="V51" s="194"/>
      <c r="W51" s="194"/>
      <c r="X51" s="194"/>
      <c r="Y51" s="194"/>
      <c r="Z51" s="194"/>
      <c r="AA51" s="194"/>
      <c r="AB51" s="194"/>
      <c r="AC51" s="194"/>
      <c r="AD51" s="194"/>
      <c r="AE51" s="194"/>
      <c r="AF51" s="194"/>
      <c r="AG51" s="194"/>
      <c r="AH51" s="194"/>
      <c r="AI51" s="194"/>
      <c r="AJ51" s="194"/>
      <c r="AK51" s="194"/>
      <c r="AL51" s="194"/>
      <c r="AM51" s="194"/>
      <c r="AN51" s="194"/>
      <c r="AO51" s="194"/>
      <c r="AP51" s="194"/>
      <c r="AQ51" s="194"/>
      <c r="AR51" s="194"/>
      <c r="AS51" s="194"/>
      <c r="AT51" s="194"/>
      <c r="AU51" s="194"/>
      <c r="AV51" s="194"/>
      <c r="AW51" s="194"/>
      <c r="AX51" s="194"/>
      <c r="AY51" s="194"/>
      <c r="AZ51" s="194"/>
      <c r="BA51" s="194"/>
      <c r="BB51" s="194"/>
      <c r="BC51" s="194"/>
      <c r="BD51" s="194"/>
      <c r="BE51" s="194"/>
      <c r="BF51" s="194"/>
      <c r="BG51" s="194"/>
      <c r="BH51" s="194"/>
      <c r="BI51" s="194"/>
      <c r="BJ51" s="194"/>
      <c r="BK51" s="194"/>
      <c r="BL51" s="194"/>
      <c r="BM51" s="194"/>
      <c r="BN51" s="194"/>
    </row>
    <row r="52" spans="1:66" x14ac:dyDescent="0.25">
      <c r="A52" s="102"/>
      <c r="B52" s="194"/>
      <c r="C52" s="194"/>
      <c r="D52" s="194"/>
      <c r="E52" s="194"/>
      <c r="F52" s="194"/>
      <c r="G52" s="194"/>
      <c r="H52" s="194"/>
      <c r="I52" s="194"/>
      <c r="J52" s="194"/>
      <c r="K52" s="194"/>
      <c r="L52" s="194"/>
      <c r="M52" s="194"/>
      <c r="N52" s="194"/>
      <c r="O52" s="194"/>
      <c r="P52" s="194"/>
      <c r="Q52" s="194"/>
      <c r="R52" s="194"/>
      <c r="S52" s="194"/>
      <c r="T52" s="194"/>
      <c r="U52" s="194"/>
      <c r="V52" s="194"/>
      <c r="W52" s="194"/>
      <c r="X52" s="194"/>
      <c r="Y52" s="194"/>
      <c r="Z52" s="194"/>
      <c r="AA52" s="194"/>
      <c r="AB52" s="194"/>
      <c r="AC52" s="194"/>
      <c r="AD52" s="194"/>
      <c r="AE52" s="194"/>
      <c r="AF52" s="194"/>
      <c r="AG52" s="194"/>
      <c r="AH52" s="194"/>
      <c r="AI52" s="194"/>
      <c r="AJ52" s="194"/>
      <c r="AK52" s="194"/>
      <c r="AL52" s="194"/>
      <c r="AM52" s="194"/>
      <c r="AN52" s="194"/>
      <c r="AO52" s="194"/>
      <c r="AP52" s="194"/>
      <c r="AQ52" s="194"/>
      <c r="AR52" s="194"/>
      <c r="AS52" s="194"/>
      <c r="AT52" s="194"/>
      <c r="AU52" s="194"/>
      <c r="AV52" s="194"/>
      <c r="AW52" s="194"/>
      <c r="AX52" s="194"/>
      <c r="AY52" s="194"/>
      <c r="AZ52" s="194"/>
      <c r="BA52" s="194"/>
      <c r="BB52" s="194"/>
      <c r="BC52" s="194"/>
      <c r="BD52" s="194"/>
      <c r="BE52" s="194"/>
      <c r="BF52" s="194"/>
      <c r="BG52" s="194"/>
      <c r="BH52" s="194"/>
      <c r="BI52" s="194"/>
      <c r="BJ52" s="194"/>
      <c r="BK52" s="194"/>
      <c r="BL52" s="194"/>
      <c r="BM52" s="194"/>
      <c r="BN52" s="194"/>
    </row>
    <row r="56" spans="1:66" x14ac:dyDescent="0.25">
      <c r="C56" s="110"/>
      <c r="D56" s="110"/>
      <c r="E56" s="110"/>
      <c r="F56" s="110"/>
      <c r="G56" s="110"/>
      <c r="H56" s="110"/>
    </row>
    <row r="94" spans="2:2" x14ac:dyDescent="0.25">
      <c r="B94" s="163"/>
    </row>
    <row r="95" spans="2:2" x14ac:dyDescent="0.25">
      <c r="B95" s="163"/>
    </row>
  </sheetData>
  <phoneticPr fontId="3" type="noConversion"/>
  <conditionalFormatting sqref="A50:XFD50">
    <cfRule type="containsText" dxfId="144" priority="1" operator="containsText" text="KO">
      <formula>NOT(ISERROR(SEARCH("KO",A50)))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V62"/>
  <sheetViews>
    <sheetView workbookViewId="0">
      <selection activeCell="B14" sqref="B14"/>
    </sheetView>
  </sheetViews>
  <sheetFormatPr defaultRowHeight="15" x14ac:dyDescent="0.25"/>
  <cols>
    <col min="1" max="1" width="34.5703125" customWidth="1"/>
    <col min="2" max="2" width="14.42578125" customWidth="1"/>
    <col min="3" max="9" width="13" bestFit="1" customWidth="1"/>
    <col min="10" max="10" width="14" bestFit="1" customWidth="1"/>
  </cols>
  <sheetData>
    <row r="1" spans="1:18" x14ac:dyDescent="0.25">
      <c r="A1" s="104" t="s">
        <v>652</v>
      </c>
      <c r="B1" s="105" t="s">
        <v>752</v>
      </c>
      <c r="C1" s="105" t="s">
        <v>753</v>
      </c>
      <c r="D1" s="105" t="s">
        <v>689</v>
      </c>
      <c r="E1" s="105" t="s">
        <v>754</v>
      </c>
      <c r="F1" s="105" t="s">
        <v>755</v>
      </c>
      <c r="G1" s="105" t="s">
        <v>756</v>
      </c>
      <c r="H1" s="105" t="s">
        <v>693</v>
      </c>
      <c r="I1" s="105" t="s">
        <v>694</v>
      </c>
      <c r="J1" s="105" t="s">
        <v>757</v>
      </c>
      <c r="K1" s="105" t="s">
        <v>661</v>
      </c>
      <c r="L1" s="105" t="s">
        <v>662</v>
      </c>
      <c r="M1" s="117" t="s">
        <v>663</v>
      </c>
      <c r="N1" s="105" t="s">
        <v>685</v>
      </c>
      <c r="O1" s="117" t="s">
        <v>664</v>
      </c>
      <c r="P1" s="117" t="s">
        <v>665</v>
      </c>
      <c r="Q1" s="117" t="s">
        <v>666</v>
      </c>
      <c r="R1" s="105" t="s">
        <v>667</v>
      </c>
    </row>
    <row r="2" spans="1:18" x14ac:dyDescent="0.25">
      <c r="A2" s="5" t="s">
        <v>668</v>
      </c>
      <c r="B2" s="59">
        <v>76</v>
      </c>
      <c r="C2" s="59">
        <v>75</v>
      </c>
      <c r="D2" s="106">
        <v>75</v>
      </c>
      <c r="E2" s="59">
        <v>74</v>
      </c>
      <c r="F2" s="59">
        <v>72</v>
      </c>
      <c r="G2" s="59">
        <v>72</v>
      </c>
      <c r="H2" s="108">
        <v>71</v>
      </c>
      <c r="I2" s="108">
        <v>72</v>
      </c>
      <c r="J2" s="109">
        <v>74</v>
      </c>
      <c r="K2" s="100">
        <v>72</v>
      </c>
      <c r="L2" s="100">
        <v>69</v>
      </c>
      <c r="M2" s="100">
        <v>73</v>
      </c>
      <c r="N2" s="100">
        <v>72</v>
      </c>
      <c r="O2" s="165">
        <v>72</v>
      </c>
      <c r="P2" s="59">
        <v>72</v>
      </c>
      <c r="Q2" s="165">
        <v>72</v>
      </c>
      <c r="R2" s="100">
        <v>75</v>
      </c>
    </row>
    <row r="3" spans="1:18" x14ac:dyDescent="0.25">
      <c r="A3" s="5" t="s">
        <v>668</v>
      </c>
      <c r="B3" s="196">
        <f>AVERAGE($B$2:$R$2)</f>
        <v>72.82352941176471</v>
      </c>
      <c r="C3" s="196">
        <f t="shared" ref="C3:R3" si="0">AVERAGE($B$2:$R$2)</f>
        <v>72.82352941176471</v>
      </c>
      <c r="D3" s="196">
        <f t="shared" si="0"/>
        <v>72.82352941176471</v>
      </c>
      <c r="E3" s="196">
        <f t="shared" si="0"/>
        <v>72.82352941176471</v>
      </c>
      <c r="F3" s="196">
        <f t="shared" si="0"/>
        <v>72.82352941176471</v>
      </c>
      <c r="G3" s="196">
        <f t="shared" si="0"/>
        <v>72.82352941176471</v>
      </c>
      <c r="H3" s="196">
        <f t="shared" si="0"/>
        <v>72.82352941176471</v>
      </c>
      <c r="I3" s="196">
        <f t="shared" si="0"/>
        <v>72.82352941176471</v>
      </c>
      <c r="J3" s="196">
        <f t="shared" si="0"/>
        <v>72.82352941176471</v>
      </c>
      <c r="K3" s="196">
        <f t="shared" si="0"/>
        <v>72.82352941176471</v>
      </c>
      <c r="L3" s="196">
        <f t="shared" si="0"/>
        <v>72.82352941176471</v>
      </c>
      <c r="M3" s="196">
        <f t="shared" si="0"/>
        <v>72.82352941176471</v>
      </c>
      <c r="N3" s="196">
        <f t="shared" si="0"/>
        <v>72.82352941176471</v>
      </c>
      <c r="O3" s="196">
        <f t="shared" si="0"/>
        <v>72.82352941176471</v>
      </c>
      <c r="P3" s="196">
        <f t="shared" si="0"/>
        <v>72.82352941176471</v>
      </c>
      <c r="Q3" s="196">
        <f t="shared" si="0"/>
        <v>72.82352941176471</v>
      </c>
      <c r="R3" s="196">
        <f t="shared" si="0"/>
        <v>72.82352941176471</v>
      </c>
    </row>
    <row r="4" spans="1:18" x14ac:dyDescent="0.25">
      <c r="A4" s="5" t="s">
        <v>668</v>
      </c>
      <c r="B4" s="196">
        <f>AVERAGE($B$2:$R$2)-2</f>
        <v>70.82352941176471</v>
      </c>
      <c r="C4" s="196">
        <f t="shared" ref="C4:R4" si="1">AVERAGE($B$2:$R$2)-2</f>
        <v>70.82352941176471</v>
      </c>
      <c r="D4" s="196">
        <f t="shared" si="1"/>
        <v>70.82352941176471</v>
      </c>
      <c r="E4" s="196">
        <f t="shared" si="1"/>
        <v>70.82352941176471</v>
      </c>
      <c r="F4" s="196">
        <f t="shared" si="1"/>
        <v>70.82352941176471</v>
      </c>
      <c r="G4" s="196">
        <f t="shared" si="1"/>
        <v>70.82352941176471</v>
      </c>
      <c r="H4" s="196">
        <f t="shared" si="1"/>
        <v>70.82352941176471</v>
      </c>
      <c r="I4" s="196">
        <f t="shared" si="1"/>
        <v>70.82352941176471</v>
      </c>
      <c r="J4" s="196">
        <f t="shared" si="1"/>
        <v>70.82352941176471</v>
      </c>
      <c r="K4" s="196">
        <f t="shared" si="1"/>
        <v>70.82352941176471</v>
      </c>
      <c r="L4" s="196">
        <f t="shared" si="1"/>
        <v>70.82352941176471</v>
      </c>
      <c r="M4" s="196">
        <f t="shared" si="1"/>
        <v>70.82352941176471</v>
      </c>
      <c r="N4" s="196">
        <f t="shared" si="1"/>
        <v>70.82352941176471</v>
      </c>
      <c r="O4" s="196">
        <f t="shared" si="1"/>
        <v>70.82352941176471</v>
      </c>
      <c r="P4" s="196">
        <f t="shared" si="1"/>
        <v>70.82352941176471</v>
      </c>
      <c r="Q4" s="196">
        <f t="shared" si="1"/>
        <v>70.82352941176471</v>
      </c>
      <c r="R4" s="196">
        <f t="shared" si="1"/>
        <v>70.82352941176471</v>
      </c>
    </row>
    <row r="5" spans="1:18" x14ac:dyDescent="0.25">
      <c r="A5" s="5" t="s">
        <v>668</v>
      </c>
      <c r="B5" s="196">
        <f>AVERAGE($B$2:$R$2)+2</f>
        <v>74.82352941176471</v>
      </c>
      <c r="C5" s="196">
        <f t="shared" ref="C5:R5" si="2">AVERAGE($B$2:$R$2)+2</f>
        <v>74.82352941176471</v>
      </c>
      <c r="D5" s="196">
        <f t="shared" si="2"/>
        <v>74.82352941176471</v>
      </c>
      <c r="E5" s="196">
        <f t="shared" si="2"/>
        <v>74.82352941176471</v>
      </c>
      <c r="F5" s="196">
        <f t="shared" si="2"/>
        <v>74.82352941176471</v>
      </c>
      <c r="G5" s="196">
        <f t="shared" si="2"/>
        <v>74.82352941176471</v>
      </c>
      <c r="H5" s="196">
        <f t="shared" si="2"/>
        <v>74.82352941176471</v>
      </c>
      <c r="I5" s="196">
        <f t="shared" si="2"/>
        <v>74.82352941176471</v>
      </c>
      <c r="J5" s="196">
        <f t="shared" si="2"/>
        <v>74.82352941176471</v>
      </c>
      <c r="K5" s="196">
        <f t="shared" si="2"/>
        <v>74.82352941176471</v>
      </c>
      <c r="L5" s="196">
        <f t="shared" si="2"/>
        <v>74.82352941176471</v>
      </c>
      <c r="M5" s="196">
        <f t="shared" si="2"/>
        <v>74.82352941176471</v>
      </c>
      <c r="N5" s="196">
        <f t="shared" si="2"/>
        <v>74.82352941176471</v>
      </c>
      <c r="O5" s="196">
        <f t="shared" si="2"/>
        <v>74.82352941176471</v>
      </c>
      <c r="P5" s="196">
        <f t="shared" si="2"/>
        <v>74.82352941176471</v>
      </c>
      <c r="Q5" s="196">
        <f t="shared" si="2"/>
        <v>74.82352941176471</v>
      </c>
      <c r="R5" s="196">
        <f t="shared" si="2"/>
        <v>74.82352941176471</v>
      </c>
    </row>
    <row r="6" spans="1:18" x14ac:dyDescent="0.25">
      <c r="A6" s="104" t="s">
        <v>652</v>
      </c>
      <c r="B6" s="105">
        <v>44175</v>
      </c>
      <c r="C6" s="105" t="s">
        <v>753</v>
      </c>
      <c r="D6" s="105" t="s">
        <v>689</v>
      </c>
      <c r="E6" s="105" t="s">
        <v>754</v>
      </c>
      <c r="F6" s="105" t="s">
        <v>755</v>
      </c>
      <c r="G6" s="105" t="s">
        <v>756</v>
      </c>
      <c r="H6" s="105" t="s">
        <v>693</v>
      </c>
      <c r="I6" s="105" t="s">
        <v>694</v>
      </c>
      <c r="J6" s="105" t="s">
        <v>757</v>
      </c>
      <c r="K6" s="105" t="s">
        <v>661</v>
      </c>
      <c r="L6" s="105" t="s">
        <v>662</v>
      </c>
      <c r="M6" s="117" t="s">
        <v>663</v>
      </c>
      <c r="N6" s="105" t="s">
        <v>685</v>
      </c>
      <c r="O6" s="117" t="s">
        <v>664</v>
      </c>
      <c r="P6" s="117" t="s">
        <v>665</v>
      </c>
      <c r="Q6" s="117" t="s">
        <v>686</v>
      </c>
      <c r="R6" s="100"/>
    </row>
    <row r="7" spans="1:18" x14ac:dyDescent="0.25">
      <c r="A7" s="103" t="s">
        <v>669</v>
      </c>
      <c r="B7" s="100">
        <v>19</v>
      </c>
      <c r="C7" s="100">
        <v>19</v>
      </c>
      <c r="D7" s="107">
        <v>15</v>
      </c>
      <c r="E7" s="100">
        <v>25</v>
      </c>
      <c r="F7" s="100">
        <v>15</v>
      </c>
      <c r="G7" s="100">
        <v>15</v>
      </c>
      <c r="H7" s="108">
        <v>23</v>
      </c>
      <c r="I7" s="108">
        <v>21</v>
      </c>
      <c r="J7" s="109">
        <v>21</v>
      </c>
      <c r="K7" s="100">
        <v>26</v>
      </c>
      <c r="L7" s="100">
        <v>22</v>
      </c>
      <c r="M7" s="100">
        <v>23</v>
      </c>
      <c r="N7" s="100">
        <v>21</v>
      </c>
      <c r="O7" s="165">
        <v>27</v>
      </c>
      <c r="P7" s="59">
        <v>15</v>
      </c>
      <c r="Q7" s="165">
        <v>21</v>
      </c>
      <c r="R7" s="100">
        <v>18</v>
      </c>
    </row>
    <row r="8" spans="1:18" x14ac:dyDescent="0.25">
      <c r="A8" s="103" t="s">
        <v>669</v>
      </c>
      <c r="B8" s="196">
        <f>AVERAGE($B$7:$R$7)</f>
        <v>20.352941176470587</v>
      </c>
      <c r="C8" s="196">
        <f t="shared" ref="C8:R8" si="3">AVERAGE($B$7:$R$7)</f>
        <v>20.352941176470587</v>
      </c>
      <c r="D8" s="196">
        <f t="shared" si="3"/>
        <v>20.352941176470587</v>
      </c>
      <c r="E8" s="196">
        <f t="shared" si="3"/>
        <v>20.352941176470587</v>
      </c>
      <c r="F8" s="196">
        <f t="shared" si="3"/>
        <v>20.352941176470587</v>
      </c>
      <c r="G8" s="196">
        <f t="shared" si="3"/>
        <v>20.352941176470587</v>
      </c>
      <c r="H8" s="196">
        <f t="shared" si="3"/>
        <v>20.352941176470587</v>
      </c>
      <c r="I8" s="196">
        <f t="shared" si="3"/>
        <v>20.352941176470587</v>
      </c>
      <c r="J8" s="196">
        <f t="shared" si="3"/>
        <v>20.352941176470587</v>
      </c>
      <c r="K8" s="196">
        <f t="shared" si="3"/>
        <v>20.352941176470587</v>
      </c>
      <c r="L8" s="196">
        <f t="shared" si="3"/>
        <v>20.352941176470587</v>
      </c>
      <c r="M8" s="196">
        <f t="shared" si="3"/>
        <v>20.352941176470587</v>
      </c>
      <c r="N8" s="196">
        <f t="shared" si="3"/>
        <v>20.352941176470587</v>
      </c>
      <c r="O8" s="196">
        <f t="shared" si="3"/>
        <v>20.352941176470587</v>
      </c>
      <c r="P8" s="196">
        <f t="shared" si="3"/>
        <v>20.352941176470587</v>
      </c>
      <c r="Q8" s="196">
        <f t="shared" si="3"/>
        <v>20.352941176470587</v>
      </c>
      <c r="R8" s="196">
        <f t="shared" si="3"/>
        <v>20.352941176470587</v>
      </c>
    </row>
    <row r="9" spans="1:18" x14ac:dyDescent="0.25">
      <c r="A9" s="103" t="s">
        <v>669</v>
      </c>
      <c r="B9" s="196">
        <f>AVERAGE($B$7:$R$7)/100*90</f>
        <v>18.317647058823528</v>
      </c>
      <c r="C9" s="196">
        <f t="shared" ref="C9:R9" si="4">AVERAGE($B$7:$R$7)/100*90</f>
        <v>18.317647058823528</v>
      </c>
      <c r="D9" s="196">
        <f t="shared" si="4"/>
        <v>18.317647058823528</v>
      </c>
      <c r="E9" s="196">
        <f t="shared" si="4"/>
        <v>18.317647058823528</v>
      </c>
      <c r="F9" s="196">
        <f t="shared" si="4"/>
        <v>18.317647058823528</v>
      </c>
      <c r="G9" s="196">
        <f t="shared" si="4"/>
        <v>18.317647058823528</v>
      </c>
      <c r="H9" s="196">
        <f t="shared" si="4"/>
        <v>18.317647058823528</v>
      </c>
      <c r="I9" s="196">
        <f t="shared" si="4"/>
        <v>18.317647058823528</v>
      </c>
      <c r="J9" s="196">
        <f t="shared" si="4"/>
        <v>18.317647058823528</v>
      </c>
      <c r="K9" s="196">
        <f t="shared" si="4"/>
        <v>18.317647058823528</v>
      </c>
      <c r="L9" s="196">
        <f t="shared" si="4"/>
        <v>18.317647058823528</v>
      </c>
      <c r="M9" s="196">
        <f t="shared" si="4"/>
        <v>18.317647058823528</v>
      </c>
      <c r="N9" s="196">
        <f t="shared" si="4"/>
        <v>18.317647058823528</v>
      </c>
      <c r="O9" s="196">
        <f t="shared" si="4"/>
        <v>18.317647058823528</v>
      </c>
      <c r="P9" s="196">
        <f t="shared" si="4"/>
        <v>18.317647058823528</v>
      </c>
      <c r="Q9" s="196">
        <f t="shared" si="4"/>
        <v>18.317647058823528</v>
      </c>
      <c r="R9" s="196">
        <f t="shared" si="4"/>
        <v>18.317647058823528</v>
      </c>
    </row>
    <row r="10" spans="1:18" x14ac:dyDescent="0.25">
      <c r="A10" s="103" t="s">
        <v>669</v>
      </c>
      <c r="B10" s="196">
        <f>(AVERAGE($B$7:$R$7))+(AVERAGE($B$7:$Q$7)/100*10)</f>
        <v>22.402941176470588</v>
      </c>
      <c r="C10" s="196">
        <f t="shared" ref="C10:R10" si="5">(AVERAGE($B$7:$R$7))+(AVERAGE($B$7:$Q$7)/100*10)</f>
        <v>22.402941176470588</v>
      </c>
      <c r="D10" s="196">
        <f t="shared" si="5"/>
        <v>22.402941176470588</v>
      </c>
      <c r="E10" s="196">
        <f t="shared" si="5"/>
        <v>22.402941176470588</v>
      </c>
      <c r="F10" s="196">
        <f t="shared" si="5"/>
        <v>22.402941176470588</v>
      </c>
      <c r="G10" s="196">
        <f t="shared" si="5"/>
        <v>22.402941176470588</v>
      </c>
      <c r="H10" s="196">
        <f t="shared" si="5"/>
        <v>22.402941176470588</v>
      </c>
      <c r="I10" s="196">
        <f t="shared" si="5"/>
        <v>22.402941176470588</v>
      </c>
      <c r="J10" s="196">
        <f t="shared" si="5"/>
        <v>22.402941176470588</v>
      </c>
      <c r="K10" s="196">
        <f t="shared" si="5"/>
        <v>22.402941176470588</v>
      </c>
      <c r="L10" s="196">
        <f t="shared" si="5"/>
        <v>22.402941176470588</v>
      </c>
      <c r="M10" s="196">
        <f t="shared" si="5"/>
        <v>22.402941176470588</v>
      </c>
      <c r="N10" s="196">
        <f t="shared" si="5"/>
        <v>22.402941176470588</v>
      </c>
      <c r="O10" s="196">
        <f t="shared" si="5"/>
        <v>22.402941176470588</v>
      </c>
      <c r="P10" s="196">
        <f t="shared" si="5"/>
        <v>22.402941176470588</v>
      </c>
      <c r="Q10" s="196">
        <f t="shared" si="5"/>
        <v>22.402941176470588</v>
      </c>
      <c r="R10" s="196">
        <f t="shared" si="5"/>
        <v>22.402941176470588</v>
      </c>
    </row>
    <row r="11" spans="1:18" x14ac:dyDescent="0.25">
      <c r="A11" s="103" t="s">
        <v>669</v>
      </c>
      <c r="B11" s="196">
        <f>AVERAGE($B$7:$R$7)/100*80</f>
        <v>16.28235294117647</v>
      </c>
      <c r="C11" s="196">
        <f t="shared" ref="C11:R11" si="6">AVERAGE($B$7:$R$7)/100*80</f>
        <v>16.28235294117647</v>
      </c>
      <c r="D11" s="196">
        <f t="shared" si="6"/>
        <v>16.28235294117647</v>
      </c>
      <c r="E11" s="196">
        <f t="shared" si="6"/>
        <v>16.28235294117647</v>
      </c>
      <c r="F11" s="196">
        <f t="shared" si="6"/>
        <v>16.28235294117647</v>
      </c>
      <c r="G11" s="196">
        <f t="shared" si="6"/>
        <v>16.28235294117647</v>
      </c>
      <c r="H11" s="196">
        <f t="shared" si="6"/>
        <v>16.28235294117647</v>
      </c>
      <c r="I11" s="196">
        <f t="shared" si="6"/>
        <v>16.28235294117647</v>
      </c>
      <c r="J11" s="196">
        <f t="shared" si="6"/>
        <v>16.28235294117647</v>
      </c>
      <c r="K11" s="196">
        <f t="shared" si="6"/>
        <v>16.28235294117647</v>
      </c>
      <c r="L11" s="196">
        <f t="shared" si="6"/>
        <v>16.28235294117647</v>
      </c>
      <c r="M11" s="196">
        <f t="shared" si="6"/>
        <v>16.28235294117647</v>
      </c>
      <c r="N11" s="196">
        <f t="shared" si="6"/>
        <v>16.28235294117647</v>
      </c>
      <c r="O11" s="196">
        <f t="shared" si="6"/>
        <v>16.28235294117647</v>
      </c>
      <c r="P11" s="196">
        <f t="shared" si="6"/>
        <v>16.28235294117647</v>
      </c>
      <c r="Q11" s="196">
        <f t="shared" si="6"/>
        <v>16.28235294117647</v>
      </c>
      <c r="R11" s="196">
        <f t="shared" si="6"/>
        <v>16.28235294117647</v>
      </c>
    </row>
    <row r="12" spans="1:18" x14ac:dyDescent="0.25">
      <c r="A12" s="103" t="s">
        <v>669</v>
      </c>
      <c r="B12" s="196">
        <f>(AVERAGE($B$7:$R$7))+(AVERAGE($B$7:$Q$7)/100*20)</f>
        <v>24.452941176470588</v>
      </c>
      <c r="C12" s="196">
        <f t="shared" ref="C12:R12" si="7">(AVERAGE($B$7:$R$7))+(AVERAGE($B$7:$Q$7)/100*20)</f>
        <v>24.452941176470588</v>
      </c>
      <c r="D12" s="196">
        <f t="shared" si="7"/>
        <v>24.452941176470588</v>
      </c>
      <c r="E12" s="196">
        <f t="shared" si="7"/>
        <v>24.452941176470588</v>
      </c>
      <c r="F12" s="196">
        <f t="shared" si="7"/>
        <v>24.452941176470588</v>
      </c>
      <c r="G12" s="196">
        <f t="shared" si="7"/>
        <v>24.452941176470588</v>
      </c>
      <c r="H12" s="196">
        <f t="shared" si="7"/>
        <v>24.452941176470588</v>
      </c>
      <c r="I12" s="196">
        <f t="shared" si="7"/>
        <v>24.452941176470588</v>
      </c>
      <c r="J12" s="196">
        <f t="shared" si="7"/>
        <v>24.452941176470588</v>
      </c>
      <c r="K12" s="196">
        <f t="shared" si="7"/>
        <v>24.452941176470588</v>
      </c>
      <c r="L12" s="196">
        <f t="shared" si="7"/>
        <v>24.452941176470588</v>
      </c>
      <c r="M12" s="196">
        <f t="shared" si="7"/>
        <v>24.452941176470588</v>
      </c>
      <c r="N12" s="196">
        <f t="shared" si="7"/>
        <v>24.452941176470588</v>
      </c>
      <c r="O12" s="196">
        <f t="shared" si="7"/>
        <v>24.452941176470588</v>
      </c>
      <c r="P12" s="196">
        <f t="shared" si="7"/>
        <v>24.452941176470588</v>
      </c>
      <c r="Q12" s="196">
        <f t="shared" si="7"/>
        <v>24.452941176470588</v>
      </c>
      <c r="R12" s="196">
        <f t="shared" si="7"/>
        <v>24.452941176470588</v>
      </c>
    </row>
    <row r="13" spans="1:18" x14ac:dyDescent="0.25">
      <c r="A13" s="104" t="s">
        <v>652</v>
      </c>
      <c r="B13" s="105" t="s">
        <v>752</v>
      </c>
      <c r="C13" s="105" t="s">
        <v>753</v>
      </c>
      <c r="D13" s="105" t="s">
        <v>689</v>
      </c>
      <c r="E13" s="105" t="s">
        <v>754</v>
      </c>
      <c r="F13" s="105" t="s">
        <v>755</v>
      </c>
      <c r="G13" s="105" t="s">
        <v>756</v>
      </c>
      <c r="H13" s="105" t="s">
        <v>693</v>
      </c>
      <c r="I13" s="105" t="s">
        <v>694</v>
      </c>
      <c r="J13" s="105" t="s">
        <v>757</v>
      </c>
      <c r="K13" s="105" t="s">
        <v>661</v>
      </c>
      <c r="L13" s="105" t="s">
        <v>662</v>
      </c>
      <c r="M13" s="117" t="s">
        <v>663</v>
      </c>
      <c r="N13" s="105" t="s">
        <v>685</v>
      </c>
      <c r="O13" s="117" t="s">
        <v>664</v>
      </c>
      <c r="P13" s="117" t="s">
        <v>665</v>
      </c>
      <c r="Q13" s="117" t="s">
        <v>686</v>
      </c>
      <c r="R13" s="100"/>
    </row>
    <row r="14" spans="1:18" x14ac:dyDescent="0.25">
      <c r="A14" s="103" t="s">
        <v>670</v>
      </c>
      <c r="B14" s="100">
        <v>540</v>
      </c>
      <c r="C14" s="100">
        <v>648</v>
      </c>
      <c r="D14" s="100">
        <v>669</v>
      </c>
      <c r="E14" s="100">
        <v>719</v>
      </c>
      <c r="F14" s="100">
        <v>473</v>
      </c>
      <c r="G14" s="100">
        <v>458</v>
      </c>
      <c r="H14" s="108">
        <v>533</v>
      </c>
      <c r="I14" s="108">
        <v>750</v>
      </c>
      <c r="J14" s="109">
        <v>820</v>
      </c>
      <c r="K14" s="100">
        <v>924</v>
      </c>
      <c r="L14" s="100">
        <v>912</v>
      </c>
      <c r="M14" s="100">
        <v>983</v>
      </c>
      <c r="N14" s="100">
        <v>697</v>
      </c>
      <c r="O14" s="165">
        <v>740</v>
      </c>
      <c r="P14" s="59">
        <v>720</v>
      </c>
      <c r="Q14" s="165">
        <v>766</v>
      </c>
      <c r="R14" s="100">
        <v>705</v>
      </c>
    </row>
    <row r="15" spans="1:18" x14ac:dyDescent="0.25">
      <c r="A15" s="116" t="s">
        <v>670</v>
      </c>
      <c r="B15" s="196">
        <f>AVERAGE($B$14:$R$14)</f>
        <v>709.23529411764707</v>
      </c>
      <c r="C15" s="196">
        <f t="shared" ref="C15:Q15" si="8">AVERAGE($B$14:$R$14)</f>
        <v>709.23529411764707</v>
      </c>
      <c r="D15" s="196">
        <f t="shared" si="8"/>
        <v>709.23529411764707</v>
      </c>
      <c r="E15" s="196">
        <f t="shared" si="8"/>
        <v>709.23529411764707</v>
      </c>
      <c r="F15" s="196">
        <f t="shared" si="8"/>
        <v>709.23529411764707</v>
      </c>
      <c r="G15" s="196">
        <f t="shared" si="8"/>
        <v>709.23529411764707</v>
      </c>
      <c r="H15" s="196">
        <f t="shared" si="8"/>
        <v>709.23529411764707</v>
      </c>
      <c r="I15" s="196">
        <f t="shared" si="8"/>
        <v>709.23529411764707</v>
      </c>
      <c r="J15" s="196">
        <f t="shared" si="8"/>
        <v>709.23529411764707</v>
      </c>
      <c r="K15" s="196">
        <f t="shared" si="8"/>
        <v>709.23529411764707</v>
      </c>
      <c r="L15" s="196">
        <f t="shared" si="8"/>
        <v>709.23529411764707</v>
      </c>
      <c r="M15" s="196">
        <f t="shared" si="8"/>
        <v>709.23529411764707</v>
      </c>
      <c r="N15" s="196">
        <f t="shared" si="8"/>
        <v>709.23529411764707</v>
      </c>
      <c r="O15" s="196">
        <f t="shared" si="8"/>
        <v>709.23529411764707</v>
      </c>
      <c r="P15" s="196">
        <f t="shared" si="8"/>
        <v>709.23529411764707</v>
      </c>
      <c r="Q15" s="196">
        <f t="shared" si="8"/>
        <v>709.23529411764707</v>
      </c>
      <c r="R15" s="196">
        <f>AVERAGE($B$14:$R$14)</f>
        <v>709.23529411764707</v>
      </c>
    </row>
    <row r="16" spans="1:18" x14ac:dyDescent="0.25">
      <c r="A16" s="116" t="s">
        <v>670</v>
      </c>
      <c r="B16" s="196">
        <f>AVERAGE($B$14:$R$14)/100*90</f>
        <v>638.31176470588241</v>
      </c>
      <c r="C16" s="196">
        <f t="shared" ref="C16:Q16" si="9">AVERAGE($B$14:$R$14)/100*90</f>
        <v>638.31176470588241</v>
      </c>
      <c r="D16" s="196">
        <f t="shared" si="9"/>
        <v>638.31176470588241</v>
      </c>
      <c r="E16" s="196">
        <f t="shared" si="9"/>
        <v>638.31176470588241</v>
      </c>
      <c r="F16" s="196">
        <f t="shared" si="9"/>
        <v>638.31176470588241</v>
      </c>
      <c r="G16" s="196">
        <f t="shared" si="9"/>
        <v>638.31176470588241</v>
      </c>
      <c r="H16" s="196">
        <f t="shared" si="9"/>
        <v>638.31176470588241</v>
      </c>
      <c r="I16" s="196">
        <f t="shared" si="9"/>
        <v>638.31176470588241</v>
      </c>
      <c r="J16" s="196">
        <f t="shared" si="9"/>
        <v>638.31176470588241</v>
      </c>
      <c r="K16" s="196">
        <f t="shared" si="9"/>
        <v>638.31176470588241</v>
      </c>
      <c r="L16" s="196">
        <f t="shared" si="9"/>
        <v>638.31176470588241</v>
      </c>
      <c r="M16" s="196">
        <f t="shared" si="9"/>
        <v>638.31176470588241</v>
      </c>
      <c r="N16" s="196">
        <f t="shared" si="9"/>
        <v>638.31176470588241</v>
      </c>
      <c r="O16" s="196">
        <f t="shared" si="9"/>
        <v>638.31176470588241</v>
      </c>
      <c r="P16" s="196">
        <f t="shared" si="9"/>
        <v>638.31176470588241</v>
      </c>
      <c r="Q16" s="196">
        <f t="shared" si="9"/>
        <v>638.31176470588241</v>
      </c>
      <c r="R16" s="196">
        <f>AVERAGE($B$14:$R$14)/100*90</f>
        <v>638.31176470588241</v>
      </c>
    </row>
    <row r="17" spans="1:22" x14ac:dyDescent="0.25">
      <c r="A17" s="116" t="s">
        <v>670</v>
      </c>
      <c r="B17" s="196">
        <f>AVERAGE($B$14:$R$14)/100*80</f>
        <v>567.38823529411764</v>
      </c>
      <c r="C17" s="196">
        <f t="shared" ref="C17:Q17" si="10">AVERAGE($B$14:$R$14)/100*80</f>
        <v>567.38823529411764</v>
      </c>
      <c r="D17" s="196">
        <f t="shared" si="10"/>
        <v>567.38823529411764</v>
      </c>
      <c r="E17" s="196">
        <f t="shared" si="10"/>
        <v>567.38823529411764</v>
      </c>
      <c r="F17" s="196">
        <f t="shared" si="10"/>
        <v>567.38823529411764</v>
      </c>
      <c r="G17" s="196">
        <f t="shared" si="10"/>
        <v>567.38823529411764</v>
      </c>
      <c r="H17" s="196">
        <f t="shared" si="10"/>
        <v>567.38823529411764</v>
      </c>
      <c r="I17" s="196">
        <f t="shared" si="10"/>
        <v>567.38823529411764</v>
      </c>
      <c r="J17" s="196">
        <f t="shared" si="10"/>
        <v>567.38823529411764</v>
      </c>
      <c r="K17" s="196">
        <f t="shared" si="10"/>
        <v>567.38823529411764</v>
      </c>
      <c r="L17" s="196">
        <f t="shared" si="10"/>
        <v>567.38823529411764</v>
      </c>
      <c r="M17" s="196">
        <f t="shared" si="10"/>
        <v>567.38823529411764</v>
      </c>
      <c r="N17" s="196">
        <f t="shared" si="10"/>
        <v>567.38823529411764</v>
      </c>
      <c r="O17" s="196">
        <f t="shared" si="10"/>
        <v>567.38823529411764</v>
      </c>
      <c r="P17" s="196">
        <f t="shared" si="10"/>
        <v>567.38823529411764</v>
      </c>
      <c r="Q17" s="196">
        <f t="shared" si="10"/>
        <v>567.38823529411764</v>
      </c>
      <c r="R17" s="196">
        <f>AVERAGE($B$14:$R$14)/100*80</f>
        <v>567.38823529411764</v>
      </c>
    </row>
    <row r="18" spans="1:22" x14ac:dyDescent="0.25">
      <c r="A18" s="116" t="s">
        <v>670</v>
      </c>
      <c r="B18" s="196">
        <f>AVERAGE($B$14:$R$14)/100*110</f>
        <v>780.15882352941185</v>
      </c>
      <c r="C18" s="196">
        <f t="shared" ref="C18:Q18" si="11">AVERAGE($B$14:$R$14)/100*110</f>
        <v>780.15882352941185</v>
      </c>
      <c r="D18" s="196">
        <f t="shared" si="11"/>
        <v>780.15882352941185</v>
      </c>
      <c r="E18" s="196">
        <f t="shared" si="11"/>
        <v>780.15882352941185</v>
      </c>
      <c r="F18" s="196">
        <f t="shared" si="11"/>
        <v>780.15882352941185</v>
      </c>
      <c r="G18" s="196">
        <f t="shared" si="11"/>
        <v>780.15882352941185</v>
      </c>
      <c r="H18" s="196">
        <f t="shared" si="11"/>
        <v>780.15882352941185</v>
      </c>
      <c r="I18" s="196">
        <f t="shared" si="11"/>
        <v>780.15882352941185</v>
      </c>
      <c r="J18" s="196">
        <f t="shared" si="11"/>
        <v>780.15882352941185</v>
      </c>
      <c r="K18" s="196">
        <f t="shared" si="11"/>
        <v>780.15882352941185</v>
      </c>
      <c r="L18" s="196">
        <f t="shared" si="11"/>
        <v>780.15882352941185</v>
      </c>
      <c r="M18" s="196">
        <f t="shared" si="11"/>
        <v>780.15882352941185</v>
      </c>
      <c r="N18" s="196">
        <f t="shared" si="11"/>
        <v>780.15882352941185</v>
      </c>
      <c r="O18" s="196">
        <f t="shared" si="11"/>
        <v>780.15882352941185</v>
      </c>
      <c r="P18" s="196">
        <f t="shared" si="11"/>
        <v>780.15882352941185</v>
      </c>
      <c r="Q18" s="196">
        <f t="shared" si="11"/>
        <v>780.15882352941185</v>
      </c>
      <c r="R18" s="196">
        <f>AVERAGE($B$14:$R$14)/100*110</f>
        <v>780.15882352941185</v>
      </c>
    </row>
    <row r="19" spans="1:22" x14ac:dyDescent="0.25">
      <c r="A19" s="116" t="s">
        <v>670</v>
      </c>
      <c r="B19" s="196">
        <f>AVERAGE($B$14:$R$14)/100*120</f>
        <v>851.08235294117651</v>
      </c>
      <c r="C19" s="196">
        <f t="shared" ref="C19:Q19" si="12">AVERAGE($B$14:$R$14)/100*120</f>
        <v>851.08235294117651</v>
      </c>
      <c r="D19" s="196">
        <f t="shared" si="12"/>
        <v>851.08235294117651</v>
      </c>
      <c r="E19" s="196">
        <f t="shared" si="12"/>
        <v>851.08235294117651</v>
      </c>
      <c r="F19" s="196">
        <f t="shared" si="12"/>
        <v>851.08235294117651</v>
      </c>
      <c r="G19" s="196">
        <f t="shared" si="12"/>
        <v>851.08235294117651</v>
      </c>
      <c r="H19" s="196">
        <f t="shared" si="12"/>
        <v>851.08235294117651</v>
      </c>
      <c r="I19" s="196">
        <f t="shared" si="12"/>
        <v>851.08235294117651</v>
      </c>
      <c r="J19" s="196">
        <f t="shared" si="12"/>
        <v>851.08235294117651</v>
      </c>
      <c r="K19" s="196">
        <f t="shared" si="12"/>
        <v>851.08235294117651</v>
      </c>
      <c r="L19" s="196">
        <f t="shared" si="12"/>
        <v>851.08235294117651</v>
      </c>
      <c r="M19" s="196">
        <f t="shared" si="12"/>
        <v>851.08235294117651</v>
      </c>
      <c r="N19" s="196">
        <f t="shared" si="12"/>
        <v>851.08235294117651</v>
      </c>
      <c r="O19" s="196">
        <f t="shared" si="12"/>
        <v>851.08235294117651</v>
      </c>
      <c r="P19" s="196">
        <f t="shared" si="12"/>
        <v>851.08235294117651</v>
      </c>
      <c r="Q19" s="196">
        <f t="shared" si="12"/>
        <v>851.08235294117651</v>
      </c>
      <c r="R19" s="196">
        <f>AVERAGE($B$14:$R$14)/100*120</f>
        <v>851.08235294117651</v>
      </c>
    </row>
    <row r="20" spans="1:22" x14ac:dyDescent="0.25">
      <c r="A20" s="104" t="s">
        <v>652</v>
      </c>
      <c r="B20" s="105" t="s">
        <v>752</v>
      </c>
      <c r="C20" s="105" t="s">
        <v>753</v>
      </c>
      <c r="D20" s="105" t="s">
        <v>689</v>
      </c>
      <c r="E20" s="105" t="s">
        <v>754</v>
      </c>
      <c r="F20" s="105" t="s">
        <v>755</v>
      </c>
      <c r="G20" s="105" t="s">
        <v>756</v>
      </c>
      <c r="H20" s="105" t="s">
        <v>693</v>
      </c>
      <c r="I20" s="105" t="s">
        <v>694</v>
      </c>
      <c r="J20" s="105" t="s">
        <v>757</v>
      </c>
      <c r="K20" s="105" t="s">
        <v>661</v>
      </c>
      <c r="L20" s="105" t="s">
        <v>662</v>
      </c>
      <c r="M20" s="117" t="s">
        <v>663</v>
      </c>
      <c r="N20" s="105" t="s">
        <v>685</v>
      </c>
      <c r="O20" s="117" t="s">
        <v>664</v>
      </c>
      <c r="P20" s="117" t="s">
        <v>665</v>
      </c>
      <c r="Q20" s="117" t="s">
        <v>686</v>
      </c>
      <c r="R20" s="100"/>
    </row>
    <row r="21" spans="1:22" x14ac:dyDescent="0.25">
      <c r="A21" s="103" t="s">
        <v>671</v>
      </c>
      <c r="B21" s="100">
        <v>44</v>
      </c>
      <c r="C21" s="100">
        <v>45</v>
      </c>
      <c r="D21" s="100">
        <v>45</v>
      </c>
      <c r="E21" s="100">
        <v>53</v>
      </c>
      <c r="F21" s="100">
        <v>54</v>
      </c>
      <c r="G21" s="100">
        <v>41</v>
      </c>
      <c r="H21" s="108">
        <v>48</v>
      </c>
      <c r="I21" s="108">
        <v>40</v>
      </c>
      <c r="J21" s="109">
        <v>46</v>
      </c>
      <c r="K21" s="100">
        <v>63</v>
      </c>
      <c r="L21" s="100">
        <v>42</v>
      </c>
      <c r="M21" s="100">
        <v>43</v>
      </c>
      <c r="N21" s="100">
        <v>38</v>
      </c>
      <c r="O21" s="165">
        <v>51</v>
      </c>
      <c r="P21" s="59">
        <v>37</v>
      </c>
      <c r="Q21" s="165">
        <v>38</v>
      </c>
      <c r="R21" s="100">
        <v>37</v>
      </c>
    </row>
    <row r="22" spans="1:22" x14ac:dyDescent="0.25">
      <c r="A22" s="103" t="s">
        <v>671</v>
      </c>
      <c r="B22" s="196">
        <f>AVERAGE($B$21:$R$21)</f>
        <v>45</v>
      </c>
      <c r="C22" s="196">
        <f t="shared" ref="C22:R22" si="13">AVERAGE($B$21:$R$21)</f>
        <v>45</v>
      </c>
      <c r="D22" s="196">
        <f t="shared" si="13"/>
        <v>45</v>
      </c>
      <c r="E22" s="196">
        <f t="shared" si="13"/>
        <v>45</v>
      </c>
      <c r="F22" s="196">
        <f t="shared" si="13"/>
        <v>45</v>
      </c>
      <c r="G22" s="196">
        <f t="shared" si="13"/>
        <v>45</v>
      </c>
      <c r="H22" s="196">
        <f t="shared" si="13"/>
        <v>45</v>
      </c>
      <c r="I22" s="196">
        <f t="shared" si="13"/>
        <v>45</v>
      </c>
      <c r="J22" s="196">
        <f t="shared" si="13"/>
        <v>45</v>
      </c>
      <c r="K22" s="196">
        <f t="shared" si="13"/>
        <v>45</v>
      </c>
      <c r="L22" s="196">
        <f t="shared" si="13"/>
        <v>45</v>
      </c>
      <c r="M22" s="196">
        <f t="shared" si="13"/>
        <v>45</v>
      </c>
      <c r="N22" s="196">
        <f t="shared" si="13"/>
        <v>45</v>
      </c>
      <c r="O22" s="196">
        <f t="shared" si="13"/>
        <v>45</v>
      </c>
      <c r="P22" s="196">
        <f t="shared" si="13"/>
        <v>45</v>
      </c>
      <c r="Q22" s="196">
        <f t="shared" si="13"/>
        <v>45</v>
      </c>
      <c r="R22" s="196">
        <f t="shared" si="13"/>
        <v>45</v>
      </c>
    </row>
    <row r="23" spans="1:22" x14ac:dyDescent="0.25">
      <c r="A23" s="103" t="s">
        <v>671</v>
      </c>
      <c r="B23" s="196">
        <f>AVERAGE($B$21:$R$21)/100*90</f>
        <v>40.5</v>
      </c>
      <c r="C23" s="196">
        <f t="shared" ref="C23:R23" si="14">AVERAGE($B$21:$R$21)/100*90</f>
        <v>40.5</v>
      </c>
      <c r="D23" s="196">
        <f t="shared" si="14"/>
        <v>40.5</v>
      </c>
      <c r="E23" s="196">
        <f t="shared" si="14"/>
        <v>40.5</v>
      </c>
      <c r="F23" s="196">
        <f t="shared" si="14"/>
        <v>40.5</v>
      </c>
      <c r="G23" s="196">
        <f t="shared" si="14"/>
        <v>40.5</v>
      </c>
      <c r="H23" s="196">
        <f t="shared" si="14"/>
        <v>40.5</v>
      </c>
      <c r="I23" s="196">
        <f t="shared" si="14"/>
        <v>40.5</v>
      </c>
      <c r="J23" s="196">
        <f t="shared" si="14"/>
        <v>40.5</v>
      </c>
      <c r="K23" s="196">
        <f t="shared" si="14"/>
        <v>40.5</v>
      </c>
      <c r="L23" s="196">
        <f t="shared" si="14"/>
        <v>40.5</v>
      </c>
      <c r="M23" s="196">
        <f t="shared" si="14"/>
        <v>40.5</v>
      </c>
      <c r="N23" s="196">
        <f t="shared" si="14"/>
        <v>40.5</v>
      </c>
      <c r="O23" s="196">
        <f t="shared" si="14"/>
        <v>40.5</v>
      </c>
      <c r="P23" s="196">
        <f t="shared" si="14"/>
        <v>40.5</v>
      </c>
      <c r="Q23" s="196">
        <f t="shared" si="14"/>
        <v>40.5</v>
      </c>
      <c r="R23" s="196">
        <f t="shared" si="14"/>
        <v>40.5</v>
      </c>
      <c r="V23" s="172"/>
    </row>
    <row r="24" spans="1:22" x14ac:dyDescent="0.25">
      <c r="A24" s="103" t="s">
        <v>671</v>
      </c>
      <c r="B24" s="196">
        <f>(AVERAGE($B$21:$R$21))+(AVERAGE($B$21:$Q$21)/100*10)</f>
        <v>49.55</v>
      </c>
      <c r="C24" s="196">
        <f t="shared" ref="C24:R24" si="15">(AVERAGE($B$21:$R$21))+(AVERAGE($B$21:$Q$21)/100*10)</f>
        <v>49.55</v>
      </c>
      <c r="D24" s="196">
        <f t="shared" si="15"/>
        <v>49.55</v>
      </c>
      <c r="E24" s="196">
        <f t="shared" si="15"/>
        <v>49.55</v>
      </c>
      <c r="F24" s="196">
        <f t="shared" si="15"/>
        <v>49.55</v>
      </c>
      <c r="G24" s="196">
        <f t="shared" si="15"/>
        <v>49.55</v>
      </c>
      <c r="H24" s="196">
        <f t="shared" si="15"/>
        <v>49.55</v>
      </c>
      <c r="I24" s="196">
        <f t="shared" si="15"/>
        <v>49.55</v>
      </c>
      <c r="J24" s="196">
        <f t="shared" si="15"/>
        <v>49.55</v>
      </c>
      <c r="K24" s="196">
        <f t="shared" si="15"/>
        <v>49.55</v>
      </c>
      <c r="L24" s="196">
        <f t="shared" si="15"/>
        <v>49.55</v>
      </c>
      <c r="M24" s="196">
        <f t="shared" si="15"/>
        <v>49.55</v>
      </c>
      <c r="N24" s="196">
        <f t="shared" si="15"/>
        <v>49.55</v>
      </c>
      <c r="O24" s="196">
        <f t="shared" si="15"/>
        <v>49.55</v>
      </c>
      <c r="P24" s="196">
        <f t="shared" si="15"/>
        <v>49.55</v>
      </c>
      <c r="Q24" s="196">
        <f t="shared" si="15"/>
        <v>49.55</v>
      </c>
      <c r="R24" s="196">
        <f t="shared" si="15"/>
        <v>49.55</v>
      </c>
      <c r="V24" s="172"/>
    </row>
    <row r="25" spans="1:22" x14ac:dyDescent="0.25">
      <c r="A25" s="103" t="s">
        <v>671</v>
      </c>
      <c r="B25" s="196">
        <f>AVERAGE($B$21:$R$21)/100*80</f>
        <v>36</v>
      </c>
      <c r="C25" s="196">
        <f t="shared" ref="C25:R25" si="16">AVERAGE($B$21:$R$21)/100*80</f>
        <v>36</v>
      </c>
      <c r="D25" s="196">
        <f t="shared" si="16"/>
        <v>36</v>
      </c>
      <c r="E25" s="196">
        <f t="shared" si="16"/>
        <v>36</v>
      </c>
      <c r="F25" s="196">
        <f t="shared" si="16"/>
        <v>36</v>
      </c>
      <c r="G25" s="196">
        <f t="shared" si="16"/>
        <v>36</v>
      </c>
      <c r="H25" s="196">
        <f t="shared" si="16"/>
        <v>36</v>
      </c>
      <c r="I25" s="196">
        <f t="shared" si="16"/>
        <v>36</v>
      </c>
      <c r="J25" s="196">
        <f t="shared" si="16"/>
        <v>36</v>
      </c>
      <c r="K25" s="196">
        <f t="shared" si="16"/>
        <v>36</v>
      </c>
      <c r="L25" s="196">
        <f t="shared" si="16"/>
        <v>36</v>
      </c>
      <c r="M25" s="196">
        <f t="shared" si="16"/>
        <v>36</v>
      </c>
      <c r="N25" s="196">
        <f t="shared" si="16"/>
        <v>36</v>
      </c>
      <c r="O25" s="196">
        <f t="shared" si="16"/>
        <v>36</v>
      </c>
      <c r="P25" s="196">
        <f t="shared" si="16"/>
        <v>36</v>
      </c>
      <c r="Q25" s="196">
        <f t="shared" si="16"/>
        <v>36</v>
      </c>
      <c r="R25" s="196">
        <f t="shared" si="16"/>
        <v>36</v>
      </c>
      <c r="V25" s="172"/>
    </row>
    <row r="26" spans="1:22" x14ac:dyDescent="0.25">
      <c r="A26" s="103" t="s">
        <v>671</v>
      </c>
      <c r="B26" s="196">
        <f>(AVERAGE($B$21:$R$21))+(AVERAGE($B$21:$Q$21)/100*20)</f>
        <v>54.1</v>
      </c>
      <c r="C26" s="196">
        <f t="shared" ref="C26:R26" si="17">(AVERAGE($B$21:$R$21))+(AVERAGE($B$21:$Q$21)/100*20)</f>
        <v>54.1</v>
      </c>
      <c r="D26" s="196">
        <f t="shared" si="17"/>
        <v>54.1</v>
      </c>
      <c r="E26" s="196">
        <f t="shared" si="17"/>
        <v>54.1</v>
      </c>
      <c r="F26" s="196">
        <f t="shared" si="17"/>
        <v>54.1</v>
      </c>
      <c r="G26" s="196">
        <f t="shared" si="17"/>
        <v>54.1</v>
      </c>
      <c r="H26" s="196">
        <f t="shared" si="17"/>
        <v>54.1</v>
      </c>
      <c r="I26" s="196">
        <f t="shared" si="17"/>
        <v>54.1</v>
      </c>
      <c r="J26" s="196">
        <f t="shared" si="17"/>
        <v>54.1</v>
      </c>
      <c r="K26" s="196">
        <f t="shared" si="17"/>
        <v>54.1</v>
      </c>
      <c r="L26" s="196">
        <f t="shared" si="17"/>
        <v>54.1</v>
      </c>
      <c r="M26" s="196">
        <f t="shared" si="17"/>
        <v>54.1</v>
      </c>
      <c r="N26" s="196">
        <f t="shared" si="17"/>
        <v>54.1</v>
      </c>
      <c r="O26" s="196">
        <f t="shared" si="17"/>
        <v>54.1</v>
      </c>
      <c r="P26" s="196">
        <f t="shared" si="17"/>
        <v>54.1</v>
      </c>
      <c r="Q26" s="196">
        <f t="shared" si="17"/>
        <v>54.1</v>
      </c>
      <c r="R26" s="196">
        <f t="shared" si="17"/>
        <v>54.1</v>
      </c>
      <c r="V26" s="172"/>
    </row>
    <row r="27" spans="1:22" x14ac:dyDescent="0.25">
      <c r="A27" s="104" t="s">
        <v>652</v>
      </c>
      <c r="B27" s="105" t="s">
        <v>752</v>
      </c>
      <c r="C27" s="105" t="s">
        <v>753</v>
      </c>
      <c r="D27" s="105" t="s">
        <v>689</v>
      </c>
      <c r="E27" s="105" t="s">
        <v>754</v>
      </c>
      <c r="F27" s="105" t="s">
        <v>755</v>
      </c>
      <c r="G27" s="105" t="s">
        <v>756</v>
      </c>
      <c r="H27" s="105" t="s">
        <v>693</v>
      </c>
      <c r="I27" s="105" t="s">
        <v>694</v>
      </c>
      <c r="J27" s="105" t="s">
        <v>757</v>
      </c>
      <c r="K27" s="105" t="s">
        <v>661</v>
      </c>
      <c r="L27" s="105" t="s">
        <v>662</v>
      </c>
      <c r="M27" s="117" t="s">
        <v>663</v>
      </c>
      <c r="N27" s="105" t="s">
        <v>685</v>
      </c>
      <c r="O27" s="117" t="s">
        <v>664</v>
      </c>
      <c r="P27" s="117" t="s">
        <v>665</v>
      </c>
      <c r="Q27" s="117" t="s">
        <v>686</v>
      </c>
      <c r="R27" s="100"/>
      <c r="V27" s="172"/>
    </row>
    <row r="28" spans="1:22" x14ac:dyDescent="0.25">
      <c r="A28" s="103" t="s">
        <v>672</v>
      </c>
      <c r="B28" s="100">
        <v>53</v>
      </c>
      <c r="C28" s="100">
        <v>54</v>
      </c>
      <c r="D28" s="100">
        <v>54</v>
      </c>
      <c r="E28" s="100">
        <v>57</v>
      </c>
      <c r="F28" s="100">
        <v>55</v>
      </c>
      <c r="G28" s="100">
        <v>50</v>
      </c>
      <c r="H28" s="108">
        <v>54</v>
      </c>
      <c r="I28" s="108">
        <v>50</v>
      </c>
      <c r="J28" s="109">
        <v>57</v>
      </c>
      <c r="K28" s="100">
        <v>58</v>
      </c>
      <c r="L28" s="100">
        <v>51</v>
      </c>
      <c r="M28" s="100">
        <v>55</v>
      </c>
      <c r="N28" s="100">
        <v>51</v>
      </c>
      <c r="O28" s="165">
        <v>58</v>
      </c>
      <c r="P28" s="59">
        <v>52</v>
      </c>
      <c r="Q28" s="165">
        <v>53</v>
      </c>
      <c r="R28" s="100">
        <v>56</v>
      </c>
      <c r="V28" s="172"/>
    </row>
    <row r="29" spans="1:22" x14ac:dyDescent="0.25">
      <c r="A29" s="103" t="s">
        <v>672</v>
      </c>
      <c r="B29" s="196">
        <f>AVERAGE($B$28:$R$28)</f>
        <v>54</v>
      </c>
      <c r="C29" s="196">
        <f t="shared" ref="C29:R29" si="18">AVERAGE($B$28:$R$28)</f>
        <v>54</v>
      </c>
      <c r="D29" s="196">
        <f t="shared" si="18"/>
        <v>54</v>
      </c>
      <c r="E29" s="196">
        <f t="shared" si="18"/>
        <v>54</v>
      </c>
      <c r="F29" s="196">
        <f t="shared" si="18"/>
        <v>54</v>
      </c>
      <c r="G29" s="196">
        <f t="shared" si="18"/>
        <v>54</v>
      </c>
      <c r="H29" s="196">
        <f t="shared" si="18"/>
        <v>54</v>
      </c>
      <c r="I29" s="196">
        <f t="shared" si="18"/>
        <v>54</v>
      </c>
      <c r="J29" s="196">
        <f t="shared" si="18"/>
        <v>54</v>
      </c>
      <c r="K29" s="196">
        <f t="shared" si="18"/>
        <v>54</v>
      </c>
      <c r="L29" s="196">
        <f t="shared" si="18"/>
        <v>54</v>
      </c>
      <c r="M29" s="196">
        <f t="shared" si="18"/>
        <v>54</v>
      </c>
      <c r="N29" s="196">
        <f t="shared" si="18"/>
        <v>54</v>
      </c>
      <c r="O29" s="196">
        <f t="shared" si="18"/>
        <v>54</v>
      </c>
      <c r="P29" s="196">
        <f t="shared" si="18"/>
        <v>54</v>
      </c>
      <c r="Q29" s="196">
        <f t="shared" si="18"/>
        <v>54</v>
      </c>
      <c r="R29" s="196">
        <f t="shared" si="18"/>
        <v>54</v>
      </c>
      <c r="V29" s="172"/>
    </row>
    <row r="30" spans="1:22" x14ac:dyDescent="0.25">
      <c r="A30" s="103" t="s">
        <v>672</v>
      </c>
      <c r="B30" s="196">
        <f>AVERAGE($B$28:$R$28)/100*90</f>
        <v>48.6</v>
      </c>
      <c r="C30" s="196">
        <f t="shared" ref="C30:R30" si="19">AVERAGE($B$28:$R$28)/100*90</f>
        <v>48.6</v>
      </c>
      <c r="D30" s="196">
        <f t="shared" si="19"/>
        <v>48.6</v>
      </c>
      <c r="E30" s="196">
        <f t="shared" si="19"/>
        <v>48.6</v>
      </c>
      <c r="F30" s="196">
        <f t="shared" si="19"/>
        <v>48.6</v>
      </c>
      <c r="G30" s="196">
        <f t="shared" si="19"/>
        <v>48.6</v>
      </c>
      <c r="H30" s="196">
        <f t="shared" si="19"/>
        <v>48.6</v>
      </c>
      <c r="I30" s="196">
        <f t="shared" si="19"/>
        <v>48.6</v>
      </c>
      <c r="J30" s="196">
        <f t="shared" si="19"/>
        <v>48.6</v>
      </c>
      <c r="K30" s="196">
        <f t="shared" si="19"/>
        <v>48.6</v>
      </c>
      <c r="L30" s="196">
        <f t="shared" si="19"/>
        <v>48.6</v>
      </c>
      <c r="M30" s="196">
        <f t="shared" si="19"/>
        <v>48.6</v>
      </c>
      <c r="N30" s="196">
        <f t="shared" si="19"/>
        <v>48.6</v>
      </c>
      <c r="O30" s="196">
        <f t="shared" si="19"/>
        <v>48.6</v>
      </c>
      <c r="P30" s="196">
        <f t="shared" si="19"/>
        <v>48.6</v>
      </c>
      <c r="Q30" s="196">
        <f t="shared" si="19"/>
        <v>48.6</v>
      </c>
      <c r="R30" s="196">
        <f t="shared" si="19"/>
        <v>48.6</v>
      </c>
      <c r="V30" s="172"/>
    </row>
    <row r="31" spans="1:22" x14ac:dyDescent="0.25">
      <c r="A31" s="103" t="s">
        <v>672</v>
      </c>
      <c r="B31" s="196">
        <f>(AVERAGE($B$28:$R$28))+(AVERAGE($B$28:$Q$28)/100*10)</f>
        <v>59.387500000000003</v>
      </c>
      <c r="C31" s="196">
        <f t="shared" ref="C31:R31" si="20">(AVERAGE($B$28:$R$28))+(AVERAGE($B$28:$Q$28)/100*10)</f>
        <v>59.387500000000003</v>
      </c>
      <c r="D31" s="196">
        <f t="shared" si="20"/>
        <v>59.387500000000003</v>
      </c>
      <c r="E31" s="196">
        <f t="shared" si="20"/>
        <v>59.387500000000003</v>
      </c>
      <c r="F31" s="196">
        <f t="shared" si="20"/>
        <v>59.387500000000003</v>
      </c>
      <c r="G31" s="196">
        <f t="shared" si="20"/>
        <v>59.387500000000003</v>
      </c>
      <c r="H31" s="196">
        <f t="shared" si="20"/>
        <v>59.387500000000003</v>
      </c>
      <c r="I31" s="196">
        <f t="shared" si="20"/>
        <v>59.387500000000003</v>
      </c>
      <c r="J31" s="196">
        <f t="shared" si="20"/>
        <v>59.387500000000003</v>
      </c>
      <c r="K31" s="196">
        <f t="shared" si="20"/>
        <v>59.387500000000003</v>
      </c>
      <c r="L31" s="196">
        <f t="shared" si="20"/>
        <v>59.387500000000003</v>
      </c>
      <c r="M31" s="196">
        <f t="shared" si="20"/>
        <v>59.387500000000003</v>
      </c>
      <c r="N31" s="196">
        <f t="shared" si="20"/>
        <v>59.387500000000003</v>
      </c>
      <c r="O31" s="196">
        <f t="shared" si="20"/>
        <v>59.387500000000003</v>
      </c>
      <c r="P31" s="196">
        <f t="shared" si="20"/>
        <v>59.387500000000003</v>
      </c>
      <c r="Q31" s="196">
        <f t="shared" si="20"/>
        <v>59.387500000000003</v>
      </c>
      <c r="R31" s="196">
        <f t="shared" si="20"/>
        <v>59.387500000000003</v>
      </c>
    </row>
    <row r="32" spans="1:22" x14ac:dyDescent="0.25">
      <c r="A32" s="103" t="s">
        <v>672</v>
      </c>
      <c r="B32" s="196">
        <f>AVERAGE($B$28:$R$28)/100*80</f>
        <v>43.2</v>
      </c>
      <c r="C32" s="196">
        <f t="shared" ref="C32:R32" si="21">AVERAGE($B$28:$R$28)/100*80</f>
        <v>43.2</v>
      </c>
      <c r="D32" s="196">
        <f t="shared" si="21"/>
        <v>43.2</v>
      </c>
      <c r="E32" s="196">
        <f t="shared" si="21"/>
        <v>43.2</v>
      </c>
      <c r="F32" s="196">
        <f t="shared" si="21"/>
        <v>43.2</v>
      </c>
      <c r="G32" s="196">
        <f t="shared" si="21"/>
        <v>43.2</v>
      </c>
      <c r="H32" s="196">
        <f t="shared" si="21"/>
        <v>43.2</v>
      </c>
      <c r="I32" s="196">
        <f t="shared" si="21"/>
        <v>43.2</v>
      </c>
      <c r="J32" s="196">
        <f t="shared" si="21"/>
        <v>43.2</v>
      </c>
      <c r="K32" s="196">
        <f t="shared" si="21"/>
        <v>43.2</v>
      </c>
      <c r="L32" s="196">
        <f t="shared" si="21"/>
        <v>43.2</v>
      </c>
      <c r="M32" s="196">
        <f t="shared" si="21"/>
        <v>43.2</v>
      </c>
      <c r="N32" s="196">
        <f t="shared" si="21"/>
        <v>43.2</v>
      </c>
      <c r="O32" s="196">
        <f t="shared" si="21"/>
        <v>43.2</v>
      </c>
      <c r="P32" s="196">
        <f t="shared" si="21"/>
        <v>43.2</v>
      </c>
      <c r="Q32" s="196">
        <f t="shared" si="21"/>
        <v>43.2</v>
      </c>
      <c r="R32" s="196">
        <f t="shared" si="21"/>
        <v>43.2</v>
      </c>
    </row>
    <row r="33" spans="1:18" x14ac:dyDescent="0.25">
      <c r="A33" s="103" t="s">
        <v>672</v>
      </c>
      <c r="B33" s="196">
        <f>(AVERAGE($B$28:$R$28))+(AVERAGE($B$28:$Q$28)/100*20)</f>
        <v>64.775000000000006</v>
      </c>
      <c r="C33" s="196">
        <f t="shared" ref="C33:R33" si="22">(AVERAGE($B$28:$R$28))+(AVERAGE($B$28:$Q$28)/100*20)</f>
        <v>64.775000000000006</v>
      </c>
      <c r="D33" s="196">
        <f t="shared" si="22"/>
        <v>64.775000000000006</v>
      </c>
      <c r="E33" s="196">
        <f t="shared" si="22"/>
        <v>64.775000000000006</v>
      </c>
      <c r="F33" s="196">
        <f t="shared" si="22"/>
        <v>64.775000000000006</v>
      </c>
      <c r="G33" s="196">
        <f t="shared" si="22"/>
        <v>64.775000000000006</v>
      </c>
      <c r="H33" s="196">
        <f t="shared" si="22"/>
        <v>64.775000000000006</v>
      </c>
      <c r="I33" s="196">
        <f t="shared" si="22"/>
        <v>64.775000000000006</v>
      </c>
      <c r="J33" s="196">
        <f t="shared" si="22"/>
        <v>64.775000000000006</v>
      </c>
      <c r="K33" s="196">
        <f t="shared" si="22"/>
        <v>64.775000000000006</v>
      </c>
      <c r="L33" s="196">
        <f t="shared" si="22"/>
        <v>64.775000000000006</v>
      </c>
      <c r="M33" s="196">
        <f t="shared" si="22"/>
        <v>64.775000000000006</v>
      </c>
      <c r="N33" s="196">
        <f t="shared" si="22"/>
        <v>64.775000000000006</v>
      </c>
      <c r="O33" s="196">
        <f t="shared" si="22"/>
        <v>64.775000000000006</v>
      </c>
      <c r="P33" s="196">
        <f t="shared" si="22"/>
        <v>64.775000000000006</v>
      </c>
      <c r="Q33" s="196">
        <f t="shared" si="22"/>
        <v>64.775000000000006</v>
      </c>
      <c r="R33" s="196">
        <f t="shared" si="22"/>
        <v>64.775000000000006</v>
      </c>
    </row>
    <row r="34" spans="1:18" x14ac:dyDescent="0.25">
      <c r="A34" s="104" t="s">
        <v>652</v>
      </c>
      <c r="B34" s="105" t="s">
        <v>752</v>
      </c>
      <c r="C34" s="105" t="s">
        <v>753</v>
      </c>
      <c r="D34" s="105" t="s">
        <v>689</v>
      </c>
      <c r="E34" s="105" t="s">
        <v>754</v>
      </c>
      <c r="F34" s="105" t="s">
        <v>755</v>
      </c>
      <c r="G34" s="105" t="s">
        <v>756</v>
      </c>
      <c r="H34" s="105" t="s">
        <v>693</v>
      </c>
      <c r="I34" s="105" t="s">
        <v>694</v>
      </c>
      <c r="J34" s="105" t="s">
        <v>757</v>
      </c>
      <c r="K34" s="105" t="s">
        <v>661</v>
      </c>
      <c r="L34" s="105" t="s">
        <v>662</v>
      </c>
      <c r="M34" s="117" t="s">
        <v>663</v>
      </c>
      <c r="N34" s="105" t="s">
        <v>685</v>
      </c>
      <c r="O34" s="117" t="s">
        <v>664</v>
      </c>
      <c r="P34" s="117" t="s">
        <v>665</v>
      </c>
      <c r="Q34" s="117" t="s">
        <v>686</v>
      </c>
      <c r="R34" s="100"/>
    </row>
    <row r="35" spans="1:18" x14ac:dyDescent="0.25">
      <c r="A35" s="103" t="s">
        <v>673</v>
      </c>
      <c r="B35" s="100">
        <v>18</v>
      </c>
      <c r="C35" s="100">
        <v>20</v>
      </c>
      <c r="D35" s="100">
        <v>15</v>
      </c>
      <c r="E35" s="100">
        <v>28</v>
      </c>
      <c r="F35" s="100">
        <v>15</v>
      </c>
      <c r="G35" s="100">
        <v>14</v>
      </c>
      <c r="H35" s="108">
        <v>10</v>
      </c>
      <c r="I35" s="108">
        <v>11</v>
      </c>
      <c r="J35" s="109">
        <v>12</v>
      </c>
      <c r="K35" s="100">
        <v>19</v>
      </c>
      <c r="L35" s="100">
        <v>14</v>
      </c>
      <c r="M35" s="100">
        <v>16</v>
      </c>
      <c r="N35" s="100">
        <v>17</v>
      </c>
      <c r="O35" s="165">
        <v>16</v>
      </c>
      <c r="P35" s="59">
        <v>19</v>
      </c>
      <c r="Q35" s="165">
        <v>8</v>
      </c>
      <c r="R35" s="100">
        <v>22</v>
      </c>
    </row>
    <row r="36" spans="1:18" x14ac:dyDescent="0.25">
      <c r="A36" s="103" t="s">
        <v>673</v>
      </c>
      <c r="B36" s="196">
        <f>AVERAGE($B$35:$R$35)</f>
        <v>16.117647058823529</v>
      </c>
      <c r="C36" s="196">
        <f t="shared" ref="C36:R36" si="23">AVERAGE($B$35:$R$35)</f>
        <v>16.117647058823529</v>
      </c>
      <c r="D36" s="196">
        <f t="shared" si="23"/>
        <v>16.117647058823529</v>
      </c>
      <c r="E36" s="196">
        <f t="shared" si="23"/>
        <v>16.117647058823529</v>
      </c>
      <c r="F36" s="196">
        <f t="shared" si="23"/>
        <v>16.117647058823529</v>
      </c>
      <c r="G36" s="196">
        <f t="shared" si="23"/>
        <v>16.117647058823529</v>
      </c>
      <c r="H36" s="196">
        <f t="shared" si="23"/>
        <v>16.117647058823529</v>
      </c>
      <c r="I36" s="196">
        <f t="shared" si="23"/>
        <v>16.117647058823529</v>
      </c>
      <c r="J36" s="196">
        <f t="shared" si="23"/>
        <v>16.117647058823529</v>
      </c>
      <c r="K36" s="196">
        <f t="shared" si="23"/>
        <v>16.117647058823529</v>
      </c>
      <c r="L36" s="196">
        <f t="shared" si="23"/>
        <v>16.117647058823529</v>
      </c>
      <c r="M36" s="196">
        <f t="shared" si="23"/>
        <v>16.117647058823529</v>
      </c>
      <c r="N36" s="196">
        <f t="shared" si="23"/>
        <v>16.117647058823529</v>
      </c>
      <c r="O36" s="196">
        <f t="shared" si="23"/>
        <v>16.117647058823529</v>
      </c>
      <c r="P36" s="196">
        <f t="shared" si="23"/>
        <v>16.117647058823529</v>
      </c>
      <c r="Q36" s="196">
        <f t="shared" si="23"/>
        <v>16.117647058823529</v>
      </c>
      <c r="R36" s="196">
        <f t="shared" si="23"/>
        <v>16.117647058823529</v>
      </c>
    </row>
    <row r="37" spans="1:18" x14ac:dyDescent="0.25">
      <c r="A37" s="103" t="s">
        <v>673</v>
      </c>
      <c r="B37" s="196">
        <f>AVERAGE($B$35:$R$35)/100*90</f>
        <v>14.505882352941175</v>
      </c>
      <c r="C37" s="196">
        <f t="shared" ref="C37:R37" si="24">AVERAGE($B$35:$R$35)/100*90</f>
        <v>14.505882352941175</v>
      </c>
      <c r="D37" s="196">
        <f t="shared" si="24"/>
        <v>14.505882352941175</v>
      </c>
      <c r="E37" s="196">
        <f t="shared" si="24"/>
        <v>14.505882352941175</v>
      </c>
      <c r="F37" s="196">
        <f t="shared" si="24"/>
        <v>14.505882352941175</v>
      </c>
      <c r="G37" s="196">
        <f t="shared" si="24"/>
        <v>14.505882352941175</v>
      </c>
      <c r="H37" s="196">
        <f t="shared" si="24"/>
        <v>14.505882352941175</v>
      </c>
      <c r="I37" s="196">
        <f t="shared" si="24"/>
        <v>14.505882352941175</v>
      </c>
      <c r="J37" s="196">
        <f t="shared" si="24"/>
        <v>14.505882352941175</v>
      </c>
      <c r="K37" s="196">
        <f t="shared" si="24"/>
        <v>14.505882352941175</v>
      </c>
      <c r="L37" s="196">
        <f t="shared" si="24"/>
        <v>14.505882352941175</v>
      </c>
      <c r="M37" s="196">
        <f t="shared" si="24"/>
        <v>14.505882352941175</v>
      </c>
      <c r="N37" s="196">
        <f t="shared" si="24"/>
        <v>14.505882352941175</v>
      </c>
      <c r="O37" s="196">
        <f t="shared" si="24"/>
        <v>14.505882352941175</v>
      </c>
      <c r="P37" s="196">
        <f t="shared" si="24"/>
        <v>14.505882352941175</v>
      </c>
      <c r="Q37" s="196">
        <f t="shared" si="24"/>
        <v>14.505882352941175</v>
      </c>
      <c r="R37" s="196">
        <f t="shared" si="24"/>
        <v>14.505882352941175</v>
      </c>
    </row>
    <row r="38" spans="1:18" x14ac:dyDescent="0.25">
      <c r="A38" s="103" t="s">
        <v>673</v>
      </c>
      <c r="B38" s="196">
        <f>(AVERAGE($B$35:$R$35))+(AVERAGE($B$35:$R$35)/100*10)</f>
        <v>17.729411764705883</v>
      </c>
      <c r="C38" s="196">
        <f t="shared" ref="C38:R38" si="25">(AVERAGE($B$35:$R$35))+(AVERAGE($B$35:$R$35)/100*10)</f>
        <v>17.729411764705883</v>
      </c>
      <c r="D38" s="196">
        <f t="shared" si="25"/>
        <v>17.729411764705883</v>
      </c>
      <c r="E38" s="196">
        <f t="shared" si="25"/>
        <v>17.729411764705883</v>
      </c>
      <c r="F38" s="196">
        <f t="shared" si="25"/>
        <v>17.729411764705883</v>
      </c>
      <c r="G38" s="196">
        <f t="shared" si="25"/>
        <v>17.729411764705883</v>
      </c>
      <c r="H38" s="196">
        <f t="shared" si="25"/>
        <v>17.729411764705883</v>
      </c>
      <c r="I38" s="196">
        <f t="shared" si="25"/>
        <v>17.729411764705883</v>
      </c>
      <c r="J38" s="196">
        <f t="shared" si="25"/>
        <v>17.729411764705883</v>
      </c>
      <c r="K38" s="196">
        <f t="shared" si="25"/>
        <v>17.729411764705883</v>
      </c>
      <c r="L38" s="196">
        <f t="shared" si="25"/>
        <v>17.729411764705883</v>
      </c>
      <c r="M38" s="196">
        <f t="shared" si="25"/>
        <v>17.729411764705883</v>
      </c>
      <c r="N38" s="196">
        <f t="shared" si="25"/>
        <v>17.729411764705883</v>
      </c>
      <c r="O38" s="196">
        <f t="shared" si="25"/>
        <v>17.729411764705883</v>
      </c>
      <c r="P38" s="196">
        <f t="shared" si="25"/>
        <v>17.729411764705883</v>
      </c>
      <c r="Q38" s="196">
        <f t="shared" si="25"/>
        <v>17.729411764705883</v>
      </c>
      <c r="R38" s="196">
        <f t="shared" si="25"/>
        <v>17.729411764705883</v>
      </c>
    </row>
    <row r="39" spans="1:18" x14ac:dyDescent="0.25">
      <c r="A39" s="103" t="s">
        <v>673</v>
      </c>
      <c r="B39" s="196">
        <f>AVERAGE($B$35:$R$35)/100*80</f>
        <v>12.894117647058822</v>
      </c>
      <c r="C39" s="196">
        <f t="shared" ref="C39:R39" si="26">AVERAGE($B$35:$R$35)/100*80</f>
        <v>12.894117647058822</v>
      </c>
      <c r="D39" s="196">
        <f t="shared" si="26"/>
        <v>12.894117647058822</v>
      </c>
      <c r="E39" s="196">
        <f t="shared" si="26"/>
        <v>12.894117647058822</v>
      </c>
      <c r="F39" s="196">
        <f t="shared" si="26"/>
        <v>12.894117647058822</v>
      </c>
      <c r="G39" s="196">
        <f t="shared" si="26"/>
        <v>12.894117647058822</v>
      </c>
      <c r="H39" s="196">
        <f t="shared" si="26"/>
        <v>12.894117647058822</v>
      </c>
      <c r="I39" s="196">
        <f t="shared" si="26"/>
        <v>12.894117647058822</v>
      </c>
      <c r="J39" s="196">
        <f t="shared" si="26"/>
        <v>12.894117647058822</v>
      </c>
      <c r="K39" s="196">
        <f t="shared" si="26"/>
        <v>12.894117647058822</v>
      </c>
      <c r="L39" s="196">
        <f t="shared" si="26"/>
        <v>12.894117647058822</v>
      </c>
      <c r="M39" s="196">
        <f t="shared" si="26"/>
        <v>12.894117647058822</v>
      </c>
      <c r="N39" s="196">
        <f t="shared" si="26"/>
        <v>12.894117647058822</v>
      </c>
      <c r="O39" s="196">
        <f t="shared" si="26"/>
        <v>12.894117647058822</v>
      </c>
      <c r="P39" s="196">
        <f t="shared" si="26"/>
        <v>12.894117647058822</v>
      </c>
      <c r="Q39" s="196">
        <f t="shared" si="26"/>
        <v>12.894117647058822</v>
      </c>
      <c r="R39" s="196">
        <f t="shared" si="26"/>
        <v>12.894117647058822</v>
      </c>
    </row>
    <row r="40" spans="1:18" x14ac:dyDescent="0.25">
      <c r="A40" s="103" t="s">
        <v>673</v>
      </c>
      <c r="B40" s="196">
        <f>(AVERAGE($B$35:$R$35))+(AVERAGE($B$35:$R$35)/100*20)</f>
        <v>19.341176470588234</v>
      </c>
      <c r="C40" s="196">
        <f t="shared" ref="C40:R40" si="27">(AVERAGE($B$35:$R$35))+(AVERAGE($B$35:$R$35)/100*20)</f>
        <v>19.341176470588234</v>
      </c>
      <c r="D40" s="196">
        <f t="shared" si="27"/>
        <v>19.341176470588234</v>
      </c>
      <c r="E40" s="196">
        <f t="shared" si="27"/>
        <v>19.341176470588234</v>
      </c>
      <c r="F40" s="196">
        <f t="shared" si="27"/>
        <v>19.341176470588234</v>
      </c>
      <c r="G40" s="196">
        <f t="shared" si="27"/>
        <v>19.341176470588234</v>
      </c>
      <c r="H40" s="196">
        <f t="shared" si="27"/>
        <v>19.341176470588234</v>
      </c>
      <c r="I40" s="196">
        <f t="shared" si="27"/>
        <v>19.341176470588234</v>
      </c>
      <c r="J40" s="196">
        <f t="shared" si="27"/>
        <v>19.341176470588234</v>
      </c>
      <c r="K40" s="196">
        <f t="shared" si="27"/>
        <v>19.341176470588234</v>
      </c>
      <c r="L40" s="196">
        <f t="shared" si="27"/>
        <v>19.341176470588234</v>
      </c>
      <c r="M40" s="196">
        <f t="shared" si="27"/>
        <v>19.341176470588234</v>
      </c>
      <c r="N40" s="196">
        <f t="shared" si="27"/>
        <v>19.341176470588234</v>
      </c>
      <c r="O40" s="196">
        <f t="shared" si="27"/>
        <v>19.341176470588234</v>
      </c>
      <c r="P40" s="196">
        <f t="shared" si="27"/>
        <v>19.341176470588234</v>
      </c>
      <c r="Q40" s="196">
        <f t="shared" si="27"/>
        <v>19.341176470588234</v>
      </c>
      <c r="R40" s="196">
        <f t="shared" si="27"/>
        <v>19.341176470588234</v>
      </c>
    </row>
    <row r="42" spans="1:18" x14ac:dyDescent="0.25">
      <c r="A42" s="116" t="s">
        <v>306</v>
      </c>
      <c r="B42" s="196">
        <f>IF(B2&gt;=B4,15,0)</f>
        <v>15</v>
      </c>
      <c r="C42" s="196">
        <f t="shared" ref="C42:R42" si="28">IF(C2&gt;=C4,15,0)</f>
        <v>15</v>
      </c>
      <c r="D42" s="196">
        <f t="shared" si="28"/>
        <v>15</v>
      </c>
      <c r="E42" s="196">
        <f t="shared" si="28"/>
        <v>15</v>
      </c>
      <c r="F42" s="196">
        <f t="shared" si="28"/>
        <v>15</v>
      </c>
      <c r="G42" s="196">
        <f t="shared" si="28"/>
        <v>15</v>
      </c>
      <c r="H42" s="196">
        <f t="shared" si="28"/>
        <v>15</v>
      </c>
      <c r="I42" s="196">
        <f t="shared" si="28"/>
        <v>15</v>
      </c>
      <c r="J42" s="196">
        <f t="shared" si="28"/>
        <v>15</v>
      </c>
      <c r="K42" s="196">
        <f t="shared" si="28"/>
        <v>15</v>
      </c>
      <c r="L42" s="196">
        <f t="shared" si="28"/>
        <v>0</v>
      </c>
      <c r="M42" s="196">
        <f t="shared" si="28"/>
        <v>15</v>
      </c>
      <c r="N42" s="196">
        <f t="shared" si="28"/>
        <v>15</v>
      </c>
      <c r="O42" s="196">
        <f t="shared" si="28"/>
        <v>15</v>
      </c>
      <c r="P42" s="196">
        <f t="shared" si="28"/>
        <v>15</v>
      </c>
      <c r="Q42" s="196">
        <f t="shared" si="28"/>
        <v>15</v>
      </c>
      <c r="R42" s="196">
        <f t="shared" si="28"/>
        <v>15</v>
      </c>
    </row>
    <row r="43" spans="1:18" x14ac:dyDescent="0.25">
      <c r="A43" s="116" t="s">
        <v>307</v>
      </c>
      <c r="B43" s="196">
        <f>IF(B7&gt;=B11,10,0)</f>
        <v>10</v>
      </c>
      <c r="C43" s="196">
        <f t="shared" ref="C43:R43" si="29">IF(C7&gt;=C11,10,0)</f>
        <v>10</v>
      </c>
      <c r="D43" s="196">
        <f t="shared" si="29"/>
        <v>0</v>
      </c>
      <c r="E43" s="196">
        <f t="shared" si="29"/>
        <v>10</v>
      </c>
      <c r="F43" s="196">
        <f t="shared" si="29"/>
        <v>0</v>
      </c>
      <c r="G43" s="196">
        <f t="shared" si="29"/>
        <v>0</v>
      </c>
      <c r="H43" s="196">
        <f t="shared" si="29"/>
        <v>10</v>
      </c>
      <c r="I43" s="196">
        <f t="shared" si="29"/>
        <v>10</v>
      </c>
      <c r="J43" s="196">
        <f t="shared" si="29"/>
        <v>10</v>
      </c>
      <c r="K43" s="196">
        <f t="shared" si="29"/>
        <v>10</v>
      </c>
      <c r="L43" s="196">
        <f t="shared" si="29"/>
        <v>10</v>
      </c>
      <c r="M43" s="196">
        <f t="shared" si="29"/>
        <v>10</v>
      </c>
      <c r="N43" s="196">
        <f t="shared" si="29"/>
        <v>10</v>
      </c>
      <c r="O43" s="196">
        <f t="shared" si="29"/>
        <v>10</v>
      </c>
      <c r="P43" s="196">
        <f t="shared" si="29"/>
        <v>0</v>
      </c>
      <c r="Q43" s="196">
        <f t="shared" si="29"/>
        <v>10</v>
      </c>
      <c r="R43" s="196">
        <f t="shared" si="29"/>
        <v>10</v>
      </c>
    </row>
    <row r="44" spans="1:18" x14ac:dyDescent="0.25">
      <c r="A44" s="116" t="s">
        <v>674</v>
      </c>
      <c r="B44" s="196">
        <f>IF(B14&gt;B17,5,0)</f>
        <v>0</v>
      </c>
      <c r="C44" s="196">
        <f t="shared" ref="C44:R44" si="30">IF(C14&gt;C17,5,0)</f>
        <v>5</v>
      </c>
      <c r="D44" s="196">
        <f t="shared" si="30"/>
        <v>5</v>
      </c>
      <c r="E44" s="196">
        <f t="shared" si="30"/>
        <v>5</v>
      </c>
      <c r="F44" s="196">
        <f t="shared" si="30"/>
        <v>0</v>
      </c>
      <c r="G44" s="196">
        <f t="shared" si="30"/>
        <v>0</v>
      </c>
      <c r="H44" s="196">
        <f t="shared" si="30"/>
        <v>0</v>
      </c>
      <c r="I44" s="196">
        <f t="shared" si="30"/>
        <v>5</v>
      </c>
      <c r="J44" s="196">
        <f t="shared" si="30"/>
        <v>5</v>
      </c>
      <c r="K44" s="196">
        <f t="shared" si="30"/>
        <v>5</v>
      </c>
      <c r="L44" s="196">
        <f t="shared" si="30"/>
        <v>5</v>
      </c>
      <c r="M44" s="196">
        <f t="shared" si="30"/>
        <v>5</v>
      </c>
      <c r="N44" s="196">
        <f t="shared" si="30"/>
        <v>5</v>
      </c>
      <c r="O44" s="196">
        <f t="shared" si="30"/>
        <v>5</v>
      </c>
      <c r="P44" s="196">
        <f t="shared" si="30"/>
        <v>5</v>
      </c>
      <c r="Q44" s="196">
        <f t="shared" si="30"/>
        <v>5</v>
      </c>
      <c r="R44" s="196">
        <f t="shared" si="30"/>
        <v>5</v>
      </c>
    </row>
    <row r="45" spans="1:18" x14ac:dyDescent="0.25">
      <c r="A45" s="116" t="s">
        <v>675</v>
      </c>
      <c r="B45" s="194">
        <f>IF(B21&gt;=B25,25,0)</f>
        <v>25</v>
      </c>
      <c r="C45" s="194">
        <f t="shared" ref="C45:R45" si="31">IF(C21&gt;=C25,25,0)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25</v>
      </c>
      <c r="I45" s="194">
        <f t="shared" si="31"/>
        <v>25</v>
      </c>
      <c r="J45" s="194">
        <f t="shared" si="31"/>
        <v>25</v>
      </c>
      <c r="K45" s="194">
        <f t="shared" si="31"/>
        <v>25</v>
      </c>
      <c r="L45" s="194">
        <f t="shared" si="31"/>
        <v>25</v>
      </c>
      <c r="M45" s="194">
        <f t="shared" si="31"/>
        <v>25</v>
      </c>
      <c r="N45" s="194">
        <f t="shared" si="31"/>
        <v>25</v>
      </c>
      <c r="O45" s="194">
        <f t="shared" si="31"/>
        <v>25</v>
      </c>
      <c r="P45" s="194">
        <f t="shared" si="31"/>
        <v>25</v>
      </c>
      <c r="Q45" s="194">
        <f t="shared" si="31"/>
        <v>25</v>
      </c>
      <c r="R45" s="194">
        <f t="shared" si="31"/>
        <v>25</v>
      </c>
    </row>
    <row r="46" spans="1:18" x14ac:dyDescent="0.25">
      <c r="A46" s="116" t="s">
        <v>676</v>
      </c>
      <c r="B46" s="194">
        <f>IF(B28&gt;=B32,25,0)</f>
        <v>25</v>
      </c>
      <c r="C46" s="194">
        <f t="shared" ref="C46:R46" si="32">IF(C28&gt;=C32,25,0)</f>
        <v>25</v>
      </c>
      <c r="D46" s="194">
        <f t="shared" si="32"/>
        <v>25</v>
      </c>
      <c r="E46" s="194">
        <f t="shared" si="32"/>
        <v>25</v>
      </c>
      <c r="F46" s="194">
        <f t="shared" si="32"/>
        <v>25</v>
      </c>
      <c r="G46" s="194">
        <f t="shared" si="32"/>
        <v>25</v>
      </c>
      <c r="H46" s="194">
        <f t="shared" si="32"/>
        <v>25</v>
      </c>
      <c r="I46" s="194">
        <f t="shared" si="32"/>
        <v>25</v>
      </c>
      <c r="J46" s="194">
        <f t="shared" si="32"/>
        <v>25</v>
      </c>
      <c r="K46" s="194">
        <f t="shared" si="32"/>
        <v>25</v>
      </c>
      <c r="L46" s="194">
        <f t="shared" si="32"/>
        <v>25</v>
      </c>
      <c r="M46" s="194">
        <f t="shared" si="32"/>
        <v>25</v>
      </c>
      <c r="N46" s="194">
        <f t="shared" si="32"/>
        <v>25</v>
      </c>
      <c r="O46" s="194">
        <f t="shared" si="32"/>
        <v>25</v>
      </c>
      <c r="P46" s="194">
        <f t="shared" si="32"/>
        <v>25</v>
      </c>
      <c r="Q46" s="194">
        <f t="shared" si="32"/>
        <v>25</v>
      </c>
      <c r="R46" s="194">
        <f t="shared" si="32"/>
        <v>25</v>
      </c>
    </row>
    <row r="47" spans="1:18" x14ac:dyDescent="0.25">
      <c r="A47" s="116" t="s">
        <v>311</v>
      </c>
      <c r="B47" s="194">
        <f>IF(B35&lt;=B39,20,0)</f>
        <v>0</v>
      </c>
      <c r="C47" s="194">
        <f t="shared" ref="C47:R47" si="33">IF(C35&lt;=C39,20,0)</f>
        <v>0</v>
      </c>
      <c r="D47" s="194">
        <f t="shared" si="33"/>
        <v>0</v>
      </c>
      <c r="E47" s="194">
        <f t="shared" si="33"/>
        <v>0</v>
      </c>
      <c r="F47" s="194">
        <f t="shared" si="33"/>
        <v>0</v>
      </c>
      <c r="G47" s="194">
        <f t="shared" si="33"/>
        <v>0</v>
      </c>
      <c r="H47" s="194">
        <f t="shared" si="33"/>
        <v>20</v>
      </c>
      <c r="I47" s="194">
        <f t="shared" si="33"/>
        <v>20</v>
      </c>
      <c r="J47" s="194">
        <f t="shared" si="33"/>
        <v>20</v>
      </c>
      <c r="K47" s="194">
        <f t="shared" si="33"/>
        <v>0</v>
      </c>
      <c r="L47" s="194">
        <f t="shared" si="33"/>
        <v>0</v>
      </c>
      <c r="M47" s="194">
        <f t="shared" si="33"/>
        <v>0</v>
      </c>
      <c r="N47" s="194">
        <f t="shared" si="33"/>
        <v>0</v>
      </c>
      <c r="O47" s="194">
        <f t="shared" si="33"/>
        <v>0</v>
      </c>
      <c r="P47" s="194">
        <f t="shared" si="33"/>
        <v>0</v>
      </c>
      <c r="Q47" s="194">
        <f t="shared" si="33"/>
        <v>20</v>
      </c>
      <c r="R47" s="194">
        <f t="shared" si="33"/>
        <v>0</v>
      </c>
    </row>
    <row r="48" spans="1:18" x14ac:dyDescent="0.25">
      <c r="A48" s="116"/>
      <c r="B48" s="194"/>
    </row>
    <row r="49" spans="1:18" x14ac:dyDescent="0.25">
      <c r="A49" s="116" t="s">
        <v>677</v>
      </c>
      <c r="B49" s="194">
        <f>SUM(B42:B47)</f>
        <v>75</v>
      </c>
      <c r="C49" s="194">
        <f t="shared" ref="C49:R49" si="34">SUM(C42:C47)</f>
        <v>80</v>
      </c>
      <c r="D49" s="194">
        <f t="shared" si="34"/>
        <v>70</v>
      </c>
      <c r="E49" s="194">
        <f t="shared" si="34"/>
        <v>80</v>
      </c>
      <c r="F49" s="194">
        <f t="shared" si="34"/>
        <v>65</v>
      </c>
      <c r="G49" s="194">
        <f t="shared" si="34"/>
        <v>65</v>
      </c>
      <c r="H49" s="194">
        <f t="shared" si="34"/>
        <v>95</v>
      </c>
      <c r="I49" s="194">
        <f t="shared" si="34"/>
        <v>100</v>
      </c>
      <c r="J49" s="194">
        <f t="shared" si="34"/>
        <v>100</v>
      </c>
      <c r="K49" s="194">
        <f t="shared" si="34"/>
        <v>80</v>
      </c>
      <c r="L49" s="194">
        <f t="shared" si="34"/>
        <v>65</v>
      </c>
      <c r="M49" s="194">
        <f t="shared" si="34"/>
        <v>80</v>
      </c>
      <c r="N49" s="194">
        <f t="shared" si="34"/>
        <v>80</v>
      </c>
      <c r="O49" s="194">
        <f t="shared" si="34"/>
        <v>80</v>
      </c>
      <c r="P49" s="194">
        <f t="shared" si="34"/>
        <v>70</v>
      </c>
      <c r="Q49" s="194">
        <f t="shared" si="34"/>
        <v>100</v>
      </c>
      <c r="R49" s="194">
        <f t="shared" si="34"/>
        <v>80</v>
      </c>
    </row>
    <row r="50" spans="1:18" x14ac:dyDescent="0.25">
      <c r="A50" s="116" t="s">
        <v>678</v>
      </c>
      <c r="B50" s="194" t="str">
        <f>IF(B49&gt;=50,"OKAY","KO")</f>
        <v>OKAY</v>
      </c>
      <c r="C50" s="194" t="str">
        <f t="shared" ref="C50:R50" si="35">IF(C49&gt;=50,"OKAY","KO")</f>
        <v>OKAY</v>
      </c>
      <c r="D50" s="194" t="str">
        <f t="shared" si="35"/>
        <v>OKAY</v>
      </c>
      <c r="E50" s="194" t="str">
        <f t="shared" si="35"/>
        <v>OKAY</v>
      </c>
      <c r="F50" s="194" t="str">
        <f t="shared" si="35"/>
        <v>OKAY</v>
      </c>
      <c r="G50" s="194" t="str">
        <f t="shared" si="35"/>
        <v>OKAY</v>
      </c>
      <c r="H50" s="194" t="str">
        <f t="shared" si="35"/>
        <v>OKAY</v>
      </c>
      <c r="I50" s="194" t="str">
        <f t="shared" si="35"/>
        <v>OKAY</v>
      </c>
      <c r="J50" s="194" t="str">
        <f t="shared" si="35"/>
        <v>OKAY</v>
      </c>
      <c r="K50" s="194" t="str">
        <f t="shared" si="35"/>
        <v>OKAY</v>
      </c>
      <c r="L50" s="194" t="str">
        <f t="shared" si="35"/>
        <v>OKAY</v>
      </c>
      <c r="M50" s="194" t="str">
        <f t="shared" si="35"/>
        <v>OKAY</v>
      </c>
      <c r="N50" s="194" t="str">
        <f t="shared" si="35"/>
        <v>OKAY</v>
      </c>
      <c r="O50" s="194" t="str">
        <f t="shared" si="35"/>
        <v>OKAY</v>
      </c>
      <c r="P50" s="194" t="str">
        <f t="shared" si="35"/>
        <v>OKAY</v>
      </c>
      <c r="Q50" s="194" t="str">
        <f t="shared" si="35"/>
        <v>OKAY</v>
      </c>
      <c r="R50" s="194" t="str">
        <f t="shared" si="35"/>
        <v>OKAY</v>
      </c>
    </row>
    <row r="62" spans="1:18" x14ac:dyDescent="0.25">
      <c r="F62" s="110"/>
      <c r="G62" s="110"/>
      <c r="H62" s="110"/>
      <c r="I62" s="110"/>
      <c r="J62" s="110"/>
      <c r="K62" s="110"/>
    </row>
  </sheetData>
  <phoneticPr fontId="3" type="noConversion"/>
  <conditionalFormatting sqref="O61:P61">
    <cfRule type="top10" dxfId="75" priority="2" percent="1" rank="10"/>
  </conditionalFormatting>
  <conditionalFormatting sqref="A50:XFD50">
    <cfRule type="containsText" dxfId="74" priority="1" operator="containsText" text="KO">
      <formula>NOT(ISERROR(SEARCH("KO",A50)))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W58"/>
  <sheetViews>
    <sheetView topLeftCell="A19" workbookViewId="0">
      <selection activeCell="A42" sqref="A42:B50"/>
    </sheetView>
  </sheetViews>
  <sheetFormatPr defaultRowHeight="15" x14ac:dyDescent="0.25"/>
  <cols>
    <col min="1" max="1" width="38.42578125" bestFit="1" customWidth="1"/>
    <col min="2" max="10" width="13" bestFit="1" customWidth="1"/>
  </cols>
  <sheetData>
    <row r="1" spans="1:23" x14ac:dyDescent="0.25">
      <c r="A1" s="104" t="s">
        <v>652</v>
      </c>
      <c r="B1" s="105" t="s">
        <v>758</v>
      </c>
      <c r="C1" s="105" t="s">
        <v>759</v>
      </c>
      <c r="D1" s="105" t="s">
        <v>760</v>
      </c>
      <c r="E1" s="105" t="s">
        <v>761</v>
      </c>
      <c r="F1" s="105" t="s">
        <v>691</v>
      </c>
      <c r="G1" s="105" t="s">
        <v>756</v>
      </c>
      <c r="H1" s="105" t="s">
        <v>693</v>
      </c>
      <c r="I1" s="105" t="s">
        <v>694</v>
      </c>
      <c r="J1" s="105" t="s">
        <v>757</v>
      </c>
      <c r="K1" s="105" t="s">
        <v>661</v>
      </c>
      <c r="L1" s="105" t="s">
        <v>662</v>
      </c>
      <c r="M1" s="117" t="s">
        <v>663</v>
      </c>
      <c r="N1" s="105" t="s">
        <v>685</v>
      </c>
      <c r="O1" s="117" t="s">
        <v>664</v>
      </c>
      <c r="P1" s="117" t="s">
        <v>665</v>
      </c>
      <c r="Q1" s="117" t="s">
        <v>666</v>
      </c>
      <c r="R1" s="105" t="s">
        <v>667</v>
      </c>
    </row>
    <row r="2" spans="1:23" x14ac:dyDescent="0.25">
      <c r="A2" s="5" t="s">
        <v>668</v>
      </c>
      <c r="B2" s="59">
        <v>78</v>
      </c>
      <c r="C2" s="59">
        <v>74</v>
      </c>
      <c r="D2" s="106">
        <v>75</v>
      </c>
      <c r="E2" s="59">
        <v>75</v>
      </c>
      <c r="F2" s="59">
        <v>72</v>
      </c>
      <c r="G2" s="59">
        <v>72</v>
      </c>
      <c r="H2" s="108">
        <v>70</v>
      </c>
      <c r="I2" s="108">
        <v>69</v>
      </c>
      <c r="J2" s="109">
        <v>69</v>
      </c>
      <c r="K2" s="100">
        <v>68</v>
      </c>
      <c r="L2" s="100">
        <v>67</v>
      </c>
      <c r="M2" s="100">
        <v>70</v>
      </c>
      <c r="N2" s="100">
        <v>68</v>
      </c>
      <c r="O2" s="165">
        <v>66</v>
      </c>
      <c r="P2" s="59">
        <v>69</v>
      </c>
      <c r="Q2" s="165">
        <v>70</v>
      </c>
      <c r="R2" s="100">
        <v>73</v>
      </c>
    </row>
    <row r="3" spans="1:23" x14ac:dyDescent="0.25">
      <c r="A3" s="5" t="s">
        <v>668</v>
      </c>
      <c r="B3" s="194">
        <f>AVERAGE($B$2:$R$2)</f>
        <v>70.882352941176464</v>
      </c>
      <c r="C3" s="194">
        <f t="shared" ref="C3:R3" si="0">AVERAGE($B$2:$R$2)</f>
        <v>70.882352941176464</v>
      </c>
      <c r="D3" s="194">
        <f t="shared" si="0"/>
        <v>70.882352941176464</v>
      </c>
      <c r="E3" s="194">
        <f t="shared" si="0"/>
        <v>70.882352941176464</v>
      </c>
      <c r="F3" s="194">
        <f t="shared" si="0"/>
        <v>70.882352941176464</v>
      </c>
      <c r="G3" s="194">
        <f t="shared" si="0"/>
        <v>70.882352941176464</v>
      </c>
      <c r="H3" s="194">
        <f t="shared" si="0"/>
        <v>70.882352941176464</v>
      </c>
      <c r="I3" s="194">
        <f t="shared" si="0"/>
        <v>70.882352941176464</v>
      </c>
      <c r="J3" s="194">
        <f t="shared" si="0"/>
        <v>70.882352941176464</v>
      </c>
      <c r="K3" s="194">
        <f t="shared" si="0"/>
        <v>70.882352941176464</v>
      </c>
      <c r="L3" s="194">
        <f t="shared" si="0"/>
        <v>70.882352941176464</v>
      </c>
      <c r="M3" s="194">
        <f t="shared" si="0"/>
        <v>70.882352941176464</v>
      </c>
      <c r="N3" s="194">
        <f t="shared" si="0"/>
        <v>70.882352941176464</v>
      </c>
      <c r="O3" s="194">
        <f t="shared" si="0"/>
        <v>70.882352941176464</v>
      </c>
      <c r="P3" s="194">
        <f t="shared" si="0"/>
        <v>70.882352941176464</v>
      </c>
      <c r="Q3" s="194">
        <f t="shared" si="0"/>
        <v>70.882352941176464</v>
      </c>
      <c r="R3" s="194">
        <f t="shared" si="0"/>
        <v>70.882352941176464</v>
      </c>
    </row>
    <row r="4" spans="1:23" x14ac:dyDescent="0.25">
      <c r="A4" s="5" t="s">
        <v>668</v>
      </c>
      <c r="B4" s="194">
        <f>AVERAGE($B$2:$R$2)+2</f>
        <v>72.882352941176464</v>
      </c>
      <c r="C4" s="194">
        <f t="shared" ref="C4:R4" si="1">AVERAGE($B$2:$R$2)+2</f>
        <v>72.882352941176464</v>
      </c>
      <c r="D4" s="194">
        <f t="shared" si="1"/>
        <v>72.882352941176464</v>
      </c>
      <c r="E4" s="194">
        <f t="shared" si="1"/>
        <v>72.882352941176464</v>
      </c>
      <c r="F4" s="194">
        <f t="shared" si="1"/>
        <v>72.882352941176464</v>
      </c>
      <c r="G4" s="194">
        <f t="shared" si="1"/>
        <v>72.882352941176464</v>
      </c>
      <c r="H4" s="194">
        <f t="shared" si="1"/>
        <v>72.882352941176464</v>
      </c>
      <c r="I4" s="194">
        <f t="shared" si="1"/>
        <v>72.882352941176464</v>
      </c>
      <c r="J4" s="194">
        <f t="shared" si="1"/>
        <v>72.882352941176464</v>
      </c>
      <c r="K4" s="194">
        <f t="shared" si="1"/>
        <v>72.882352941176464</v>
      </c>
      <c r="L4" s="194">
        <f t="shared" si="1"/>
        <v>72.882352941176464</v>
      </c>
      <c r="M4" s="194">
        <f t="shared" si="1"/>
        <v>72.882352941176464</v>
      </c>
      <c r="N4" s="194">
        <f t="shared" si="1"/>
        <v>72.882352941176464</v>
      </c>
      <c r="O4" s="194">
        <f t="shared" si="1"/>
        <v>72.882352941176464</v>
      </c>
      <c r="P4" s="194">
        <f t="shared" si="1"/>
        <v>72.882352941176464</v>
      </c>
      <c r="Q4" s="194">
        <f t="shared" si="1"/>
        <v>72.882352941176464</v>
      </c>
      <c r="R4" s="194">
        <f t="shared" si="1"/>
        <v>72.882352941176464</v>
      </c>
    </row>
    <row r="5" spans="1:23" x14ac:dyDescent="0.25">
      <c r="A5" s="5" t="s">
        <v>668</v>
      </c>
      <c r="B5" s="194">
        <f>AVERAGE($B$2:$R$2)-2</f>
        <v>68.882352941176464</v>
      </c>
      <c r="C5" s="194">
        <f t="shared" ref="C5:R5" si="2">AVERAGE($B$2:$R$2)-2</f>
        <v>68.882352941176464</v>
      </c>
      <c r="D5" s="194">
        <f t="shared" si="2"/>
        <v>68.882352941176464</v>
      </c>
      <c r="E5" s="194">
        <f t="shared" si="2"/>
        <v>68.882352941176464</v>
      </c>
      <c r="F5" s="194">
        <f t="shared" si="2"/>
        <v>68.882352941176464</v>
      </c>
      <c r="G5" s="194">
        <f t="shared" si="2"/>
        <v>68.882352941176464</v>
      </c>
      <c r="H5" s="194">
        <f t="shared" si="2"/>
        <v>68.882352941176464</v>
      </c>
      <c r="I5" s="194">
        <f t="shared" si="2"/>
        <v>68.882352941176464</v>
      </c>
      <c r="J5" s="194">
        <f t="shared" si="2"/>
        <v>68.882352941176464</v>
      </c>
      <c r="K5" s="194">
        <f t="shared" si="2"/>
        <v>68.882352941176464</v>
      </c>
      <c r="L5" s="194">
        <f t="shared" si="2"/>
        <v>68.882352941176464</v>
      </c>
      <c r="M5" s="194">
        <f t="shared" si="2"/>
        <v>68.882352941176464</v>
      </c>
      <c r="N5" s="194">
        <f t="shared" si="2"/>
        <v>68.882352941176464</v>
      </c>
      <c r="O5" s="194">
        <f t="shared" si="2"/>
        <v>68.882352941176464</v>
      </c>
      <c r="P5" s="194">
        <f t="shared" si="2"/>
        <v>68.882352941176464</v>
      </c>
      <c r="Q5" s="194">
        <f t="shared" si="2"/>
        <v>68.882352941176464</v>
      </c>
      <c r="R5" s="194">
        <f t="shared" si="2"/>
        <v>68.882352941176464</v>
      </c>
    </row>
    <row r="6" spans="1:23" x14ac:dyDescent="0.25">
      <c r="A6" s="104" t="s">
        <v>652</v>
      </c>
      <c r="B6" s="105" t="s">
        <v>758</v>
      </c>
      <c r="C6" s="105" t="s">
        <v>759</v>
      </c>
      <c r="D6" s="105" t="s">
        <v>760</v>
      </c>
      <c r="E6" s="105" t="s">
        <v>761</v>
      </c>
      <c r="F6" s="105" t="s">
        <v>691</v>
      </c>
      <c r="G6" s="105" t="s">
        <v>756</v>
      </c>
      <c r="H6" s="105" t="s">
        <v>693</v>
      </c>
      <c r="I6" s="105" t="s">
        <v>694</v>
      </c>
      <c r="J6" s="105" t="s">
        <v>757</v>
      </c>
      <c r="K6" s="105" t="s">
        <v>661</v>
      </c>
      <c r="L6" s="105" t="s">
        <v>662</v>
      </c>
      <c r="M6" s="117" t="s">
        <v>663</v>
      </c>
      <c r="N6" s="105" t="s">
        <v>685</v>
      </c>
      <c r="O6" s="117" t="s">
        <v>664</v>
      </c>
      <c r="P6" s="117" t="s">
        <v>665</v>
      </c>
      <c r="Q6" s="117" t="s">
        <v>686</v>
      </c>
      <c r="R6" s="100"/>
      <c r="W6" s="202"/>
    </row>
    <row r="7" spans="1:23" x14ac:dyDescent="0.25">
      <c r="A7" s="103" t="s">
        <v>669</v>
      </c>
      <c r="B7" s="100">
        <v>11</v>
      </c>
      <c r="C7" s="100">
        <v>9</v>
      </c>
      <c r="D7" s="107">
        <v>9</v>
      </c>
      <c r="E7" s="100">
        <v>9</v>
      </c>
      <c r="F7" s="100">
        <v>9</v>
      </c>
      <c r="G7" s="100">
        <v>6</v>
      </c>
      <c r="H7" s="108">
        <v>8</v>
      </c>
      <c r="I7" s="108">
        <v>6</v>
      </c>
      <c r="J7" s="109">
        <v>5</v>
      </c>
      <c r="K7" s="100">
        <v>5</v>
      </c>
      <c r="L7" s="100">
        <v>6</v>
      </c>
      <c r="M7" s="100">
        <v>7</v>
      </c>
      <c r="N7" s="100">
        <v>5</v>
      </c>
      <c r="O7" s="165">
        <v>8</v>
      </c>
      <c r="P7" s="59">
        <v>4</v>
      </c>
      <c r="Q7" s="165">
        <v>7</v>
      </c>
      <c r="R7" s="100">
        <v>7</v>
      </c>
      <c r="W7" s="202"/>
    </row>
    <row r="8" spans="1:23" x14ac:dyDescent="0.25">
      <c r="A8" s="103" t="s">
        <v>669</v>
      </c>
      <c r="B8" s="194">
        <f>AVERAGE($B$7:$R$7)</f>
        <v>7.117647058823529</v>
      </c>
      <c r="C8" s="194">
        <f t="shared" ref="C8:R8" si="3">AVERAGE($B$7:$R$7)</f>
        <v>7.117647058823529</v>
      </c>
      <c r="D8" s="194">
        <f t="shared" si="3"/>
        <v>7.117647058823529</v>
      </c>
      <c r="E8" s="194">
        <f t="shared" si="3"/>
        <v>7.117647058823529</v>
      </c>
      <c r="F8" s="194">
        <f t="shared" si="3"/>
        <v>7.117647058823529</v>
      </c>
      <c r="G8" s="194">
        <f t="shared" si="3"/>
        <v>7.117647058823529</v>
      </c>
      <c r="H8" s="194">
        <f t="shared" si="3"/>
        <v>7.117647058823529</v>
      </c>
      <c r="I8" s="194">
        <f t="shared" si="3"/>
        <v>7.117647058823529</v>
      </c>
      <c r="J8" s="194">
        <f t="shared" si="3"/>
        <v>7.117647058823529</v>
      </c>
      <c r="K8" s="194">
        <f t="shared" si="3"/>
        <v>7.117647058823529</v>
      </c>
      <c r="L8" s="194">
        <f t="shared" si="3"/>
        <v>7.117647058823529</v>
      </c>
      <c r="M8" s="194">
        <f t="shared" si="3"/>
        <v>7.117647058823529</v>
      </c>
      <c r="N8" s="194">
        <f t="shared" si="3"/>
        <v>7.117647058823529</v>
      </c>
      <c r="O8" s="194">
        <f t="shared" si="3"/>
        <v>7.117647058823529</v>
      </c>
      <c r="P8" s="194">
        <f t="shared" si="3"/>
        <v>7.117647058823529</v>
      </c>
      <c r="Q8" s="194">
        <f t="shared" si="3"/>
        <v>7.117647058823529</v>
      </c>
      <c r="R8" s="194">
        <f t="shared" si="3"/>
        <v>7.117647058823529</v>
      </c>
      <c r="W8" s="202"/>
    </row>
    <row r="9" spans="1:23" x14ac:dyDescent="0.25">
      <c r="A9" s="103" t="s">
        <v>669</v>
      </c>
      <c r="B9" s="194">
        <f>AVERAGE($B$7:$R$7)/100*90</f>
        <v>6.4058823529411759</v>
      </c>
      <c r="C9" s="194">
        <f t="shared" ref="C9:R9" si="4">AVERAGE($B$7:$R$7)/100*90</f>
        <v>6.4058823529411759</v>
      </c>
      <c r="D9" s="194">
        <f t="shared" si="4"/>
        <v>6.4058823529411759</v>
      </c>
      <c r="E9" s="194">
        <f t="shared" si="4"/>
        <v>6.4058823529411759</v>
      </c>
      <c r="F9" s="194">
        <f t="shared" si="4"/>
        <v>6.4058823529411759</v>
      </c>
      <c r="G9" s="194">
        <f t="shared" si="4"/>
        <v>6.4058823529411759</v>
      </c>
      <c r="H9" s="194">
        <f t="shared" si="4"/>
        <v>6.4058823529411759</v>
      </c>
      <c r="I9" s="194">
        <f t="shared" si="4"/>
        <v>6.4058823529411759</v>
      </c>
      <c r="J9" s="194">
        <f t="shared" si="4"/>
        <v>6.4058823529411759</v>
      </c>
      <c r="K9" s="194">
        <f t="shared" si="4"/>
        <v>6.4058823529411759</v>
      </c>
      <c r="L9" s="194">
        <f t="shared" si="4"/>
        <v>6.4058823529411759</v>
      </c>
      <c r="M9" s="194">
        <f t="shared" si="4"/>
        <v>6.4058823529411759</v>
      </c>
      <c r="N9" s="194">
        <f t="shared" si="4"/>
        <v>6.4058823529411759</v>
      </c>
      <c r="O9" s="194">
        <f t="shared" si="4"/>
        <v>6.4058823529411759</v>
      </c>
      <c r="P9" s="194">
        <f t="shared" si="4"/>
        <v>6.4058823529411759</v>
      </c>
      <c r="Q9" s="194">
        <f t="shared" si="4"/>
        <v>6.4058823529411759</v>
      </c>
      <c r="R9" s="194">
        <f t="shared" si="4"/>
        <v>6.4058823529411759</v>
      </c>
      <c r="W9" s="202"/>
    </row>
    <row r="10" spans="1:23" x14ac:dyDescent="0.25">
      <c r="A10" s="103" t="s">
        <v>669</v>
      </c>
      <c r="B10" s="194">
        <f>AVERAGE($B$7:$R$7)+(AVERAGE($B$7:$Q$7)/100*10)</f>
        <v>7.8301470588235293</v>
      </c>
      <c r="C10" s="194">
        <f t="shared" ref="C10:R10" si="5">AVERAGE($B$7:$R$7)+(AVERAGE($B$7:$Q$7)/100*10)</f>
        <v>7.8301470588235293</v>
      </c>
      <c r="D10" s="194">
        <f t="shared" si="5"/>
        <v>7.8301470588235293</v>
      </c>
      <c r="E10" s="194">
        <f t="shared" si="5"/>
        <v>7.8301470588235293</v>
      </c>
      <c r="F10" s="194">
        <f t="shared" si="5"/>
        <v>7.8301470588235293</v>
      </c>
      <c r="G10" s="194">
        <f t="shared" si="5"/>
        <v>7.8301470588235293</v>
      </c>
      <c r="H10" s="194">
        <f t="shared" si="5"/>
        <v>7.8301470588235293</v>
      </c>
      <c r="I10" s="194">
        <f t="shared" si="5"/>
        <v>7.8301470588235293</v>
      </c>
      <c r="J10" s="194">
        <f t="shared" si="5"/>
        <v>7.8301470588235293</v>
      </c>
      <c r="K10" s="194">
        <f t="shared" si="5"/>
        <v>7.8301470588235293</v>
      </c>
      <c r="L10" s="194">
        <f t="shared" si="5"/>
        <v>7.8301470588235293</v>
      </c>
      <c r="M10" s="194">
        <f t="shared" si="5"/>
        <v>7.8301470588235293</v>
      </c>
      <c r="N10" s="194">
        <f t="shared" si="5"/>
        <v>7.8301470588235293</v>
      </c>
      <c r="O10" s="194">
        <f t="shared" si="5"/>
        <v>7.8301470588235293</v>
      </c>
      <c r="P10" s="194">
        <f t="shared" si="5"/>
        <v>7.8301470588235293</v>
      </c>
      <c r="Q10" s="194">
        <f t="shared" si="5"/>
        <v>7.8301470588235293</v>
      </c>
      <c r="R10" s="194">
        <f t="shared" si="5"/>
        <v>7.8301470588235293</v>
      </c>
      <c r="W10" s="202"/>
    </row>
    <row r="11" spans="1:23" x14ac:dyDescent="0.25">
      <c r="A11" s="103" t="s">
        <v>669</v>
      </c>
      <c r="B11" s="194">
        <f>AVERAGE($B$7:$R$7)/100*80</f>
        <v>5.6941176470588228</v>
      </c>
      <c r="C11" s="194">
        <f t="shared" ref="C11:R11" si="6">AVERAGE($B$7:$R$7)/100*80</f>
        <v>5.6941176470588228</v>
      </c>
      <c r="D11" s="194">
        <f t="shared" si="6"/>
        <v>5.6941176470588228</v>
      </c>
      <c r="E11" s="194">
        <f t="shared" si="6"/>
        <v>5.6941176470588228</v>
      </c>
      <c r="F11" s="194">
        <f t="shared" si="6"/>
        <v>5.6941176470588228</v>
      </c>
      <c r="G11" s="194">
        <f t="shared" si="6"/>
        <v>5.6941176470588228</v>
      </c>
      <c r="H11" s="194">
        <f t="shared" si="6"/>
        <v>5.6941176470588228</v>
      </c>
      <c r="I11" s="194">
        <f t="shared" si="6"/>
        <v>5.6941176470588228</v>
      </c>
      <c r="J11" s="194">
        <f t="shared" si="6"/>
        <v>5.6941176470588228</v>
      </c>
      <c r="K11" s="194">
        <f t="shared" si="6"/>
        <v>5.6941176470588228</v>
      </c>
      <c r="L11" s="194">
        <f t="shared" si="6"/>
        <v>5.6941176470588228</v>
      </c>
      <c r="M11" s="194">
        <f t="shared" si="6"/>
        <v>5.6941176470588228</v>
      </c>
      <c r="N11" s="194">
        <f t="shared" si="6"/>
        <v>5.6941176470588228</v>
      </c>
      <c r="O11" s="194">
        <f t="shared" si="6"/>
        <v>5.6941176470588228</v>
      </c>
      <c r="P11" s="194">
        <f t="shared" si="6"/>
        <v>5.6941176470588228</v>
      </c>
      <c r="Q11" s="194">
        <f t="shared" si="6"/>
        <v>5.6941176470588228</v>
      </c>
      <c r="R11" s="194">
        <f t="shared" si="6"/>
        <v>5.6941176470588228</v>
      </c>
      <c r="W11" s="202"/>
    </row>
    <row r="12" spans="1:23" x14ac:dyDescent="0.25">
      <c r="A12" s="103" t="s">
        <v>669</v>
      </c>
      <c r="B12" s="194">
        <f>AVERAGE($B$7:$R$7)+(AVERAGE($B$7:$Q$7)/100*20)</f>
        <v>8.5426470588235297</v>
      </c>
      <c r="C12" s="194">
        <f t="shared" ref="C12:R12" si="7">AVERAGE($B$7:$R$7)+(AVERAGE($B$7:$Q$7)/100*20)</f>
        <v>8.5426470588235297</v>
      </c>
      <c r="D12" s="194">
        <f t="shared" si="7"/>
        <v>8.5426470588235297</v>
      </c>
      <c r="E12" s="194">
        <f t="shared" si="7"/>
        <v>8.5426470588235297</v>
      </c>
      <c r="F12" s="194">
        <f t="shared" si="7"/>
        <v>8.5426470588235297</v>
      </c>
      <c r="G12" s="194">
        <f t="shared" si="7"/>
        <v>8.5426470588235297</v>
      </c>
      <c r="H12" s="194">
        <f t="shared" si="7"/>
        <v>8.5426470588235297</v>
      </c>
      <c r="I12" s="194">
        <f t="shared" si="7"/>
        <v>8.5426470588235297</v>
      </c>
      <c r="J12" s="194">
        <f t="shared" si="7"/>
        <v>8.5426470588235297</v>
      </c>
      <c r="K12" s="194">
        <f t="shared" si="7"/>
        <v>8.5426470588235297</v>
      </c>
      <c r="L12" s="194">
        <f t="shared" si="7"/>
        <v>8.5426470588235297</v>
      </c>
      <c r="M12" s="194">
        <f t="shared" si="7"/>
        <v>8.5426470588235297</v>
      </c>
      <c r="N12" s="194">
        <f t="shared" si="7"/>
        <v>8.5426470588235297</v>
      </c>
      <c r="O12" s="194">
        <f t="shared" si="7"/>
        <v>8.5426470588235297</v>
      </c>
      <c r="P12" s="194">
        <f t="shared" si="7"/>
        <v>8.5426470588235297</v>
      </c>
      <c r="Q12" s="194">
        <f t="shared" si="7"/>
        <v>8.5426470588235297</v>
      </c>
      <c r="R12" s="194">
        <f t="shared" si="7"/>
        <v>8.5426470588235297</v>
      </c>
      <c r="W12" s="202"/>
    </row>
    <row r="13" spans="1:23" x14ac:dyDescent="0.25">
      <c r="A13" s="104" t="s">
        <v>652</v>
      </c>
      <c r="B13" s="105" t="s">
        <v>758</v>
      </c>
      <c r="C13" s="105" t="s">
        <v>759</v>
      </c>
      <c r="D13" s="105" t="s">
        <v>760</v>
      </c>
      <c r="E13" s="105" t="s">
        <v>761</v>
      </c>
      <c r="F13" s="105" t="s">
        <v>691</v>
      </c>
      <c r="G13" s="105" t="s">
        <v>756</v>
      </c>
      <c r="H13" s="105" t="s">
        <v>693</v>
      </c>
      <c r="I13" s="105" t="s">
        <v>694</v>
      </c>
      <c r="J13" s="105" t="s">
        <v>757</v>
      </c>
      <c r="K13" s="105" t="s">
        <v>661</v>
      </c>
      <c r="L13" s="105" t="s">
        <v>662</v>
      </c>
      <c r="M13" s="117" t="s">
        <v>663</v>
      </c>
      <c r="N13" s="105" t="s">
        <v>685</v>
      </c>
      <c r="O13" s="117" t="s">
        <v>664</v>
      </c>
      <c r="P13" s="117" t="s">
        <v>665</v>
      </c>
      <c r="Q13" s="117" t="s">
        <v>686</v>
      </c>
      <c r="R13" s="100"/>
      <c r="W13" s="202"/>
    </row>
    <row r="14" spans="1:23" x14ac:dyDescent="0.25">
      <c r="A14" s="103" t="s">
        <v>670</v>
      </c>
      <c r="B14" s="100">
        <v>410</v>
      </c>
      <c r="C14" s="100">
        <v>445</v>
      </c>
      <c r="D14" s="100">
        <v>503</v>
      </c>
      <c r="E14" s="100">
        <v>474</v>
      </c>
      <c r="F14" s="100">
        <v>508</v>
      </c>
      <c r="G14" s="100">
        <v>216</v>
      </c>
      <c r="H14" s="108">
        <v>293</v>
      </c>
      <c r="I14" s="108">
        <v>214</v>
      </c>
      <c r="J14" s="109">
        <v>318</v>
      </c>
      <c r="K14" s="100">
        <v>283</v>
      </c>
      <c r="L14" s="100">
        <v>418</v>
      </c>
      <c r="M14" s="100">
        <v>419</v>
      </c>
      <c r="N14" s="100">
        <v>375</v>
      </c>
      <c r="O14" s="165">
        <v>402</v>
      </c>
      <c r="P14" s="59">
        <v>228</v>
      </c>
      <c r="Q14" s="165">
        <v>417</v>
      </c>
      <c r="R14" s="100">
        <v>393</v>
      </c>
    </row>
    <row r="15" spans="1:23" x14ac:dyDescent="0.25">
      <c r="A15" s="116" t="s">
        <v>670</v>
      </c>
      <c r="B15" s="196">
        <f>AVERAGE($B$14:$R$14)</f>
        <v>371.52941176470586</v>
      </c>
      <c r="C15" s="196">
        <f t="shared" ref="C15:Q15" si="8">AVERAGE($B$14:$R$14)</f>
        <v>371.52941176470586</v>
      </c>
      <c r="D15" s="196">
        <f t="shared" si="8"/>
        <v>371.52941176470586</v>
      </c>
      <c r="E15" s="196">
        <f t="shared" si="8"/>
        <v>371.52941176470586</v>
      </c>
      <c r="F15" s="196">
        <f t="shared" si="8"/>
        <v>371.52941176470586</v>
      </c>
      <c r="G15" s="196">
        <f t="shared" si="8"/>
        <v>371.52941176470586</v>
      </c>
      <c r="H15" s="196">
        <f t="shared" si="8"/>
        <v>371.52941176470586</v>
      </c>
      <c r="I15" s="196">
        <f t="shared" si="8"/>
        <v>371.52941176470586</v>
      </c>
      <c r="J15" s="196">
        <f t="shared" si="8"/>
        <v>371.52941176470586</v>
      </c>
      <c r="K15" s="196">
        <f t="shared" si="8"/>
        <v>371.52941176470586</v>
      </c>
      <c r="L15" s="196">
        <f t="shared" si="8"/>
        <v>371.52941176470586</v>
      </c>
      <c r="M15" s="196">
        <f t="shared" si="8"/>
        <v>371.52941176470586</v>
      </c>
      <c r="N15" s="196">
        <f t="shared" si="8"/>
        <v>371.52941176470586</v>
      </c>
      <c r="O15" s="196">
        <f t="shared" si="8"/>
        <v>371.52941176470586</v>
      </c>
      <c r="P15" s="196">
        <f t="shared" si="8"/>
        <v>371.52941176470586</v>
      </c>
      <c r="Q15" s="196">
        <f t="shared" si="8"/>
        <v>371.52941176470586</v>
      </c>
      <c r="R15" s="196">
        <f>AVERAGE($B$14:$R$14)</f>
        <v>371.52941176470586</v>
      </c>
    </row>
    <row r="16" spans="1:23" x14ac:dyDescent="0.25">
      <c r="A16" s="116" t="s">
        <v>670</v>
      </c>
      <c r="B16" s="196">
        <f>AVERAGE($B$14:$R$14)/100*90</f>
        <v>334.37647058823524</v>
      </c>
      <c r="C16" s="196">
        <f t="shared" ref="C16:Q16" si="9">AVERAGE($B$14:$R$14)/100*90</f>
        <v>334.37647058823524</v>
      </c>
      <c r="D16" s="196">
        <f t="shared" si="9"/>
        <v>334.37647058823524</v>
      </c>
      <c r="E16" s="196">
        <f t="shared" si="9"/>
        <v>334.37647058823524</v>
      </c>
      <c r="F16" s="196">
        <f t="shared" si="9"/>
        <v>334.37647058823524</v>
      </c>
      <c r="G16" s="196">
        <f t="shared" si="9"/>
        <v>334.37647058823524</v>
      </c>
      <c r="H16" s="196">
        <f t="shared" si="9"/>
        <v>334.37647058823524</v>
      </c>
      <c r="I16" s="196">
        <f t="shared" si="9"/>
        <v>334.37647058823524</v>
      </c>
      <c r="J16" s="196">
        <f t="shared" si="9"/>
        <v>334.37647058823524</v>
      </c>
      <c r="K16" s="196">
        <f t="shared" si="9"/>
        <v>334.37647058823524</v>
      </c>
      <c r="L16" s="196">
        <f t="shared" si="9"/>
        <v>334.37647058823524</v>
      </c>
      <c r="M16" s="196">
        <f t="shared" si="9"/>
        <v>334.37647058823524</v>
      </c>
      <c r="N16" s="196">
        <f t="shared" si="9"/>
        <v>334.37647058823524</v>
      </c>
      <c r="O16" s="196">
        <f t="shared" si="9"/>
        <v>334.37647058823524</v>
      </c>
      <c r="P16" s="196">
        <f t="shared" si="9"/>
        <v>334.37647058823524</v>
      </c>
      <c r="Q16" s="196">
        <f t="shared" si="9"/>
        <v>334.37647058823524</v>
      </c>
      <c r="R16" s="196">
        <f>AVERAGE($B$14:$R$14)/100*90</f>
        <v>334.37647058823524</v>
      </c>
    </row>
    <row r="17" spans="1:18" x14ac:dyDescent="0.25">
      <c r="A17" s="116" t="s">
        <v>670</v>
      </c>
      <c r="B17" s="196">
        <f>AVERAGE($B$14:$R$14)/100*80</f>
        <v>297.22352941176467</v>
      </c>
      <c r="C17" s="196">
        <f t="shared" ref="C17:Q17" si="10">AVERAGE($B$14:$R$14)/100*80</f>
        <v>297.22352941176467</v>
      </c>
      <c r="D17" s="196">
        <f t="shared" si="10"/>
        <v>297.22352941176467</v>
      </c>
      <c r="E17" s="196">
        <f t="shared" si="10"/>
        <v>297.22352941176467</v>
      </c>
      <c r="F17" s="196">
        <f t="shared" si="10"/>
        <v>297.22352941176467</v>
      </c>
      <c r="G17" s="196">
        <f t="shared" si="10"/>
        <v>297.22352941176467</v>
      </c>
      <c r="H17" s="196">
        <f t="shared" si="10"/>
        <v>297.22352941176467</v>
      </c>
      <c r="I17" s="196">
        <f t="shared" si="10"/>
        <v>297.22352941176467</v>
      </c>
      <c r="J17" s="196">
        <f t="shared" si="10"/>
        <v>297.22352941176467</v>
      </c>
      <c r="K17" s="196">
        <f t="shared" si="10"/>
        <v>297.22352941176467</v>
      </c>
      <c r="L17" s="196">
        <f t="shared" si="10"/>
        <v>297.22352941176467</v>
      </c>
      <c r="M17" s="196">
        <f t="shared" si="10"/>
        <v>297.22352941176467</v>
      </c>
      <c r="N17" s="196">
        <f t="shared" si="10"/>
        <v>297.22352941176467</v>
      </c>
      <c r="O17" s="196">
        <f t="shared" si="10"/>
        <v>297.22352941176467</v>
      </c>
      <c r="P17" s="196">
        <f t="shared" si="10"/>
        <v>297.22352941176467</v>
      </c>
      <c r="Q17" s="196">
        <f t="shared" si="10"/>
        <v>297.22352941176467</v>
      </c>
      <c r="R17" s="196">
        <f>AVERAGE($B$14:$R$14)/100*80</f>
        <v>297.22352941176467</v>
      </c>
    </row>
    <row r="18" spans="1:18" x14ac:dyDescent="0.25">
      <c r="A18" s="116" t="s">
        <v>670</v>
      </c>
      <c r="B18" s="196">
        <f>AVERAGE($B$14:$R$14)/100*110</f>
        <v>408.68235294117642</v>
      </c>
      <c r="C18" s="196">
        <f t="shared" ref="C18:Q18" si="11">AVERAGE($B$14:$R$14)/100*110</f>
        <v>408.68235294117642</v>
      </c>
      <c r="D18" s="196">
        <f t="shared" si="11"/>
        <v>408.68235294117642</v>
      </c>
      <c r="E18" s="196">
        <f t="shared" si="11"/>
        <v>408.68235294117642</v>
      </c>
      <c r="F18" s="196">
        <f t="shared" si="11"/>
        <v>408.68235294117642</v>
      </c>
      <c r="G18" s="196">
        <f t="shared" si="11"/>
        <v>408.68235294117642</v>
      </c>
      <c r="H18" s="196">
        <f t="shared" si="11"/>
        <v>408.68235294117642</v>
      </c>
      <c r="I18" s="196">
        <f t="shared" si="11"/>
        <v>408.68235294117642</v>
      </c>
      <c r="J18" s="196">
        <f t="shared" si="11"/>
        <v>408.68235294117642</v>
      </c>
      <c r="K18" s="196">
        <f t="shared" si="11"/>
        <v>408.68235294117642</v>
      </c>
      <c r="L18" s="196">
        <f t="shared" si="11"/>
        <v>408.68235294117642</v>
      </c>
      <c r="M18" s="196">
        <f t="shared" si="11"/>
        <v>408.68235294117642</v>
      </c>
      <c r="N18" s="196">
        <f t="shared" si="11"/>
        <v>408.68235294117642</v>
      </c>
      <c r="O18" s="196">
        <f t="shared" si="11"/>
        <v>408.68235294117642</v>
      </c>
      <c r="P18" s="196">
        <f t="shared" si="11"/>
        <v>408.68235294117642</v>
      </c>
      <c r="Q18" s="196">
        <f t="shared" si="11"/>
        <v>408.68235294117642</v>
      </c>
      <c r="R18" s="196">
        <f>AVERAGE($B$14:$R$14)/100*110</f>
        <v>408.68235294117642</v>
      </c>
    </row>
    <row r="19" spans="1:18" x14ac:dyDescent="0.25">
      <c r="A19" s="116" t="s">
        <v>670</v>
      </c>
      <c r="B19" s="196">
        <f>AVERAGE($B$14:$R$14)/100*120</f>
        <v>445.83529411764698</v>
      </c>
      <c r="C19" s="196">
        <f t="shared" ref="C19:Q19" si="12">AVERAGE($B$14:$R$14)/100*120</f>
        <v>445.83529411764698</v>
      </c>
      <c r="D19" s="196">
        <f t="shared" si="12"/>
        <v>445.83529411764698</v>
      </c>
      <c r="E19" s="196">
        <f t="shared" si="12"/>
        <v>445.83529411764698</v>
      </c>
      <c r="F19" s="196">
        <f t="shared" si="12"/>
        <v>445.83529411764698</v>
      </c>
      <c r="G19" s="196">
        <f t="shared" si="12"/>
        <v>445.83529411764698</v>
      </c>
      <c r="H19" s="196">
        <f t="shared" si="12"/>
        <v>445.83529411764698</v>
      </c>
      <c r="I19" s="196">
        <f t="shared" si="12"/>
        <v>445.83529411764698</v>
      </c>
      <c r="J19" s="196">
        <f t="shared" si="12"/>
        <v>445.83529411764698</v>
      </c>
      <c r="K19" s="196">
        <f t="shared" si="12"/>
        <v>445.83529411764698</v>
      </c>
      <c r="L19" s="196">
        <f t="shared" si="12"/>
        <v>445.83529411764698</v>
      </c>
      <c r="M19" s="196">
        <f t="shared" si="12"/>
        <v>445.83529411764698</v>
      </c>
      <c r="N19" s="196">
        <f t="shared" si="12"/>
        <v>445.83529411764698</v>
      </c>
      <c r="O19" s="196">
        <f t="shared" si="12"/>
        <v>445.83529411764698</v>
      </c>
      <c r="P19" s="196">
        <f t="shared" si="12"/>
        <v>445.83529411764698</v>
      </c>
      <c r="Q19" s="196">
        <f t="shared" si="12"/>
        <v>445.83529411764698</v>
      </c>
      <c r="R19" s="196">
        <f>AVERAGE($B$14:$R$14)/100*120</f>
        <v>445.83529411764698</v>
      </c>
    </row>
    <row r="20" spans="1:18" x14ac:dyDescent="0.25">
      <c r="A20" s="104" t="s">
        <v>652</v>
      </c>
      <c r="B20" s="105" t="s">
        <v>758</v>
      </c>
      <c r="C20" s="105" t="s">
        <v>759</v>
      </c>
      <c r="D20" s="105" t="s">
        <v>760</v>
      </c>
      <c r="E20" s="105" t="s">
        <v>761</v>
      </c>
      <c r="F20" s="105" t="s">
        <v>691</v>
      </c>
      <c r="G20" s="105" t="s">
        <v>756</v>
      </c>
      <c r="H20" s="105" t="s">
        <v>693</v>
      </c>
      <c r="I20" s="105" t="s">
        <v>694</v>
      </c>
      <c r="J20" s="105" t="s">
        <v>757</v>
      </c>
      <c r="K20" s="105" t="s">
        <v>661</v>
      </c>
      <c r="L20" s="105" t="s">
        <v>662</v>
      </c>
      <c r="M20" s="117" t="s">
        <v>663</v>
      </c>
      <c r="N20" s="105" t="s">
        <v>685</v>
      </c>
      <c r="O20" s="117" t="s">
        <v>664</v>
      </c>
      <c r="P20" s="117" t="s">
        <v>665</v>
      </c>
      <c r="Q20" s="117" t="s">
        <v>686</v>
      </c>
      <c r="R20" s="100"/>
    </row>
    <row r="21" spans="1:18" x14ac:dyDescent="0.25">
      <c r="A21" s="103" t="s">
        <v>671</v>
      </c>
      <c r="B21" s="100">
        <v>38</v>
      </c>
      <c r="C21" s="100">
        <v>31</v>
      </c>
      <c r="D21" s="100">
        <v>34</v>
      </c>
      <c r="E21" s="100">
        <v>34</v>
      </c>
      <c r="F21" s="100">
        <v>31</v>
      </c>
      <c r="G21" s="100">
        <v>25</v>
      </c>
      <c r="H21" s="108">
        <v>27</v>
      </c>
      <c r="I21" s="108">
        <v>22</v>
      </c>
      <c r="J21" s="109">
        <v>22</v>
      </c>
      <c r="K21" s="100">
        <v>18</v>
      </c>
      <c r="L21" s="100">
        <v>24</v>
      </c>
      <c r="M21" s="100">
        <v>22</v>
      </c>
      <c r="N21" s="100">
        <v>18</v>
      </c>
      <c r="O21" s="165">
        <v>25</v>
      </c>
      <c r="P21" s="59">
        <v>18</v>
      </c>
      <c r="Q21" s="165">
        <v>24</v>
      </c>
      <c r="R21" s="100">
        <v>25</v>
      </c>
    </row>
    <row r="22" spans="1:18" x14ac:dyDescent="0.25">
      <c r="A22" s="103" t="s">
        <v>671</v>
      </c>
      <c r="B22" s="194">
        <f>AVERAGE($B$21:$R$21)</f>
        <v>25.764705882352942</v>
      </c>
      <c r="C22" s="194">
        <f t="shared" ref="C22:R22" si="13">AVERAGE($B$21:$R$21)</f>
        <v>25.764705882352942</v>
      </c>
      <c r="D22" s="194">
        <f t="shared" si="13"/>
        <v>25.764705882352942</v>
      </c>
      <c r="E22" s="194">
        <f t="shared" si="13"/>
        <v>25.764705882352942</v>
      </c>
      <c r="F22" s="194">
        <f t="shared" si="13"/>
        <v>25.764705882352942</v>
      </c>
      <c r="G22" s="194">
        <f t="shared" si="13"/>
        <v>25.764705882352942</v>
      </c>
      <c r="H22" s="194">
        <f t="shared" si="13"/>
        <v>25.764705882352942</v>
      </c>
      <c r="I22" s="194">
        <f t="shared" si="13"/>
        <v>25.764705882352942</v>
      </c>
      <c r="J22" s="194">
        <f t="shared" si="13"/>
        <v>25.764705882352942</v>
      </c>
      <c r="K22" s="194">
        <f t="shared" si="13"/>
        <v>25.764705882352942</v>
      </c>
      <c r="L22" s="194">
        <f t="shared" si="13"/>
        <v>25.764705882352942</v>
      </c>
      <c r="M22" s="194">
        <f t="shared" si="13"/>
        <v>25.764705882352942</v>
      </c>
      <c r="N22" s="194">
        <f t="shared" si="13"/>
        <v>25.764705882352942</v>
      </c>
      <c r="O22" s="194">
        <f t="shared" si="13"/>
        <v>25.764705882352942</v>
      </c>
      <c r="P22" s="194">
        <f t="shared" si="13"/>
        <v>25.764705882352942</v>
      </c>
      <c r="Q22" s="194">
        <f t="shared" si="13"/>
        <v>25.764705882352942</v>
      </c>
      <c r="R22" s="194">
        <f t="shared" si="13"/>
        <v>25.764705882352942</v>
      </c>
    </row>
    <row r="23" spans="1:18" x14ac:dyDescent="0.25">
      <c r="A23" s="103" t="s">
        <v>671</v>
      </c>
      <c r="B23" s="194">
        <f>AVERAGE($B$21:$R$21)/100*90</f>
        <v>23.188235294117646</v>
      </c>
      <c r="C23" s="194">
        <f t="shared" ref="C23:R23" si="14">AVERAGE($B$21:$R$21)/100*90</f>
        <v>23.188235294117646</v>
      </c>
      <c r="D23" s="194">
        <f t="shared" si="14"/>
        <v>23.188235294117646</v>
      </c>
      <c r="E23" s="194">
        <f t="shared" si="14"/>
        <v>23.188235294117646</v>
      </c>
      <c r="F23" s="194">
        <f t="shared" si="14"/>
        <v>23.188235294117646</v>
      </c>
      <c r="G23" s="194">
        <f t="shared" si="14"/>
        <v>23.188235294117646</v>
      </c>
      <c r="H23" s="194">
        <f t="shared" si="14"/>
        <v>23.188235294117646</v>
      </c>
      <c r="I23" s="194">
        <f t="shared" si="14"/>
        <v>23.188235294117646</v>
      </c>
      <c r="J23" s="194">
        <f t="shared" si="14"/>
        <v>23.188235294117646</v>
      </c>
      <c r="K23" s="194">
        <f t="shared" si="14"/>
        <v>23.188235294117646</v>
      </c>
      <c r="L23" s="194">
        <f t="shared" si="14"/>
        <v>23.188235294117646</v>
      </c>
      <c r="M23" s="194">
        <f t="shared" si="14"/>
        <v>23.188235294117646</v>
      </c>
      <c r="N23" s="194">
        <f t="shared" si="14"/>
        <v>23.188235294117646</v>
      </c>
      <c r="O23" s="194">
        <f t="shared" si="14"/>
        <v>23.188235294117646</v>
      </c>
      <c r="P23" s="194">
        <f t="shared" si="14"/>
        <v>23.188235294117646</v>
      </c>
      <c r="Q23" s="194">
        <f t="shared" si="14"/>
        <v>23.188235294117646</v>
      </c>
      <c r="R23" s="194">
        <f t="shared" si="14"/>
        <v>23.188235294117646</v>
      </c>
    </row>
    <row r="24" spans="1:18" x14ac:dyDescent="0.25">
      <c r="A24" s="103" t="s">
        <v>671</v>
      </c>
      <c r="B24" s="194">
        <f>AVERAGE($B$21:$R$21)+(AVERAGE($B$21:$Q$21)/100*10)</f>
        <v>28.345955882352943</v>
      </c>
      <c r="C24" s="194">
        <f t="shared" ref="C24:R24" si="15">AVERAGE($B$21:$R$21)+(AVERAGE($B$21:$Q$21)/100*10)</f>
        <v>28.345955882352943</v>
      </c>
      <c r="D24" s="194">
        <f t="shared" si="15"/>
        <v>28.345955882352943</v>
      </c>
      <c r="E24" s="194">
        <f t="shared" si="15"/>
        <v>28.345955882352943</v>
      </c>
      <c r="F24" s="194">
        <f t="shared" si="15"/>
        <v>28.345955882352943</v>
      </c>
      <c r="G24" s="194">
        <f t="shared" si="15"/>
        <v>28.345955882352943</v>
      </c>
      <c r="H24" s="194">
        <f t="shared" si="15"/>
        <v>28.345955882352943</v>
      </c>
      <c r="I24" s="194">
        <f t="shared" si="15"/>
        <v>28.345955882352943</v>
      </c>
      <c r="J24" s="194">
        <f t="shared" si="15"/>
        <v>28.345955882352943</v>
      </c>
      <c r="K24" s="194">
        <f t="shared" si="15"/>
        <v>28.345955882352943</v>
      </c>
      <c r="L24" s="194">
        <f t="shared" si="15"/>
        <v>28.345955882352943</v>
      </c>
      <c r="M24" s="194">
        <f t="shared" si="15"/>
        <v>28.345955882352943</v>
      </c>
      <c r="N24" s="194">
        <f t="shared" si="15"/>
        <v>28.345955882352943</v>
      </c>
      <c r="O24" s="194">
        <f t="shared" si="15"/>
        <v>28.345955882352943</v>
      </c>
      <c r="P24" s="194">
        <f t="shared" si="15"/>
        <v>28.345955882352943</v>
      </c>
      <c r="Q24" s="194">
        <f t="shared" si="15"/>
        <v>28.345955882352943</v>
      </c>
      <c r="R24" s="194">
        <f t="shared" si="15"/>
        <v>28.345955882352943</v>
      </c>
    </row>
    <row r="25" spans="1:18" x14ac:dyDescent="0.25">
      <c r="A25" s="103" t="s">
        <v>671</v>
      </c>
      <c r="B25" s="194">
        <f>AVERAGE($B$21:$R$21)/100*80</f>
        <v>20.611764705882351</v>
      </c>
      <c r="C25" s="194">
        <f t="shared" ref="C25:R25" si="16">AVERAGE($B$21:$R$21)/100*80</f>
        <v>20.611764705882351</v>
      </c>
      <c r="D25" s="194">
        <f t="shared" si="16"/>
        <v>20.611764705882351</v>
      </c>
      <c r="E25" s="194">
        <f t="shared" si="16"/>
        <v>20.611764705882351</v>
      </c>
      <c r="F25" s="194">
        <f t="shared" si="16"/>
        <v>20.611764705882351</v>
      </c>
      <c r="G25" s="194">
        <f t="shared" si="16"/>
        <v>20.611764705882351</v>
      </c>
      <c r="H25" s="194">
        <f t="shared" si="16"/>
        <v>20.611764705882351</v>
      </c>
      <c r="I25" s="194">
        <f t="shared" si="16"/>
        <v>20.611764705882351</v>
      </c>
      <c r="J25" s="194">
        <f t="shared" si="16"/>
        <v>20.611764705882351</v>
      </c>
      <c r="K25" s="194">
        <f t="shared" si="16"/>
        <v>20.611764705882351</v>
      </c>
      <c r="L25" s="194">
        <f t="shared" si="16"/>
        <v>20.611764705882351</v>
      </c>
      <c r="M25" s="194">
        <f t="shared" si="16"/>
        <v>20.611764705882351</v>
      </c>
      <c r="N25" s="194">
        <f t="shared" si="16"/>
        <v>20.611764705882351</v>
      </c>
      <c r="O25" s="194">
        <f t="shared" si="16"/>
        <v>20.611764705882351</v>
      </c>
      <c r="P25" s="194">
        <f t="shared" si="16"/>
        <v>20.611764705882351</v>
      </c>
      <c r="Q25" s="194">
        <f t="shared" si="16"/>
        <v>20.611764705882351</v>
      </c>
      <c r="R25" s="194">
        <f t="shared" si="16"/>
        <v>20.611764705882351</v>
      </c>
    </row>
    <row r="26" spans="1:18" x14ac:dyDescent="0.25">
      <c r="A26" s="103" t="s">
        <v>671</v>
      </c>
      <c r="B26" s="194">
        <f>AVERAGE($B$21:$R$21)+(AVERAGE($B$21:$Q$21)/100*20)</f>
        <v>30.927205882352943</v>
      </c>
      <c r="C26" s="194">
        <f t="shared" ref="C26:R26" si="17">AVERAGE($B$21:$R$21)+(AVERAGE($B$21:$Q$21)/100*20)</f>
        <v>30.927205882352943</v>
      </c>
      <c r="D26" s="194">
        <f t="shared" si="17"/>
        <v>30.927205882352943</v>
      </c>
      <c r="E26" s="194">
        <f t="shared" si="17"/>
        <v>30.927205882352943</v>
      </c>
      <c r="F26" s="194">
        <f t="shared" si="17"/>
        <v>30.927205882352943</v>
      </c>
      <c r="G26" s="194">
        <f t="shared" si="17"/>
        <v>30.927205882352943</v>
      </c>
      <c r="H26" s="194">
        <f t="shared" si="17"/>
        <v>30.927205882352943</v>
      </c>
      <c r="I26" s="194">
        <f t="shared" si="17"/>
        <v>30.927205882352943</v>
      </c>
      <c r="J26" s="194">
        <f t="shared" si="17"/>
        <v>30.927205882352943</v>
      </c>
      <c r="K26" s="194">
        <f t="shared" si="17"/>
        <v>30.927205882352943</v>
      </c>
      <c r="L26" s="194">
        <f t="shared" si="17"/>
        <v>30.927205882352943</v>
      </c>
      <c r="M26" s="194">
        <f t="shared" si="17"/>
        <v>30.927205882352943</v>
      </c>
      <c r="N26" s="194">
        <f t="shared" si="17"/>
        <v>30.927205882352943</v>
      </c>
      <c r="O26" s="194">
        <f t="shared" si="17"/>
        <v>30.927205882352943</v>
      </c>
      <c r="P26" s="194">
        <f t="shared" si="17"/>
        <v>30.927205882352943</v>
      </c>
      <c r="Q26" s="194">
        <f t="shared" si="17"/>
        <v>30.927205882352943</v>
      </c>
      <c r="R26" s="194">
        <f t="shared" si="17"/>
        <v>30.927205882352943</v>
      </c>
    </row>
    <row r="27" spans="1:18" x14ac:dyDescent="0.25">
      <c r="A27" s="104" t="s">
        <v>652</v>
      </c>
      <c r="B27" s="105" t="s">
        <v>758</v>
      </c>
      <c r="C27" s="105" t="s">
        <v>759</v>
      </c>
      <c r="D27" s="105" t="s">
        <v>760</v>
      </c>
      <c r="E27" s="105" t="s">
        <v>761</v>
      </c>
      <c r="F27" s="105" t="s">
        <v>691</v>
      </c>
      <c r="G27" s="105" t="s">
        <v>756</v>
      </c>
      <c r="H27" s="105" t="s">
        <v>693</v>
      </c>
      <c r="I27" s="105" t="s">
        <v>694</v>
      </c>
      <c r="J27" s="105" t="s">
        <v>757</v>
      </c>
      <c r="K27" s="105" t="s">
        <v>661</v>
      </c>
      <c r="L27" s="105" t="s">
        <v>662</v>
      </c>
      <c r="M27" s="117" t="s">
        <v>663</v>
      </c>
      <c r="N27" s="105" t="s">
        <v>685</v>
      </c>
      <c r="O27" s="117" t="s">
        <v>664</v>
      </c>
      <c r="P27" s="117" t="s">
        <v>665</v>
      </c>
      <c r="Q27" s="117" t="s">
        <v>686</v>
      </c>
      <c r="R27" s="100"/>
    </row>
    <row r="28" spans="1:18" x14ac:dyDescent="0.25">
      <c r="A28" s="103" t="s">
        <v>672</v>
      </c>
      <c r="B28" s="100">
        <v>51</v>
      </c>
      <c r="C28" s="100">
        <v>43</v>
      </c>
      <c r="D28" s="100">
        <v>44</v>
      </c>
      <c r="E28" s="100">
        <v>40</v>
      </c>
      <c r="F28" s="100">
        <v>41</v>
      </c>
      <c r="G28" s="100">
        <v>29</v>
      </c>
      <c r="H28" s="108">
        <v>36</v>
      </c>
      <c r="I28" s="108">
        <v>30</v>
      </c>
      <c r="J28" s="109">
        <v>27</v>
      </c>
      <c r="K28" s="100">
        <v>24</v>
      </c>
      <c r="L28" s="100">
        <v>34</v>
      </c>
      <c r="M28" s="100">
        <v>34</v>
      </c>
      <c r="N28" s="100">
        <v>30</v>
      </c>
      <c r="O28" s="165">
        <v>37</v>
      </c>
      <c r="P28" s="59">
        <v>26</v>
      </c>
      <c r="Q28" s="165">
        <v>43</v>
      </c>
      <c r="R28" s="100">
        <v>41</v>
      </c>
    </row>
    <row r="29" spans="1:18" x14ac:dyDescent="0.25">
      <c r="A29" s="103" t="s">
        <v>672</v>
      </c>
      <c r="B29" s="194">
        <f>AVERAGE($B$28:$R$28)</f>
        <v>35.882352941176471</v>
      </c>
      <c r="C29" s="194">
        <f t="shared" ref="C29:R29" si="18">AVERAGE($B$28:$R$28)</f>
        <v>35.882352941176471</v>
      </c>
      <c r="D29" s="194">
        <f t="shared" si="18"/>
        <v>35.882352941176471</v>
      </c>
      <c r="E29" s="194">
        <f t="shared" si="18"/>
        <v>35.882352941176471</v>
      </c>
      <c r="F29" s="194">
        <f t="shared" si="18"/>
        <v>35.882352941176471</v>
      </c>
      <c r="G29" s="194">
        <f t="shared" si="18"/>
        <v>35.882352941176471</v>
      </c>
      <c r="H29" s="194">
        <f t="shared" si="18"/>
        <v>35.882352941176471</v>
      </c>
      <c r="I29" s="194">
        <f t="shared" si="18"/>
        <v>35.882352941176471</v>
      </c>
      <c r="J29" s="194">
        <f t="shared" si="18"/>
        <v>35.882352941176471</v>
      </c>
      <c r="K29" s="194">
        <f t="shared" si="18"/>
        <v>35.882352941176471</v>
      </c>
      <c r="L29" s="194">
        <f t="shared" si="18"/>
        <v>35.882352941176471</v>
      </c>
      <c r="M29" s="194">
        <f t="shared" si="18"/>
        <v>35.882352941176471</v>
      </c>
      <c r="N29" s="194">
        <f t="shared" si="18"/>
        <v>35.882352941176471</v>
      </c>
      <c r="O29" s="194">
        <f t="shared" si="18"/>
        <v>35.882352941176471</v>
      </c>
      <c r="P29" s="194">
        <f t="shared" si="18"/>
        <v>35.882352941176471</v>
      </c>
      <c r="Q29" s="194">
        <f t="shared" si="18"/>
        <v>35.882352941176471</v>
      </c>
      <c r="R29" s="194">
        <f t="shared" si="18"/>
        <v>35.882352941176471</v>
      </c>
    </row>
    <row r="30" spans="1:18" x14ac:dyDescent="0.25">
      <c r="A30" s="103" t="s">
        <v>672</v>
      </c>
      <c r="B30" s="194">
        <f>AVERAGE($B$28:$R$28)/100*90</f>
        <v>32.294117647058826</v>
      </c>
      <c r="C30" s="194">
        <f t="shared" ref="C30:R30" si="19">AVERAGE($B$28:$R$28)/100*90</f>
        <v>32.294117647058826</v>
      </c>
      <c r="D30" s="194">
        <f t="shared" si="19"/>
        <v>32.294117647058826</v>
      </c>
      <c r="E30" s="194">
        <f t="shared" si="19"/>
        <v>32.294117647058826</v>
      </c>
      <c r="F30" s="194">
        <f t="shared" si="19"/>
        <v>32.294117647058826</v>
      </c>
      <c r="G30" s="194">
        <f t="shared" si="19"/>
        <v>32.294117647058826</v>
      </c>
      <c r="H30" s="194">
        <f t="shared" si="19"/>
        <v>32.294117647058826</v>
      </c>
      <c r="I30" s="194">
        <f t="shared" si="19"/>
        <v>32.294117647058826</v>
      </c>
      <c r="J30" s="194">
        <f t="shared" si="19"/>
        <v>32.294117647058826</v>
      </c>
      <c r="K30" s="194">
        <f t="shared" si="19"/>
        <v>32.294117647058826</v>
      </c>
      <c r="L30" s="194">
        <f t="shared" si="19"/>
        <v>32.294117647058826</v>
      </c>
      <c r="M30" s="194">
        <f t="shared" si="19"/>
        <v>32.294117647058826</v>
      </c>
      <c r="N30" s="194">
        <f t="shared" si="19"/>
        <v>32.294117647058826</v>
      </c>
      <c r="O30" s="194">
        <f t="shared" si="19"/>
        <v>32.294117647058826</v>
      </c>
      <c r="P30" s="194">
        <f t="shared" si="19"/>
        <v>32.294117647058826</v>
      </c>
      <c r="Q30" s="194">
        <f t="shared" si="19"/>
        <v>32.294117647058826</v>
      </c>
      <c r="R30" s="194">
        <f t="shared" si="19"/>
        <v>32.294117647058826</v>
      </c>
    </row>
    <row r="31" spans="1:18" x14ac:dyDescent="0.25">
      <c r="A31" s="103" t="s">
        <v>672</v>
      </c>
      <c r="B31" s="194">
        <f>AVERAGE($B$28:$R$28)+(AVERAGE($B$28:$R$28)/100*10)</f>
        <v>39.470588235294116</v>
      </c>
      <c r="C31" s="194">
        <f t="shared" ref="C31:R31" si="20">AVERAGE($B$28:$R$28)+(AVERAGE($B$28:$R$28)/100*10)</f>
        <v>39.470588235294116</v>
      </c>
      <c r="D31" s="194">
        <f t="shared" si="20"/>
        <v>39.470588235294116</v>
      </c>
      <c r="E31" s="194">
        <f t="shared" si="20"/>
        <v>39.470588235294116</v>
      </c>
      <c r="F31" s="194">
        <f t="shared" si="20"/>
        <v>39.470588235294116</v>
      </c>
      <c r="G31" s="194">
        <f t="shared" si="20"/>
        <v>39.470588235294116</v>
      </c>
      <c r="H31" s="194">
        <f t="shared" si="20"/>
        <v>39.470588235294116</v>
      </c>
      <c r="I31" s="194">
        <f t="shared" si="20"/>
        <v>39.470588235294116</v>
      </c>
      <c r="J31" s="194">
        <f t="shared" si="20"/>
        <v>39.470588235294116</v>
      </c>
      <c r="K31" s="194">
        <f t="shared" si="20"/>
        <v>39.470588235294116</v>
      </c>
      <c r="L31" s="194">
        <f t="shared" si="20"/>
        <v>39.470588235294116</v>
      </c>
      <c r="M31" s="194">
        <f t="shared" si="20"/>
        <v>39.470588235294116</v>
      </c>
      <c r="N31" s="194">
        <f t="shared" si="20"/>
        <v>39.470588235294116</v>
      </c>
      <c r="O31" s="194">
        <f t="shared" si="20"/>
        <v>39.470588235294116</v>
      </c>
      <c r="P31" s="194">
        <f t="shared" si="20"/>
        <v>39.470588235294116</v>
      </c>
      <c r="Q31" s="194">
        <f t="shared" si="20"/>
        <v>39.470588235294116</v>
      </c>
      <c r="R31" s="194">
        <f t="shared" si="20"/>
        <v>39.470588235294116</v>
      </c>
    </row>
    <row r="32" spans="1:18" x14ac:dyDescent="0.25">
      <c r="A32" s="103" t="s">
        <v>672</v>
      </c>
      <c r="B32" s="194">
        <f>AVERAGE($B$28:$R$28)/100*80</f>
        <v>28.705882352941178</v>
      </c>
      <c r="C32" s="194">
        <f t="shared" ref="C32:R32" si="21">AVERAGE($B$28:$R$28)/100*80</f>
        <v>28.705882352941178</v>
      </c>
      <c r="D32" s="194">
        <f t="shared" si="21"/>
        <v>28.705882352941178</v>
      </c>
      <c r="E32" s="194">
        <f t="shared" si="21"/>
        <v>28.705882352941178</v>
      </c>
      <c r="F32" s="194">
        <f t="shared" si="21"/>
        <v>28.705882352941178</v>
      </c>
      <c r="G32" s="194">
        <f t="shared" si="21"/>
        <v>28.705882352941178</v>
      </c>
      <c r="H32" s="194">
        <f t="shared" si="21"/>
        <v>28.705882352941178</v>
      </c>
      <c r="I32" s="194">
        <f t="shared" si="21"/>
        <v>28.705882352941178</v>
      </c>
      <c r="J32" s="194">
        <f t="shared" si="21"/>
        <v>28.705882352941178</v>
      </c>
      <c r="K32" s="194">
        <f t="shared" si="21"/>
        <v>28.705882352941178</v>
      </c>
      <c r="L32" s="194">
        <f t="shared" si="21"/>
        <v>28.705882352941178</v>
      </c>
      <c r="M32" s="194">
        <f t="shared" si="21"/>
        <v>28.705882352941178</v>
      </c>
      <c r="N32" s="194">
        <f t="shared" si="21"/>
        <v>28.705882352941178</v>
      </c>
      <c r="O32" s="194">
        <f t="shared" si="21"/>
        <v>28.705882352941178</v>
      </c>
      <c r="P32" s="194">
        <f t="shared" si="21"/>
        <v>28.705882352941178</v>
      </c>
      <c r="Q32" s="194">
        <f t="shared" si="21"/>
        <v>28.705882352941178</v>
      </c>
      <c r="R32" s="194">
        <f t="shared" si="21"/>
        <v>28.705882352941178</v>
      </c>
    </row>
    <row r="33" spans="1:18" x14ac:dyDescent="0.25">
      <c r="A33" s="103" t="s">
        <v>672</v>
      </c>
      <c r="B33" s="194">
        <f>AVERAGE($B$28:$R$28)+(AVERAGE($B$28:$R$28)/100*20)</f>
        <v>43.058823529411768</v>
      </c>
      <c r="C33" s="194">
        <f t="shared" ref="C33:R33" si="22">AVERAGE($B$28:$R$28)+(AVERAGE($B$28:$R$28)/100*20)</f>
        <v>43.058823529411768</v>
      </c>
      <c r="D33" s="194">
        <f t="shared" si="22"/>
        <v>43.058823529411768</v>
      </c>
      <c r="E33" s="194">
        <f t="shared" si="22"/>
        <v>43.058823529411768</v>
      </c>
      <c r="F33" s="194">
        <f t="shared" si="22"/>
        <v>43.058823529411768</v>
      </c>
      <c r="G33" s="194">
        <f t="shared" si="22"/>
        <v>43.058823529411768</v>
      </c>
      <c r="H33" s="194">
        <f t="shared" si="22"/>
        <v>43.058823529411768</v>
      </c>
      <c r="I33" s="194">
        <f t="shared" si="22"/>
        <v>43.058823529411768</v>
      </c>
      <c r="J33" s="194">
        <f t="shared" si="22"/>
        <v>43.058823529411768</v>
      </c>
      <c r="K33" s="194">
        <f t="shared" si="22"/>
        <v>43.058823529411768</v>
      </c>
      <c r="L33" s="194">
        <f t="shared" si="22"/>
        <v>43.058823529411768</v>
      </c>
      <c r="M33" s="194">
        <f t="shared" si="22"/>
        <v>43.058823529411768</v>
      </c>
      <c r="N33" s="194">
        <f t="shared" si="22"/>
        <v>43.058823529411768</v>
      </c>
      <c r="O33" s="194">
        <f t="shared" si="22"/>
        <v>43.058823529411768</v>
      </c>
      <c r="P33" s="194">
        <f t="shared" si="22"/>
        <v>43.058823529411768</v>
      </c>
      <c r="Q33" s="194">
        <f t="shared" si="22"/>
        <v>43.058823529411768</v>
      </c>
      <c r="R33" s="194">
        <f t="shared" si="22"/>
        <v>43.058823529411768</v>
      </c>
    </row>
    <row r="34" spans="1:18" x14ac:dyDescent="0.25">
      <c r="A34" s="104" t="s">
        <v>652</v>
      </c>
      <c r="B34" s="105" t="s">
        <v>758</v>
      </c>
      <c r="C34" s="105" t="s">
        <v>759</v>
      </c>
      <c r="D34" s="105" t="s">
        <v>760</v>
      </c>
      <c r="E34" s="105" t="s">
        <v>761</v>
      </c>
      <c r="F34" s="105" t="s">
        <v>691</v>
      </c>
      <c r="G34" s="105" t="s">
        <v>756</v>
      </c>
      <c r="H34" s="105" t="s">
        <v>693</v>
      </c>
      <c r="I34" s="105" t="s">
        <v>694</v>
      </c>
      <c r="J34" s="105" t="s">
        <v>757</v>
      </c>
      <c r="K34" s="105" t="s">
        <v>661</v>
      </c>
      <c r="L34" s="105" t="s">
        <v>662</v>
      </c>
      <c r="M34" s="117" t="s">
        <v>663</v>
      </c>
      <c r="N34" s="105" t="s">
        <v>685</v>
      </c>
      <c r="O34" s="117" t="s">
        <v>664</v>
      </c>
      <c r="P34" s="117" t="s">
        <v>665</v>
      </c>
      <c r="Q34" s="117" t="s">
        <v>686</v>
      </c>
      <c r="R34" s="100"/>
    </row>
    <row r="35" spans="1:18" x14ac:dyDescent="0.25">
      <c r="A35" s="103" t="s">
        <v>673</v>
      </c>
      <c r="B35" s="100">
        <v>20</v>
      </c>
      <c r="C35" s="100">
        <v>20</v>
      </c>
      <c r="D35" s="100">
        <v>16</v>
      </c>
      <c r="E35" s="100">
        <v>17</v>
      </c>
      <c r="F35" s="100">
        <v>15</v>
      </c>
      <c r="G35" s="100">
        <v>12</v>
      </c>
      <c r="H35" s="108">
        <v>10</v>
      </c>
      <c r="I35" s="108">
        <v>13</v>
      </c>
      <c r="J35" s="109">
        <v>13</v>
      </c>
      <c r="K35" s="100">
        <v>21</v>
      </c>
      <c r="L35" s="100">
        <v>15</v>
      </c>
      <c r="M35" s="100">
        <v>18</v>
      </c>
      <c r="N35" s="100">
        <v>18</v>
      </c>
      <c r="O35" s="165">
        <v>17</v>
      </c>
      <c r="P35" s="59">
        <v>12</v>
      </c>
      <c r="Q35" s="165">
        <v>8</v>
      </c>
      <c r="R35" s="100">
        <v>23</v>
      </c>
    </row>
    <row r="36" spans="1:18" x14ac:dyDescent="0.25">
      <c r="A36" s="103" t="s">
        <v>673</v>
      </c>
      <c r="B36" s="194">
        <f>AVERAGE($B$35:$R$35)</f>
        <v>15.764705882352942</v>
      </c>
      <c r="C36" s="194">
        <f t="shared" ref="C36:R36" si="23">AVERAGE($B$35:$R$35)</f>
        <v>15.764705882352942</v>
      </c>
      <c r="D36" s="194">
        <f t="shared" si="23"/>
        <v>15.764705882352942</v>
      </c>
      <c r="E36" s="194">
        <f t="shared" si="23"/>
        <v>15.764705882352942</v>
      </c>
      <c r="F36" s="194">
        <f t="shared" si="23"/>
        <v>15.764705882352942</v>
      </c>
      <c r="G36" s="194">
        <f t="shared" si="23"/>
        <v>15.764705882352942</v>
      </c>
      <c r="H36" s="194">
        <f t="shared" si="23"/>
        <v>15.764705882352942</v>
      </c>
      <c r="I36" s="194">
        <f t="shared" si="23"/>
        <v>15.764705882352942</v>
      </c>
      <c r="J36" s="194">
        <f t="shared" si="23"/>
        <v>15.764705882352942</v>
      </c>
      <c r="K36" s="194">
        <f t="shared" si="23"/>
        <v>15.764705882352942</v>
      </c>
      <c r="L36" s="194">
        <f t="shared" si="23"/>
        <v>15.764705882352942</v>
      </c>
      <c r="M36" s="194">
        <f t="shared" si="23"/>
        <v>15.764705882352942</v>
      </c>
      <c r="N36" s="194">
        <f t="shared" si="23"/>
        <v>15.764705882352942</v>
      </c>
      <c r="O36" s="194">
        <f t="shared" si="23"/>
        <v>15.764705882352942</v>
      </c>
      <c r="P36" s="194">
        <f t="shared" si="23"/>
        <v>15.764705882352942</v>
      </c>
      <c r="Q36" s="194">
        <f t="shared" si="23"/>
        <v>15.764705882352942</v>
      </c>
      <c r="R36" s="194">
        <f t="shared" si="23"/>
        <v>15.764705882352942</v>
      </c>
    </row>
    <row r="37" spans="1:18" x14ac:dyDescent="0.25">
      <c r="A37" s="103" t="s">
        <v>673</v>
      </c>
      <c r="B37" s="194">
        <f>AVERAGE($B$35:$R$35)/100*90</f>
        <v>14.188235294117648</v>
      </c>
      <c r="C37" s="194">
        <f t="shared" ref="C37:R37" si="24">AVERAGE($B$35:$R$35)/100*90</f>
        <v>14.188235294117648</v>
      </c>
      <c r="D37" s="194">
        <f t="shared" si="24"/>
        <v>14.188235294117648</v>
      </c>
      <c r="E37" s="194">
        <f t="shared" si="24"/>
        <v>14.188235294117648</v>
      </c>
      <c r="F37" s="194">
        <f t="shared" si="24"/>
        <v>14.188235294117648</v>
      </c>
      <c r="G37" s="194">
        <f t="shared" si="24"/>
        <v>14.188235294117648</v>
      </c>
      <c r="H37" s="194">
        <f t="shared" si="24"/>
        <v>14.188235294117648</v>
      </c>
      <c r="I37" s="194">
        <f t="shared" si="24"/>
        <v>14.188235294117648</v>
      </c>
      <c r="J37" s="194">
        <f t="shared" si="24"/>
        <v>14.188235294117648</v>
      </c>
      <c r="K37" s="194">
        <f t="shared" si="24"/>
        <v>14.188235294117648</v>
      </c>
      <c r="L37" s="194">
        <f t="shared" si="24"/>
        <v>14.188235294117648</v>
      </c>
      <c r="M37" s="194">
        <f t="shared" si="24"/>
        <v>14.188235294117648</v>
      </c>
      <c r="N37" s="194">
        <f t="shared" si="24"/>
        <v>14.188235294117648</v>
      </c>
      <c r="O37" s="194">
        <f t="shared" si="24"/>
        <v>14.188235294117648</v>
      </c>
      <c r="P37" s="194">
        <f t="shared" si="24"/>
        <v>14.188235294117648</v>
      </c>
      <c r="Q37" s="194">
        <f t="shared" si="24"/>
        <v>14.188235294117648</v>
      </c>
      <c r="R37" s="194">
        <f t="shared" si="24"/>
        <v>14.188235294117648</v>
      </c>
    </row>
    <row r="38" spans="1:18" x14ac:dyDescent="0.25">
      <c r="A38" s="103" t="s">
        <v>673</v>
      </c>
      <c r="B38" s="194">
        <f>AVERAGE($B$35:$R$35)+(AVERAGE($B$35:$R$35)/100*10)</f>
        <v>17.341176470588238</v>
      </c>
      <c r="C38" s="194">
        <f t="shared" ref="C38:R38" si="25">AVERAGE($B$35:$R$35)+(AVERAGE($B$35:$R$35)/100*10)</f>
        <v>17.341176470588238</v>
      </c>
      <c r="D38" s="194">
        <f t="shared" si="25"/>
        <v>17.341176470588238</v>
      </c>
      <c r="E38" s="194">
        <f t="shared" si="25"/>
        <v>17.341176470588238</v>
      </c>
      <c r="F38" s="194">
        <f t="shared" si="25"/>
        <v>17.341176470588238</v>
      </c>
      <c r="G38" s="194">
        <f t="shared" si="25"/>
        <v>17.341176470588238</v>
      </c>
      <c r="H38" s="194">
        <f t="shared" si="25"/>
        <v>17.341176470588238</v>
      </c>
      <c r="I38" s="194">
        <f t="shared" si="25"/>
        <v>17.341176470588238</v>
      </c>
      <c r="J38" s="194">
        <f t="shared" si="25"/>
        <v>17.341176470588238</v>
      </c>
      <c r="K38" s="194">
        <f t="shared" si="25"/>
        <v>17.341176470588238</v>
      </c>
      <c r="L38" s="194">
        <f t="shared" si="25"/>
        <v>17.341176470588238</v>
      </c>
      <c r="M38" s="194">
        <f t="shared" si="25"/>
        <v>17.341176470588238</v>
      </c>
      <c r="N38" s="194">
        <f t="shared" si="25"/>
        <v>17.341176470588238</v>
      </c>
      <c r="O38" s="194">
        <f t="shared" si="25"/>
        <v>17.341176470588238</v>
      </c>
      <c r="P38" s="194">
        <f t="shared" si="25"/>
        <v>17.341176470588238</v>
      </c>
      <c r="Q38" s="194">
        <f t="shared" si="25"/>
        <v>17.341176470588238</v>
      </c>
      <c r="R38" s="194">
        <f t="shared" si="25"/>
        <v>17.341176470588238</v>
      </c>
    </row>
    <row r="39" spans="1:18" x14ac:dyDescent="0.25">
      <c r="A39" s="102" t="s">
        <v>673</v>
      </c>
      <c r="B39" s="194">
        <f>AVERAGE($B$35:$R$35)/100*80</f>
        <v>12.611764705882354</v>
      </c>
      <c r="C39" s="194">
        <f t="shared" ref="C39:R39" si="26">AVERAGE($B$35:$R$35)/100*80</f>
        <v>12.611764705882354</v>
      </c>
      <c r="D39" s="194">
        <f t="shared" si="26"/>
        <v>12.611764705882354</v>
      </c>
      <c r="E39" s="194">
        <f t="shared" si="26"/>
        <v>12.611764705882354</v>
      </c>
      <c r="F39" s="194">
        <f t="shared" si="26"/>
        <v>12.611764705882354</v>
      </c>
      <c r="G39" s="194">
        <f t="shared" si="26"/>
        <v>12.611764705882354</v>
      </c>
      <c r="H39" s="194">
        <f t="shared" si="26"/>
        <v>12.611764705882354</v>
      </c>
      <c r="I39" s="194">
        <f t="shared" si="26"/>
        <v>12.611764705882354</v>
      </c>
      <c r="J39" s="194">
        <f t="shared" si="26"/>
        <v>12.611764705882354</v>
      </c>
      <c r="K39" s="194">
        <f t="shared" si="26"/>
        <v>12.611764705882354</v>
      </c>
      <c r="L39" s="194">
        <f t="shared" si="26"/>
        <v>12.611764705882354</v>
      </c>
      <c r="M39" s="194">
        <f t="shared" si="26"/>
        <v>12.611764705882354</v>
      </c>
      <c r="N39" s="194">
        <f t="shared" si="26"/>
        <v>12.611764705882354</v>
      </c>
      <c r="O39" s="194">
        <f t="shared" si="26"/>
        <v>12.611764705882354</v>
      </c>
      <c r="P39" s="194">
        <f t="shared" si="26"/>
        <v>12.611764705882354</v>
      </c>
      <c r="Q39" s="194">
        <f t="shared" si="26"/>
        <v>12.611764705882354</v>
      </c>
      <c r="R39" s="194">
        <f t="shared" si="26"/>
        <v>12.611764705882354</v>
      </c>
    </row>
    <row r="40" spans="1:18" x14ac:dyDescent="0.25">
      <c r="A40" s="102" t="s">
        <v>673</v>
      </c>
      <c r="B40" s="194">
        <f>AVERAGE($B$35:$R$35)+(AVERAGE($B$35:$R$35)/100*20)</f>
        <v>18.91764705882353</v>
      </c>
      <c r="C40" s="194">
        <f t="shared" ref="C40:R40" si="27">AVERAGE($B$35:$R$35)+(AVERAGE($B$35:$R$35)/100*20)</f>
        <v>18.91764705882353</v>
      </c>
      <c r="D40" s="194">
        <f t="shared" si="27"/>
        <v>18.91764705882353</v>
      </c>
      <c r="E40" s="194">
        <f t="shared" si="27"/>
        <v>18.91764705882353</v>
      </c>
      <c r="F40" s="194">
        <f t="shared" si="27"/>
        <v>18.91764705882353</v>
      </c>
      <c r="G40" s="194">
        <f t="shared" si="27"/>
        <v>18.91764705882353</v>
      </c>
      <c r="H40" s="194">
        <f t="shared" si="27"/>
        <v>18.91764705882353</v>
      </c>
      <c r="I40" s="194">
        <f t="shared" si="27"/>
        <v>18.91764705882353</v>
      </c>
      <c r="J40" s="194">
        <f t="shared" si="27"/>
        <v>18.91764705882353</v>
      </c>
      <c r="K40" s="194">
        <f t="shared" si="27"/>
        <v>18.91764705882353</v>
      </c>
      <c r="L40" s="194">
        <f t="shared" si="27"/>
        <v>18.91764705882353</v>
      </c>
      <c r="M40" s="194">
        <f t="shared" si="27"/>
        <v>18.91764705882353</v>
      </c>
      <c r="N40" s="194">
        <f t="shared" si="27"/>
        <v>18.91764705882353</v>
      </c>
      <c r="O40" s="194">
        <f t="shared" si="27"/>
        <v>18.91764705882353</v>
      </c>
      <c r="P40" s="194">
        <f t="shared" si="27"/>
        <v>18.91764705882353</v>
      </c>
      <c r="Q40" s="194">
        <f t="shared" si="27"/>
        <v>18.91764705882353</v>
      </c>
      <c r="R40" s="194">
        <f t="shared" si="27"/>
        <v>18.91764705882353</v>
      </c>
    </row>
    <row r="42" spans="1:18" x14ac:dyDescent="0.25">
      <c r="A42" s="116" t="s">
        <v>306</v>
      </c>
      <c r="B42" s="196">
        <f>IF(B2&gt;=B5,15,0)</f>
        <v>15</v>
      </c>
      <c r="C42" s="196">
        <f t="shared" ref="C42:R42" si="28">IF(C2&gt;=C5,15,0)</f>
        <v>15</v>
      </c>
      <c r="D42" s="196">
        <f t="shared" si="28"/>
        <v>15</v>
      </c>
      <c r="E42" s="196">
        <f t="shared" si="28"/>
        <v>15</v>
      </c>
      <c r="F42" s="196">
        <f t="shared" si="28"/>
        <v>15</v>
      </c>
      <c r="G42" s="196">
        <f t="shared" si="28"/>
        <v>15</v>
      </c>
      <c r="H42" s="196">
        <f t="shared" si="28"/>
        <v>15</v>
      </c>
      <c r="I42" s="196">
        <f t="shared" si="28"/>
        <v>15</v>
      </c>
      <c r="J42" s="196">
        <f t="shared" si="28"/>
        <v>15</v>
      </c>
      <c r="K42" s="196">
        <f t="shared" si="28"/>
        <v>0</v>
      </c>
      <c r="L42" s="196">
        <f t="shared" si="28"/>
        <v>0</v>
      </c>
      <c r="M42" s="196">
        <f t="shared" si="28"/>
        <v>15</v>
      </c>
      <c r="N42" s="196">
        <f t="shared" si="28"/>
        <v>0</v>
      </c>
      <c r="O42" s="196">
        <f t="shared" si="28"/>
        <v>0</v>
      </c>
      <c r="P42" s="196">
        <f t="shared" si="28"/>
        <v>15</v>
      </c>
      <c r="Q42" s="196">
        <f t="shared" si="28"/>
        <v>15</v>
      </c>
      <c r="R42" s="196">
        <f t="shared" si="28"/>
        <v>15</v>
      </c>
    </row>
    <row r="43" spans="1:18" x14ac:dyDescent="0.25">
      <c r="A43" s="116" t="s">
        <v>307</v>
      </c>
      <c r="B43" s="196">
        <f>IF(B7&gt;=B11,10,0)</f>
        <v>10</v>
      </c>
      <c r="C43" s="196">
        <f t="shared" ref="C43:R43" si="29">IF(C7&gt;=C11,10,0)</f>
        <v>10</v>
      </c>
      <c r="D43" s="196">
        <f t="shared" si="29"/>
        <v>10</v>
      </c>
      <c r="E43" s="196">
        <f t="shared" si="29"/>
        <v>10</v>
      </c>
      <c r="F43" s="196">
        <f t="shared" si="29"/>
        <v>10</v>
      </c>
      <c r="G43" s="196">
        <f t="shared" si="29"/>
        <v>10</v>
      </c>
      <c r="H43" s="196">
        <f t="shared" si="29"/>
        <v>10</v>
      </c>
      <c r="I43" s="196">
        <f t="shared" si="29"/>
        <v>10</v>
      </c>
      <c r="J43" s="196">
        <f t="shared" si="29"/>
        <v>0</v>
      </c>
      <c r="K43" s="196">
        <f t="shared" si="29"/>
        <v>0</v>
      </c>
      <c r="L43" s="196">
        <f t="shared" si="29"/>
        <v>10</v>
      </c>
      <c r="M43" s="196">
        <f t="shared" si="29"/>
        <v>10</v>
      </c>
      <c r="N43" s="196">
        <f t="shared" si="29"/>
        <v>0</v>
      </c>
      <c r="O43" s="196">
        <f t="shared" si="29"/>
        <v>10</v>
      </c>
      <c r="P43" s="196">
        <f t="shared" si="29"/>
        <v>0</v>
      </c>
      <c r="Q43" s="196">
        <f t="shared" si="29"/>
        <v>10</v>
      </c>
      <c r="R43" s="196">
        <f t="shared" si="29"/>
        <v>10</v>
      </c>
    </row>
    <row r="44" spans="1:18" x14ac:dyDescent="0.25">
      <c r="A44" s="116" t="s">
        <v>674</v>
      </c>
      <c r="B44" s="196">
        <f>IF(B14&gt;B17,5,0)</f>
        <v>5</v>
      </c>
      <c r="C44" s="196">
        <f t="shared" ref="C44:R44" si="30">IF(C14&gt;C17,5,0)</f>
        <v>5</v>
      </c>
      <c r="D44" s="196">
        <f t="shared" si="30"/>
        <v>5</v>
      </c>
      <c r="E44" s="196">
        <f t="shared" si="30"/>
        <v>5</v>
      </c>
      <c r="F44" s="196">
        <f t="shared" si="30"/>
        <v>5</v>
      </c>
      <c r="G44" s="196">
        <f t="shared" si="30"/>
        <v>0</v>
      </c>
      <c r="H44" s="196">
        <f t="shared" si="30"/>
        <v>0</v>
      </c>
      <c r="I44" s="196">
        <f t="shared" si="30"/>
        <v>0</v>
      </c>
      <c r="J44" s="196">
        <f t="shared" si="30"/>
        <v>5</v>
      </c>
      <c r="K44" s="196">
        <f t="shared" si="30"/>
        <v>0</v>
      </c>
      <c r="L44" s="196">
        <f t="shared" si="30"/>
        <v>5</v>
      </c>
      <c r="M44" s="196">
        <f t="shared" si="30"/>
        <v>5</v>
      </c>
      <c r="N44" s="196">
        <f t="shared" si="30"/>
        <v>5</v>
      </c>
      <c r="O44" s="196">
        <f t="shared" si="30"/>
        <v>5</v>
      </c>
      <c r="P44" s="196">
        <f t="shared" si="30"/>
        <v>0</v>
      </c>
      <c r="Q44" s="196">
        <f t="shared" si="30"/>
        <v>5</v>
      </c>
      <c r="R44" s="196">
        <f t="shared" si="30"/>
        <v>5</v>
      </c>
    </row>
    <row r="45" spans="1:18" x14ac:dyDescent="0.25">
      <c r="A45" s="116" t="s">
        <v>675</v>
      </c>
      <c r="B45" s="194">
        <f>IF(B21&gt;=B25,25,0)</f>
        <v>25</v>
      </c>
      <c r="C45" s="194">
        <f t="shared" ref="C45:R45" si="31">IF(C21&gt;=C25,25,0)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25</v>
      </c>
      <c r="I45" s="194">
        <f t="shared" si="31"/>
        <v>25</v>
      </c>
      <c r="J45" s="194">
        <f t="shared" si="31"/>
        <v>25</v>
      </c>
      <c r="K45" s="194">
        <f t="shared" si="31"/>
        <v>0</v>
      </c>
      <c r="L45" s="194">
        <f t="shared" si="31"/>
        <v>25</v>
      </c>
      <c r="M45" s="194">
        <f t="shared" si="31"/>
        <v>25</v>
      </c>
      <c r="N45" s="194">
        <f t="shared" si="31"/>
        <v>0</v>
      </c>
      <c r="O45" s="194">
        <f t="shared" si="31"/>
        <v>25</v>
      </c>
      <c r="P45" s="194">
        <f t="shared" si="31"/>
        <v>0</v>
      </c>
      <c r="Q45" s="194">
        <f t="shared" si="31"/>
        <v>25</v>
      </c>
      <c r="R45" s="194">
        <f t="shared" si="31"/>
        <v>25</v>
      </c>
    </row>
    <row r="46" spans="1:18" x14ac:dyDescent="0.25">
      <c r="A46" s="116" t="s">
        <v>676</v>
      </c>
      <c r="B46" s="194">
        <f>IF(B28&gt;=B32,25,0)</f>
        <v>25</v>
      </c>
      <c r="C46" s="194">
        <f t="shared" ref="C46:R46" si="32">IF(C28&gt;=C32,25,0)</f>
        <v>25</v>
      </c>
      <c r="D46" s="194">
        <f t="shared" si="32"/>
        <v>25</v>
      </c>
      <c r="E46" s="194">
        <f t="shared" si="32"/>
        <v>25</v>
      </c>
      <c r="F46" s="194">
        <f t="shared" si="32"/>
        <v>25</v>
      </c>
      <c r="G46" s="194">
        <f t="shared" si="32"/>
        <v>25</v>
      </c>
      <c r="H46" s="194">
        <f t="shared" si="32"/>
        <v>25</v>
      </c>
      <c r="I46" s="194">
        <f t="shared" si="32"/>
        <v>25</v>
      </c>
      <c r="J46" s="194">
        <f t="shared" si="32"/>
        <v>0</v>
      </c>
      <c r="K46" s="194">
        <f t="shared" si="32"/>
        <v>0</v>
      </c>
      <c r="L46" s="194">
        <f t="shared" si="32"/>
        <v>25</v>
      </c>
      <c r="M46" s="194">
        <f t="shared" si="32"/>
        <v>25</v>
      </c>
      <c r="N46" s="194">
        <f t="shared" si="32"/>
        <v>25</v>
      </c>
      <c r="O46" s="194">
        <f t="shared" si="32"/>
        <v>25</v>
      </c>
      <c r="P46" s="194">
        <f t="shared" si="32"/>
        <v>0</v>
      </c>
      <c r="Q46" s="194">
        <f t="shared" si="32"/>
        <v>25</v>
      </c>
      <c r="R46" s="194">
        <f t="shared" si="32"/>
        <v>25</v>
      </c>
    </row>
    <row r="47" spans="1:18" x14ac:dyDescent="0.25">
      <c r="A47" s="116" t="s">
        <v>311</v>
      </c>
      <c r="B47" s="194">
        <f>IF(B35&lt;=B40,20,0)</f>
        <v>0</v>
      </c>
      <c r="C47" s="194">
        <f t="shared" ref="C47:R47" si="33">IF(C35&lt;=C40,20,0)</f>
        <v>0</v>
      </c>
      <c r="D47" s="194">
        <f t="shared" si="33"/>
        <v>20</v>
      </c>
      <c r="E47" s="194">
        <f t="shared" si="33"/>
        <v>20</v>
      </c>
      <c r="F47" s="194">
        <f t="shared" si="33"/>
        <v>20</v>
      </c>
      <c r="G47" s="194">
        <f t="shared" si="33"/>
        <v>20</v>
      </c>
      <c r="H47" s="194">
        <f t="shared" si="33"/>
        <v>20</v>
      </c>
      <c r="I47" s="194">
        <f t="shared" si="33"/>
        <v>20</v>
      </c>
      <c r="J47" s="194">
        <f t="shared" si="33"/>
        <v>20</v>
      </c>
      <c r="K47" s="194">
        <f t="shared" si="33"/>
        <v>0</v>
      </c>
      <c r="L47" s="194">
        <f t="shared" si="33"/>
        <v>20</v>
      </c>
      <c r="M47" s="194">
        <f t="shared" si="33"/>
        <v>20</v>
      </c>
      <c r="N47" s="194">
        <f t="shared" si="33"/>
        <v>20</v>
      </c>
      <c r="O47" s="194">
        <f t="shared" si="33"/>
        <v>20</v>
      </c>
      <c r="P47" s="194">
        <f t="shared" si="33"/>
        <v>20</v>
      </c>
      <c r="Q47" s="194">
        <f t="shared" si="33"/>
        <v>20</v>
      </c>
      <c r="R47" s="194">
        <f t="shared" si="33"/>
        <v>0</v>
      </c>
    </row>
    <row r="48" spans="1:18" x14ac:dyDescent="0.25">
      <c r="A48" s="116"/>
      <c r="B48" s="194"/>
    </row>
    <row r="49" spans="1:18" x14ac:dyDescent="0.25">
      <c r="A49" s="116" t="s">
        <v>677</v>
      </c>
      <c r="B49" s="194">
        <f>SUM(B42:B47)</f>
        <v>80</v>
      </c>
      <c r="C49" s="194">
        <f t="shared" ref="C49:R49" si="34">SUM(C42:C47)</f>
        <v>80</v>
      </c>
      <c r="D49" s="194">
        <f t="shared" si="34"/>
        <v>100</v>
      </c>
      <c r="E49" s="194">
        <f t="shared" si="34"/>
        <v>100</v>
      </c>
      <c r="F49" s="194">
        <f t="shared" si="34"/>
        <v>100</v>
      </c>
      <c r="G49" s="194">
        <f t="shared" si="34"/>
        <v>95</v>
      </c>
      <c r="H49" s="194">
        <f t="shared" si="34"/>
        <v>95</v>
      </c>
      <c r="I49" s="194">
        <f t="shared" si="34"/>
        <v>95</v>
      </c>
      <c r="J49" s="194">
        <f t="shared" si="34"/>
        <v>65</v>
      </c>
      <c r="K49" s="194">
        <f t="shared" si="34"/>
        <v>0</v>
      </c>
      <c r="L49" s="194">
        <f t="shared" si="34"/>
        <v>85</v>
      </c>
      <c r="M49" s="194">
        <f t="shared" si="34"/>
        <v>100</v>
      </c>
      <c r="N49" s="194">
        <f t="shared" si="34"/>
        <v>50</v>
      </c>
      <c r="O49" s="194">
        <f t="shared" si="34"/>
        <v>85</v>
      </c>
      <c r="P49" s="194">
        <f t="shared" si="34"/>
        <v>35</v>
      </c>
      <c r="Q49" s="194">
        <f t="shared" si="34"/>
        <v>100</v>
      </c>
      <c r="R49" s="194">
        <f t="shared" si="34"/>
        <v>80</v>
      </c>
    </row>
    <row r="50" spans="1:18" x14ac:dyDescent="0.25">
      <c r="A50" s="116" t="s">
        <v>678</v>
      </c>
      <c r="B50" s="194" t="str">
        <f>IF(B49&gt;=50,"OKAY","KO")</f>
        <v>OKAY</v>
      </c>
      <c r="C50" s="194" t="str">
        <f t="shared" ref="C50:R50" si="35">IF(C49&gt;=50,"OKAY","KO")</f>
        <v>OKAY</v>
      </c>
      <c r="D50" s="194" t="str">
        <f t="shared" si="35"/>
        <v>OKAY</v>
      </c>
      <c r="E50" s="194" t="str">
        <f t="shared" si="35"/>
        <v>OKAY</v>
      </c>
      <c r="F50" s="194" t="str">
        <f t="shared" si="35"/>
        <v>OKAY</v>
      </c>
      <c r="G50" s="194" t="str">
        <f t="shared" si="35"/>
        <v>OKAY</v>
      </c>
      <c r="H50" s="194" t="str">
        <f t="shared" si="35"/>
        <v>OKAY</v>
      </c>
      <c r="I50" s="194" t="str">
        <f t="shared" si="35"/>
        <v>OKAY</v>
      </c>
      <c r="J50" s="194" t="str">
        <f t="shared" si="35"/>
        <v>OKAY</v>
      </c>
      <c r="K50" s="194" t="str">
        <f t="shared" si="35"/>
        <v>KO</v>
      </c>
      <c r="L50" s="194" t="str">
        <f t="shared" si="35"/>
        <v>OKAY</v>
      </c>
      <c r="M50" s="194" t="str">
        <f t="shared" si="35"/>
        <v>OKAY</v>
      </c>
      <c r="N50" s="194" t="str">
        <f t="shared" si="35"/>
        <v>OKAY</v>
      </c>
      <c r="O50" s="194" t="str">
        <f t="shared" si="35"/>
        <v>OKAY</v>
      </c>
      <c r="P50" s="194" t="str">
        <f t="shared" si="35"/>
        <v>KO</v>
      </c>
      <c r="Q50" s="194" t="str">
        <f t="shared" si="35"/>
        <v>OKAY</v>
      </c>
      <c r="R50" s="194" t="str">
        <f t="shared" si="35"/>
        <v>OKAY</v>
      </c>
    </row>
    <row r="51" spans="1:18" x14ac:dyDescent="0.25">
      <c r="A51" s="116"/>
      <c r="B51" s="194"/>
    </row>
    <row r="58" spans="1:18" x14ac:dyDescent="0.25">
      <c r="D58" s="110"/>
      <c r="E58" s="110"/>
      <c r="F58" s="110"/>
      <c r="G58" s="110"/>
      <c r="H58" s="110"/>
      <c r="I58" s="110"/>
    </row>
  </sheetData>
  <phoneticPr fontId="3" type="noConversion"/>
  <conditionalFormatting sqref="A50:B51 C50:R50">
    <cfRule type="containsText" dxfId="53" priority="1" operator="containsText" text="KO">
      <formula>NOT(ISERROR(SEARCH("KO",A50)))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R51"/>
  <sheetViews>
    <sheetView topLeftCell="A25" zoomScale="110" zoomScaleNormal="110" workbookViewId="0">
      <selection activeCell="B42" sqref="B42:B50"/>
    </sheetView>
  </sheetViews>
  <sheetFormatPr defaultRowHeight="15" x14ac:dyDescent="0.25"/>
  <cols>
    <col min="1" max="1" width="18.28515625" customWidth="1"/>
    <col min="2" max="3" width="12.140625" customWidth="1"/>
    <col min="4" max="4" width="11.85546875" customWidth="1"/>
    <col min="5" max="5" width="12.140625" customWidth="1"/>
    <col min="6" max="6" width="12.42578125" customWidth="1"/>
    <col min="7" max="7" width="10.7109375" bestFit="1" customWidth="1"/>
    <col min="8" max="8" width="11.85546875" customWidth="1"/>
    <col min="9" max="10" width="12" bestFit="1" customWidth="1"/>
  </cols>
  <sheetData>
    <row r="1" spans="1:18" x14ac:dyDescent="0.25">
      <c r="A1" s="118" t="s">
        <v>652</v>
      </c>
      <c r="B1" s="119">
        <v>44225</v>
      </c>
      <c r="C1" s="119">
        <v>44255</v>
      </c>
      <c r="D1" s="119">
        <v>44509</v>
      </c>
      <c r="E1" s="119">
        <v>45272</v>
      </c>
      <c r="F1" s="119">
        <v>45432</v>
      </c>
      <c r="G1" s="129" t="s">
        <v>663</v>
      </c>
      <c r="H1" s="119">
        <v>45999</v>
      </c>
      <c r="I1" s="119">
        <v>46000</v>
      </c>
      <c r="J1" s="119">
        <v>46001</v>
      </c>
    </row>
    <row r="2" spans="1:18" ht="15" customHeight="1" x14ac:dyDescent="0.25">
      <c r="A2" s="120" t="s">
        <v>668</v>
      </c>
      <c r="B2" s="121">
        <v>88</v>
      </c>
      <c r="C2" s="121">
        <v>85</v>
      </c>
      <c r="D2" s="122">
        <v>85</v>
      </c>
      <c r="E2" s="121">
        <v>85</v>
      </c>
      <c r="F2" s="121">
        <v>82</v>
      </c>
      <c r="G2" s="130">
        <v>87</v>
      </c>
      <c r="H2" s="130">
        <v>88</v>
      </c>
      <c r="I2" s="130">
        <v>88</v>
      </c>
      <c r="J2" s="130">
        <v>85</v>
      </c>
    </row>
    <row r="3" spans="1:18" ht="15" customHeight="1" x14ac:dyDescent="0.25">
      <c r="A3" s="120" t="s">
        <v>668</v>
      </c>
      <c r="B3" s="201">
        <f>AVERAGE($B$2:$J$2)</f>
        <v>85.888888888888886</v>
      </c>
      <c r="C3" s="201">
        <f t="shared" ref="C3:J3" si="0">AVERAGE($B$2:$J$2)</f>
        <v>85.888888888888886</v>
      </c>
      <c r="D3" s="201">
        <f t="shared" si="0"/>
        <v>85.888888888888886</v>
      </c>
      <c r="E3" s="201">
        <f t="shared" si="0"/>
        <v>85.888888888888886</v>
      </c>
      <c r="F3" s="201">
        <f t="shared" si="0"/>
        <v>85.888888888888886</v>
      </c>
      <c r="G3" s="201">
        <f t="shared" si="0"/>
        <v>85.888888888888886</v>
      </c>
      <c r="H3" s="201">
        <f t="shared" si="0"/>
        <v>85.888888888888886</v>
      </c>
      <c r="I3" s="201">
        <f t="shared" si="0"/>
        <v>85.888888888888886</v>
      </c>
      <c r="J3" s="201">
        <f t="shared" si="0"/>
        <v>85.888888888888886</v>
      </c>
    </row>
    <row r="4" spans="1:18" ht="15" customHeight="1" x14ac:dyDescent="0.25">
      <c r="A4" s="120" t="s">
        <v>668</v>
      </c>
      <c r="B4" s="201">
        <f>AVERAGE($B$2:$J$2)-2</f>
        <v>83.888888888888886</v>
      </c>
      <c r="C4" s="201">
        <f t="shared" ref="C4:J4" si="1">AVERAGE($B$2:$J$2)-2</f>
        <v>83.888888888888886</v>
      </c>
      <c r="D4" s="201">
        <f t="shared" si="1"/>
        <v>83.888888888888886</v>
      </c>
      <c r="E4" s="201">
        <f t="shared" si="1"/>
        <v>83.888888888888886</v>
      </c>
      <c r="F4" s="201">
        <f t="shared" si="1"/>
        <v>83.888888888888886</v>
      </c>
      <c r="G4" s="201">
        <f t="shared" si="1"/>
        <v>83.888888888888886</v>
      </c>
      <c r="H4" s="201">
        <f t="shared" si="1"/>
        <v>83.888888888888886</v>
      </c>
      <c r="I4" s="201">
        <f t="shared" si="1"/>
        <v>83.888888888888886</v>
      </c>
      <c r="J4" s="201">
        <f t="shared" si="1"/>
        <v>83.888888888888886</v>
      </c>
    </row>
    <row r="5" spans="1:18" ht="15" customHeight="1" x14ac:dyDescent="0.25">
      <c r="A5" s="120" t="s">
        <v>668</v>
      </c>
      <c r="B5" s="201">
        <f>AVERAGE($B$2:$J$2)+2</f>
        <v>87.888888888888886</v>
      </c>
      <c r="C5" s="201">
        <f t="shared" ref="C5:J5" si="2">AVERAGE($B$2:$J$2)+2</f>
        <v>87.888888888888886</v>
      </c>
      <c r="D5" s="201">
        <f t="shared" si="2"/>
        <v>87.888888888888886</v>
      </c>
      <c r="E5" s="201">
        <f t="shared" si="2"/>
        <v>87.888888888888886</v>
      </c>
      <c r="F5" s="201">
        <f t="shared" si="2"/>
        <v>87.888888888888886</v>
      </c>
      <c r="G5" s="201">
        <f t="shared" si="2"/>
        <v>87.888888888888886</v>
      </c>
      <c r="H5" s="201">
        <f t="shared" si="2"/>
        <v>87.888888888888886</v>
      </c>
      <c r="I5" s="201">
        <f t="shared" si="2"/>
        <v>87.888888888888886</v>
      </c>
      <c r="J5" s="201">
        <f t="shared" si="2"/>
        <v>87.888888888888886</v>
      </c>
      <c r="M5" s="202"/>
      <c r="N5" s="202"/>
      <c r="O5" s="202"/>
      <c r="P5" s="202"/>
      <c r="Q5" s="202"/>
      <c r="R5" s="202"/>
    </row>
    <row r="6" spans="1:18" ht="15" customHeight="1" x14ac:dyDescent="0.25">
      <c r="A6" s="197" t="s">
        <v>652</v>
      </c>
      <c r="B6" s="198">
        <v>44225</v>
      </c>
      <c r="C6" s="198">
        <v>44255</v>
      </c>
      <c r="D6" s="198">
        <v>44509</v>
      </c>
      <c r="E6" s="198">
        <v>45272</v>
      </c>
      <c r="F6" s="198">
        <v>45432</v>
      </c>
      <c r="G6" s="199" t="s">
        <v>663</v>
      </c>
      <c r="H6" s="198">
        <v>45999</v>
      </c>
      <c r="I6" s="198">
        <v>46000</v>
      </c>
      <c r="J6" s="198">
        <v>46001</v>
      </c>
      <c r="M6" s="172"/>
      <c r="N6" s="172"/>
      <c r="O6" s="172"/>
      <c r="P6" s="172"/>
      <c r="Q6" s="172"/>
      <c r="R6" s="172"/>
    </row>
    <row r="7" spans="1:18" ht="15" customHeight="1" x14ac:dyDescent="0.25">
      <c r="A7" s="123" t="s">
        <v>669</v>
      </c>
      <c r="B7" s="124">
        <v>17</v>
      </c>
      <c r="C7" s="124">
        <v>14</v>
      </c>
      <c r="D7" s="125">
        <v>17</v>
      </c>
      <c r="E7" s="124">
        <v>16</v>
      </c>
      <c r="F7" s="124">
        <v>14</v>
      </c>
      <c r="G7" s="131">
        <v>16</v>
      </c>
      <c r="H7" s="131">
        <v>17</v>
      </c>
      <c r="I7" s="131">
        <v>16</v>
      </c>
      <c r="J7" s="131">
        <v>18</v>
      </c>
      <c r="M7" s="202"/>
      <c r="N7" s="202"/>
      <c r="O7" s="202"/>
      <c r="P7" s="202"/>
      <c r="Q7" s="202"/>
      <c r="R7" s="202"/>
    </row>
    <row r="8" spans="1:18" ht="15" customHeight="1" x14ac:dyDescent="0.25">
      <c r="A8" s="123" t="s">
        <v>669</v>
      </c>
      <c r="B8" s="201">
        <f>AVERAGE($B$7:$J$7)</f>
        <v>16.111111111111111</v>
      </c>
      <c r="C8" s="201">
        <f t="shared" ref="C8:J8" si="3">AVERAGE($B$7:$J$7)</f>
        <v>16.111111111111111</v>
      </c>
      <c r="D8" s="201">
        <f t="shared" si="3"/>
        <v>16.111111111111111</v>
      </c>
      <c r="E8" s="201">
        <f t="shared" si="3"/>
        <v>16.111111111111111</v>
      </c>
      <c r="F8" s="201">
        <f t="shared" si="3"/>
        <v>16.111111111111111</v>
      </c>
      <c r="G8" s="201">
        <f t="shared" si="3"/>
        <v>16.111111111111111</v>
      </c>
      <c r="H8" s="201">
        <f t="shared" si="3"/>
        <v>16.111111111111111</v>
      </c>
      <c r="I8" s="201">
        <f t="shared" si="3"/>
        <v>16.111111111111111</v>
      </c>
      <c r="J8" s="201">
        <f t="shared" si="3"/>
        <v>16.111111111111111</v>
      </c>
    </row>
    <row r="9" spans="1:18" ht="15" customHeight="1" x14ac:dyDescent="0.25">
      <c r="A9" s="123" t="s">
        <v>669</v>
      </c>
      <c r="B9" s="201">
        <f>AVERAGE($B$7:$J$7)/100*90</f>
        <v>14.499999999999998</v>
      </c>
      <c r="C9" s="201">
        <f t="shared" ref="C9:J9" si="4">AVERAGE($B$7:$J$7)/100*90</f>
        <v>14.499999999999998</v>
      </c>
      <c r="D9" s="201">
        <f t="shared" si="4"/>
        <v>14.499999999999998</v>
      </c>
      <c r="E9" s="201">
        <f t="shared" si="4"/>
        <v>14.499999999999998</v>
      </c>
      <c r="F9" s="201">
        <f t="shared" si="4"/>
        <v>14.499999999999998</v>
      </c>
      <c r="G9" s="201">
        <f t="shared" si="4"/>
        <v>14.499999999999998</v>
      </c>
      <c r="H9" s="201">
        <f t="shared" si="4"/>
        <v>14.499999999999998</v>
      </c>
      <c r="I9" s="201">
        <f t="shared" si="4"/>
        <v>14.499999999999998</v>
      </c>
      <c r="J9" s="201">
        <f t="shared" si="4"/>
        <v>14.499999999999998</v>
      </c>
    </row>
    <row r="10" spans="1:18" ht="15" customHeight="1" x14ac:dyDescent="0.25">
      <c r="A10" s="123" t="s">
        <v>669</v>
      </c>
      <c r="B10" s="201">
        <f>(AVERAGE($B$7:$J$7))+(AVERAGE($B$7:$J$7)/100*10)</f>
        <v>17.722222222222221</v>
      </c>
      <c r="C10" s="201">
        <f t="shared" ref="C10:J10" si="5">(AVERAGE($B$7:$J$7))+(AVERAGE($B$7:$J$7)/100*10)</f>
        <v>17.722222222222221</v>
      </c>
      <c r="D10" s="201">
        <f t="shared" si="5"/>
        <v>17.722222222222221</v>
      </c>
      <c r="E10" s="201">
        <f t="shared" si="5"/>
        <v>17.722222222222221</v>
      </c>
      <c r="F10" s="201">
        <f t="shared" si="5"/>
        <v>17.722222222222221</v>
      </c>
      <c r="G10" s="201">
        <f t="shared" si="5"/>
        <v>17.722222222222221</v>
      </c>
      <c r="H10" s="201">
        <f t="shared" si="5"/>
        <v>17.722222222222221</v>
      </c>
      <c r="I10" s="201">
        <f t="shared" si="5"/>
        <v>17.722222222222221</v>
      </c>
      <c r="J10" s="201">
        <f t="shared" si="5"/>
        <v>17.722222222222221</v>
      </c>
    </row>
    <row r="11" spans="1:18" ht="15" customHeight="1" x14ac:dyDescent="0.25">
      <c r="A11" s="123" t="s">
        <v>669</v>
      </c>
      <c r="B11" s="201">
        <f>AVERAGE($B$7:$J$7)/100*80</f>
        <v>12.888888888888888</v>
      </c>
      <c r="C11" s="201">
        <f t="shared" ref="C11:J11" si="6">AVERAGE($B$7:$J$7)/100*80</f>
        <v>12.888888888888888</v>
      </c>
      <c r="D11" s="201">
        <f t="shared" si="6"/>
        <v>12.888888888888888</v>
      </c>
      <c r="E11" s="201">
        <f t="shared" si="6"/>
        <v>12.888888888888888</v>
      </c>
      <c r="F11" s="201">
        <f t="shared" si="6"/>
        <v>12.888888888888888</v>
      </c>
      <c r="G11" s="201">
        <f t="shared" si="6"/>
        <v>12.888888888888888</v>
      </c>
      <c r="H11" s="201">
        <f t="shared" si="6"/>
        <v>12.888888888888888</v>
      </c>
      <c r="I11" s="201">
        <f t="shared" si="6"/>
        <v>12.888888888888888</v>
      </c>
      <c r="J11" s="201">
        <f t="shared" si="6"/>
        <v>12.888888888888888</v>
      </c>
    </row>
    <row r="12" spans="1:18" ht="15" customHeight="1" x14ac:dyDescent="0.25">
      <c r="A12" s="123" t="s">
        <v>669</v>
      </c>
      <c r="B12" s="201">
        <f>(AVERAGE($B$7:$J$7))+(AVERAGE($B$7:$J$7)/100*20)</f>
        <v>19.333333333333332</v>
      </c>
      <c r="C12" s="201">
        <f t="shared" ref="C12:J12" si="7">(AVERAGE($B$7:$J$7))+(AVERAGE($B$7:$J$7)/100*20)</f>
        <v>19.333333333333332</v>
      </c>
      <c r="D12" s="201">
        <f t="shared" si="7"/>
        <v>19.333333333333332</v>
      </c>
      <c r="E12" s="201">
        <f t="shared" si="7"/>
        <v>19.333333333333332</v>
      </c>
      <c r="F12" s="201">
        <f t="shared" si="7"/>
        <v>19.333333333333332</v>
      </c>
      <c r="G12" s="201">
        <f t="shared" si="7"/>
        <v>19.333333333333332</v>
      </c>
      <c r="H12" s="201">
        <f t="shared" si="7"/>
        <v>19.333333333333332</v>
      </c>
      <c r="I12" s="201">
        <f t="shared" si="7"/>
        <v>19.333333333333332</v>
      </c>
      <c r="J12" s="201">
        <f t="shared" si="7"/>
        <v>19.333333333333332</v>
      </c>
    </row>
    <row r="13" spans="1:18" ht="15" customHeight="1" x14ac:dyDescent="0.25">
      <c r="A13" s="197" t="s">
        <v>652</v>
      </c>
      <c r="B13" s="198">
        <v>44225</v>
      </c>
      <c r="C13" s="198">
        <v>44255</v>
      </c>
      <c r="D13" s="198">
        <v>44509</v>
      </c>
      <c r="E13" s="198">
        <v>45272</v>
      </c>
      <c r="F13" s="198">
        <v>45432</v>
      </c>
      <c r="G13" s="199" t="s">
        <v>663</v>
      </c>
      <c r="H13" s="198">
        <v>45999</v>
      </c>
      <c r="I13" s="198">
        <v>46000</v>
      </c>
      <c r="J13" s="198">
        <v>46001</v>
      </c>
    </row>
    <row r="14" spans="1:18" ht="15" customHeight="1" x14ac:dyDescent="0.25">
      <c r="A14" s="126" t="s">
        <v>670</v>
      </c>
      <c r="B14" s="127">
        <v>300</v>
      </c>
      <c r="C14" s="127">
        <v>286</v>
      </c>
      <c r="D14" s="127">
        <v>498</v>
      </c>
      <c r="E14" s="127">
        <v>348</v>
      </c>
      <c r="F14" s="127">
        <v>348</v>
      </c>
      <c r="G14" s="130">
        <v>418</v>
      </c>
      <c r="H14" s="130">
        <v>465</v>
      </c>
      <c r="I14" s="130">
        <v>400</v>
      </c>
      <c r="J14" s="130">
        <v>453</v>
      </c>
    </row>
    <row r="15" spans="1:18" ht="15" customHeight="1" x14ac:dyDescent="0.25">
      <c r="A15" s="126" t="s">
        <v>670</v>
      </c>
      <c r="B15" s="230">
        <f>AVERAGE($B$14:$J$14)</f>
        <v>390.66666666666669</v>
      </c>
      <c r="C15" s="230">
        <f t="shared" ref="C15:J15" si="8">AVERAGE($B$14:$J$14)</f>
        <v>390.66666666666669</v>
      </c>
      <c r="D15" s="230">
        <f t="shared" si="8"/>
        <v>390.66666666666669</v>
      </c>
      <c r="E15" s="230">
        <f t="shared" si="8"/>
        <v>390.66666666666669</v>
      </c>
      <c r="F15" s="230">
        <f t="shared" si="8"/>
        <v>390.66666666666669</v>
      </c>
      <c r="G15" s="230">
        <f t="shared" si="8"/>
        <v>390.66666666666669</v>
      </c>
      <c r="H15" s="230">
        <f t="shared" si="8"/>
        <v>390.66666666666669</v>
      </c>
      <c r="I15" s="230">
        <f t="shared" si="8"/>
        <v>390.66666666666669</v>
      </c>
      <c r="J15" s="230">
        <f t="shared" si="8"/>
        <v>390.66666666666669</v>
      </c>
    </row>
    <row r="16" spans="1:18" ht="15" customHeight="1" x14ac:dyDescent="0.25">
      <c r="A16" s="126" t="s">
        <v>670</v>
      </c>
      <c r="B16" s="230">
        <f>AVERAGE($B$14:$J$14)/100*90</f>
        <v>351.6</v>
      </c>
      <c r="C16" s="230">
        <f t="shared" ref="C16:J16" si="9">AVERAGE($B$14:$J$14)/100*90</f>
        <v>351.6</v>
      </c>
      <c r="D16" s="230">
        <f t="shared" si="9"/>
        <v>351.6</v>
      </c>
      <c r="E16" s="230">
        <f t="shared" si="9"/>
        <v>351.6</v>
      </c>
      <c r="F16" s="230">
        <f t="shared" si="9"/>
        <v>351.6</v>
      </c>
      <c r="G16" s="230">
        <f t="shared" si="9"/>
        <v>351.6</v>
      </c>
      <c r="H16" s="230">
        <f t="shared" si="9"/>
        <v>351.6</v>
      </c>
      <c r="I16" s="230">
        <f t="shared" si="9"/>
        <v>351.6</v>
      </c>
      <c r="J16" s="230">
        <f t="shared" si="9"/>
        <v>351.6</v>
      </c>
    </row>
    <row r="17" spans="1:10" ht="15" customHeight="1" x14ac:dyDescent="0.25">
      <c r="A17" s="126" t="s">
        <v>670</v>
      </c>
      <c r="B17" s="230">
        <f>AVERAGE($B$14:$J$14)/100*80</f>
        <v>312.53333333333336</v>
      </c>
      <c r="C17" s="230">
        <f t="shared" ref="C17:J17" si="10">AVERAGE($B$14:$J$14)/100*80</f>
        <v>312.53333333333336</v>
      </c>
      <c r="D17" s="230">
        <f t="shared" si="10"/>
        <v>312.53333333333336</v>
      </c>
      <c r="E17" s="230">
        <f t="shared" si="10"/>
        <v>312.53333333333336</v>
      </c>
      <c r="F17" s="230">
        <f t="shared" si="10"/>
        <v>312.53333333333336</v>
      </c>
      <c r="G17" s="230">
        <f t="shared" si="10"/>
        <v>312.53333333333336</v>
      </c>
      <c r="H17" s="230">
        <f t="shared" si="10"/>
        <v>312.53333333333336</v>
      </c>
      <c r="I17" s="230">
        <f t="shared" si="10"/>
        <v>312.53333333333336</v>
      </c>
      <c r="J17" s="230">
        <f t="shared" si="10"/>
        <v>312.53333333333336</v>
      </c>
    </row>
    <row r="18" spans="1:10" ht="15" customHeight="1" x14ac:dyDescent="0.25">
      <c r="A18" s="126" t="s">
        <v>670</v>
      </c>
      <c r="B18" s="230">
        <f>AVERAGE($B$14:$J$14)/100*110</f>
        <v>429.73333333333335</v>
      </c>
      <c r="C18" s="230">
        <f t="shared" ref="C18:J18" si="11">AVERAGE($B$14:$J$14)/100*110</f>
        <v>429.73333333333335</v>
      </c>
      <c r="D18" s="230">
        <f t="shared" si="11"/>
        <v>429.73333333333335</v>
      </c>
      <c r="E18" s="230">
        <f t="shared" si="11"/>
        <v>429.73333333333335</v>
      </c>
      <c r="F18" s="230">
        <f t="shared" si="11"/>
        <v>429.73333333333335</v>
      </c>
      <c r="G18" s="230">
        <f t="shared" si="11"/>
        <v>429.73333333333335</v>
      </c>
      <c r="H18" s="230">
        <f t="shared" si="11"/>
        <v>429.73333333333335</v>
      </c>
      <c r="I18" s="230">
        <f t="shared" si="11"/>
        <v>429.73333333333335</v>
      </c>
      <c r="J18" s="230">
        <f t="shared" si="11"/>
        <v>429.73333333333335</v>
      </c>
    </row>
    <row r="19" spans="1:10" ht="15" customHeight="1" x14ac:dyDescent="0.25">
      <c r="A19" s="126" t="s">
        <v>670</v>
      </c>
      <c r="B19" s="230">
        <f>AVERAGE($B$14:$J$14)/100*120</f>
        <v>468.8</v>
      </c>
      <c r="C19" s="230">
        <f t="shared" ref="C19:J19" si="12">AVERAGE($B$14:$J$14)/100*120</f>
        <v>468.8</v>
      </c>
      <c r="D19" s="230">
        <f t="shared" si="12"/>
        <v>468.8</v>
      </c>
      <c r="E19" s="230">
        <f t="shared" si="12"/>
        <v>468.8</v>
      </c>
      <c r="F19" s="230">
        <f t="shared" si="12"/>
        <v>468.8</v>
      </c>
      <c r="G19" s="230">
        <f t="shared" si="12"/>
        <v>468.8</v>
      </c>
      <c r="H19" s="230">
        <f t="shared" si="12"/>
        <v>468.8</v>
      </c>
      <c r="I19" s="230">
        <f t="shared" si="12"/>
        <v>468.8</v>
      </c>
      <c r="J19" s="230">
        <f t="shared" si="12"/>
        <v>468.8</v>
      </c>
    </row>
    <row r="20" spans="1:10" ht="15" customHeight="1" x14ac:dyDescent="0.25">
      <c r="A20" s="197" t="s">
        <v>652</v>
      </c>
      <c r="B20" s="198">
        <v>44225</v>
      </c>
      <c r="C20" s="198">
        <v>44255</v>
      </c>
      <c r="D20" s="198">
        <v>44509</v>
      </c>
      <c r="E20" s="198">
        <v>45272</v>
      </c>
      <c r="F20" s="198">
        <v>45432</v>
      </c>
      <c r="G20" s="199" t="s">
        <v>663</v>
      </c>
      <c r="H20" s="198">
        <v>45999</v>
      </c>
      <c r="I20" s="198">
        <v>46000</v>
      </c>
      <c r="J20" s="198">
        <v>46001</v>
      </c>
    </row>
    <row r="21" spans="1:10" ht="15" customHeight="1" x14ac:dyDescent="0.25">
      <c r="A21" s="123" t="s">
        <v>671</v>
      </c>
      <c r="B21" s="124">
        <v>49</v>
      </c>
      <c r="C21" s="124">
        <v>48</v>
      </c>
      <c r="D21" s="124">
        <v>60</v>
      </c>
      <c r="E21" s="124">
        <v>56</v>
      </c>
      <c r="F21" s="124">
        <v>54</v>
      </c>
      <c r="G21" s="131">
        <v>57</v>
      </c>
      <c r="H21" s="131">
        <v>57</v>
      </c>
      <c r="I21" s="131">
        <v>51</v>
      </c>
      <c r="J21" s="131">
        <v>55</v>
      </c>
    </row>
    <row r="22" spans="1:10" ht="15" customHeight="1" x14ac:dyDescent="0.25">
      <c r="A22" s="123" t="s">
        <v>671</v>
      </c>
      <c r="B22" s="201">
        <f>AVERAGE($B$21:$J$21)</f>
        <v>54.111111111111114</v>
      </c>
      <c r="C22" s="201">
        <f t="shared" ref="C22:J22" si="13">AVERAGE($B$21:$J$21)</f>
        <v>54.111111111111114</v>
      </c>
      <c r="D22" s="201">
        <f t="shared" si="13"/>
        <v>54.111111111111114</v>
      </c>
      <c r="E22" s="201">
        <f t="shared" si="13"/>
        <v>54.111111111111114</v>
      </c>
      <c r="F22" s="201">
        <f t="shared" si="13"/>
        <v>54.111111111111114</v>
      </c>
      <c r="G22" s="201">
        <f t="shared" si="13"/>
        <v>54.111111111111114</v>
      </c>
      <c r="H22" s="201">
        <f t="shared" si="13"/>
        <v>54.111111111111114</v>
      </c>
      <c r="I22" s="201">
        <f t="shared" si="13"/>
        <v>54.111111111111114</v>
      </c>
      <c r="J22" s="201">
        <f t="shared" si="13"/>
        <v>54.111111111111114</v>
      </c>
    </row>
    <row r="23" spans="1:10" ht="15" customHeight="1" x14ac:dyDescent="0.25">
      <c r="A23" s="123" t="s">
        <v>671</v>
      </c>
      <c r="B23" s="201">
        <f>AVERAGE($B$21:$J$21)/100*90</f>
        <v>48.699999999999996</v>
      </c>
      <c r="C23" s="201">
        <f t="shared" ref="C23:J23" si="14">AVERAGE($B$21:$J$21)/100*90</f>
        <v>48.699999999999996</v>
      </c>
      <c r="D23" s="201">
        <f t="shared" si="14"/>
        <v>48.699999999999996</v>
      </c>
      <c r="E23" s="201">
        <f t="shared" si="14"/>
        <v>48.699999999999996</v>
      </c>
      <c r="F23" s="201">
        <f t="shared" si="14"/>
        <v>48.699999999999996</v>
      </c>
      <c r="G23" s="201">
        <f t="shared" si="14"/>
        <v>48.699999999999996</v>
      </c>
      <c r="H23" s="201">
        <f t="shared" si="14"/>
        <v>48.699999999999996</v>
      </c>
      <c r="I23" s="201">
        <f t="shared" si="14"/>
        <v>48.699999999999996</v>
      </c>
      <c r="J23" s="201">
        <f t="shared" si="14"/>
        <v>48.699999999999996</v>
      </c>
    </row>
    <row r="24" spans="1:10" ht="15" customHeight="1" x14ac:dyDescent="0.25">
      <c r="A24" s="123" t="s">
        <v>671</v>
      </c>
      <c r="B24" s="201">
        <f>(AVERAGE($B$21:$J$21))+(AVERAGE($B$21:$J$21)/100*10)</f>
        <v>59.522222222222226</v>
      </c>
      <c r="C24" s="201">
        <f t="shared" ref="C24:J24" si="15">(AVERAGE($B$21:$J$21))+(AVERAGE($B$21:$J$21)/100*10)</f>
        <v>59.522222222222226</v>
      </c>
      <c r="D24" s="201">
        <f t="shared" si="15"/>
        <v>59.522222222222226</v>
      </c>
      <c r="E24" s="201">
        <f t="shared" si="15"/>
        <v>59.522222222222226</v>
      </c>
      <c r="F24" s="201">
        <f t="shared" si="15"/>
        <v>59.522222222222226</v>
      </c>
      <c r="G24" s="201">
        <f t="shared" si="15"/>
        <v>59.522222222222226</v>
      </c>
      <c r="H24" s="201">
        <f t="shared" si="15"/>
        <v>59.522222222222226</v>
      </c>
      <c r="I24" s="201">
        <f t="shared" si="15"/>
        <v>59.522222222222226</v>
      </c>
      <c r="J24" s="201">
        <f t="shared" si="15"/>
        <v>59.522222222222226</v>
      </c>
    </row>
    <row r="25" spans="1:10" ht="15" customHeight="1" x14ac:dyDescent="0.25">
      <c r="A25" s="123" t="s">
        <v>671</v>
      </c>
      <c r="B25" s="201">
        <f>AVERAGE($B$21:$J$21)/100*80</f>
        <v>43.288888888888891</v>
      </c>
      <c r="C25" s="201">
        <f t="shared" ref="C25:J25" si="16">AVERAGE($B$21:$J$21)/100*80</f>
        <v>43.288888888888891</v>
      </c>
      <c r="D25" s="201">
        <f t="shared" si="16"/>
        <v>43.288888888888891</v>
      </c>
      <c r="E25" s="201">
        <f t="shared" si="16"/>
        <v>43.288888888888891</v>
      </c>
      <c r="F25" s="201">
        <f t="shared" si="16"/>
        <v>43.288888888888891</v>
      </c>
      <c r="G25" s="201">
        <f t="shared" si="16"/>
        <v>43.288888888888891</v>
      </c>
      <c r="H25" s="201">
        <f t="shared" si="16"/>
        <v>43.288888888888891</v>
      </c>
      <c r="I25" s="201">
        <f t="shared" si="16"/>
        <v>43.288888888888891</v>
      </c>
      <c r="J25" s="201">
        <f t="shared" si="16"/>
        <v>43.288888888888891</v>
      </c>
    </row>
    <row r="26" spans="1:10" ht="15" customHeight="1" x14ac:dyDescent="0.25">
      <c r="A26" s="123" t="s">
        <v>671</v>
      </c>
      <c r="B26" s="201">
        <f>(AVERAGE($B$21:$J$21))+(AVERAGE($B$21:$J$21)/100*20)</f>
        <v>64.933333333333337</v>
      </c>
      <c r="C26" s="201">
        <f t="shared" ref="C26:J26" si="17">(AVERAGE($B$21:$J$21))+(AVERAGE($B$21:$J$21)/100*20)</f>
        <v>64.933333333333337</v>
      </c>
      <c r="D26" s="201">
        <f t="shared" si="17"/>
        <v>64.933333333333337</v>
      </c>
      <c r="E26" s="201">
        <f t="shared" si="17"/>
        <v>64.933333333333337</v>
      </c>
      <c r="F26" s="201">
        <f t="shared" si="17"/>
        <v>64.933333333333337</v>
      </c>
      <c r="G26" s="201">
        <f t="shared" si="17"/>
        <v>64.933333333333337</v>
      </c>
      <c r="H26" s="201">
        <f t="shared" si="17"/>
        <v>64.933333333333337</v>
      </c>
      <c r="I26" s="201">
        <f t="shared" si="17"/>
        <v>64.933333333333337</v>
      </c>
      <c r="J26" s="201">
        <f t="shared" si="17"/>
        <v>64.933333333333337</v>
      </c>
    </row>
    <row r="27" spans="1:10" ht="15" customHeight="1" x14ac:dyDescent="0.25">
      <c r="A27" s="197" t="s">
        <v>652</v>
      </c>
      <c r="B27" s="198">
        <v>44225</v>
      </c>
      <c r="C27" s="198">
        <v>44255</v>
      </c>
      <c r="D27" s="198">
        <v>44509</v>
      </c>
      <c r="E27" s="198">
        <v>45272</v>
      </c>
      <c r="F27" s="198">
        <v>45432</v>
      </c>
      <c r="G27" s="199" t="s">
        <v>663</v>
      </c>
      <c r="H27" s="198">
        <v>45999</v>
      </c>
      <c r="I27" s="198">
        <v>46000</v>
      </c>
      <c r="J27" s="198">
        <v>46001</v>
      </c>
    </row>
    <row r="28" spans="1:10" ht="15" customHeight="1" x14ac:dyDescent="0.25">
      <c r="A28" s="126" t="s">
        <v>672</v>
      </c>
      <c r="B28" s="128">
        <v>53</v>
      </c>
      <c r="C28" s="128">
        <v>41</v>
      </c>
      <c r="D28" s="128">
        <v>62</v>
      </c>
      <c r="E28" s="128">
        <v>56</v>
      </c>
      <c r="F28" s="128">
        <v>63</v>
      </c>
      <c r="G28" s="130">
        <v>61</v>
      </c>
      <c r="H28" s="130">
        <v>68</v>
      </c>
      <c r="I28" s="130">
        <v>64</v>
      </c>
      <c r="J28" s="130">
        <v>69</v>
      </c>
    </row>
    <row r="29" spans="1:10" ht="15" customHeight="1" x14ac:dyDescent="0.25">
      <c r="A29" s="126" t="s">
        <v>672</v>
      </c>
      <c r="B29" s="201">
        <f>AVERAGE($B$28:$J$28)</f>
        <v>59.666666666666664</v>
      </c>
      <c r="C29" s="201">
        <f t="shared" ref="C29:J29" si="18">AVERAGE($B$28:$J$28)</f>
        <v>59.666666666666664</v>
      </c>
      <c r="D29" s="201">
        <f t="shared" si="18"/>
        <v>59.666666666666664</v>
      </c>
      <c r="E29" s="201">
        <f t="shared" si="18"/>
        <v>59.666666666666664</v>
      </c>
      <c r="F29" s="201">
        <f t="shared" si="18"/>
        <v>59.666666666666664</v>
      </c>
      <c r="G29" s="201">
        <f t="shared" si="18"/>
        <v>59.666666666666664</v>
      </c>
      <c r="H29" s="201">
        <f t="shared" si="18"/>
        <v>59.666666666666664</v>
      </c>
      <c r="I29" s="201">
        <f t="shared" si="18"/>
        <v>59.666666666666664</v>
      </c>
      <c r="J29" s="201">
        <f t="shared" si="18"/>
        <v>59.666666666666664</v>
      </c>
    </row>
    <row r="30" spans="1:10" ht="15" customHeight="1" x14ac:dyDescent="0.25">
      <c r="A30" s="126" t="s">
        <v>672</v>
      </c>
      <c r="B30" s="201">
        <f>AVERAGE($B$28:$J$28)/100*90</f>
        <v>53.7</v>
      </c>
      <c r="C30" s="201">
        <f t="shared" ref="C30:J30" si="19">AVERAGE($B$28:$J$28)/100*90</f>
        <v>53.7</v>
      </c>
      <c r="D30" s="201">
        <f t="shared" si="19"/>
        <v>53.7</v>
      </c>
      <c r="E30" s="201">
        <f t="shared" si="19"/>
        <v>53.7</v>
      </c>
      <c r="F30" s="201">
        <f t="shared" si="19"/>
        <v>53.7</v>
      </c>
      <c r="G30" s="201">
        <f t="shared" si="19"/>
        <v>53.7</v>
      </c>
      <c r="H30" s="201">
        <f t="shared" si="19"/>
        <v>53.7</v>
      </c>
      <c r="I30" s="201">
        <f t="shared" si="19"/>
        <v>53.7</v>
      </c>
      <c r="J30" s="201">
        <f t="shared" si="19"/>
        <v>53.7</v>
      </c>
    </row>
    <row r="31" spans="1:10" ht="15" customHeight="1" x14ac:dyDescent="0.25">
      <c r="A31" s="126" t="s">
        <v>672</v>
      </c>
      <c r="B31" s="201">
        <f>(AVERAGE($B$28:$J$28))+(AVERAGE($B$28:$J$28)/100*10)</f>
        <v>65.633333333333326</v>
      </c>
      <c r="C31" s="201">
        <f t="shared" ref="C31:J31" si="20">(AVERAGE($B$28:$J$28))+(AVERAGE($B$28:$J$28)/100*10)</f>
        <v>65.633333333333326</v>
      </c>
      <c r="D31" s="201">
        <f t="shared" si="20"/>
        <v>65.633333333333326</v>
      </c>
      <c r="E31" s="201">
        <f t="shared" si="20"/>
        <v>65.633333333333326</v>
      </c>
      <c r="F31" s="201">
        <f t="shared" si="20"/>
        <v>65.633333333333326</v>
      </c>
      <c r="G31" s="201">
        <f t="shared" si="20"/>
        <v>65.633333333333326</v>
      </c>
      <c r="H31" s="201">
        <f t="shared" si="20"/>
        <v>65.633333333333326</v>
      </c>
      <c r="I31" s="201">
        <f t="shared" si="20"/>
        <v>65.633333333333326</v>
      </c>
      <c r="J31" s="201">
        <f t="shared" si="20"/>
        <v>65.633333333333326</v>
      </c>
    </row>
    <row r="32" spans="1:10" ht="15" customHeight="1" x14ac:dyDescent="0.25">
      <c r="A32" s="126" t="s">
        <v>672</v>
      </c>
      <c r="B32" s="201">
        <f>AVERAGE($B$28:$J$28)/100*80</f>
        <v>47.733333333333334</v>
      </c>
      <c r="C32" s="201">
        <f t="shared" ref="C32:J32" si="21">AVERAGE($B$28:$J$28)/100*80</f>
        <v>47.733333333333334</v>
      </c>
      <c r="D32" s="201">
        <f t="shared" si="21"/>
        <v>47.733333333333334</v>
      </c>
      <c r="E32" s="201">
        <f t="shared" si="21"/>
        <v>47.733333333333334</v>
      </c>
      <c r="F32" s="201">
        <f t="shared" si="21"/>
        <v>47.733333333333334</v>
      </c>
      <c r="G32" s="201">
        <f t="shared" si="21"/>
        <v>47.733333333333334</v>
      </c>
      <c r="H32" s="201">
        <f t="shared" si="21"/>
        <v>47.733333333333334</v>
      </c>
      <c r="I32" s="201">
        <f t="shared" si="21"/>
        <v>47.733333333333334</v>
      </c>
      <c r="J32" s="201">
        <f t="shared" si="21"/>
        <v>47.733333333333334</v>
      </c>
    </row>
    <row r="33" spans="1:10" ht="15" customHeight="1" x14ac:dyDescent="0.25">
      <c r="A33" s="126" t="s">
        <v>672</v>
      </c>
      <c r="B33" s="201">
        <f>(AVERAGE($B$28:$J$28))+(AVERAGE($B$28:$J$28)/100*20)</f>
        <v>71.599999999999994</v>
      </c>
      <c r="C33" s="201">
        <f t="shared" ref="C33:J33" si="22">(AVERAGE($B$28:$J$28))+(AVERAGE($B$28:$J$28)/100*20)</f>
        <v>71.599999999999994</v>
      </c>
      <c r="D33" s="201">
        <f t="shared" si="22"/>
        <v>71.599999999999994</v>
      </c>
      <c r="E33" s="201">
        <f t="shared" si="22"/>
        <v>71.599999999999994</v>
      </c>
      <c r="F33" s="201">
        <f t="shared" si="22"/>
        <v>71.599999999999994</v>
      </c>
      <c r="G33" s="201">
        <f t="shared" si="22"/>
        <v>71.599999999999994</v>
      </c>
      <c r="H33" s="201">
        <f t="shared" si="22"/>
        <v>71.599999999999994</v>
      </c>
      <c r="I33" s="201">
        <f t="shared" si="22"/>
        <v>71.599999999999994</v>
      </c>
      <c r="J33" s="201">
        <f t="shared" si="22"/>
        <v>71.599999999999994</v>
      </c>
    </row>
    <row r="34" spans="1:10" ht="15" customHeight="1" x14ac:dyDescent="0.25">
      <c r="A34" s="197" t="s">
        <v>652</v>
      </c>
      <c r="B34" s="198">
        <v>44225</v>
      </c>
      <c r="C34" s="198">
        <v>44255</v>
      </c>
      <c r="D34" s="198">
        <v>44509</v>
      </c>
      <c r="E34" s="198">
        <v>45272</v>
      </c>
      <c r="F34" s="198">
        <v>45432</v>
      </c>
      <c r="G34" s="199" t="s">
        <v>663</v>
      </c>
      <c r="H34" s="198">
        <v>45999</v>
      </c>
      <c r="I34" s="198">
        <v>46000</v>
      </c>
      <c r="J34" s="198">
        <v>46001</v>
      </c>
    </row>
    <row r="35" spans="1:10" ht="15" customHeight="1" x14ac:dyDescent="0.25">
      <c r="A35" s="123" t="s">
        <v>673</v>
      </c>
      <c r="B35" s="124">
        <v>134</v>
      </c>
      <c r="C35" s="124">
        <v>107</v>
      </c>
      <c r="D35" s="124">
        <v>115</v>
      </c>
      <c r="E35" s="124">
        <v>97</v>
      </c>
      <c r="F35" s="124">
        <v>71</v>
      </c>
      <c r="G35" s="131">
        <v>91</v>
      </c>
      <c r="H35" s="131">
        <v>126</v>
      </c>
      <c r="I35" s="131">
        <v>121</v>
      </c>
      <c r="J35" s="131">
        <v>115</v>
      </c>
    </row>
    <row r="36" spans="1:10" ht="15" customHeight="1" x14ac:dyDescent="0.25">
      <c r="A36" s="123" t="s">
        <v>673</v>
      </c>
      <c r="B36" s="201">
        <f>AVERAGE($B$35:$J$35)</f>
        <v>108.55555555555556</v>
      </c>
      <c r="C36" s="201">
        <f t="shared" ref="C36:J36" si="23">AVERAGE($B$35:$J$35)</f>
        <v>108.55555555555556</v>
      </c>
      <c r="D36" s="201">
        <f t="shared" si="23"/>
        <v>108.55555555555556</v>
      </c>
      <c r="E36" s="201">
        <f t="shared" si="23"/>
        <v>108.55555555555556</v>
      </c>
      <c r="F36" s="201">
        <f t="shared" si="23"/>
        <v>108.55555555555556</v>
      </c>
      <c r="G36" s="201">
        <f t="shared" si="23"/>
        <v>108.55555555555556</v>
      </c>
      <c r="H36" s="201">
        <f t="shared" si="23"/>
        <v>108.55555555555556</v>
      </c>
      <c r="I36" s="201">
        <f t="shared" si="23"/>
        <v>108.55555555555556</v>
      </c>
      <c r="J36" s="201">
        <f t="shared" si="23"/>
        <v>108.55555555555556</v>
      </c>
    </row>
    <row r="37" spans="1:10" ht="15" customHeight="1" x14ac:dyDescent="0.25">
      <c r="A37" s="123" t="s">
        <v>673</v>
      </c>
      <c r="B37" s="201">
        <f>AVERAGE($B$35:$J$35)/100*90</f>
        <v>97.7</v>
      </c>
      <c r="C37" s="201">
        <f t="shared" ref="C37:J37" si="24">AVERAGE($B$35:$J$35)/100*90</f>
        <v>97.7</v>
      </c>
      <c r="D37" s="201">
        <f t="shared" si="24"/>
        <v>97.7</v>
      </c>
      <c r="E37" s="201">
        <f t="shared" si="24"/>
        <v>97.7</v>
      </c>
      <c r="F37" s="201">
        <f t="shared" si="24"/>
        <v>97.7</v>
      </c>
      <c r="G37" s="201">
        <f t="shared" si="24"/>
        <v>97.7</v>
      </c>
      <c r="H37" s="201">
        <f t="shared" si="24"/>
        <v>97.7</v>
      </c>
      <c r="I37" s="201">
        <f t="shared" si="24"/>
        <v>97.7</v>
      </c>
      <c r="J37" s="201">
        <f t="shared" si="24"/>
        <v>97.7</v>
      </c>
    </row>
    <row r="38" spans="1:10" x14ac:dyDescent="0.25">
      <c r="A38" s="123" t="s">
        <v>673</v>
      </c>
      <c r="B38" s="201">
        <f>(AVERAGE($B$35:$J$35))+(AVERAGE($B$35:$J$35)/100*10)</f>
        <v>119.41111111111111</v>
      </c>
      <c r="C38" s="201">
        <f t="shared" ref="C38:J38" si="25">(AVERAGE($B$35:$J$35))+(AVERAGE($B$35:$J$35)/100*10)</f>
        <v>119.41111111111111</v>
      </c>
      <c r="D38" s="201">
        <f t="shared" si="25"/>
        <v>119.41111111111111</v>
      </c>
      <c r="E38" s="201">
        <f t="shared" si="25"/>
        <v>119.41111111111111</v>
      </c>
      <c r="F38" s="201">
        <f t="shared" si="25"/>
        <v>119.41111111111111</v>
      </c>
      <c r="G38" s="201">
        <f t="shared" si="25"/>
        <v>119.41111111111111</v>
      </c>
      <c r="H38" s="201">
        <f t="shared" si="25"/>
        <v>119.41111111111111</v>
      </c>
      <c r="I38" s="201">
        <f t="shared" si="25"/>
        <v>119.41111111111111</v>
      </c>
      <c r="J38" s="201">
        <f t="shared" si="25"/>
        <v>119.41111111111111</v>
      </c>
    </row>
    <row r="39" spans="1:10" x14ac:dyDescent="0.25">
      <c r="A39" s="123" t="s">
        <v>673</v>
      </c>
      <c r="B39" s="201">
        <f>AVERAGE($B$35:$J$35)/100*80</f>
        <v>86.844444444444449</v>
      </c>
      <c r="C39" s="201">
        <f t="shared" ref="C39:J39" si="26">AVERAGE($B$35:$J$35)/100*80</f>
        <v>86.844444444444449</v>
      </c>
      <c r="D39" s="201">
        <f t="shared" si="26"/>
        <v>86.844444444444449</v>
      </c>
      <c r="E39" s="201">
        <f t="shared" si="26"/>
        <v>86.844444444444449</v>
      </c>
      <c r="F39" s="201">
        <f t="shared" si="26"/>
        <v>86.844444444444449</v>
      </c>
      <c r="G39" s="201">
        <f t="shared" si="26"/>
        <v>86.844444444444449</v>
      </c>
      <c r="H39" s="201">
        <f t="shared" si="26"/>
        <v>86.844444444444449</v>
      </c>
      <c r="I39" s="201">
        <f t="shared" si="26"/>
        <v>86.844444444444449</v>
      </c>
      <c r="J39" s="201">
        <f t="shared" si="26"/>
        <v>86.844444444444449</v>
      </c>
    </row>
    <row r="40" spans="1:10" x14ac:dyDescent="0.25">
      <c r="A40" s="123" t="s">
        <v>673</v>
      </c>
      <c r="B40" s="201">
        <f>(AVERAGE($B$35:$J$35))+(AVERAGE($B$35:$J$35)/100*20)</f>
        <v>130.26666666666668</v>
      </c>
      <c r="C40" s="201">
        <f t="shared" ref="C40:J40" si="27">(AVERAGE($B$35:$J$35))+(AVERAGE($B$35:$J$35)/100*20)</f>
        <v>130.26666666666668</v>
      </c>
      <c r="D40" s="201">
        <f t="shared" si="27"/>
        <v>130.26666666666668</v>
      </c>
      <c r="E40" s="201">
        <f t="shared" si="27"/>
        <v>130.26666666666668</v>
      </c>
      <c r="F40" s="201">
        <f t="shared" si="27"/>
        <v>130.26666666666668</v>
      </c>
      <c r="G40" s="201">
        <f t="shared" si="27"/>
        <v>130.26666666666668</v>
      </c>
      <c r="H40" s="201">
        <f t="shared" si="27"/>
        <v>130.26666666666668</v>
      </c>
      <c r="I40" s="201">
        <f t="shared" si="27"/>
        <v>130.26666666666668</v>
      </c>
      <c r="J40" s="201">
        <f t="shared" si="27"/>
        <v>130.26666666666668</v>
      </c>
    </row>
    <row r="41" spans="1:10" x14ac:dyDescent="0.25">
      <c r="A41" s="116"/>
      <c r="B41" s="233"/>
      <c r="C41" s="233"/>
      <c r="D41" s="233"/>
      <c r="E41" s="233"/>
      <c r="F41" s="233"/>
      <c r="G41" s="233"/>
      <c r="H41" s="233"/>
      <c r="I41" s="233"/>
      <c r="J41" s="233"/>
    </row>
    <row r="42" spans="1:10" x14ac:dyDescent="0.25">
      <c r="A42" s="116" t="s">
        <v>306</v>
      </c>
      <c r="B42" s="196">
        <f>IF(B2&gt;=B5,15,0)</f>
        <v>15</v>
      </c>
      <c r="C42" s="196">
        <f t="shared" ref="C42:J42" si="28">IF(C2&gt;=C5,15,0)</f>
        <v>0</v>
      </c>
      <c r="D42" s="196">
        <f t="shared" si="28"/>
        <v>0</v>
      </c>
      <c r="E42" s="196">
        <f t="shared" si="28"/>
        <v>0</v>
      </c>
      <c r="F42" s="196">
        <f t="shared" si="28"/>
        <v>0</v>
      </c>
      <c r="G42" s="196">
        <f t="shared" si="28"/>
        <v>0</v>
      </c>
      <c r="H42" s="196">
        <f t="shared" si="28"/>
        <v>15</v>
      </c>
      <c r="I42" s="196">
        <f t="shared" si="28"/>
        <v>15</v>
      </c>
      <c r="J42" s="196">
        <f t="shared" si="28"/>
        <v>0</v>
      </c>
    </row>
    <row r="43" spans="1:10" x14ac:dyDescent="0.25">
      <c r="A43" s="116" t="s">
        <v>307</v>
      </c>
      <c r="B43" s="196">
        <f>IF(B7&gt;=B11,10,0)</f>
        <v>10</v>
      </c>
      <c r="C43" s="196">
        <f t="shared" ref="C43:J43" si="29">IF(C7&gt;=C11,10,0)</f>
        <v>10</v>
      </c>
      <c r="D43" s="196">
        <f t="shared" si="29"/>
        <v>10</v>
      </c>
      <c r="E43" s="196">
        <f t="shared" si="29"/>
        <v>10</v>
      </c>
      <c r="F43" s="196">
        <f t="shared" si="29"/>
        <v>10</v>
      </c>
      <c r="G43" s="196">
        <f t="shared" si="29"/>
        <v>10</v>
      </c>
      <c r="H43" s="196">
        <f t="shared" si="29"/>
        <v>10</v>
      </c>
      <c r="I43" s="196">
        <f t="shared" si="29"/>
        <v>10</v>
      </c>
      <c r="J43" s="196">
        <f t="shared" si="29"/>
        <v>10</v>
      </c>
    </row>
    <row r="44" spans="1:10" x14ac:dyDescent="0.25">
      <c r="A44" s="116" t="s">
        <v>674</v>
      </c>
      <c r="B44" s="196">
        <f>IF(B14&gt;B17,5,0)</f>
        <v>0</v>
      </c>
      <c r="C44" s="196">
        <f t="shared" ref="C44:J44" si="30">IF(C14&gt;C17,5,0)</f>
        <v>0</v>
      </c>
      <c r="D44" s="196">
        <f t="shared" si="30"/>
        <v>5</v>
      </c>
      <c r="E44" s="196">
        <f t="shared" si="30"/>
        <v>5</v>
      </c>
      <c r="F44" s="196">
        <f t="shared" si="30"/>
        <v>5</v>
      </c>
      <c r="G44" s="196">
        <f t="shared" si="30"/>
        <v>5</v>
      </c>
      <c r="H44" s="196">
        <f t="shared" si="30"/>
        <v>5</v>
      </c>
      <c r="I44" s="196">
        <f t="shared" si="30"/>
        <v>5</v>
      </c>
      <c r="J44" s="196">
        <f t="shared" si="30"/>
        <v>5</v>
      </c>
    </row>
    <row r="45" spans="1:10" x14ac:dyDescent="0.25">
      <c r="A45" s="116" t="s">
        <v>675</v>
      </c>
      <c r="B45" s="194">
        <f>IF(B21&gt;=B25,25,0)</f>
        <v>25</v>
      </c>
      <c r="C45" s="194">
        <f t="shared" ref="C45:J45" si="31">IF(C21&gt;=C25,25,0)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25</v>
      </c>
      <c r="I45" s="194">
        <f t="shared" si="31"/>
        <v>25</v>
      </c>
      <c r="J45" s="194">
        <f t="shared" si="31"/>
        <v>25</v>
      </c>
    </row>
    <row r="46" spans="1:10" x14ac:dyDescent="0.25">
      <c r="A46" s="116" t="s">
        <v>676</v>
      </c>
      <c r="B46" s="194">
        <f>IF(B28&gt;=B32,25,0)</f>
        <v>25</v>
      </c>
      <c r="C46" s="194">
        <f t="shared" ref="C46:J46" si="32">IF(C28&gt;=C32,25,0)</f>
        <v>0</v>
      </c>
      <c r="D46" s="194">
        <f t="shared" si="32"/>
        <v>25</v>
      </c>
      <c r="E46" s="194">
        <f t="shared" si="32"/>
        <v>25</v>
      </c>
      <c r="F46" s="194">
        <f t="shared" si="32"/>
        <v>25</v>
      </c>
      <c r="G46" s="194">
        <f t="shared" si="32"/>
        <v>25</v>
      </c>
      <c r="H46" s="194">
        <f t="shared" si="32"/>
        <v>25</v>
      </c>
      <c r="I46" s="194">
        <f t="shared" si="32"/>
        <v>25</v>
      </c>
      <c r="J46" s="194">
        <f t="shared" si="32"/>
        <v>25</v>
      </c>
    </row>
    <row r="47" spans="1:10" x14ac:dyDescent="0.25">
      <c r="A47" s="116" t="s">
        <v>311</v>
      </c>
      <c r="B47" s="194">
        <f>IF(B35&lt;=B40,20,0)</f>
        <v>0</v>
      </c>
      <c r="C47" s="194">
        <f t="shared" ref="C47:J47" si="33">IF(C35&lt;=C40,20,0)</f>
        <v>20</v>
      </c>
      <c r="D47" s="194">
        <f t="shared" si="33"/>
        <v>20</v>
      </c>
      <c r="E47" s="194">
        <f t="shared" si="33"/>
        <v>20</v>
      </c>
      <c r="F47" s="194">
        <f t="shared" si="33"/>
        <v>20</v>
      </c>
      <c r="G47" s="194">
        <f t="shared" si="33"/>
        <v>20</v>
      </c>
      <c r="H47" s="194">
        <f t="shared" si="33"/>
        <v>20</v>
      </c>
      <c r="I47" s="194">
        <f t="shared" si="33"/>
        <v>20</v>
      </c>
      <c r="J47" s="194">
        <f t="shared" si="33"/>
        <v>20</v>
      </c>
    </row>
    <row r="48" spans="1:10" x14ac:dyDescent="0.25">
      <c r="A48" s="116"/>
      <c r="B48" s="194"/>
      <c r="C48" s="194"/>
      <c r="D48" s="194"/>
      <c r="E48" s="194"/>
      <c r="F48" s="194"/>
      <c r="G48" s="194"/>
      <c r="H48" s="194"/>
      <c r="I48" s="194"/>
      <c r="J48" s="194"/>
    </row>
    <row r="49" spans="1:10" x14ac:dyDescent="0.25">
      <c r="A49" s="116" t="s">
        <v>677</v>
      </c>
      <c r="B49" s="194">
        <f>SUM(B42:B47)</f>
        <v>75</v>
      </c>
      <c r="C49" s="194">
        <f t="shared" ref="C49:J49" si="34">SUM(C42:C47)</f>
        <v>55</v>
      </c>
      <c r="D49" s="194">
        <f t="shared" si="34"/>
        <v>85</v>
      </c>
      <c r="E49" s="194">
        <f t="shared" si="34"/>
        <v>85</v>
      </c>
      <c r="F49" s="194">
        <f t="shared" si="34"/>
        <v>85</v>
      </c>
      <c r="G49" s="194">
        <f t="shared" si="34"/>
        <v>85</v>
      </c>
      <c r="H49" s="194">
        <f t="shared" si="34"/>
        <v>100</v>
      </c>
      <c r="I49" s="194">
        <f t="shared" si="34"/>
        <v>100</v>
      </c>
      <c r="J49" s="194">
        <f t="shared" si="34"/>
        <v>85</v>
      </c>
    </row>
    <row r="50" spans="1:10" x14ac:dyDescent="0.25">
      <c r="A50" s="116" t="s">
        <v>678</v>
      </c>
      <c r="B50" s="194" t="str">
        <f>IF(B49&gt;=50,"OKAY","KO")</f>
        <v>OKAY</v>
      </c>
      <c r="C50" s="194" t="str">
        <f t="shared" ref="C50:J50" si="35">IF(C49&gt;=50,"OKAY","KO")</f>
        <v>OKAY</v>
      </c>
      <c r="D50" s="194" t="str">
        <f t="shared" si="35"/>
        <v>OKAY</v>
      </c>
      <c r="E50" s="194" t="str">
        <f t="shared" si="35"/>
        <v>OKAY</v>
      </c>
      <c r="F50" s="194" t="str">
        <f t="shared" si="35"/>
        <v>OKAY</v>
      </c>
      <c r="G50" s="194" t="str">
        <f t="shared" si="35"/>
        <v>OKAY</v>
      </c>
      <c r="H50" s="194" t="str">
        <f t="shared" si="35"/>
        <v>OKAY</v>
      </c>
      <c r="I50" s="194" t="str">
        <f t="shared" si="35"/>
        <v>OKAY</v>
      </c>
      <c r="J50" s="194" t="str">
        <f t="shared" si="35"/>
        <v>OKAY</v>
      </c>
    </row>
    <row r="51" spans="1:10" x14ac:dyDescent="0.25">
      <c r="A51" s="116"/>
      <c r="B51" s="194"/>
    </row>
  </sheetData>
  <conditionalFormatting sqref="A50:B51 C50:J50">
    <cfRule type="containsText" dxfId="32" priority="2" operator="containsText" text="KO">
      <formula>NOT(ISERROR(SEARCH("KO",A50)))</formula>
    </cfRule>
  </conditionalFormatting>
  <conditionalFormatting sqref="A50:XFD50">
    <cfRule type="cellIs" dxfId="31" priority="1" operator="equal">
      <formula>"KO"</formula>
    </cfRule>
  </conditionalFormatting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/>
  <dimension ref="A1:AD59"/>
  <sheetViews>
    <sheetView topLeftCell="A12" zoomScale="80" zoomScaleNormal="80" workbookViewId="0">
      <selection activeCell="A42" sqref="A42:C50"/>
    </sheetView>
  </sheetViews>
  <sheetFormatPr defaultRowHeight="15" x14ac:dyDescent="0.25"/>
  <cols>
    <col min="1" max="1" width="34.140625" customWidth="1"/>
    <col min="2" max="10" width="13" bestFit="1" customWidth="1"/>
    <col min="13" max="14" width="9.140625" customWidth="1"/>
    <col min="16" max="16" width="14.42578125" bestFit="1" customWidth="1"/>
  </cols>
  <sheetData>
    <row r="1" spans="1:30" x14ac:dyDescent="0.25">
      <c r="A1" s="104" t="s">
        <v>652</v>
      </c>
      <c r="B1" s="105" t="s">
        <v>762</v>
      </c>
      <c r="C1" s="105" t="s">
        <v>759</v>
      </c>
      <c r="D1" s="105" t="s">
        <v>763</v>
      </c>
      <c r="E1" s="105" t="s">
        <v>682</v>
      </c>
      <c r="F1" s="105" t="s">
        <v>764</v>
      </c>
      <c r="G1" s="105" t="s">
        <v>692</v>
      </c>
      <c r="H1" s="105" t="s">
        <v>765</v>
      </c>
      <c r="I1" s="105" t="s">
        <v>766</v>
      </c>
      <c r="J1" s="105" t="s">
        <v>661</v>
      </c>
      <c r="K1" s="105" t="s">
        <v>662</v>
      </c>
      <c r="L1" s="117" t="s">
        <v>663</v>
      </c>
      <c r="M1" s="105" t="s">
        <v>685</v>
      </c>
      <c r="N1" s="105" t="s">
        <v>665</v>
      </c>
      <c r="O1" s="104" t="s">
        <v>767</v>
      </c>
      <c r="P1" s="105" t="s">
        <v>667</v>
      </c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</row>
    <row r="2" spans="1:30" x14ac:dyDescent="0.25">
      <c r="A2" s="5" t="s">
        <v>668</v>
      </c>
      <c r="B2" s="59">
        <v>75</v>
      </c>
      <c r="C2" s="59">
        <v>76</v>
      </c>
      <c r="D2" s="106">
        <v>75</v>
      </c>
      <c r="E2" s="59">
        <v>72</v>
      </c>
      <c r="F2" s="59">
        <v>84</v>
      </c>
      <c r="G2" s="59">
        <v>79</v>
      </c>
      <c r="H2" s="108">
        <v>70</v>
      </c>
      <c r="I2" s="108">
        <v>73</v>
      </c>
      <c r="J2" s="100">
        <v>78</v>
      </c>
      <c r="K2" s="100">
        <v>68</v>
      </c>
      <c r="L2" s="100">
        <v>63</v>
      </c>
      <c r="M2" s="100">
        <v>70</v>
      </c>
      <c r="N2" s="59">
        <v>77</v>
      </c>
      <c r="O2" s="165">
        <v>75</v>
      </c>
      <c r="P2" s="100">
        <v>80</v>
      </c>
      <c r="Q2" s="100"/>
      <c r="R2" s="100"/>
      <c r="S2" s="100"/>
      <c r="T2" s="100"/>
      <c r="U2" s="100"/>
      <c r="V2" s="100"/>
      <c r="W2" s="100"/>
      <c r="X2" s="100"/>
      <c r="Y2" s="100"/>
      <c r="Z2" s="100"/>
      <c r="AA2" s="100"/>
      <c r="AB2" s="100"/>
      <c r="AC2" s="100"/>
      <c r="AD2" s="100"/>
    </row>
    <row r="3" spans="1:30" x14ac:dyDescent="0.25">
      <c r="A3" s="5" t="s">
        <v>668</v>
      </c>
      <c r="B3" s="194">
        <f>AVERAGE($B$2:$P$2)</f>
        <v>74.333333333333329</v>
      </c>
      <c r="C3" s="194">
        <f t="shared" ref="C3:P3" si="0">AVERAGE($B$2:$P$2)</f>
        <v>74.333333333333329</v>
      </c>
      <c r="D3" s="194">
        <f t="shared" si="0"/>
        <v>74.333333333333329</v>
      </c>
      <c r="E3" s="194">
        <f t="shared" si="0"/>
        <v>74.333333333333329</v>
      </c>
      <c r="F3" s="194">
        <f t="shared" si="0"/>
        <v>74.333333333333329</v>
      </c>
      <c r="G3" s="194">
        <f t="shared" si="0"/>
        <v>74.333333333333329</v>
      </c>
      <c r="H3" s="194">
        <f t="shared" si="0"/>
        <v>74.333333333333329</v>
      </c>
      <c r="I3" s="194">
        <f t="shared" si="0"/>
        <v>74.333333333333329</v>
      </c>
      <c r="J3" s="194">
        <f t="shared" si="0"/>
        <v>74.333333333333329</v>
      </c>
      <c r="K3" s="194">
        <f t="shared" si="0"/>
        <v>74.333333333333329</v>
      </c>
      <c r="L3" s="194">
        <f t="shared" si="0"/>
        <v>74.333333333333329</v>
      </c>
      <c r="M3" s="194">
        <f t="shared" si="0"/>
        <v>74.333333333333329</v>
      </c>
      <c r="N3" s="194">
        <f t="shared" si="0"/>
        <v>74.333333333333329</v>
      </c>
      <c r="O3" s="194">
        <f t="shared" si="0"/>
        <v>74.333333333333329</v>
      </c>
      <c r="P3" s="194">
        <f t="shared" si="0"/>
        <v>74.333333333333329</v>
      </c>
      <c r="Q3" s="100"/>
      <c r="R3" s="100"/>
      <c r="S3" s="100"/>
      <c r="T3" s="100"/>
      <c r="U3" s="100"/>
      <c r="V3" s="100"/>
      <c r="W3" s="100"/>
      <c r="X3" s="100"/>
      <c r="Y3" s="100"/>
      <c r="Z3" s="100"/>
      <c r="AA3" s="100"/>
      <c r="AB3" s="100"/>
      <c r="AC3" s="100"/>
      <c r="AD3" s="100"/>
    </row>
    <row r="4" spans="1:30" x14ac:dyDescent="0.25">
      <c r="A4" s="5" t="s">
        <v>668</v>
      </c>
      <c r="B4" s="194">
        <f>AVERAGE($B$2:$P$2)-2</f>
        <v>72.333333333333329</v>
      </c>
      <c r="C4" s="194">
        <f t="shared" ref="C4:P4" si="1">AVERAGE($B$2:$P$2)-2</f>
        <v>72.333333333333329</v>
      </c>
      <c r="D4" s="194">
        <f t="shared" si="1"/>
        <v>72.333333333333329</v>
      </c>
      <c r="E4" s="194">
        <f t="shared" si="1"/>
        <v>72.333333333333329</v>
      </c>
      <c r="F4" s="194">
        <f t="shared" si="1"/>
        <v>72.333333333333329</v>
      </c>
      <c r="G4" s="194">
        <f t="shared" si="1"/>
        <v>72.333333333333329</v>
      </c>
      <c r="H4" s="194">
        <f t="shared" si="1"/>
        <v>72.333333333333329</v>
      </c>
      <c r="I4" s="194">
        <f t="shared" si="1"/>
        <v>72.333333333333329</v>
      </c>
      <c r="J4" s="194">
        <f t="shared" si="1"/>
        <v>72.333333333333329</v>
      </c>
      <c r="K4" s="194">
        <f t="shared" si="1"/>
        <v>72.333333333333329</v>
      </c>
      <c r="L4" s="194">
        <f t="shared" si="1"/>
        <v>72.333333333333329</v>
      </c>
      <c r="M4" s="194">
        <f t="shared" si="1"/>
        <v>72.333333333333329</v>
      </c>
      <c r="N4" s="194">
        <f t="shared" si="1"/>
        <v>72.333333333333329</v>
      </c>
      <c r="O4" s="194">
        <f t="shared" si="1"/>
        <v>72.333333333333329</v>
      </c>
      <c r="P4" s="194">
        <f t="shared" si="1"/>
        <v>72.333333333333329</v>
      </c>
      <c r="Q4" s="100"/>
      <c r="R4" s="100"/>
      <c r="S4" s="100"/>
      <c r="T4" s="172"/>
      <c r="U4" s="100"/>
      <c r="V4" s="100"/>
      <c r="W4" s="100"/>
      <c r="X4" s="100"/>
      <c r="Y4" s="100"/>
      <c r="Z4" s="100"/>
      <c r="AA4" s="100"/>
      <c r="AB4" s="100"/>
      <c r="AC4" s="100"/>
      <c r="AD4" s="100"/>
    </row>
    <row r="5" spans="1:30" x14ac:dyDescent="0.25">
      <c r="A5" s="5" t="s">
        <v>668</v>
      </c>
      <c r="B5" s="194">
        <f>AVERAGE($B$2:$P$2)+2</f>
        <v>76.333333333333329</v>
      </c>
      <c r="C5" s="194">
        <f t="shared" ref="C5:P5" si="2">AVERAGE($B$2:$P$2)+2</f>
        <v>76.333333333333329</v>
      </c>
      <c r="D5" s="194">
        <f t="shared" si="2"/>
        <v>76.333333333333329</v>
      </c>
      <c r="E5" s="194">
        <f t="shared" si="2"/>
        <v>76.333333333333329</v>
      </c>
      <c r="F5" s="194">
        <f t="shared" si="2"/>
        <v>76.333333333333329</v>
      </c>
      <c r="G5" s="194">
        <f t="shared" si="2"/>
        <v>76.333333333333329</v>
      </c>
      <c r="H5" s="194">
        <f t="shared" si="2"/>
        <v>76.333333333333329</v>
      </c>
      <c r="I5" s="194">
        <f t="shared" si="2"/>
        <v>76.333333333333329</v>
      </c>
      <c r="J5" s="194">
        <f t="shared" si="2"/>
        <v>76.333333333333329</v>
      </c>
      <c r="K5" s="194">
        <f t="shared" si="2"/>
        <v>76.333333333333329</v>
      </c>
      <c r="L5" s="194">
        <f t="shared" si="2"/>
        <v>76.333333333333329</v>
      </c>
      <c r="M5" s="194">
        <f t="shared" si="2"/>
        <v>76.333333333333329</v>
      </c>
      <c r="N5" s="194">
        <f t="shared" si="2"/>
        <v>76.333333333333329</v>
      </c>
      <c r="O5" s="194">
        <f t="shared" si="2"/>
        <v>76.333333333333329</v>
      </c>
      <c r="P5" s="194">
        <f t="shared" si="2"/>
        <v>76.333333333333329</v>
      </c>
      <c r="Q5" s="100"/>
      <c r="R5" s="100"/>
      <c r="S5" s="100"/>
      <c r="T5" s="172"/>
      <c r="U5" s="100"/>
      <c r="V5" s="100"/>
      <c r="W5" s="100"/>
      <c r="X5" s="100"/>
      <c r="Y5" s="100"/>
      <c r="Z5" s="100"/>
      <c r="AA5" s="100"/>
      <c r="AB5" s="100"/>
      <c r="AC5" s="100"/>
      <c r="AD5" s="100"/>
    </row>
    <row r="6" spans="1:30" x14ac:dyDescent="0.25">
      <c r="A6" s="104" t="s">
        <v>652</v>
      </c>
      <c r="B6" s="105" t="s">
        <v>762</v>
      </c>
      <c r="C6" s="105" t="s">
        <v>759</v>
      </c>
      <c r="D6" s="105" t="s">
        <v>763</v>
      </c>
      <c r="E6" s="105" t="s">
        <v>682</v>
      </c>
      <c r="F6" s="105" t="s">
        <v>764</v>
      </c>
      <c r="G6" s="105" t="s">
        <v>692</v>
      </c>
      <c r="H6" s="105" t="s">
        <v>765</v>
      </c>
      <c r="I6" s="105" t="s">
        <v>766</v>
      </c>
      <c r="J6" s="105" t="s">
        <v>661</v>
      </c>
      <c r="K6" s="105" t="s">
        <v>662</v>
      </c>
      <c r="L6" s="117" t="s">
        <v>663</v>
      </c>
      <c r="M6" s="105" t="s">
        <v>685</v>
      </c>
      <c r="N6" s="105" t="s">
        <v>665</v>
      </c>
      <c r="O6" s="104" t="s">
        <v>767</v>
      </c>
      <c r="P6" s="105" t="s">
        <v>667</v>
      </c>
      <c r="Q6" s="100"/>
      <c r="R6" s="100"/>
      <c r="S6" s="100"/>
      <c r="T6" s="172"/>
      <c r="U6" s="100"/>
      <c r="V6" s="100"/>
      <c r="W6" s="100"/>
      <c r="X6" s="100"/>
      <c r="Y6" s="100"/>
      <c r="Z6" s="100"/>
      <c r="AA6" s="100"/>
      <c r="AB6" s="100"/>
      <c r="AC6" s="100"/>
      <c r="AD6" s="100"/>
    </row>
    <row r="7" spans="1:30" x14ac:dyDescent="0.25">
      <c r="A7" s="103" t="s">
        <v>669</v>
      </c>
      <c r="B7" s="100">
        <v>16</v>
      </c>
      <c r="C7" s="100">
        <v>30</v>
      </c>
      <c r="D7" s="107">
        <v>20</v>
      </c>
      <c r="E7" s="100">
        <v>21</v>
      </c>
      <c r="F7" s="100">
        <v>21</v>
      </c>
      <c r="G7" s="100">
        <v>23</v>
      </c>
      <c r="H7" s="108">
        <v>25</v>
      </c>
      <c r="I7" s="108">
        <v>19</v>
      </c>
      <c r="J7" s="100">
        <v>28</v>
      </c>
      <c r="K7" s="100">
        <v>22</v>
      </c>
      <c r="L7" s="100">
        <v>18</v>
      </c>
      <c r="M7" s="100">
        <v>23</v>
      </c>
      <c r="N7" s="59">
        <v>14</v>
      </c>
      <c r="O7" s="165">
        <v>27</v>
      </c>
      <c r="P7" s="100">
        <v>20</v>
      </c>
      <c r="Q7" s="100"/>
      <c r="R7" s="100"/>
      <c r="S7" s="100"/>
      <c r="T7" s="172"/>
      <c r="U7" s="100"/>
      <c r="V7" s="100"/>
      <c r="W7" s="100"/>
      <c r="X7" s="100"/>
      <c r="Y7" s="100"/>
      <c r="Z7" s="100"/>
      <c r="AA7" s="100"/>
      <c r="AB7" s="100"/>
      <c r="AC7" s="100"/>
      <c r="AD7" s="100"/>
    </row>
    <row r="8" spans="1:30" x14ac:dyDescent="0.25">
      <c r="A8" s="103" t="s">
        <v>669</v>
      </c>
      <c r="B8" s="100">
        <f>AVERAGE($B$7:$P$7)</f>
        <v>21.8</v>
      </c>
      <c r="C8" s="100">
        <f t="shared" ref="C8:P8" si="3">AVERAGE($B$7:$P$7)</f>
        <v>21.8</v>
      </c>
      <c r="D8" s="100">
        <f t="shared" si="3"/>
        <v>21.8</v>
      </c>
      <c r="E8" s="100">
        <f t="shared" si="3"/>
        <v>21.8</v>
      </c>
      <c r="F8" s="100">
        <f t="shared" si="3"/>
        <v>21.8</v>
      </c>
      <c r="G8" s="100">
        <f t="shared" si="3"/>
        <v>21.8</v>
      </c>
      <c r="H8" s="100">
        <f t="shared" si="3"/>
        <v>21.8</v>
      </c>
      <c r="I8" s="100">
        <f t="shared" si="3"/>
        <v>21.8</v>
      </c>
      <c r="J8" s="100">
        <f t="shared" si="3"/>
        <v>21.8</v>
      </c>
      <c r="K8" s="100">
        <f t="shared" si="3"/>
        <v>21.8</v>
      </c>
      <c r="L8" s="100">
        <f t="shared" si="3"/>
        <v>21.8</v>
      </c>
      <c r="M8" s="100">
        <f t="shared" si="3"/>
        <v>21.8</v>
      </c>
      <c r="N8" s="100">
        <f t="shared" si="3"/>
        <v>21.8</v>
      </c>
      <c r="O8" s="100">
        <f t="shared" si="3"/>
        <v>21.8</v>
      </c>
      <c r="P8" s="100">
        <f t="shared" si="3"/>
        <v>21.8</v>
      </c>
      <c r="Q8" s="100"/>
      <c r="R8" s="100"/>
      <c r="S8" s="100"/>
      <c r="T8" s="172"/>
      <c r="U8" s="100"/>
      <c r="V8" s="100"/>
      <c r="W8" s="100"/>
      <c r="X8" s="100"/>
      <c r="Y8" s="100"/>
      <c r="Z8" s="100"/>
      <c r="AA8" s="100"/>
      <c r="AB8" s="100"/>
      <c r="AC8" s="100"/>
      <c r="AD8" s="100"/>
    </row>
    <row r="9" spans="1:30" x14ac:dyDescent="0.25">
      <c r="A9" s="103" t="s">
        <v>669</v>
      </c>
      <c r="B9" s="100">
        <f>AVERAGE($B$7:$P$7)/100*90</f>
        <v>19.62</v>
      </c>
      <c r="C9" s="100">
        <f t="shared" ref="C9:P9" si="4">AVERAGE($B$7:$P$7)/100*90</f>
        <v>19.62</v>
      </c>
      <c r="D9" s="100">
        <f t="shared" si="4"/>
        <v>19.62</v>
      </c>
      <c r="E9" s="100">
        <f t="shared" si="4"/>
        <v>19.62</v>
      </c>
      <c r="F9" s="100">
        <f t="shared" si="4"/>
        <v>19.62</v>
      </c>
      <c r="G9" s="100">
        <f t="shared" si="4"/>
        <v>19.62</v>
      </c>
      <c r="H9" s="100">
        <f t="shared" si="4"/>
        <v>19.62</v>
      </c>
      <c r="I9" s="100">
        <f t="shared" si="4"/>
        <v>19.62</v>
      </c>
      <c r="J9" s="100">
        <f t="shared" si="4"/>
        <v>19.62</v>
      </c>
      <c r="K9" s="100">
        <f t="shared" si="4"/>
        <v>19.62</v>
      </c>
      <c r="L9" s="100">
        <f t="shared" si="4"/>
        <v>19.62</v>
      </c>
      <c r="M9" s="100">
        <f t="shared" si="4"/>
        <v>19.62</v>
      </c>
      <c r="N9" s="100">
        <f t="shared" si="4"/>
        <v>19.62</v>
      </c>
      <c r="O9" s="100">
        <f t="shared" si="4"/>
        <v>19.62</v>
      </c>
      <c r="P9" s="100">
        <f t="shared" si="4"/>
        <v>19.62</v>
      </c>
      <c r="Q9" s="100"/>
      <c r="R9" s="100"/>
      <c r="S9" s="100"/>
      <c r="T9" s="172"/>
      <c r="U9" s="100"/>
      <c r="V9" s="100"/>
      <c r="W9" s="100"/>
      <c r="X9" s="100"/>
      <c r="Y9" s="100"/>
      <c r="Z9" s="100"/>
      <c r="AA9" s="100"/>
      <c r="AB9" s="100"/>
      <c r="AC9" s="100"/>
      <c r="AD9" s="100"/>
    </row>
    <row r="10" spans="1:30" x14ac:dyDescent="0.25">
      <c r="A10" s="103" t="s">
        <v>669</v>
      </c>
      <c r="B10" s="100">
        <f>(AVERAGE($B$7:$P$7))+(AVERAGE($B$7:$P$7)/100*10)</f>
        <v>23.98</v>
      </c>
      <c r="C10" s="100">
        <f t="shared" ref="C10:P10" si="5">(AVERAGE($B$7:$P$7))+(AVERAGE($B$7:$P$7)/100*10)</f>
        <v>23.98</v>
      </c>
      <c r="D10" s="100">
        <f t="shared" si="5"/>
        <v>23.98</v>
      </c>
      <c r="E10" s="100">
        <f t="shared" si="5"/>
        <v>23.98</v>
      </c>
      <c r="F10" s="100">
        <f t="shared" si="5"/>
        <v>23.98</v>
      </c>
      <c r="G10" s="100">
        <f t="shared" si="5"/>
        <v>23.98</v>
      </c>
      <c r="H10" s="100">
        <f t="shared" si="5"/>
        <v>23.98</v>
      </c>
      <c r="I10" s="100">
        <f t="shared" si="5"/>
        <v>23.98</v>
      </c>
      <c r="J10" s="100">
        <f t="shared" si="5"/>
        <v>23.98</v>
      </c>
      <c r="K10" s="100">
        <f t="shared" si="5"/>
        <v>23.98</v>
      </c>
      <c r="L10" s="100">
        <f t="shared" si="5"/>
        <v>23.98</v>
      </c>
      <c r="M10" s="100">
        <f t="shared" si="5"/>
        <v>23.98</v>
      </c>
      <c r="N10" s="100">
        <f t="shared" si="5"/>
        <v>23.98</v>
      </c>
      <c r="O10" s="100">
        <f t="shared" si="5"/>
        <v>23.98</v>
      </c>
      <c r="P10" s="100">
        <f t="shared" si="5"/>
        <v>23.98</v>
      </c>
      <c r="Q10" s="100"/>
      <c r="R10" s="100"/>
      <c r="S10" s="100"/>
      <c r="T10" s="100"/>
      <c r="U10" s="100"/>
      <c r="V10" s="100"/>
      <c r="W10" s="100"/>
      <c r="X10" s="100"/>
      <c r="Y10" s="100"/>
      <c r="Z10" s="100"/>
      <c r="AA10" s="100"/>
      <c r="AB10" s="100"/>
      <c r="AC10" s="100"/>
      <c r="AD10" s="100"/>
    </row>
    <row r="11" spans="1:30" x14ac:dyDescent="0.25">
      <c r="A11" s="103" t="s">
        <v>669</v>
      </c>
      <c r="B11" s="100">
        <f>AVERAGE($B$7:$P$7)/100*80</f>
        <v>17.440000000000001</v>
      </c>
      <c r="C11" s="100">
        <f t="shared" ref="C11:P11" si="6">AVERAGE($B$7:$P$7)/100*80</f>
        <v>17.440000000000001</v>
      </c>
      <c r="D11" s="100">
        <f t="shared" si="6"/>
        <v>17.440000000000001</v>
      </c>
      <c r="E11" s="100">
        <f t="shared" si="6"/>
        <v>17.440000000000001</v>
      </c>
      <c r="F11" s="100">
        <f t="shared" si="6"/>
        <v>17.440000000000001</v>
      </c>
      <c r="G11" s="100">
        <f t="shared" si="6"/>
        <v>17.440000000000001</v>
      </c>
      <c r="H11" s="100">
        <f t="shared" si="6"/>
        <v>17.440000000000001</v>
      </c>
      <c r="I11" s="100">
        <f t="shared" si="6"/>
        <v>17.440000000000001</v>
      </c>
      <c r="J11" s="100">
        <f t="shared" si="6"/>
        <v>17.440000000000001</v>
      </c>
      <c r="K11" s="100">
        <f t="shared" si="6"/>
        <v>17.440000000000001</v>
      </c>
      <c r="L11" s="100">
        <f t="shared" si="6"/>
        <v>17.440000000000001</v>
      </c>
      <c r="M11" s="100">
        <f t="shared" si="6"/>
        <v>17.440000000000001</v>
      </c>
      <c r="N11" s="100">
        <f t="shared" si="6"/>
        <v>17.440000000000001</v>
      </c>
      <c r="O11" s="100">
        <f t="shared" si="6"/>
        <v>17.440000000000001</v>
      </c>
      <c r="P11" s="100">
        <f t="shared" si="6"/>
        <v>17.440000000000001</v>
      </c>
      <c r="Q11" s="100"/>
      <c r="R11" s="100"/>
      <c r="S11" s="100"/>
      <c r="T11" s="100"/>
      <c r="U11" s="100"/>
      <c r="V11" s="100"/>
      <c r="W11" s="100"/>
      <c r="X11" s="100"/>
      <c r="Y11" s="100"/>
      <c r="Z11" s="100"/>
      <c r="AA11" s="100"/>
      <c r="AB11" s="100"/>
      <c r="AC11" s="100"/>
      <c r="AD11" s="100"/>
    </row>
    <row r="12" spans="1:30" x14ac:dyDescent="0.25">
      <c r="A12" s="103" t="s">
        <v>669</v>
      </c>
      <c r="B12" s="100">
        <f>(AVERAGE($B$7:$P$7))+(AVERAGE($B$7:$P$7)/100*20)</f>
        <v>26.16</v>
      </c>
      <c r="C12" s="100">
        <f t="shared" ref="C12:P12" si="7">(AVERAGE($B$7:$P$7))+(AVERAGE($B$7:$P$7)/100*20)</f>
        <v>26.16</v>
      </c>
      <c r="D12" s="100">
        <f t="shared" si="7"/>
        <v>26.16</v>
      </c>
      <c r="E12" s="100">
        <f t="shared" si="7"/>
        <v>26.16</v>
      </c>
      <c r="F12" s="100">
        <f t="shared" si="7"/>
        <v>26.16</v>
      </c>
      <c r="G12" s="100">
        <f t="shared" si="7"/>
        <v>26.16</v>
      </c>
      <c r="H12" s="100">
        <f t="shared" si="7"/>
        <v>26.16</v>
      </c>
      <c r="I12" s="100">
        <f t="shared" si="7"/>
        <v>26.16</v>
      </c>
      <c r="J12" s="100">
        <f t="shared" si="7"/>
        <v>26.16</v>
      </c>
      <c r="K12" s="100">
        <f t="shared" si="7"/>
        <v>26.16</v>
      </c>
      <c r="L12" s="100">
        <f t="shared" si="7"/>
        <v>26.16</v>
      </c>
      <c r="M12" s="100">
        <f t="shared" si="7"/>
        <v>26.16</v>
      </c>
      <c r="N12" s="100">
        <f t="shared" si="7"/>
        <v>26.16</v>
      </c>
      <c r="O12" s="100">
        <f t="shared" si="7"/>
        <v>26.16</v>
      </c>
      <c r="P12" s="100">
        <f t="shared" si="7"/>
        <v>26.16</v>
      </c>
      <c r="Q12" s="100"/>
      <c r="R12" s="100"/>
      <c r="S12" s="100"/>
      <c r="T12" s="100"/>
      <c r="U12" s="100"/>
      <c r="V12" s="100"/>
      <c r="W12" s="100"/>
      <c r="X12" s="100"/>
      <c r="Y12" s="100"/>
      <c r="Z12" s="100"/>
      <c r="AA12" s="100"/>
      <c r="AB12" s="100"/>
      <c r="AC12" s="100"/>
      <c r="AD12" s="100"/>
    </row>
    <row r="13" spans="1:30" x14ac:dyDescent="0.25">
      <c r="A13" s="104" t="s">
        <v>652</v>
      </c>
      <c r="B13" s="105">
        <v>44178</v>
      </c>
      <c r="C13" s="105" t="s">
        <v>759</v>
      </c>
      <c r="D13" s="105" t="s">
        <v>763</v>
      </c>
      <c r="E13" s="105" t="s">
        <v>682</v>
      </c>
      <c r="F13" s="105" t="s">
        <v>764</v>
      </c>
      <c r="G13" s="105" t="s">
        <v>692</v>
      </c>
      <c r="H13" s="105" t="s">
        <v>765</v>
      </c>
      <c r="I13" s="105" t="s">
        <v>766</v>
      </c>
      <c r="J13" s="105" t="s">
        <v>661</v>
      </c>
      <c r="K13" s="105" t="s">
        <v>662</v>
      </c>
      <c r="L13" s="117" t="s">
        <v>663</v>
      </c>
      <c r="M13" s="105" t="s">
        <v>685</v>
      </c>
      <c r="N13" s="105" t="s">
        <v>665</v>
      </c>
      <c r="O13" s="104" t="s">
        <v>767</v>
      </c>
      <c r="P13" s="105" t="s">
        <v>667</v>
      </c>
      <c r="Q13" s="100"/>
      <c r="R13" s="100"/>
      <c r="S13" s="100"/>
      <c r="T13" s="100"/>
      <c r="U13" s="100"/>
      <c r="V13" s="100"/>
      <c r="W13" s="100"/>
      <c r="X13" s="100"/>
      <c r="Y13" s="100"/>
      <c r="Z13" s="100"/>
      <c r="AA13" s="100"/>
      <c r="AB13" s="100"/>
      <c r="AC13" s="100"/>
      <c r="AD13" s="100"/>
    </row>
    <row r="14" spans="1:30" x14ac:dyDescent="0.25">
      <c r="A14" s="103" t="s">
        <v>670</v>
      </c>
      <c r="B14" s="100">
        <v>500</v>
      </c>
      <c r="C14" s="100">
        <v>837</v>
      </c>
      <c r="D14" s="100">
        <v>778</v>
      </c>
      <c r="E14" s="100">
        <v>798</v>
      </c>
      <c r="F14" s="100">
        <v>417</v>
      </c>
      <c r="G14" s="100">
        <v>542</v>
      </c>
      <c r="H14" s="108">
        <v>552</v>
      </c>
      <c r="I14" s="108">
        <v>700</v>
      </c>
      <c r="J14" s="100">
        <v>926</v>
      </c>
      <c r="K14" s="100">
        <v>856</v>
      </c>
      <c r="L14" s="100">
        <v>892</v>
      </c>
      <c r="M14" s="100">
        <v>737</v>
      </c>
      <c r="N14" s="59">
        <v>535</v>
      </c>
      <c r="O14" s="165">
        <v>600</v>
      </c>
      <c r="P14" s="100">
        <v>681</v>
      </c>
      <c r="Q14" s="100"/>
      <c r="R14" s="100"/>
      <c r="S14" s="100"/>
      <c r="T14" s="100"/>
      <c r="U14" s="100"/>
      <c r="V14" s="100"/>
      <c r="W14" s="100"/>
      <c r="X14" s="100"/>
      <c r="Y14" s="100"/>
      <c r="Z14" s="100"/>
      <c r="AA14" s="100"/>
      <c r="AB14" s="100"/>
      <c r="AC14" s="100"/>
      <c r="AD14" s="100"/>
    </row>
    <row r="15" spans="1:30" x14ac:dyDescent="0.25">
      <c r="A15" s="232" t="s">
        <v>670</v>
      </c>
      <c r="B15" s="230">
        <f>AVERAGE($B$14:$J$14)</f>
        <v>672.22222222222217</v>
      </c>
      <c r="C15" s="230">
        <f t="shared" ref="C15:P15" si="8">AVERAGE($B$14:$J$14)</f>
        <v>672.22222222222217</v>
      </c>
      <c r="D15" s="230">
        <f t="shared" si="8"/>
        <v>672.22222222222217</v>
      </c>
      <c r="E15" s="230">
        <f t="shared" si="8"/>
        <v>672.22222222222217</v>
      </c>
      <c r="F15" s="230">
        <f t="shared" si="8"/>
        <v>672.22222222222217</v>
      </c>
      <c r="G15" s="230">
        <f t="shared" si="8"/>
        <v>672.22222222222217</v>
      </c>
      <c r="H15" s="230">
        <f t="shared" si="8"/>
        <v>672.22222222222217</v>
      </c>
      <c r="I15" s="230">
        <f t="shared" si="8"/>
        <v>672.22222222222217</v>
      </c>
      <c r="J15" s="230">
        <f t="shared" si="8"/>
        <v>672.22222222222217</v>
      </c>
      <c r="K15" s="230">
        <f t="shared" si="8"/>
        <v>672.22222222222217</v>
      </c>
      <c r="L15" s="230">
        <f t="shared" si="8"/>
        <v>672.22222222222217</v>
      </c>
      <c r="M15" s="230">
        <f t="shared" si="8"/>
        <v>672.22222222222217</v>
      </c>
      <c r="N15" s="230">
        <f t="shared" si="8"/>
        <v>672.22222222222217</v>
      </c>
      <c r="O15" s="230">
        <f t="shared" si="8"/>
        <v>672.22222222222217</v>
      </c>
      <c r="P15" s="230">
        <f t="shared" si="8"/>
        <v>672.22222222222217</v>
      </c>
      <c r="Q15" s="100"/>
      <c r="R15" s="100"/>
      <c r="S15" s="100"/>
      <c r="T15" s="100"/>
      <c r="U15" s="100"/>
      <c r="V15" s="100"/>
      <c r="W15" s="100"/>
      <c r="X15" s="100"/>
      <c r="Y15" s="100"/>
      <c r="Z15" s="100"/>
      <c r="AA15" s="100"/>
      <c r="AB15" s="100"/>
      <c r="AC15" s="100"/>
      <c r="AD15" s="100"/>
    </row>
    <row r="16" spans="1:30" x14ac:dyDescent="0.25">
      <c r="A16" s="232" t="s">
        <v>670</v>
      </c>
      <c r="B16" s="230">
        <f>AVERAGE($B$14:$J$14)/100*90</f>
        <v>604.99999999999989</v>
      </c>
      <c r="C16" s="230">
        <f t="shared" ref="C16:P16" si="9">AVERAGE($B$14:$J$14)/100*90</f>
        <v>604.99999999999989</v>
      </c>
      <c r="D16" s="230">
        <f t="shared" si="9"/>
        <v>604.99999999999989</v>
      </c>
      <c r="E16" s="230">
        <f t="shared" si="9"/>
        <v>604.99999999999989</v>
      </c>
      <c r="F16" s="230">
        <f t="shared" si="9"/>
        <v>604.99999999999989</v>
      </c>
      <c r="G16" s="230">
        <f t="shared" si="9"/>
        <v>604.99999999999989</v>
      </c>
      <c r="H16" s="230">
        <f t="shared" si="9"/>
        <v>604.99999999999989</v>
      </c>
      <c r="I16" s="230">
        <f t="shared" si="9"/>
        <v>604.99999999999989</v>
      </c>
      <c r="J16" s="230">
        <f t="shared" si="9"/>
        <v>604.99999999999989</v>
      </c>
      <c r="K16" s="230">
        <f t="shared" si="9"/>
        <v>604.99999999999989</v>
      </c>
      <c r="L16" s="230">
        <f t="shared" si="9"/>
        <v>604.99999999999989</v>
      </c>
      <c r="M16" s="230">
        <f t="shared" si="9"/>
        <v>604.99999999999989</v>
      </c>
      <c r="N16" s="230">
        <f t="shared" si="9"/>
        <v>604.99999999999989</v>
      </c>
      <c r="O16" s="230">
        <f t="shared" si="9"/>
        <v>604.99999999999989</v>
      </c>
      <c r="P16" s="230">
        <f t="shared" si="9"/>
        <v>604.99999999999989</v>
      </c>
      <c r="Q16" s="100"/>
      <c r="R16" s="100"/>
      <c r="S16" s="100"/>
      <c r="T16" s="100"/>
      <c r="U16" s="100"/>
      <c r="V16" s="100"/>
      <c r="W16" s="100"/>
      <c r="X16" s="100"/>
      <c r="Y16" s="100"/>
      <c r="Z16" s="100"/>
      <c r="AA16" s="100"/>
      <c r="AB16" s="100"/>
      <c r="AC16" s="100"/>
      <c r="AD16" s="100"/>
    </row>
    <row r="17" spans="1:30" x14ac:dyDescent="0.25">
      <c r="A17" s="232" t="s">
        <v>670</v>
      </c>
      <c r="B17" s="230">
        <f>AVERAGE($B$14:$J$14)/100*80</f>
        <v>537.77777777777771</v>
      </c>
      <c r="C17" s="230">
        <f t="shared" ref="C17:P17" si="10">AVERAGE($B$14:$J$14)/100*80</f>
        <v>537.77777777777771</v>
      </c>
      <c r="D17" s="230">
        <f t="shared" si="10"/>
        <v>537.77777777777771</v>
      </c>
      <c r="E17" s="230">
        <f t="shared" si="10"/>
        <v>537.77777777777771</v>
      </c>
      <c r="F17" s="230">
        <f t="shared" si="10"/>
        <v>537.77777777777771</v>
      </c>
      <c r="G17" s="230">
        <f t="shared" si="10"/>
        <v>537.77777777777771</v>
      </c>
      <c r="H17" s="230">
        <f t="shared" si="10"/>
        <v>537.77777777777771</v>
      </c>
      <c r="I17" s="230">
        <f t="shared" si="10"/>
        <v>537.77777777777771</v>
      </c>
      <c r="J17" s="230">
        <f t="shared" si="10"/>
        <v>537.77777777777771</v>
      </c>
      <c r="K17" s="230">
        <f t="shared" si="10"/>
        <v>537.77777777777771</v>
      </c>
      <c r="L17" s="230">
        <f t="shared" si="10"/>
        <v>537.77777777777771</v>
      </c>
      <c r="M17" s="230">
        <f t="shared" si="10"/>
        <v>537.77777777777771</v>
      </c>
      <c r="N17" s="230">
        <f t="shared" si="10"/>
        <v>537.77777777777771</v>
      </c>
      <c r="O17" s="230">
        <f t="shared" si="10"/>
        <v>537.77777777777771</v>
      </c>
      <c r="P17" s="230">
        <f t="shared" si="10"/>
        <v>537.77777777777771</v>
      </c>
      <c r="Q17" s="100"/>
      <c r="R17" s="100"/>
      <c r="S17" s="100"/>
      <c r="T17" s="100"/>
      <c r="U17" s="100"/>
      <c r="V17" s="100"/>
      <c r="W17" s="100"/>
      <c r="X17" s="100"/>
      <c r="Y17" s="100"/>
      <c r="Z17" s="100"/>
      <c r="AA17" s="100"/>
      <c r="AB17" s="100"/>
      <c r="AC17" s="100"/>
      <c r="AD17" s="100"/>
    </row>
    <row r="18" spans="1:30" x14ac:dyDescent="0.25">
      <c r="A18" s="232" t="s">
        <v>670</v>
      </c>
      <c r="B18" s="230">
        <f>AVERAGE($B$14:$J$14)/100*110</f>
        <v>739.44444444444434</v>
      </c>
      <c r="C18" s="230">
        <f t="shared" ref="C18:P18" si="11">AVERAGE($B$14:$J$14)/100*110</f>
        <v>739.44444444444434</v>
      </c>
      <c r="D18" s="230">
        <f t="shared" si="11"/>
        <v>739.44444444444434</v>
      </c>
      <c r="E18" s="230">
        <f t="shared" si="11"/>
        <v>739.44444444444434</v>
      </c>
      <c r="F18" s="230">
        <f t="shared" si="11"/>
        <v>739.44444444444434</v>
      </c>
      <c r="G18" s="230">
        <f t="shared" si="11"/>
        <v>739.44444444444434</v>
      </c>
      <c r="H18" s="230">
        <f t="shared" si="11"/>
        <v>739.44444444444434</v>
      </c>
      <c r="I18" s="230">
        <f t="shared" si="11"/>
        <v>739.44444444444434</v>
      </c>
      <c r="J18" s="230">
        <f t="shared" si="11"/>
        <v>739.44444444444434</v>
      </c>
      <c r="K18" s="230">
        <f t="shared" si="11"/>
        <v>739.44444444444434</v>
      </c>
      <c r="L18" s="230">
        <f t="shared" si="11"/>
        <v>739.44444444444434</v>
      </c>
      <c r="M18" s="230">
        <f t="shared" si="11"/>
        <v>739.44444444444434</v>
      </c>
      <c r="N18" s="230">
        <f t="shared" si="11"/>
        <v>739.44444444444434</v>
      </c>
      <c r="O18" s="230">
        <f t="shared" si="11"/>
        <v>739.44444444444434</v>
      </c>
      <c r="P18" s="230">
        <f t="shared" si="11"/>
        <v>739.44444444444434</v>
      </c>
      <c r="Q18" s="100"/>
      <c r="R18" s="100"/>
      <c r="S18" s="100"/>
      <c r="T18" s="100"/>
      <c r="U18" s="100"/>
      <c r="V18" s="100"/>
      <c r="W18" s="100"/>
      <c r="X18" s="100"/>
      <c r="Y18" s="100"/>
      <c r="Z18" s="100"/>
      <c r="AA18" s="100"/>
      <c r="AB18" s="100"/>
      <c r="AC18" s="100"/>
      <c r="AD18" s="100"/>
    </row>
    <row r="19" spans="1:30" x14ac:dyDescent="0.25">
      <c r="A19" s="232" t="s">
        <v>670</v>
      </c>
      <c r="B19" s="230">
        <f>AVERAGE($B$14:$J$14)/100*120</f>
        <v>806.66666666666652</v>
      </c>
      <c r="C19" s="230">
        <f t="shared" ref="C19:P19" si="12">AVERAGE($B$14:$J$14)/100*120</f>
        <v>806.66666666666652</v>
      </c>
      <c r="D19" s="230">
        <f t="shared" si="12"/>
        <v>806.66666666666652</v>
      </c>
      <c r="E19" s="230">
        <f t="shared" si="12"/>
        <v>806.66666666666652</v>
      </c>
      <c r="F19" s="230">
        <f t="shared" si="12"/>
        <v>806.66666666666652</v>
      </c>
      <c r="G19" s="230">
        <f t="shared" si="12"/>
        <v>806.66666666666652</v>
      </c>
      <c r="H19" s="230">
        <f t="shared" si="12"/>
        <v>806.66666666666652</v>
      </c>
      <c r="I19" s="230">
        <f t="shared" si="12"/>
        <v>806.66666666666652</v>
      </c>
      <c r="J19" s="230">
        <f t="shared" si="12"/>
        <v>806.66666666666652</v>
      </c>
      <c r="K19" s="230">
        <f t="shared" si="12"/>
        <v>806.66666666666652</v>
      </c>
      <c r="L19" s="230">
        <f t="shared" si="12"/>
        <v>806.66666666666652</v>
      </c>
      <c r="M19" s="230">
        <f t="shared" si="12"/>
        <v>806.66666666666652</v>
      </c>
      <c r="N19" s="230">
        <f t="shared" si="12"/>
        <v>806.66666666666652</v>
      </c>
      <c r="O19" s="230">
        <f t="shared" si="12"/>
        <v>806.66666666666652</v>
      </c>
      <c r="P19" s="230">
        <f t="shared" si="12"/>
        <v>806.66666666666652</v>
      </c>
      <c r="Q19" s="100"/>
      <c r="R19" s="100"/>
      <c r="S19" s="100"/>
      <c r="T19" s="100"/>
      <c r="U19" s="100"/>
      <c r="V19" s="100"/>
      <c r="W19" s="100"/>
      <c r="X19" s="100"/>
      <c r="Y19" s="100"/>
      <c r="Z19" s="100"/>
      <c r="AA19" s="100"/>
      <c r="AB19" s="100"/>
      <c r="AC19" s="100"/>
      <c r="AD19" s="100"/>
    </row>
    <row r="20" spans="1:30" x14ac:dyDescent="0.25">
      <c r="A20" s="104" t="s">
        <v>652</v>
      </c>
      <c r="B20" s="105" t="s">
        <v>762</v>
      </c>
      <c r="C20" s="105" t="s">
        <v>759</v>
      </c>
      <c r="D20" s="105" t="s">
        <v>763</v>
      </c>
      <c r="E20" s="105" t="s">
        <v>682</v>
      </c>
      <c r="F20" s="105" t="s">
        <v>764</v>
      </c>
      <c r="G20" s="105" t="s">
        <v>692</v>
      </c>
      <c r="H20" s="105" t="s">
        <v>765</v>
      </c>
      <c r="I20" s="105" t="s">
        <v>766</v>
      </c>
      <c r="J20" s="105" t="s">
        <v>661</v>
      </c>
      <c r="K20" s="105" t="s">
        <v>662</v>
      </c>
      <c r="L20" s="117" t="s">
        <v>663</v>
      </c>
      <c r="M20" s="105" t="s">
        <v>685</v>
      </c>
      <c r="N20" s="105" t="s">
        <v>665</v>
      </c>
      <c r="O20" s="104" t="s">
        <v>767</v>
      </c>
      <c r="P20" s="105" t="s">
        <v>667</v>
      </c>
      <c r="Q20" s="100"/>
      <c r="R20" s="100"/>
      <c r="S20" s="100"/>
      <c r="T20" s="100"/>
      <c r="U20" s="100"/>
      <c r="V20" s="100"/>
      <c r="W20" s="100"/>
      <c r="X20" s="100"/>
      <c r="Y20" s="100"/>
      <c r="Z20" s="100"/>
      <c r="AA20" s="100"/>
      <c r="AB20" s="100"/>
      <c r="AC20" s="100"/>
      <c r="AD20" s="100"/>
    </row>
    <row r="21" spans="1:30" x14ac:dyDescent="0.25">
      <c r="A21" s="103" t="s">
        <v>671</v>
      </c>
      <c r="B21" s="100">
        <v>42</v>
      </c>
      <c r="C21" s="100">
        <v>67</v>
      </c>
      <c r="D21" s="100">
        <v>52</v>
      </c>
      <c r="E21" s="100">
        <v>49</v>
      </c>
      <c r="F21" s="100">
        <v>52</v>
      </c>
      <c r="G21" s="100">
        <v>48</v>
      </c>
      <c r="H21" s="108">
        <v>62</v>
      </c>
      <c r="I21" s="108">
        <v>52</v>
      </c>
      <c r="J21" s="100">
        <v>61</v>
      </c>
      <c r="K21" s="100">
        <v>50</v>
      </c>
      <c r="L21" s="100">
        <v>35</v>
      </c>
      <c r="M21" s="100">
        <v>40</v>
      </c>
      <c r="N21" s="59">
        <v>39</v>
      </c>
      <c r="O21" s="165">
        <v>54</v>
      </c>
      <c r="P21" s="100">
        <v>49</v>
      </c>
      <c r="Q21" s="100"/>
      <c r="R21" s="100"/>
      <c r="S21" s="100"/>
      <c r="T21" s="100"/>
      <c r="U21" s="100"/>
      <c r="V21" s="100"/>
      <c r="W21" s="100"/>
      <c r="X21" s="100"/>
      <c r="Y21" s="100"/>
      <c r="Z21" s="100"/>
      <c r="AA21" s="100"/>
      <c r="AB21" s="100"/>
      <c r="AC21" s="100"/>
      <c r="AD21" s="100"/>
    </row>
    <row r="22" spans="1:30" x14ac:dyDescent="0.25">
      <c r="A22" s="103" t="s">
        <v>671</v>
      </c>
      <c r="B22" s="194">
        <f>AVERAGE($B$21:$P$21)</f>
        <v>50.133333333333333</v>
      </c>
      <c r="C22" s="194">
        <f t="shared" ref="C22:P22" si="13">AVERAGE($B$21:$P$21)</f>
        <v>50.133333333333333</v>
      </c>
      <c r="D22" s="194">
        <f t="shared" si="13"/>
        <v>50.133333333333333</v>
      </c>
      <c r="E22" s="194">
        <f t="shared" si="13"/>
        <v>50.133333333333333</v>
      </c>
      <c r="F22" s="194">
        <f t="shared" si="13"/>
        <v>50.133333333333333</v>
      </c>
      <c r="G22" s="194">
        <f t="shared" si="13"/>
        <v>50.133333333333333</v>
      </c>
      <c r="H22" s="194">
        <f t="shared" si="13"/>
        <v>50.133333333333333</v>
      </c>
      <c r="I22" s="194">
        <f t="shared" si="13"/>
        <v>50.133333333333333</v>
      </c>
      <c r="J22" s="194">
        <f t="shared" si="13"/>
        <v>50.133333333333333</v>
      </c>
      <c r="K22" s="194">
        <f t="shared" si="13"/>
        <v>50.133333333333333</v>
      </c>
      <c r="L22" s="194">
        <f t="shared" si="13"/>
        <v>50.133333333333333</v>
      </c>
      <c r="M22" s="194">
        <f t="shared" si="13"/>
        <v>50.133333333333333</v>
      </c>
      <c r="N22" s="194">
        <f t="shared" si="13"/>
        <v>50.133333333333333</v>
      </c>
      <c r="O22" s="194">
        <f t="shared" si="13"/>
        <v>50.133333333333333</v>
      </c>
      <c r="P22" s="194">
        <f t="shared" si="13"/>
        <v>50.133333333333333</v>
      </c>
      <c r="Q22" s="100"/>
      <c r="R22" s="100"/>
      <c r="S22" s="100"/>
      <c r="T22" s="100"/>
      <c r="U22" s="100"/>
      <c r="V22" s="100"/>
      <c r="W22" s="100"/>
      <c r="X22" s="100"/>
      <c r="Y22" s="100"/>
      <c r="Z22" s="100"/>
      <c r="AA22" s="100"/>
      <c r="AB22" s="100"/>
      <c r="AC22" s="100"/>
      <c r="AD22" s="100"/>
    </row>
    <row r="23" spans="1:30" x14ac:dyDescent="0.25">
      <c r="A23" s="103" t="s">
        <v>671</v>
      </c>
      <c r="B23" s="194">
        <f>AVERAGE($B$21:$P$21)/100*90</f>
        <v>45.12</v>
      </c>
      <c r="C23" s="194">
        <f t="shared" ref="C23:P23" si="14">AVERAGE($B$21:$P$21)/100*90</f>
        <v>45.12</v>
      </c>
      <c r="D23" s="194">
        <f t="shared" si="14"/>
        <v>45.12</v>
      </c>
      <c r="E23" s="194">
        <f t="shared" si="14"/>
        <v>45.12</v>
      </c>
      <c r="F23" s="194">
        <f t="shared" si="14"/>
        <v>45.12</v>
      </c>
      <c r="G23" s="194">
        <f t="shared" si="14"/>
        <v>45.12</v>
      </c>
      <c r="H23" s="194">
        <f t="shared" si="14"/>
        <v>45.12</v>
      </c>
      <c r="I23" s="194">
        <f t="shared" si="14"/>
        <v>45.12</v>
      </c>
      <c r="J23" s="194">
        <f t="shared" si="14"/>
        <v>45.12</v>
      </c>
      <c r="K23" s="194">
        <f t="shared" si="14"/>
        <v>45.12</v>
      </c>
      <c r="L23" s="194">
        <f t="shared" si="14"/>
        <v>45.12</v>
      </c>
      <c r="M23" s="194">
        <f t="shared" si="14"/>
        <v>45.12</v>
      </c>
      <c r="N23" s="194">
        <f t="shared" si="14"/>
        <v>45.12</v>
      </c>
      <c r="O23" s="194">
        <f t="shared" si="14"/>
        <v>45.12</v>
      </c>
      <c r="P23" s="194">
        <f t="shared" si="14"/>
        <v>45.12</v>
      </c>
      <c r="Q23" s="100"/>
      <c r="R23" s="100"/>
      <c r="S23" s="100"/>
      <c r="T23" s="100"/>
      <c r="U23" s="100"/>
      <c r="V23" s="100"/>
      <c r="W23" s="100"/>
      <c r="X23" s="100"/>
      <c r="Y23" s="100"/>
      <c r="Z23" s="100"/>
      <c r="AA23" s="100"/>
      <c r="AB23" s="100"/>
      <c r="AC23" s="100"/>
      <c r="AD23" s="100"/>
    </row>
    <row r="24" spans="1:30" x14ac:dyDescent="0.25">
      <c r="A24" s="103" t="s">
        <v>671</v>
      </c>
      <c r="B24" s="194">
        <f>(AVERAGE($B$21:$P$21))+(AVERAGE($B$21:$P$21)/100*10)</f>
        <v>55.146666666666668</v>
      </c>
      <c r="C24" s="194">
        <f t="shared" ref="C24:P24" si="15">(AVERAGE($B$21:$P$21))+(AVERAGE($B$21:$P$21)/100*10)</f>
        <v>55.146666666666668</v>
      </c>
      <c r="D24" s="194">
        <f t="shared" si="15"/>
        <v>55.146666666666668</v>
      </c>
      <c r="E24" s="194">
        <f t="shared" si="15"/>
        <v>55.146666666666668</v>
      </c>
      <c r="F24" s="194">
        <f t="shared" si="15"/>
        <v>55.146666666666668</v>
      </c>
      <c r="G24" s="194">
        <f t="shared" si="15"/>
        <v>55.146666666666668</v>
      </c>
      <c r="H24" s="194">
        <f t="shared" si="15"/>
        <v>55.146666666666668</v>
      </c>
      <c r="I24" s="194">
        <f t="shared" si="15"/>
        <v>55.146666666666668</v>
      </c>
      <c r="J24" s="194">
        <f t="shared" si="15"/>
        <v>55.146666666666668</v>
      </c>
      <c r="K24" s="194">
        <f t="shared" si="15"/>
        <v>55.146666666666668</v>
      </c>
      <c r="L24" s="194">
        <f t="shared" si="15"/>
        <v>55.146666666666668</v>
      </c>
      <c r="M24" s="194">
        <f t="shared" si="15"/>
        <v>55.146666666666668</v>
      </c>
      <c r="N24" s="194">
        <f t="shared" si="15"/>
        <v>55.146666666666668</v>
      </c>
      <c r="O24" s="194">
        <f t="shared" si="15"/>
        <v>55.146666666666668</v>
      </c>
      <c r="P24" s="194">
        <f t="shared" si="15"/>
        <v>55.146666666666668</v>
      </c>
      <c r="Q24" s="100"/>
      <c r="R24" s="100"/>
      <c r="S24" s="100"/>
      <c r="T24" s="100"/>
      <c r="U24" s="100"/>
      <c r="V24" s="100"/>
      <c r="W24" s="100"/>
      <c r="X24" s="100"/>
      <c r="Y24" s="100"/>
      <c r="Z24" s="100"/>
      <c r="AA24" s="100"/>
      <c r="AB24" s="100"/>
      <c r="AC24" s="100"/>
      <c r="AD24" s="100"/>
    </row>
    <row r="25" spans="1:30" x14ac:dyDescent="0.25">
      <c r="A25" s="103" t="s">
        <v>671</v>
      </c>
      <c r="B25" s="194">
        <f>AVERAGE($B$21:$P$21)/100*80</f>
        <v>40.106666666666662</v>
      </c>
      <c r="C25" s="194">
        <f t="shared" ref="C25:P25" si="16">AVERAGE($B$21:$P$21)/100*80</f>
        <v>40.106666666666662</v>
      </c>
      <c r="D25" s="194">
        <f t="shared" si="16"/>
        <v>40.106666666666662</v>
      </c>
      <c r="E25" s="194">
        <f t="shared" si="16"/>
        <v>40.106666666666662</v>
      </c>
      <c r="F25" s="194">
        <f t="shared" si="16"/>
        <v>40.106666666666662</v>
      </c>
      <c r="G25" s="194">
        <f t="shared" si="16"/>
        <v>40.106666666666662</v>
      </c>
      <c r="H25" s="194">
        <f t="shared" si="16"/>
        <v>40.106666666666662</v>
      </c>
      <c r="I25" s="194">
        <f t="shared" si="16"/>
        <v>40.106666666666662</v>
      </c>
      <c r="J25" s="194">
        <f t="shared" si="16"/>
        <v>40.106666666666662</v>
      </c>
      <c r="K25" s="194">
        <f t="shared" si="16"/>
        <v>40.106666666666662</v>
      </c>
      <c r="L25" s="194">
        <f t="shared" si="16"/>
        <v>40.106666666666662</v>
      </c>
      <c r="M25" s="194">
        <f t="shared" si="16"/>
        <v>40.106666666666662</v>
      </c>
      <c r="N25" s="194">
        <f t="shared" si="16"/>
        <v>40.106666666666662</v>
      </c>
      <c r="O25" s="194">
        <f t="shared" si="16"/>
        <v>40.106666666666662</v>
      </c>
      <c r="P25" s="194">
        <f t="shared" si="16"/>
        <v>40.106666666666662</v>
      </c>
      <c r="Q25" s="100"/>
      <c r="R25" s="100"/>
      <c r="S25" s="100"/>
      <c r="T25" s="100"/>
      <c r="U25" s="100"/>
      <c r="V25" s="100"/>
      <c r="W25" s="100"/>
      <c r="X25" s="100"/>
      <c r="Y25" s="100"/>
      <c r="Z25" s="100"/>
      <c r="AA25" s="100"/>
      <c r="AB25" s="100"/>
      <c r="AC25" s="100"/>
      <c r="AD25" s="100"/>
    </row>
    <row r="26" spans="1:30" x14ac:dyDescent="0.25">
      <c r="A26" s="103" t="s">
        <v>671</v>
      </c>
      <c r="B26" s="194">
        <f>(AVERAGE($B$21:$P$21))+(AVERAGE($B$21:$P$21)/100*20)</f>
        <v>60.16</v>
      </c>
      <c r="C26" s="194">
        <f t="shared" ref="C26:P26" si="17">(AVERAGE($B$21:$P$21))+(AVERAGE($B$21:$P$21)/100*20)</f>
        <v>60.16</v>
      </c>
      <c r="D26" s="194">
        <f t="shared" si="17"/>
        <v>60.16</v>
      </c>
      <c r="E26" s="194">
        <f t="shared" si="17"/>
        <v>60.16</v>
      </c>
      <c r="F26" s="194">
        <f t="shared" si="17"/>
        <v>60.16</v>
      </c>
      <c r="G26" s="194">
        <f t="shared" si="17"/>
        <v>60.16</v>
      </c>
      <c r="H26" s="194">
        <f t="shared" si="17"/>
        <v>60.16</v>
      </c>
      <c r="I26" s="194">
        <f t="shared" si="17"/>
        <v>60.16</v>
      </c>
      <c r="J26" s="194">
        <f t="shared" si="17"/>
        <v>60.16</v>
      </c>
      <c r="K26" s="194">
        <f t="shared" si="17"/>
        <v>60.16</v>
      </c>
      <c r="L26" s="194">
        <f t="shared" si="17"/>
        <v>60.16</v>
      </c>
      <c r="M26" s="194">
        <f t="shared" si="17"/>
        <v>60.16</v>
      </c>
      <c r="N26" s="194">
        <f t="shared" si="17"/>
        <v>60.16</v>
      </c>
      <c r="O26" s="194">
        <f t="shared" si="17"/>
        <v>60.16</v>
      </c>
      <c r="P26" s="194">
        <f t="shared" si="17"/>
        <v>60.16</v>
      </c>
      <c r="Q26" s="100"/>
      <c r="R26" s="100"/>
      <c r="S26" s="100"/>
      <c r="T26" s="100"/>
      <c r="U26" s="100"/>
      <c r="V26" s="100"/>
      <c r="W26" s="100"/>
      <c r="X26" s="100"/>
      <c r="Y26" s="100"/>
      <c r="Z26" s="100"/>
      <c r="AA26" s="100"/>
      <c r="AB26" s="100"/>
      <c r="AC26" s="100"/>
      <c r="AD26" s="100"/>
    </row>
    <row r="27" spans="1:30" x14ac:dyDescent="0.25">
      <c r="A27" s="104" t="s">
        <v>652</v>
      </c>
      <c r="B27" s="105" t="s">
        <v>762</v>
      </c>
      <c r="C27" s="105" t="s">
        <v>759</v>
      </c>
      <c r="D27" s="105" t="s">
        <v>763</v>
      </c>
      <c r="E27" s="105" t="s">
        <v>682</v>
      </c>
      <c r="F27" s="105" t="s">
        <v>764</v>
      </c>
      <c r="G27" s="105" t="s">
        <v>692</v>
      </c>
      <c r="H27" s="105" t="s">
        <v>765</v>
      </c>
      <c r="I27" s="105" t="s">
        <v>766</v>
      </c>
      <c r="J27" s="105" t="s">
        <v>661</v>
      </c>
      <c r="K27" s="105" t="s">
        <v>662</v>
      </c>
      <c r="L27" s="117" t="s">
        <v>663</v>
      </c>
      <c r="M27" s="105" t="s">
        <v>685</v>
      </c>
      <c r="N27" s="105" t="s">
        <v>665</v>
      </c>
      <c r="O27" s="104" t="s">
        <v>767</v>
      </c>
      <c r="P27" s="105" t="s">
        <v>667</v>
      </c>
      <c r="Q27" s="100"/>
      <c r="R27" s="100"/>
      <c r="S27" s="100"/>
      <c r="T27" s="100"/>
      <c r="U27" s="100"/>
      <c r="V27" s="100"/>
      <c r="W27" s="100"/>
      <c r="X27" s="100"/>
      <c r="Y27" s="100"/>
      <c r="Z27" s="100"/>
      <c r="AA27" s="100"/>
      <c r="AB27" s="100"/>
      <c r="AC27" s="100"/>
      <c r="AD27" s="100"/>
    </row>
    <row r="28" spans="1:30" x14ac:dyDescent="0.25">
      <c r="A28" s="103" t="s">
        <v>672</v>
      </c>
      <c r="B28" s="100">
        <v>54</v>
      </c>
      <c r="C28" s="100">
        <v>70</v>
      </c>
      <c r="D28" s="100">
        <v>55</v>
      </c>
      <c r="E28" s="100">
        <v>53</v>
      </c>
      <c r="F28" s="100">
        <v>64</v>
      </c>
      <c r="G28" s="100">
        <v>55</v>
      </c>
      <c r="H28" s="108">
        <v>57</v>
      </c>
      <c r="I28" s="108">
        <v>57</v>
      </c>
      <c r="J28" s="100">
        <v>63</v>
      </c>
      <c r="K28" s="100">
        <v>50</v>
      </c>
      <c r="L28" s="100">
        <v>39</v>
      </c>
      <c r="M28" s="100">
        <v>49</v>
      </c>
      <c r="N28" s="59">
        <v>59</v>
      </c>
      <c r="O28" s="165">
        <v>60</v>
      </c>
      <c r="P28" s="100">
        <v>66</v>
      </c>
      <c r="Q28" s="100"/>
      <c r="R28" s="100"/>
      <c r="S28" s="100"/>
      <c r="T28" s="100"/>
      <c r="U28" s="100"/>
      <c r="V28" s="100"/>
      <c r="W28" s="100"/>
      <c r="X28" s="100"/>
      <c r="Y28" s="100"/>
      <c r="Z28" s="100"/>
      <c r="AA28" s="100"/>
      <c r="AB28" s="100"/>
      <c r="AC28" s="100"/>
      <c r="AD28" s="100"/>
    </row>
    <row r="29" spans="1:30" x14ac:dyDescent="0.25">
      <c r="A29" s="103" t="s">
        <v>672</v>
      </c>
      <c r="B29" s="194">
        <f>AVERAGE($B$28:$P$28)</f>
        <v>56.733333333333334</v>
      </c>
      <c r="C29" s="194">
        <f t="shared" ref="C29:P29" si="18">AVERAGE($B$28:$P$28)</f>
        <v>56.733333333333334</v>
      </c>
      <c r="D29" s="194">
        <f t="shared" si="18"/>
        <v>56.733333333333334</v>
      </c>
      <c r="E29" s="194">
        <f t="shared" si="18"/>
        <v>56.733333333333334</v>
      </c>
      <c r="F29" s="194">
        <f t="shared" si="18"/>
        <v>56.733333333333334</v>
      </c>
      <c r="G29" s="194">
        <f t="shared" si="18"/>
        <v>56.733333333333334</v>
      </c>
      <c r="H29" s="194">
        <f t="shared" si="18"/>
        <v>56.733333333333334</v>
      </c>
      <c r="I29" s="194">
        <f t="shared" si="18"/>
        <v>56.733333333333334</v>
      </c>
      <c r="J29" s="194">
        <f t="shared" si="18"/>
        <v>56.733333333333334</v>
      </c>
      <c r="K29" s="194">
        <f t="shared" si="18"/>
        <v>56.733333333333334</v>
      </c>
      <c r="L29" s="194">
        <f t="shared" si="18"/>
        <v>56.733333333333334</v>
      </c>
      <c r="M29" s="194">
        <f t="shared" si="18"/>
        <v>56.733333333333334</v>
      </c>
      <c r="N29" s="194">
        <f t="shared" si="18"/>
        <v>56.733333333333334</v>
      </c>
      <c r="O29" s="194">
        <f t="shared" si="18"/>
        <v>56.733333333333334</v>
      </c>
      <c r="P29" s="194">
        <f t="shared" si="18"/>
        <v>56.733333333333334</v>
      </c>
      <c r="Q29" s="100"/>
      <c r="R29" s="100"/>
      <c r="S29" s="100"/>
      <c r="T29" s="100"/>
      <c r="U29" s="100"/>
      <c r="V29" s="100"/>
      <c r="W29" s="100"/>
      <c r="X29" s="100"/>
      <c r="Y29" s="100"/>
      <c r="Z29" s="100"/>
      <c r="AA29" s="100"/>
      <c r="AB29" s="100"/>
      <c r="AC29" s="100"/>
      <c r="AD29" s="100"/>
    </row>
    <row r="30" spans="1:30" x14ac:dyDescent="0.25">
      <c r="A30" s="103" t="s">
        <v>672</v>
      </c>
      <c r="B30" s="194">
        <f>AVERAGE($B$28:$P$28)/100*90</f>
        <v>51.06</v>
      </c>
      <c r="C30" s="194">
        <f t="shared" ref="C30:P30" si="19">AVERAGE($B$28:$P$28)/100*90</f>
        <v>51.06</v>
      </c>
      <c r="D30" s="194">
        <f t="shared" si="19"/>
        <v>51.06</v>
      </c>
      <c r="E30" s="194">
        <f t="shared" si="19"/>
        <v>51.06</v>
      </c>
      <c r="F30" s="194">
        <f t="shared" si="19"/>
        <v>51.06</v>
      </c>
      <c r="G30" s="194">
        <f t="shared" si="19"/>
        <v>51.06</v>
      </c>
      <c r="H30" s="194">
        <f t="shared" si="19"/>
        <v>51.06</v>
      </c>
      <c r="I30" s="194">
        <f t="shared" si="19"/>
        <v>51.06</v>
      </c>
      <c r="J30" s="194">
        <f t="shared" si="19"/>
        <v>51.06</v>
      </c>
      <c r="K30" s="194">
        <f t="shared" si="19"/>
        <v>51.06</v>
      </c>
      <c r="L30" s="194">
        <f t="shared" si="19"/>
        <v>51.06</v>
      </c>
      <c r="M30" s="194">
        <f t="shared" si="19"/>
        <v>51.06</v>
      </c>
      <c r="N30" s="194">
        <f t="shared" si="19"/>
        <v>51.06</v>
      </c>
      <c r="O30" s="194">
        <f t="shared" si="19"/>
        <v>51.06</v>
      </c>
      <c r="P30" s="194">
        <f t="shared" si="19"/>
        <v>51.06</v>
      </c>
      <c r="Q30" s="100"/>
      <c r="R30" s="100"/>
      <c r="S30" s="100"/>
      <c r="T30" s="100"/>
      <c r="U30" s="100"/>
      <c r="V30" s="100"/>
      <c r="W30" s="100"/>
      <c r="X30" s="100"/>
      <c r="Y30" s="100"/>
      <c r="Z30" s="100"/>
      <c r="AA30" s="100"/>
      <c r="AB30" s="100"/>
      <c r="AC30" s="100"/>
      <c r="AD30" s="100"/>
    </row>
    <row r="31" spans="1:30" x14ac:dyDescent="0.25">
      <c r="A31" s="103" t="s">
        <v>672</v>
      </c>
      <c r="B31" s="194">
        <f>(AVERAGE($B$28:$P$28))+(AVERAGE($B$28:$O$28)/100*10)</f>
        <v>62.340476190476195</v>
      </c>
      <c r="C31" s="194">
        <f t="shared" ref="C31:P31" si="20">(AVERAGE($B$28:$P$28))+(AVERAGE($B$28:$O$28)/100*10)</f>
        <v>62.340476190476195</v>
      </c>
      <c r="D31" s="194">
        <f t="shared" si="20"/>
        <v>62.340476190476195</v>
      </c>
      <c r="E31" s="194">
        <f t="shared" si="20"/>
        <v>62.340476190476195</v>
      </c>
      <c r="F31" s="194">
        <f t="shared" si="20"/>
        <v>62.340476190476195</v>
      </c>
      <c r="G31" s="194">
        <f t="shared" si="20"/>
        <v>62.340476190476195</v>
      </c>
      <c r="H31" s="194">
        <f t="shared" si="20"/>
        <v>62.340476190476195</v>
      </c>
      <c r="I31" s="194">
        <f t="shared" si="20"/>
        <v>62.340476190476195</v>
      </c>
      <c r="J31" s="194">
        <f t="shared" si="20"/>
        <v>62.340476190476195</v>
      </c>
      <c r="K31" s="194">
        <f t="shared" si="20"/>
        <v>62.340476190476195</v>
      </c>
      <c r="L31" s="194">
        <f t="shared" si="20"/>
        <v>62.340476190476195</v>
      </c>
      <c r="M31" s="194">
        <f t="shared" si="20"/>
        <v>62.340476190476195</v>
      </c>
      <c r="N31" s="194">
        <f t="shared" si="20"/>
        <v>62.340476190476195</v>
      </c>
      <c r="O31" s="194">
        <f t="shared" si="20"/>
        <v>62.340476190476195</v>
      </c>
      <c r="P31" s="194">
        <f t="shared" si="20"/>
        <v>62.340476190476195</v>
      </c>
      <c r="Q31" s="100"/>
      <c r="R31" s="100"/>
      <c r="S31" s="100"/>
      <c r="T31" s="100"/>
      <c r="U31" s="100"/>
      <c r="V31" s="100"/>
      <c r="W31" s="100"/>
      <c r="X31" s="100"/>
      <c r="Y31" s="100"/>
      <c r="Z31" s="100"/>
      <c r="AA31" s="100"/>
      <c r="AB31" s="100"/>
      <c r="AC31" s="100"/>
      <c r="AD31" s="100"/>
    </row>
    <row r="32" spans="1:30" x14ac:dyDescent="0.25">
      <c r="A32" s="103" t="s">
        <v>672</v>
      </c>
      <c r="B32" s="194">
        <f>AVERAGE($B$28:$P$28)/100*80</f>
        <v>45.38666666666667</v>
      </c>
      <c r="C32" s="194">
        <f t="shared" ref="C32:P32" si="21">AVERAGE($B$28:$P$28)/100*80</f>
        <v>45.38666666666667</v>
      </c>
      <c r="D32" s="194">
        <f t="shared" si="21"/>
        <v>45.38666666666667</v>
      </c>
      <c r="E32" s="194">
        <f t="shared" si="21"/>
        <v>45.38666666666667</v>
      </c>
      <c r="F32" s="194">
        <f t="shared" si="21"/>
        <v>45.38666666666667</v>
      </c>
      <c r="G32" s="194">
        <f t="shared" si="21"/>
        <v>45.38666666666667</v>
      </c>
      <c r="H32" s="194">
        <f t="shared" si="21"/>
        <v>45.38666666666667</v>
      </c>
      <c r="I32" s="194">
        <f t="shared" si="21"/>
        <v>45.38666666666667</v>
      </c>
      <c r="J32" s="194">
        <f t="shared" si="21"/>
        <v>45.38666666666667</v>
      </c>
      <c r="K32" s="194">
        <f t="shared" si="21"/>
        <v>45.38666666666667</v>
      </c>
      <c r="L32" s="194">
        <f t="shared" si="21"/>
        <v>45.38666666666667</v>
      </c>
      <c r="M32" s="194">
        <f t="shared" si="21"/>
        <v>45.38666666666667</v>
      </c>
      <c r="N32" s="194">
        <f t="shared" si="21"/>
        <v>45.38666666666667</v>
      </c>
      <c r="O32" s="194">
        <f t="shared" si="21"/>
        <v>45.38666666666667</v>
      </c>
      <c r="P32" s="194">
        <f t="shared" si="21"/>
        <v>45.38666666666667</v>
      </c>
      <c r="Q32" s="100"/>
      <c r="R32" s="100"/>
      <c r="S32" s="100"/>
      <c r="T32" s="100"/>
      <c r="U32" s="100"/>
      <c r="V32" s="100"/>
      <c r="W32" s="100"/>
      <c r="X32" s="100"/>
      <c r="Y32" s="100"/>
      <c r="Z32" s="100"/>
      <c r="AA32" s="100"/>
      <c r="AB32" s="100"/>
      <c r="AC32" s="100"/>
      <c r="AD32" s="100"/>
    </row>
    <row r="33" spans="1:30" x14ac:dyDescent="0.25">
      <c r="A33" s="103" t="s">
        <v>672</v>
      </c>
      <c r="B33" s="194">
        <f>(AVERAGE($B$28:$P$28))+(AVERAGE($B$28:$O$28)/100*20)</f>
        <v>67.947619047619042</v>
      </c>
      <c r="C33" s="194">
        <f t="shared" ref="C33:P33" si="22">(AVERAGE($B$28:$P$28))+(AVERAGE($B$28:$O$28)/100*20)</f>
        <v>67.947619047619042</v>
      </c>
      <c r="D33" s="194">
        <f t="shared" si="22"/>
        <v>67.947619047619042</v>
      </c>
      <c r="E33" s="194">
        <f t="shared" si="22"/>
        <v>67.947619047619042</v>
      </c>
      <c r="F33" s="194">
        <f t="shared" si="22"/>
        <v>67.947619047619042</v>
      </c>
      <c r="G33" s="194">
        <f t="shared" si="22"/>
        <v>67.947619047619042</v>
      </c>
      <c r="H33" s="194">
        <f t="shared" si="22"/>
        <v>67.947619047619042</v>
      </c>
      <c r="I33" s="194">
        <f t="shared" si="22"/>
        <v>67.947619047619042</v>
      </c>
      <c r="J33" s="194">
        <f t="shared" si="22"/>
        <v>67.947619047619042</v>
      </c>
      <c r="K33" s="194">
        <f t="shared" si="22"/>
        <v>67.947619047619042</v>
      </c>
      <c r="L33" s="194">
        <f t="shared" si="22"/>
        <v>67.947619047619042</v>
      </c>
      <c r="M33" s="194">
        <f t="shared" si="22"/>
        <v>67.947619047619042</v>
      </c>
      <c r="N33" s="194">
        <f t="shared" si="22"/>
        <v>67.947619047619042</v>
      </c>
      <c r="O33" s="194">
        <f t="shared" si="22"/>
        <v>67.947619047619042</v>
      </c>
      <c r="P33" s="194">
        <f t="shared" si="22"/>
        <v>67.947619047619042</v>
      </c>
      <c r="Q33" s="100"/>
      <c r="R33" s="100"/>
      <c r="S33" s="100"/>
      <c r="T33" s="100"/>
      <c r="U33" s="100"/>
      <c r="V33" s="100"/>
      <c r="W33" s="100"/>
      <c r="X33" s="100"/>
      <c r="Y33" s="100"/>
      <c r="Z33" s="100"/>
      <c r="AA33" s="100"/>
      <c r="AB33" s="100"/>
      <c r="AC33" s="100"/>
      <c r="AD33" s="100"/>
    </row>
    <row r="34" spans="1:30" x14ac:dyDescent="0.25">
      <c r="A34" s="104" t="s">
        <v>652</v>
      </c>
      <c r="B34" s="105" t="s">
        <v>762</v>
      </c>
      <c r="C34" s="105" t="s">
        <v>759</v>
      </c>
      <c r="D34" s="105" t="s">
        <v>763</v>
      </c>
      <c r="E34" s="105" t="s">
        <v>682</v>
      </c>
      <c r="F34" s="105" t="s">
        <v>764</v>
      </c>
      <c r="G34" s="105" t="s">
        <v>692</v>
      </c>
      <c r="H34" s="105" t="s">
        <v>765</v>
      </c>
      <c r="I34" s="105" t="s">
        <v>766</v>
      </c>
      <c r="J34" s="105" t="s">
        <v>661</v>
      </c>
      <c r="K34" s="105" t="s">
        <v>662</v>
      </c>
      <c r="L34" s="117" t="s">
        <v>663</v>
      </c>
      <c r="M34" s="105" t="s">
        <v>685</v>
      </c>
      <c r="N34" s="105" t="s">
        <v>665</v>
      </c>
      <c r="O34" s="104" t="s">
        <v>767</v>
      </c>
      <c r="P34" s="105" t="s">
        <v>667</v>
      </c>
      <c r="Q34" s="100"/>
      <c r="R34" s="100"/>
      <c r="S34" s="100"/>
      <c r="T34" s="100"/>
      <c r="U34" s="100"/>
      <c r="V34" s="100"/>
      <c r="W34" s="100"/>
      <c r="X34" s="100"/>
      <c r="Y34" s="100"/>
      <c r="Z34" s="100"/>
      <c r="AA34" s="100"/>
      <c r="AB34" s="100"/>
      <c r="AC34" s="100"/>
      <c r="AD34" s="100"/>
    </row>
    <row r="35" spans="1:30" x14ac:dyDescent="0.25">
      <c r="A35" s="103" t="s">
        <v>673</v>
      </c>
      <c r="B35" s="100">
        <v>90</v>
      </c>
      <c r="C35" s="100">
        <v>59</v>
      </c>
      <c r="D35" s="100">
        <v>45</v>
      </c>
      <c r="E35" s="100">
        <v>57</v>
      </c>
      <c r="F35" s="100">
        <v>50</v>
      </c>
      <c r="G35" s="100">
        <v>51</v>
      </c>
      <c r="H35" s="108">
        <v>32</v>
      </c>
      <c r="I35" s="108">
        <v>41</v>
      </c>
      <c r="J35" s="100">
        <v>62</v>
      </c>
      <c r="K35" s="100">
        <v>50</v>
      </c>
      <c r="L35" s="100">
        <v>57</v>
      </c>
      <c r="M35" s="100">
        <v>34</v>
      </c>
      <c r="N35" s="59">
        <v>39</v>
      </c>
      <c r="O35" s="165">
        <v>44</v>
      </c>
      <c r="P35" s="100">
        <v>88</v>
      </c>
      <c r="Q35" s="100"/>
      <c r="R35" s="100"/>
      <c r="S35" s="100"/>
      <c r="T35" s="100"/>
      <c r="U35" s="100"/>
      <c r="V35" s="100"/>
      <c r="W35" s="100"/>
      <c r="X35" s="100"/>
      <c r="Y35" s="100"/>
      <c r="Z35" s="100"/>
      <c r="AA35" s="100"/>
      <c r="AB35" s="100"/>
      <c r="AC35" s="100"/>
      <c r="AD35" s="100"/>
    </row>
    <row r="36" spans="1:30" x14ac:dyDescent="0.25">
      <c r="A36" s="103" t="s">
        <v>673</v>
      </c>
      <c r="B36" s="194">
        <f>AVERAGE($B$35:$P$35)</f>
        <v>53.266666666666666</v>
      </c>
      <c r="C36" s="194">
        <f t="shared" ref="C36:P36" si="23">AVERAGE($B$35:$P$35)</f>
        <v>53.266666666666666</v>
      </c>
      <c r="D36" s="194">
        <f t="shared" si="23"/>
        <v>53.266666666666666</v>
      </c>
      <c r="E36" s="194">
        <f t="shared" si="23"/>
        <v>53.266666666666666</v>
      </c>
      <c r="F36" s="194">
        <f t="shared" si="23"/>
        <v>53.266666666666666</v>
      </c>
      <c r="G36" s="194">
        <f t="shared" si="23"/>
        <v>53.266666666666666</v>
      </c>
      <c r="H36" s="194">
        <f t="shared" si="23"/>
        <v>53.266666666666666</v>
      </c>
      <c r="I36" s="194">
        <f t="shared" si="23"/>
        <v>53.266666666666666</v>
      </c>
      <c r="J36" s="194">
        <f t="shared" si="23"/>
        <v>53.266666666666666</v>
      </c>
      <c r="K36" s="194">
        <f t="shared" si="23"/>
        <v>53.266666666666666</v>
      </c>
      <c r="L36" s="194">
        <f t="shared" si="23"/>
        <v>53.266666666666666</v>
      </c>
      <c r="M36" s="194">
        <f t="shared" si="23"/>
        <v>53.266666666666666</v>
      </c>
      <c r="N36" s="194">
        <f t="shared" si="23"/>
        <v>53.266666666666666</v>
      </c>
      <c r="O36" s="194">
        <f t="shared" si="23"/>
        <v>53.266666666666666</v>
      </c>
      <c r="P36" s="194">
        <f t="shared" si="23"/>
        <v>53.266666666666666</v>
      </c>
      <c r="Q36" s="100"/>
      <c r="R36" s="100"/>
      <c r="S36" s="100"/>
      <c r="T36" s="100"/>
      <c r="U36" s="100"/>
      <c r="V36" s="100"/>
      <c r="W36" s="100"/>
      <c r="X36" s="100"/>
      <c r="Y36" s="100"/>
      <c r="Z36" s="100"/>
      <c r="AA36" s="100"/>
      <c r="AB36" s="100"/>
      <c r="AC36" s="100"/>
      <c r="AD36" s="100"/>
    </row>
    <row r="37" spans="1:30" x14ac:dyDescent="0.25">
      <c r="A37" s="103" t="s">
        <v>673</v>
      </c>
      <c r="B37" s="194">
        <f>AVERAGE($B$35:$P$35)/100*90</f>
        <v>47.94</v>
      </c>
      <c r="C37" s="194">
        <f t="shared" ref="C37:P37" si="24">AVERAGE($B$35:$P$35)/100*90</f>
        <v>47.94</v>
      </c>
      <c r="D37" s="194">
        <f t="shared" si="24"/>
        <v>47.94</v>
      </c>
      <c r="E37" s="194">
        <f t="shared" si="24"/>
        <v>47.94</v>
      </c>
      <c r="F37" s="194">
        <f t="shared" si="24"/>
        <v>47.94</v>
      </c>
      <c r="G37" s="194">
        <f t="shared" si="24"/>
        <v>47.94</v>
      </c>
      <c r="H37" s="194">
        <f t="shared" si="24"/>
        <v>47.94</v>
      </c>
      <c r="I37" s="194">
        <f t="shared" si="24"/>
        <v>47.94</v>
      </c>
      <c r="J37" s="194">
        <f t="shared" si="24"/>
        <v>47.94</v>
      </c>
      <c r="K37" s="194">
        <f t="shared" si="24"/>
        <v>47.94</v>
      </c>
      <c r="L37" s="194">
        <f t="shared" si="24"/>
        <v>47.94</v>
      </c>
      <c r="M37" s="194">
        <f t="shared" si="24"/>
        <v>47.94</v>
      </c>
      <c r="N37" s="194">
        <f t="shared" si="24"/>
        <v>47.94</v>
      </c>
      <c r="O37" s="194">
        <f t="shared" si="24"/>
        <v>47.94</v>
      </c>
      <c r="P37" s="194">
        <f t="shared" si="24"/>
        <v>47.94</v>
      </c>
      <c r="Q37" s="100"/>
      <c r="R37" s="100"/>
      <c r="S37" s="100"/>
      <c r="T37" s="100"/>
      <c r="U37" s="100"/>
      <c r="V37" s="100"/>
      <c r="W37" s="100"/>
      <c r="X37" s="100"/>
      <c r="Y37" s="100"/>
      <c r="Z37" s="100"/>
      <c r="AA37" s="100"/>
      <c r="AB37" s="100"/>
      <c r="AC37" s="100"/>
      <c r="AD37" s="100"/>
    </row>
    <row r="38" spans="1:30" x14ac:dyDescent="0.25">
      <c r="A38" s="103" t="s">
        <v>673</v>
      </c>
      <c r="B38" s="194">
        <f>(AVERAGE($B$35:$P$35))+(AVERAGE($B$35:$O$35)/100*10)</f>
        <v>58.345238095238095</v>
      </c>
      <c r="C38" s="194">
        <f t="shared" ref="C38:P38" si="25">(AVERAGE($B$35:$P$35))+(AVERAGE($B$35:$O$35)/100*10)</f>
        <v>58.345238095238095</v>
      </c>
      <c r="D38" s="194">
        <f t="shared" si="25"/>
        <v>58.345238095238095</v>
      </c>
      <c r="E38" s="194">
        <f t="shared" si="25"/>
        <v>58.345238095238095</v>
      </c>
      <c r="F38" s="194">
        <f t="shared" si="25"/>
        <v>58.345238095238095</v>
      </c>
      <c r="G38" s="194">
        <f t="shared" si="25"/>
        <v>58.345238095238095</v>
      </c>
      <c r="H38" s="194">
        <f t="shared" si="25"/>
        <v>58.345238095238095</v>
      </c>
      <c r="I38" s="194">
        <f t="shared" si="25"/>
        <v>58.345238095238095</v>
      </c>
      <c r="J38" s="194">
        <f t="shared" si="25"/>
        <v>58.345238095238095</v>
      </c>
      <c r="K38" s="194">
        <f t="shared" si="25"/>
        <v>58.345238095238095</v>
      </c>
      <c r="L38" s="194">
        <f t="shared" si="25"/>
        <v>58.345238095238095</v>
      </c>
      <c r="M38" s="194">
        <f t="shared" si="25"/>
        <v>58.345238095238095</v>
      </c>
      <c r="N38" s="194">
        <f t="shared" si="25"/>
        <v>58.345238095238095</v>
      </c>
      <c r="O38" s="194">
        <f t="shared" si="25"/>
        <v>58.345238095238095</v>
      </c>
      <c r="P38" s="194">
        <f t="shared" si="25"/>
        <v>58.345238095238095</v>
      </c>
      <c r="Q38" s="100"/>
      <c r="R38" s="100"/>
      <c r="S38" s="100"/>
      <c r="T38" s="100"/>
      <c r="U38" s="100"/>
      <c r="V38" s="100"/>
      <c r="W38" s="100"/>
      <c r="X38" s="100"/>
      <c r="Y38" s="100"/>
      <c r="Z38" s="100"/>
      <c r="AA38" s="100"/>
      <c r="AB38" s="100"/>
      <c r="AC38" s="100"/>
      <c r="AD38" s="100"/>
    </row>
    <row r="39" spans="1:30" x14ac:dyDescent="0.25">
      <c r="A39" s="103" t="s">
        <v>673</v>
      </c>
      <c r="B39" s="194">
        <f>AVERAGE($B$35:$P$35)/100*80</f>
        <v>42.61333333333333</v>
      </c>
      <c r="C39" s="194">
        <f t="shared" ref="C39:P39" si="26">AVERAGE($B$35:$P$35)/100*80</f>
        <v>42.61333333333333</v>
      </c>
      <c r="D39" s="194">
        <f t="shared" si="26"/>
        <v>42.61333333333333</v>
      </c>
      <c r="E39" s="194">
        <f t="shared" si="26"/>
        <v>42.61333333333333</v>
      </c>
      <c r="F39" s="194">
        <f t="shared" si="26"/>
        <v>42.61333333333333</v>
      </c>
      <c r="G39" s="194">
        <f t="shared" si="26"/>
        <v>42.61333333333333</v>
      </c>
      <c r="H39" s="194">
        <f t="shared" si="26"/>
        <v>42.61333333333333</v>
      </c>
      <c r="I39" s="194">
        <f t="shared" si="26"/>
        <v>42.61333333333333</v>
      </c>
      <c r="J39" s="194">
        <f t="shared" si="26"/>
        <v>42.61333333333333</v>
      </c>
      <c r="K39" s="194">
        <f t="shared" si="26"/>
        <v>42.61333333333333</v>
      </c>
      <c r="L39" s="194">
        <f t="shared" si="26"/>
        <v>42.61333333333333</v>
      </c>
      <c r="M39" s="194">
        <f t="shared" si="26"/>
        <v>42.61333333333333</v>
      </c>
      <c r="N39" s="194">
        <f t="shared" si="26"/>
        <v>42.61333333333333</v>
      </c>
      <c r="O39" s="194">
        <f t="shared" si="26"/>
        <v>42.61333333333333</v>
      </c>
      <c r="P39" s="194">
        <f t="shared" si="26"/>
        <v>42.61333333333333</v>
      </c>
      <c r="Q39" s="100"/>
      <c r="R39" s="100"/>
      <c r="S39" s="100"/>
      <c r="T39" s="100"/>
      <c r="U39" s="100"/>
      <c r="V39" s="100"/>
      <c r="W39" s="100"/>
      <c r="X39" s="100"/>
      <c r="Y39" s="100"/>
      <c r="Z39" s="100"/>
      <c r="AA39" s="100"/>
      <c r="AB39" s="100"/>
      <c r="AC39" s="100"/>
      <c r="AD39" s="100"/>
    </row>
    <row r="40" spans="1:30" x14ac:dyDescent="0.25">
      <c r="A40" s="103" t="s">
        <v>673</v>
      </c>
      <c r="B40" s="194">
        <f>(AVERAGE($B$35:$P$35))+(AVERAGE($B$35:$O$35)/100*20)</f>
        <v>63.423809523809524</v>
      </c>
      <c r="C40" s="194">
        <f t="shared" ref="C40:P40" si="27">(AVERAGE($B$35:$P$35))+(AVERAGE($B$35:$O$35)/100*20)</f>
        <v>63.423809523809524</v>
      </c>
      <c r="D40" s="194">
        <f t="shared" si="27"/>
        <v>63.423809523809524</v>
      </c>
      <c r="E40" s="194">
        <f t="shared" si="27"/>
        <v>63.423809523809524</v>
      </c>
      <c r="F40" s="194">
        <f t="shared" si="27"/>
        <v>63.423809523809524</v>
      </c>
      <c r="G40" s="194">
        <f t="shared" si="27"/>
        <v>63.423809523809524</v>
      </c>
      <c r="H40" s="194">
        <f t="shared" si="27"/>
        <v>63.423809523809524</v>
      </c>
      <c r="I40" s="194">
        <f t="shared" si="27"/>
        <v>63.423809523809524</v>
      </c>
      <c r="J40" s="194">
        <f t="shared" si="27"/>
        <v>63.423809523809524</v>
      </c>
      <c r="K40" s="194">
        <f t="shared" si="27"/>
        <v>63.423809523809524</v>
      </c>
      <c r="L40" s="194">
        <f t="shared" si="27"/>
        <v>63.423809523809524</v>
      </c>
      <c r="M40" s="194">
        <f t="shared" si="27"/>
        <v>63.423809523809524</v>
      </c>
      <c r="N40" s="194">
        <f t="shared" si="27"/>
        <v>63.423809523809524</v>
      </c>
      <c r="O40" s="194">
        <f t="shared" si="27"/>
        <v>63.423809523809524</v>
      </c>
      <c r="P40" s="194">
        <f t="shared" si="27"/>
        <v>63.423809523809524</v>
      </c>
      <c r="Q40" s="100"/>
      <c r="R40" s="100"/>
      <c r="S40" s="100"/>
      <c r="T40" s="100"/>
      <c r="U40" s="100"/>
      <c r="V40" s="100"/>
      <c r="W40" s="100"/>
      <c r="X40" s="100"/>
      <c r="Y40" s="100"/>
      <c r="Z40" s="100"/>
      <c r="AA40" s="100"/>
      <c r="AB40" s="100"/>
      <c r="AC40" s="100"/>
      <c r="AD40" s="100"/>
    </row>
    <row r="42" spans="1:30" x14ac:dyDescent="0.25">
      <c r="A42" s="116" t="s">
        <v>306</v>
      </c>
      <c r="B42" s="196">
        <f>IF(B2&gt;=B4,15,0)</f>
        <v>15</v>
      </c>
      <c r="C42" s="196">
        <f t="shared" ref="C42:P42" si="28">IF(C2&gt;=C4,15,0)</f>
        <v>15</v>
      </c>
      <c r="D42" s="196">
        <f t="shared" si="28"/>
        <v>15</v>
      </c>
      <c r="E42" s="196">
        <f t="shared" si="28"/>
        <v>0</v>
      </c>
      <c r="F42" s="196">
        <f t="shared" si="28"/>
        <v>15</v>
      </c>
      <c r="G42" s="196">
        <f t="shared" si="28"/>
        <v>15</v>
      </c>
      <c r="H42" s="196">
        <f t="shared" si="28"/>
        <v>0</v>
      </c>
      <c r="I42" s="196">
        <f t="shared" si="28"/>
        <v>15</v>
      </c>
      <c r="J42" s="196">
        <f t="shared" si="28"/>
        <v>15</v>
      </c>
      <c r="K42" s="196">
        <f t="shared" si="28"/>
        <v>0</v>
      </c>
      <c r="L42" s="196">
        <f t="shared" si="28"/>
        <v>0</v>
      </c>
      <c r="M42" s="196">
        <f t="shared" si="28"/>
        <v>0</v>
      </c>
      <c r="N42" s="196">
        <f t="shared" si="28"/>
        <v>15</v>
      </c>
      <c r="O42" s="196">
        <f t="shared" si="28"/>
        <v>15</v>
      </c>
      <c r="P42" s="196">
        <f t="shared" si="28"/>
        <v>15</v>
      </c>
    </row>
    <row r="43" spans="1:30" x14ac:dyDescent="0.25">
      <c r="A43" s="116" t="s">
        <v>307</v>
      </c>
      <c r="B43" s="196">
        <f>IF(B7&gt;=B11,10,0)</f>
        <v>0</v>
      </c>
      <c r="C43" s="196">
        <f t="shared" ref="C43:P43" si="29">IF(C7&gt;=C11,10,0)</f>
        <v>10</v>
      </c>
      <c r="D43" s="196">
        <f t="shared" si="29"/>
        <v>10</v>
      </c>
      <c r="E43" s="196">
        <f t="shared" si="29"/>
        <v>10</v>
      </c>
      <c r="F43" s="196">
        <f t="shared" si="29"/>
        <v>10</v>
      </c>
      <c r="G43" s="196">
        <f t="shared" si="29"/>
        <v>10</v>
      </c>
      <c r="H43" s="196">
        <f t="shared" si="29"/>
        <v>10</v>
      </c>
      <c r="I43" s="196">
        <f t="shared" si="29"/>
        <v>10</v>
      </c>
      <c r="J43" s="196">
        <f t="shared" si="29"/>
        <v>10</v>
      </c>
      <c r="K43" s="196">
        <f t="shared" si="29"/>
        <v>10</v>
      </c>
      <c r="L43" s="196">
        <f t="shared" si="29"/>
        <v>10</v>
      </c>
      <c r="M43" s="196">
        <f t="shared" si="29"/>
        <v>10</v>
      </c>
      <c r="N43" s="196">
        <f t="shared" si="29"/>
        <v>0</v>
      </c>
      <c r="O43" s="196">
        <f t="shared" si="29"/>
        <v>10</v>
      </c>
      <c r="P43" s="196">
        <f t="shared" si="29"/>
        <v>10</v>
      </c>
    </row>
    <row r="44" spans="1:30" x14ac:dyDescent="0.25">
      <c r="A44" s="116" t="s">
        <v>674</v>
      </c>
      <c r="B44" s="196">
        <f>IF(B14&gt;B17,5,0)</f>
        <v>0</v>
      </c>
      <c r="C44" s="196">
        <f t="shared" ref="C44:P44" si="30">IF(C14&gt;C17,5,0)</f>
        <v>5</v>
      </c>
      <c r="D44" s="196">
        <f t="shared" si="30"/>
        <v>5</v>
      </c>
      <c r="E44" s="196">
        <f t="shared" si="30"/>
        <v>5</v>
      </c>
      <c r="F44" s="196">
        <f t="shared" si="30"/>
        <v>0</v>
      </c>
      <c r="G44" s="196">
        <f t="shared" si="30"/>
        <v>5</v>
      </c>
      <c r="H44" s="196">
        <f t="shared" si="30"/>
        <v>5</v>
      </c>
      <c r="I44" s="196">
        <f t="shared" si="30"/>
        <v>5</v>
      </c>
      <c r="J44" s="196">
        <f t="shared" si="30"/>
        <v>5</v>
      </c>
      <c r="K44" s="196">
        <f t="shared" si="30"/>
        <v>5</v>
      </c>
      <c r="L44" s="196">
        <f t="shared" si="30"/>
        <v>5</v>
      </c>
      <c r="M44" s="196">
        <f t="shared" si="30"/>
        <v>5</v>
      </c>
      <c r="N44" s="196">
        <f t="shared" si="30"/>
        <v>0</v>
      </c>
      <c r="O44" s="196">
        <f t="shared" si="30"/>
        <v>5</v>
      </c>
      <c r="P44" s="196">
        <f t="shared" si="30"/>
        <v>5</v>
      </c>
    </row>
    <row r="45" spans="1:30" x14ac:dyDescent="0.25">
      <c r="A45" s="116" t="s">
        <v>675</v>
      </c>
      <c r="B45" s="194">
        <f>IF(B21&gt;=B25,25,0)</f>
        <v>25</v>
      </c>
      <c r="C45" s="194">
        <f t="shared" ref="C45:P45" si="31">IF(C21&gt;=C25,25,0)</f>
        <v>25</v>
      </c>
      <c r="D45" s="194">
        <f t="shared" si="31"/>
        <v>25</v>
      </c>
      <c r="E45" s="194">
        <f t="shared" si="31"/>
        <v>25</v>
      </c>
      <c r="F45" s="194">
        <f t="shared" si="31"/>
        <v>25</v>
      </c>
      <c r="G45" s="194">
        <f t="shared" si="31"/>
        <v>25</v>
      </c>
      <c r="H45" s="194">
        <f t="shared" si="31"/>
        <v>25</v>
      </c>
      <c r="I45" s="194">
        <f t="shared" si="31"/>
        <v>25</v>
      </c>
      <c r="J45" s="194">
        <f t="shared" si="31"/>
        <v>25</v>
      </c>
      <c r="K45" s="194">
        <f t="shared" si="31"/>
        <v>25</v>
      </c>
      <c r="L45" s="194">
        <f t="shared" si="31"/>
        <v>0</v>
      </c>
      <c r="M45" s="194">
        <f t="shared" si="31"/>
        <v>0</v>
      </c>
      <c r="N45" s="194">
        <f t="shared" si="31"/>
        <v>0</v>
      </c>
      <c r="O45" s="194">
        <f t="shared" si="31"/>
        <v>25</v>
      </c>
      <c r="P45" s="194">
        <f t="shared" si="31"/>
        <v>25</v>
      </c>
    </row>
    <row r="46" spans="1:30" x14ac:dyDescent="0.25">
      <c r="A46" s="116" t="s">
        <v>676</v>
      </c>
      <c r="B46" s="194">
        <f>IF(B28&gt;=B32,25,0)</f>
        <v>25</v>
      </c>
      <c r="C46" s="194">
        <f t="shared" ref="C46:P46" si="32">IF(C28&gt;=C32,25,0)</f>
        <v>25</v>
      </c>
      <c r="D46" s="194">
        <f t="shared" si="32"/>
        <v>25</v>
      </c>
      <c r="E46" s="194">
        <f t="shared" si="32"/>
        <v>25</v>
      </c>
      <c r="F46" s="194">
        <f t="shared" si="32"/>
        <v>25</v>
      </c>
      <c r="G46" s="194">
        <f t="shared" si="32"/>
        <v>25</v>
      </c>
      <c r="H46" s="194">
        <f t="shared" si="32"/>
        <v>25</v>
      </c>
      <c r="I46" s="194">
        <f t="shared" si="32"/>
        <v>25</v>
      </c>
      <c r="J46" s="194">
        <f t="shared" si="32"/>
        <v>25</v>
      </c>
      <c r="K46" s="194">
        <f t="shared" si="32"/>
        <v>25</v>
      </c>
      <c r="L46" s="194">
        <f t="shared" si="32"/>
        <v>0</v>
      </c>
      <c r="M46" s="194">
        <f t="shared" si="32"/>
        <v>25</v>
      </c>
      <c r="N46" s="194">
        <f t="shared" si="32"/>
        <v>25</v>
      </c>
      <c r="O46" s="194">
        <f t="shared" si="32"/>
        <v>25</v>
      </c>
      <c r="P46" s="194">
        <f t="shared" si="32"/>
        <v>25</v>
      </c>
    </row>
    <row r="47" spans="1:30" x14ac:dyDescent="0.25">
      <c r="A47" s="116" t="s">
        <v>311</v>
      </c>
      <c r="B47" s="194">
        <f>IF(B35&lt;=B40,20,0)</f>
        <v>0</v>
      </c>
      <c r="C47" s="194">
        <f t="shared" ref="C47:P47" si="33">IF(C35&lt;=C40,20,0)</f>
        <v>20</v>
      </c>
      <c r="D47" s="194">
        <f t="shared" si="33"/>
        <v>20</v>
      </c>
      <c r="E47" s="194">
        <f t="shared" si="33"/>
        <v>20</v>
      </c>
      <c r="F47" s="194">
        <f t="shared" si="33"/>
        <v>20</v>
      </c>
      <c r="G47" s="194">
        <f t="shared" si="33"/>
        <v>20</v>
      </c>
      <c r="H47" s="194">
        <f t="shared" si="33"/>
        <v>20</v>
      </c>
      <c r="I47" s="194">
        <f t="shared" si="33"/>
        <v>20</v>
      </c>
      <c r="J47" s="194">
        <f t="shared" si="33"/>
        <v>20</v>
      </c>
      <c r="K47" s="194">
        <f t="shared" si="33"/>
        <v>20</v>
      </c>
      <c r="L47" s="194">
        <f t="shared" si="33"/>
        <v>20</v>
      </c>
      <c r="M47" s="194">
        <f t="shared" si="33"/>
        <v>20</v>
      </c>
      <c r="N47" s="194">
        <f t="shared" si="33"/>
        <v>20</v>
      </c>
      <c r="O47" s="194">
        <f t="shared" si="33"/>
        <v>20</v>
      </c>
      <c r="P47" s="194">
        <f t="shared" si="33"/>
        <v>0</v>
      </c>
    </row>
    <row r="48" spans="1:30" x14ac:dyDescent="0.25">
      <c r="A48" s="116"/>
      <c r="B48" s="194"/>
    </row>
    <row r="49" spans="1:16" x14ac:dyDescent="0.25">
      <c r="A49" s="116" t="s">
        <v>677</v>
      </c>
      <c r="B49" s="194">
        <f>SUM(B42:B47)</f>
        <v>65</v>
      </c>
      <c r="C49" s="194">
        <f t="shared" ref="C49:P49" si="34">SUM(C42:C47)</f>
        <v>100</v>
      </c>
      <c r="D49" s="194">
        <f t="shared" si="34"/>
        <v>100</v>
      </c>
      <c r="E49" s="194">
        <f t="shared" si="34"/>
        <v>85</v>
      </c>
      <c r="F49" s="194">
        <f t="shared" si="34"/>
        <v>95</v>
      </c>
      <c r="G49" s="194">
        <f t="shared" si="34"/>
        <v>100</v>
      </c>
      <c r="H49" s="194">
        <f t="shared" si="34"/>
        <v>85</v>
      </c>
      <c r="I49" s="194">
        <f t="shared" si="34"/>
        <v>100</v>
      </c>
      <c r="J49" s="194">
        <f t="shared" si="34"/>
        <v>100</v>
      </c>
      <c r="K49" s="194">
        <f t="shared" si="34"/>
        <v>85</v>
      </c>
      <c r="L49" s="194">
        <f t="shared" si="34"/>
        <v>35</v>
      </c>
      <c r="M49" s="194">
        <f t="shared" si="34"/>
        <v>60</v>
      </c>
      <c r="N49" s="194">
        <f t="shared" si="34"/>
        <v>60</v>
      </c>
      <c r="O49" s="194">
        <f t="shared" si="34"/>
        <v>100</v>
      </c>
      <c r="P49" s="194">
        <f t="shared" si="34"/>
        <v>80</v>
      </c>
    </row>
    <row r="50" spans="1:16" x14ac:dyDescent="0.25">
      <c r="A50" s="116" t="s">
        <v>678</v>
      </c>
      <c r="B50" s="194" t="str">
        <f>IF(B49&gt;=50,"OKAY","KO")</f>
        <v>OKAY</v>
      </c>
      <c r="C50" s="194" t="str">
        <f t="shared" ref="C50:P50" si="35">IF(C49&gt;=50,"OKAY","KO")</f>
        <v>OKAY</v>
      </c>
      <c r="D50" s="194" t="str">
        <f t="shared" si="35"/>
        <v>OKAY</v>
      </c>
      <c r="E50" s="194" t="str">
        <f t="shared" si="35"/>
        <v>OKAY</v>
      </c>
      <c r="F50" s="194" t="str">
        <f t="shared" si="35"/>
        <v>OKAY</v>
      </c>
      <c r="G50" s="194" t="str">
        <f t="shared" si="35"/>
        <v>OKAY</v>
      </c>
      <c r="H50" s="194" t="str">
        <f t="shared" si="35"/>
        <v>OKAY</v>
      </c>
      <c r="I50" s="194" t="str">
        <f t="shared" si="35"/>
        <v>OKAY</v>
      </c>
      <c r="J50" s="194" t="str">
        <f t="shared" si="35"/>
        <v>OKAY</v>
      </c>
      <c r="K50" s="194" t="str">
        <f t="shared" si="35"/>
        <v>OKAY</v>
      </c>
      <c r="L50" s="194" t="str">
        <f t="shared" si="35"/>
        <v>KO</v>
      </c>
      <c r="M50" s="194" t="str">
        <f t="shared" si="35"/>
        <v>OKAY</v>
      </c>
      <c r="N50" s="194" t="str">
        <f t="shared" si="35"/>
        <v>OKAY</v>
      </c>
      <c r="O50" s="194" t="str">
        <f t="shared" si="35"/>
        <v>OKAY</v>
      </c>
      <c r="P50" s="194" t="str">
        <f t="shared" si="35"/>
        <v>OKAY</v>
      </c>
    </row>
    <row r="59" spans="1:16" x14ac:dyDescent="0.25">
      <c r="C59" s="110"/>
      <c r="D59" s="110"/>
      <c r="E59" s="110"/>
      <c r="F59" s="110"/>
      <c r="G59" s="110"/>
      <c r="H59" s="110"/>
    </row>
  </sheetData>
  <phoneticPr fontId="3" type="noConversion"/>
  <conditionalFormatting sqref="A50">
    <cfRule type="containsText" dxfId="30" priority="4" operator="containsText" text="KO">
      <formula>NOT(ISERROR(SEARCH("KO",A50)))</formula>
    </cfRule>
  </conditionalFormatting>
  <conditionalFormatting sqref="A50">
    <cfRule type="cellIs" dxfId="29" priority="3" operator="equal">
      <formula>"KO"</formula>
    </cfRule>
  </conditionalFormatting>
  <conditionalFormatting sqref="B50:P50">
    <cfRule type="containsText" dxfId="28" priority="2" operator="containsText" text="KO">
      <formula>NOT(ISERROR(SEARCH("KO",B50)))</formula>
    </cfRule>
  </conditionalFormatting>
  <conditionalFormatting sqref="B50:P50">
    <cfRule type="cellIs" dxfId="27" priority="1" operator="equal">
      <formula>"KO"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0"/>
  <dimension ref="A1:M50"/>
  <sheetViews>
    <sheetView topLeftCell="A30" workbookViewId="0">
      <selection activeCell="E47" sqref="E47"/>
    </sheetView>
  </sheetViews>
  <sheetFormatPr defaultRowHeight="15" x14ac:dyDescent="0.25"/>
  <cols>
    <col min="1" max="1" width="25.140625" bestFit="1" customWidth="1"/>
  </cols>
  <sheetData>
    <row r="1" spans="1:13" x14ac:dyDescent="0.25">
      <c r="A1" s="104" t="s">
        <v>652</v>
      </c>
      <c r="B1" s="105" t="s">
        <v>665</v>
      </c>
      <c r="C1" s="105" t="s">
        <v>667</v>
      </c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x14ac:dyDescent="0.25">
      <c r="A2" s="5" t="s">
        <v>668</v>
      </c>
      <c r="B2" s="59">
        <v>74</v>
      </c>
      <c r="C2" s="100">
        <v>75</v>
      </c>
      <c r="D2" s="100"/>
      <c r="E2" s="100"/>
      <c r="F2" s="100"/>
      <c r="G2" s="100"/>
      <c r="H2" s="59"/>
      <c r="I2" s="100"/>
      <c r="J2" s="100"/>
      <c r="K2" s="100"/>
      <c r="L2" s="100"/>
      <c r="M2" s="100"/>
    </row>
    <row r="3" spans="1:13" x14ac:dyDescent="0.25">
      <c r="A3" s="5" t="s">
        <v>668</v>
      </c>
      <c r="B3" s="200">
        <f>AVERAGE($B$2:$C$2)</f>
        <v>74.5</v>
      </c>
      <c r="C3" s="200">
        <f>AVERAGE($B$2:$C$2)</f>
        <v>74.5</v>
      </c>
      <c r="D3" s="100"/>
      <c r="E3" s="100"/>
      <c r="F3" s="100"/>
      <c r="G3" s="100"/>
      <c r="H3" s="59"/>
      <c r="I3" s="100"/>
      <c r="J3" s="100"/>
      <c r="K3" s="100"/>
      <c r="L3" s="100"/>
      <c r="M3" s="100"/>
    </row>
    <row r="4" spans="1:13" x14ac:dyDescent="0.25">
      <c r="A4" s="5" t="s">
        <v>668</v>
      </c>
      <c r="B4" s="200">
        <f>AVERAGE($B$2:$C$2)-2</f>
        <v>72.5</v>
      </c>
      <c r="C4" s="200">
        <f>AVERAGE($B$2:$C$2)-2</f>
        <v>72.5</v>
      </c>
      <c r="D4" s="100"/>
      <c r="E4" s="100"/>
      <c r="F4" s="100"/>
      <c r="G4" s="100"/>
      <c r="H4" s="59"/>
      <c r="I4" s="100"/>
      <c r="J4" s="100"/>
      <c r="K4" s="100"/>
      <c r="L4" s="100"/>
      <c r="M4" s="100"/>
    </row>
    <row r="5" spans="1:13" x14ac:dyDescent="0.25">
      <c r="A5" s="5" t="s">
        <v>668</v>
      </c>
      <c r="B5" s="200">
        <f>AVERAGE($B$2:$C$2)+2</f>
        <v>76.5</v>
      </c>
      <c r="C5" s="200">
        <f>AVERAGE($B$2:$C$2)+2</f>
        <v>76.5</v>
      </c>
      <c r="D5" s="100"/>
      <c r="E5" s="100"/>
      <c r="F5" s="100"/>
      <c r="G5" s="100"/>
      <c r="H5" s="59"/>
      <c r="I5" s="100"/>
      <c r="J5" s="100"/>
      <c r="K5" s="100"/>
      <c r="L5" s="100"/>
      <c r="M5" s="100"/>
    </row>
    <row r="6" spans="1:13" x14ac:dyDescent="0.25">
      <c r="A6" s="104" t="s">
        <v>652</v>
      </c>
      <c r="B6" s="105" t="s">
        <v>665</v>
      </c>
      <c r="C6" s="105" t="s">
        <v>667</v>
      </c>
      <c r="D6" s="100"/>
      <c r="E6" s="100"/>
      <c r="F6" s="100"/>
      <c r="G6" s="100"/>
      <c r="H6" s="59"/>
      <c r="I6" s="100"/>
      <c r="J6" s="100"/>
      <c r="K6" s="100"/>
      <c r="L6" s="100"/>
      <c r="M6" s="100"/>
    </row>
    <row r="7" spans="1:13" x14ac:dyDescent="0.25">
      <c r="A7" s="103" t="s">
        <v>669</v>
      </c>
      <c r="B7" s="59">
        <v>20</v>
      </c>
      <c r="C7" s="100">
        <v>19</v>
      </c>
      <c r="D7" s="100"/>
      <c r="E7" s="100"/>
      <c r="F7" s="100"/>
      <c r="G7" s="100"/>
      <c r="H7" s="59"/>
      <c r="I7" s="100"/>
      <c r="J7" s="100"/>
      <c r="K7" s="100"/>
      <c r="L7" s="100"/>
      <c r="M7" s="100"/>
    </row>
    <row r="8" spans="1:13" x14ac:dyDescent="0.25">
      <c r="A8" s="103" t="s">
        <v>669</v>
      </c>
      <c r="B8" s="200">
        <f>AVERAGE($B$7:$C$7)</f>
        <v>19.5</v>
      </c>
      <c r="C8" s="200">
        <f>AVERAGE($B$7:$C$7)</f>
        <v>19.5</v>
      </c>
      <c r="D8" s="100"/>
      <c r="E8" s="100"/>
      <c r="F8" s="100"/>
      <c r="G8" s="100"/>
      <c r="H8" s="59"/>
      <c r="I8" s="100"/>
      <c r="J8" s="100"/>
      <c r="K8" s="100"/>
      <c r="L8" s="100"/>
      <c r="M8" s="100"/>
    </row>
    <row r="9" spans="1:13" x14ac:dyDescent="0.25">
      <c r="A9" s="103" t="s">
        <v>669</v>
      </c>
      <c r="B9" s="200">
        <f>AVERAGE($B$7:$C$7)/100*90</f>
        <v>17.55</v>
      </c>
      <c r="C9" s="200">
        <f>AVERAGE($B$7:$C$7)/100*90</f>
        <v>17.55</v>
      </c>
      <c r="D9" s="100"/>
      <c r="E9" s="100"/>
      <c r="F9" s="100"/>
      <c r="G9" s="100"/>
      <c r="H9" s="100"/>
      <c r="I9" s="100"/>
      <c r="J9" s="100"/>
      <c r="K9" s="100"/>
      <c r="L9" s="100"/>
      <c r="M9" s="100"/>
    </row>
    <row r="10" spans="1:13" x14ac:dyDescent="0.25">
      <c r="A10" s="103" t="s">
        <v>669</v>
      </c>
      <c r="B10" s="200">
        <f>AVERAGE($B$7:$C$7)/100*80</f>
        <v>15.600000000000001</v>
      </c>
      <c r="C10" s="200">
        <f>AVERAGE($B$7:$C$7)/100*80</f>
        <v>15.600000000000001</v>
      </c>
      <c r="D10" s="100"/>
      <c r="E10" s="100"/>
      <c r="F10" s="100"/>
      <c r="G10" s="100"/>
      <c r="H10" s="100"/>
      <c r="I10" s="100"/>
      <c r="J10" s="100"/>
      <c r="K10" s="100"/>
      <c r="L10" s="100"/>
      <c r="M10" s="100"/>
    </row>
    <row r="11" spans="1:13" x14ac:dyDescent="0.25">
      <c r="A11" s="103" t="s">
        <v>669</v>
      </c>
      <c r="B11" s="200">
        <f>AVERAGE($B$7:$C$7)/100*110</f>
        <v>21.45</v>
      </c>
      <c r="C11" s="200">
        <f>AVERAGE($B$7:$C$7)/100*110</f>
        <v>21.45</v>
      </c>
      <c r="D11" s="100"/>
      <c r="E11" s="100"/>
      <c r="F11" s="100"/>
      <c r="G11" s="100"/>
      <c r="H11" s="100"/>
      <c r="I11" s="100"/>
      <c r="J11" s="100"/>
      <c r="K11" s="100"/>
      <c r="L11" s="100"/>
      <c r="M11" s="100"/>
    </row>
    <row r="12" spans="1:13" x14ac:dyDescent="0.25">
      <c r="A12" s="103" t="s">
        <v>669</v>
      </c>
      <c r="B12" s="200">
        <f>AVERAGE($B$7:$C$7)/100*120</f>
        <v>23.400000000000002</v>
      </c>
      <c r="C12" s="200">
        <f>AVERAGE($B$7:$C$7)/100*120</f>
        <v>23.400000000000002</v>
      </c>
      <c r="D12" s="100"/>
      <c r="E12" s="100"/>
      <c r="F12" s="100"/>
      <c r="G12" s="100"/>
      <c r="H12" s="100"/>
      <c r="I12" s="100"/>
      <c r="J12" s="100"/>
      <c r="K12" s="100"/>
      <c r="L12" s="100"/>
      <c r="M12" s="100"/>
    </row>
    <row r="13" spans="1:13" x14ac:dyDescent="0.25">
      <c r="A13" s="104" t="s">
        <v>652</v>
      </c>
      <c r="B13" s="105" t="s">
        <v>665</v>
      </c>
      <c r="C13" s="105" t="s">
        <v>667</v>
      </c>
      <c r="D13" s="100"/>
      <c r="E13" s="100"/>
      <c r="F13" s="100"/>
      <c r="G13" s="100"/>
      <c r="H13" s="100"/>
      <c r="I13" s="100"/>
      <c r="J13" s="100"/>
      <c r="K13" s="100"/>
      <c r="L13" s="100"/>
      <c r="M13" s="100"/>
    </row>
    <row r="14" spans="1:13" x14ac:dyDescent="0.25">
      <c r="A14" s="103" t="s">
        <v>670</v>
      </c>
      <c r="B14" s="231">
        <v>785</v>
      </c>
      <c r="C14" s="100">
        <v>724</v>
      </c>
      <c r="D14" s="100"/>
      <c r="E14" s="100"/>
      <c r="F14" s="100"/>
      <c r="G14" s="100"/>
      <c r="H14" s="100"/>
      <c r="I14" s="100"/>
      <c r="J14" s="100"/>
      <c r="K14" s="100"/>
      <c r="L14" s="100"/>
      <c r="M14" s="100"/>
    </row>
    <row r="15" spans="1:13" x14ac:dyDescent="0.25">
      <c r="A15" s="126" t="s">
        <v>670</v>
      </c>
      <c r="B15" s="230">
        <f>AVERAGE($B$14:$C$14)</f>
        <v>754.5</v>
      </c>
      <c r="C15" s="230">
        <f>AVERAGE($B$14:$C$14)</f>
        <v>754.5</v>
      </c>
      <c r="D15" s="100"/>
      <c r="E15" s="100"/>
      <c r="F15" s="100"/>
      <c r="G15" s="100"/>
      <c r="H15" s="100"/>
      <c r="I15" s="100"/>
      <c r="J15" s="100"/>
      <c r="K15" s="100"/>
      <c r="L15" s="100"/>
      <c r="M15" s="100"/>
    </row>
    <row r="16" spans="1:13" x14ac:dyDescent="0.25">
      <c r="A16" s="126" t="s">
        <v>670</v>
      </c>
      <c r="B16" s="230">
        <f>AVERAGE($B$14:$C$14)/100*90</f>
        <v>679.05</v>
      </c>
      <c r="C16" s="230">
        <f>AVERAGE($B$14:$C$14)/100*90</f>
        <v>679.05</v>
      </c>
      <c r="D16" s="100"/>
      <c r="E16" s="100"/>
      <c r="F16" s="100"/>
      <c r="G16" s="100"/>
      <c r="H16" s="100"/>
      <c r="I16" s="100"/>
      <c r="J16" s="100"/>
      <c r="K16" s="100"/>
      <c r="L16" s="100"/>
      <c r="M16" s="100"/>
    </row>
    <row r="17" spans="1:13" x14ac:dyDescent="0.25">
      <c r="A17" s="126" t="s">
        <v>670</v>
      </c>
      <c r="B17" s="230">
        <f>AVERAGE($B$14:$C$14)/100*80</f>
        <v>603.6</v>
      </c>
      <c r="C17" s="230">
        <f>AVERAGE($B$14:$C$14)/100*80</f>
        <v>603.6</v>
      </c>
      <c r="D17" s="100"/>
      <c r="E17" s="100"/>
      <c r="F17" s="100"/>
      <c r="G17" s="100"/>
      <c r="H17" s="100"/>
      <c r="I17" s="100"/>
      <c r="J17" s="100"/>
      <c r="K17" s="100"/>
      <c r="L17" s="100"/>
      <c r="M17" s="100"/>
    </row>
    <row r="18" spans="1:13" x14ac:dyDescent="0.25">
      <c r="A18" s="126" t="s">
        <v>670</v>
      </c>
      <c r="B18" s="230">
        <f>AVERAGE($B$14:$C$14)/100*110</f>
        <v>829.95</v>
      </c>
      <c r="C18" s="230">
        <f>AVERAGE($B$14:$C$14)/100*110</f>
        <v>829.95</v>
      </c>
      <c r="D18" s="100"/>
      <c r="E18" s="100"/>
      <c r="F18" s="100"/>
      <c r="G18" s="100"/>
      <c r="H18" s="100"/>
      <c r="I18" s="100"/>
      <c r="J18" s="100"/>
      <c r="K18" s="100"/>
      <c r="L18" s="100"/>
      <c r="M18" s="100"/>
    </row>
    <row r="19" spans="1:13" ht="15.75" customHeight="1" x14ac:dyDescent="0.25">
      <c r="A19" s="126" t="s">
        <v>670</v>
      </c>
      <c r="B19" s="230">
        <f>AVERAGE($B$14:$C$14)/100*120</f>
        <v>905.4</v>
      </c>
      <c r="C19" s="230">
        <f>AVERAGE($B$14:$C$14)/100*120</f>
        <v>905.4</v>
      </c>
      <c r="D19" s="100"/>
      <c r="E19" s="100"/>
      <c r="F19" s="100"/>
      <c r="G19" s="100"/>
      <c r="H19" s="100"/>
      <c r="I19" s="100"/>
      <c r="J19" s="100"/>
      <c r="K19" s="100"/>
      <c r="L19" s="100"/>
      <c r="M19" s="100"/>
    </row>
    <row r="20" spans="1:13" x14ac:dyDescent="0.25">
      <c r="A20" s="104" t="s">
        <v>652</v>
      </c>
      <c r="B20" s="105" t="s">
        <v>665</v>
      </c>
      <c r="C20" s="105" t="s">
        <v>667</v>
      </c>
      <c r="D20" s="100"/>
      <c r="E20" s="100"/>
      <c r="F20" s="100"/>
      <c r="G20" s="100"/>
      <c r="H20" s="100"/>
      <c r="I20" s="100"/>
      <c r="J20" s="100"/>
      <c r="K20" s="100"/>
      <c r="L20" s="100"/>
      <c r="M20" s="100"/>
    </row>
    <row r="21" spans="1:13" x14ac:dyDescent="0.25">
      <c r="A21" s="103" t="s">
        <v>671</v>
      </c>
      <c r="B21" s="59">
        <v>41</v>
      </c>
      <c r="C21" s="100">
        <v>36</v>
      </c>
      <c r="D21" s="100"/>
      <c r="E21" s="100"/>
      <c r="F21" s="100"/>
      <c r="G21" s="100"/>
      <c r="H21" s="100"/>
      <c r="I21" s="100"/>
      <c r="J21" s="100"/>
      <c r="K21" s="100"/>
      <c r="L21" s="100"/>
      <c r="M21" s="100"/>
    </row>
    <row r="22" spans="1:13" x14ac:dyDescent="0.25">
      <c r="A22" s="103" t="s">
        <v>671</v>
      </c>
      <c r="B22" s="200">
        <f>AVERAGE($B$21:$C$21)</f>
        <v>38.5</v>
      </c>
      <c r="C22" s="200">
        <f>AVERAGE($B$21:$C$21)</f>
        <v>38.5</v>
      </c>
      <c r="D22" s="100"/>
      <c r="E22" s="100"/>
      <c r="F22" s="100"/>
      <c r="G22" s="100"/>
      <c r="H22" s="100"/>
      <c r="I22" s="100"/>
      <c r="J22" s="100"/>
      <c r="K22" s="100"/>
      <c r="L22" s="100"/>
      <c r="M22" s="100"/>
    </row>
    <row r="23" spans="1:13" x14ac:dyDescent="0.25">
      <c r="A23" s="103" t="s">
        <v>671</v>
      </c>
      <c r="B23" s="200">
        <f>AVERAGE($B$21:$C$21)/100*90</f>
        <v>34.65</v>
      </c>
      <c r="C23" s="200">
        <f>AVERAGE($B$21:$C$21)/100*90</f>
        <v>34.65</v>
      </c>
      <c r="D23" s="100"/>
      <c r="E23" s="100"/>
      <c r="F23" s="100"/>
      <c r="G23" s="100"/>
      <c r="H23" s="100"/>
      <c r="I23" s="100"/>
      <c r="J23" s="100"/>
      <c r="K23" s="100"/>
      <c r="L23" s="100"/>
      <c r="M23" s="100"/>
    </row>
    <row r="24" spans="1:13" x14ac:dyDescent="0.25">
      <c r="A24" s="103" t="s">
        <v>671</v>
      </c>
      <c r="B24" s="200">
        <f>AVERAGE($B$21:$C$21)/100*80</f>
        <v>30.8</v>
      </c>
      <c r="C24" s="200">
        <f>AVERAGE($B$21:$C$21)/100*80</f>
        <v>30.8</v>
      </c>
      <c r="D24" s="100"/>
      <c r="E24" s="100"/>
      <c r="F24" s="100"/>
      <c r="G24" s="100"/>
      <c r="H24" s="100"/>
      <c r="I24" s="100"/>
      <c r="J24" s="100"/>
      <c r="K24" s="100"/>
      <c r="L24" s="100"/>
      <c r="M24" s="100"/>
    </row>
    <row r="25" spans="1:13" x14ac:dyDescent="0.25">
      <c r="A25" s="103" t="s">
        <v>671</v>
      </c>
      <c r="B25" s="200">
        <f>AVERAGE($B$21:$C$21)/100*110</f>
        <v>42.35</v>
      </c>
      <c r="C25" s="200">
        <f>AVERAGE($B$21:$C$21)/100*110</f>
        <v>42.35</v>
      </c>
      <c r="D25" s="100"/>
      <c r="E25" s="100"/>
      <c r="F25" s="100"/>
      <c r="G25" s="100"/>
      <c r="H25" s="100"/>
      <c r="I25" s="100"/>
      <c r="J25" s="100"/>
      <c r="K25" s="100"/>
      <c r="L25" s="100"/>
      <c r="M25" s="100"/>
    </row>
    <row r="26" spans="1:13" x14ac:dyDescent="0.25">
      <c r="A26" s="103" t="s">
        <v>671</v>
      </c>
      <c r="B26" s="200">
        <f>AVERAGE($B$21:$C$21)/100*120</f>
        <v>46.2</v>
      </c>
      <c r="C26" s="200">
        <f>AVERAGE($B$21:$C$21)/100*120</f>
        <v>46.2</v>
      </c>
      <c r="D26" s="100"/>
      <c r="E26" s="100"/>
      <c r="F26" s="100"/>
      <c r="G26" s="100"/>
      <c r="H26" s="100"/>
      <c r="I26" s="100"/>
      <c r="J26" s="100"/>
      <c r="K26" s="100"/>
      <c r="L26" s="100"/>
      <c r="M26" s="100"/>
    </row>
    <row r="27" spans="1:13" x14ac:dyDescent="0.25">
      <c r="A27" s="104" t="s">
        <v>652</v>
      </c>
      <c r="B27" s="105" t="s">
        <v>665</v>
      </c>
      <c r="C27" s="105" t="s">
        <v>667</v>
      </c>
      <c r="D27" s="100"/>
      <c r="E27" s="100"/>
      <c r="F27" s="100"/>
      <c r="G27" s="100"/>
      <c r="H27" s="100"/>
      <c r="I27" s="100"/>
      <c r="J27" s="100"/>
      <c r="K27" s="100"/>
      <c r="L27" s="100"/>
      <c r="M27" s="100"/>
    </row>
    <row r="28" spans="1:13" x14ac:dyDescent="0.25">
      <c r="A28" s="103" t="s">
        <v>672</v>
      </c>
      <c r="B28" s="59">
        <v>56</v>
      </c>
      <c r="C28" s="100">
        <v>53</v>
      </c>
      <c r="D28" s="100"/>
      <c r="E28" s="100"/>
      <c r="F28" s="100"/>
      <c r="G28" s="100"/>
      <c r="H28" s="100"/>
      <c r="I28" s="100"/>
      <c r="J28" s="100"/>
      <c r="K28" s="100"/>
      <c r="L28" s="100"/>
      <c r="M28" s="100"/>
    </row>
    <row r="29" spans="1:13" x14ac:dyDescent="0.25">
      <c r="A29" s="103" t="s">
        <v>672</v>
      </c>
      <c r="B29" s="200">
        <f>AVERAGE($B$28:$C$28)</f>
        <v>54.5</v>
      </c>
      <c r="C29" s="200">
        <f>AVERAGE($B$28:$C$28)</f>
        <v>54.5</v>
      </c>
      <c r="D29" s="100"/>
      <c r="E29" s="100"/>
      <c r="F29" s="100"/>
      <c r="G29" s="100"/>
      <c r="H29" s="100"/>
      <c r="I29" s="100"/>
      <c r="J29" s="100"/>
      <c r="K29" s="100"/>
      <c r="L29" s="100"/>
      <c r="M29" s="100"/>
    </row>
    <row r="30" spans="1:13" x14ac:dyDescent="0.25">
      <c r="A30" s="103" t="s">
        <v>672</v>
      </c>
      <c r="B30" s="200">
        <f>AVERAGE($B$28:$C$28)/100*90</f>
        <v>49.050000000000004</v>
      </c>
      <c r="C30" s="200">
        <f>AVERAGE($B$28:$C$28)/100*90</f>
        <v>49.050000000000004</v>
      </c>
      <c r="D30" s="100"/>
      <c r="E30" s="100"/>
      <c r="F30" s="100"/>
      <c r="G30" s="100"/>
      <c r="H30" s="100"/>
      <c r="I30" s="100"/>
      <c r="J30" s="100"/>
      <c r="K30" s="100"/>
      <c r="L30" s="100"/>
      <c r="M30" s="100"/>
    </row>
    <row r="31" spans="1:13" x14ac:dyDescent="0.25">
      <c r="A31" s="103" t="s">
        <v>672</v>
      </c>
      <c r="B31" s="200">
        <f>AVERAGE($B$28:$C$28)/100*80</f>
        <v>43.6</v>
      </c>
      <c r="C31" s="200">
        <f>AVERAGE($B$28:$C$28)/100*80</f>
        <v>43.6</v>
      </c>
      <c r="D31" s="100"/>
      <c r="E31" s="100"/>
      <c r="F31" s="100"/>
      <c r="G31" s="100"/>
      <c r="H31" s="100"/>
      <c r="I31" s="100"/>
      <c r="J31" s="100"/>
      <c r="K31" s="100"/>
      <c r="L31" s="100"/>
      <c r="M31" s="100"/>
    </row>
    <row r="32" spans="1:13" x14ac:dyDescent="0.25">
      <c r="A32" s="103" t="s">
        <v>672</v>
      </c>
      <c r="B32" s="200">
        <f>AVERAGE($B$28:$C$28)/100*110</f>
        <v>59.95</v>
      </c>
      <c r="C32" s="200">
        <f>AVERAGE($B$28:$C$28)/100*110</f>
        <v>59.95</v>
      </c>
      <c r="D32" s="100"/>
      <c r="E32" s="100"/>
      <c r="F32" s="100"/>
      <c r="G32" s="100"/>
      <c r="H32" s="100"/>
      <c r="I32" s="100"/>
      <c r="J32" s="100"/>
      <c r="K32" s="100"/>
      <c r="L32" s="100"/>
      <c r="M32" s="100"/>
    </row>
    <row r="33" spans="1:13" x14ac:dyDescent="0.25">
      <c r="A33" s="103" t="s">
        <v>672</v>
      </c>
      <c r="B33" s="200">
        <f>AVERAGE($B$28:$C$28)/100*120</f>
        <v>65.400000000000006</v>
      </c>
      <c r="C33" s="200">
        <f>AVERAGE($B$28:$C$28)/100*120</f>
        <v>65.400000000000006</v>
      </c>
      <c r="D33" s="100"/>
      <c r="E33" s="100"/>
      <c r="F33" s="100"/>
      <c r="G33" s="100"/>
      <c r="H33" s="100"/>
      <c r="I33" s="100"/>
      <c r="J33" s="100"/>
      <c r="K33" s="100"/>
      <c r="L33" s="100"/>
      <c r="M33" s="100"/>
    </row>
    <row r="34" spans="1:13" x14ac:dyDescent="0.25">
      <c r="A34" s="104" t="s">
        <v>652</v>
      </c>
      <c r="B34" s="105" t="s">
        <v>665</v>
      </c>
      <c r="C34" s="105" t="s">
        <v>667</v>
      </c>
      <c r="D34" s="100"/>
      <c r="E34" s="100"/>
      <c r="F34" s="100"/>
      <c r="G34" s="100"/>
      <c r="H34" s="100"/>
      <c r="I34" s="100"/>
      <c r="J34" s="100"/>
      <c r="K34" s="100"/>
      <c r="L34" s="100"/>
      <c r="M34" s="100"/>
    </row>
    <row r="35" spans="1:13" x14ac:dyDescent="0.25">
      <c r="A35" s="103" t="s">
        <v>673</v>
      </c>
      <c r="B35" s="59">
        <v>9</v>
      </c>
      <c r="C35" s="100">
        <v>22</v>
      </c>
      <c r="D35" s="100"/>
      <c r="E35" s="100"/>
      <c r="F35" s="100"/>
      <c r="G35" s="100"/>
      <c r="H35" s="100"/>
      <c r="I35" s="100"/>
      <c r="J35" s="100"/>
      <c r="K35" s="100"/>
      <c r="L35" s="100"/>
      <c r="M35" s="100"/>
    </row>
    <row r="36" spans="1:13" x14ac:dyDescent="0.25">
      <c r="A36" s="103" t="s">
        <v>673</v>
      </c>
      <c r="B36" s="200">
        <f>AVERAGE($B$35:$C$35)</f>
        <v>15.5</v>
      </c>
      <c r="C36" s="200">
        <f>AVERAGE($B$35:$C$35)</f>
        <v>15.5</v>
      </c>
    </row>
    <row r="37" spans="1:13" x14ac:dyDescent="0.25">
      <c r="A37" s="103" t="s">
        <v>673</v>
      </c>
      <c r="B37" s="200">
        <f>AVERAGE($B$35:$C$35)/100*90</f>
        <v>13.95</v>
      </c>
      <c r="C37" s="200">
        <f>AVERAGE($B$35:$C$35)/100*90</f>
        <v>13.95</v>
      </c>
    </row>
    <row r="38" spans="1:13" x14ac:dyDescent="0.25">
      <c r="A38" s="103" t="s">
        <v>673</v>
      </c>
      <c r="B38" s="200">
        <f>AVERAGE($B$35:$C$35)/100*80</f>
        <v>12.4</v>
      </c>
      <c r="C38" s="200">
        <f>AVERAGE($B$35:$C$35)/100*80</f>
        <v>12.4</v>
      </c>
    </row>
    <row r="39" spans="1:13" x14ac:dyDescent="0.25">
      <c r="A39" s="103" t="s">
        <v>673</v>
      </c>
      <c r="B39" s="200">
        <f>AVERAGE($B$35:$C$35)/100*110</f>
        <v>17.05</v>
      </c>
      <c r="C39" s="200">
        <f>AVERAGE($B$35:$C$35)/100*110</f>
        <v>17.05</v>
      </c>
    </row>
    <row r="40" spans="1:13" x14ac:dyDescent="0.25">
      <c r="A40" s="103" t="s">
        <v>673</v>
      </c>
      <c r="B40" s="200">
        <f>AVERAGE($B$35:$C$35)/100*120</f>
        <v>18.600000000000001</v>
      </c>
      <c r="C40" s="200">
        <f>AVERAGE($B$35:$C$35)/100*120</f>
        <v>18.600000000000001</v>
      </c>
    </row>
    <row r="42" spans="1:13" x14ac:dyDescent="0.25">
      <c r="A42" s="116" t="s">
        <v>306</v>
      </c>
      <c r="B42" s="196">
        <f>IF(B2&gt;=B4,15,0)</f>
        <v>15</v>
      </c>
      <c r="C42" s="196">
        <f>IF(C2&gt;=C4,15,0)</f>
        <v>15</v>
      </c>
    </row>
    <row r="43" spans="1:13" x14ac:dyDescent="0.25">
      <c r="A43" s="116" t="s">
        <v>307</v>
      </c>
      <c r="B43" s="196">
        <f>IF(B7&gt;=B10,10,0)</f>
        <v>10</v>
      </c>
      <c r="C43" s="196">
        <f>IF(C7&gt;=C10,10,0)</f>
        <v>10</v>
      </c>
    </row>
    <row r="44" spans="1:13" x14ac:dyDescent="0.25">
      <c r="A44" s="116" t="s">
        <v>674</v>
      </c>
      <c r="B44" s="196">
        <f>IF(B14&gt;B17,5,0)</f>
        <v>5</v>
      </c>
      <c r="C44" s="196">
        <f>IF(C14&gt;C17,5,0)</f>
        <v>5</v>
      </c>
    </row>
    <row r="45" spans="1:13" x14ac:dyDescent="0.25">
      <c r="A45" s="116" t="s">
        <v>675</v>
      </c>
      <c r="B45" s="194">
        <f>IF(B21&gt;=B24,25,0)</f>
        <v>25</v>
      </c>
      <c r="C45" s="194">
        <f>IF(C21&gt;=C24,25,0)</f>
        <v>25</v>
      </c>
    </row>
    <row r="46" spans="1:13" x14ac:dyDescent="0.25">
      <c r="A46" s="116" t="s">
        <v>676</v>
      </c>
      <c r="B46" s="194">
        <f>IF(B28&gt;=B31,25,0)</f>
        <v>25</v>
      </c>
      <c r="C46" s="194">
        <f>IF(C28&gt;=C31,25,0)</f>
        <v>25</v>
      </c>
    </row>
    <row r="47" spans="1:13" x14ac:dyDescent="0.25">
      <c r="A47" s="116" t="s">
        <v>311</v>
      </c>
      <c r="B47" s="194">
        <f>IF(B35&lt;=B38,20,0)</f>
        <v>20</v>
      </c>
      <c r="C47" s="194">
        <f>IF(C35&lt;=C38,20,0)</f>
        <v>0</v>
      </c>
    </row>
    <row r="48" spans="1:13" x14ac:dyDescent="0.25">
      <c r="A48" s="116"/>
      <c r="B48" s="194"/>
    </row>
    <row r="49" spans="1:3" x14ac:dyDescent="0.25">
      <c r="A49" s="116" t="s">
        <v>677</v>
      </c>
      <c r="B49" s="194">
        <f>SUM(B42:B47)</f>
        <v>100</v>
      </c>
      <c r="C49" s="194">
        <f t="shared" ref="C49" si="0">SUM(C42:C47)</f>
        <v>80</v>
      </c>
    </row>
    <row r="50" spans="1:3" x14ac:dyDescent="0.25">
      <c r="A50" s="116" t="s">
        <v>678</v>
      </c>
      <c r="B50" s="194" t="str">
        <f>IF(B49&gt;=50,"OKAY","KO")</f>
        <v>OKAY</v>
      </c>
      <c r="C50" s="194" t="str">
        <f t="shared" ref="C50" si="1">IF(C49&gt;=50,"OKAY","KO")</f>
        <v>OKAY</v>
      </c>
    </row>
  </sheetData>
  <phoneticPr fontId="3" type="noConversion"/>
  <conditionalFormatting sqref="A50">
    <cfRule type="containsText" dxfId="8" priority="4" operator="containsText" text="KO">
      <formula>NOT(ISERROR(SEARCH("KO",A50)))</formula>
    </cfRule>
  </conditionalFormatting>
  <conditionalFormatting sqref="A50">
    <cfRule type="cellIs" dxfId="7" priority="3" operator="equal">
      <formula>"KO"</formula>
    </cfRule>
  </conditionalFormatting>
  <conditionalFormatting sqref="B50:C50">
    <cfRule type="containsText" dxfId="6" priority="2" operator="containsText" text="KO">
      <formula>NOT(ISERROR(SEARCH("KO",B50)))</formula>
    </cfRule>
  </conditionalFormatting>
  <conditionalFormatting sqref="B50:C50">
    <cfRule type="cellIs" dxfId="5" priority="1" operator="equal">
      <formula>"KO"</formula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oglio1"/>
  <dimension ref="A1:N35"/>
  <sheetViews>
    <sheetView showGridLines="0" workbookViewId="0">
      <pane xSplit="33" ySplit="38" topLeftCell="AH39" activePane="bottomRight" state="frozen"/>
      <selection pane="topRight" activeCell="AH1" sqref="AH1"/>
      <selection pane="bottomLeft" activeCell="A39" sqref="A39"/>
      <selection pane="bottomRight" activeCell="P1" sqref="P1"/>
    </sheetView>
  </sheetViews>
  <sheetFormatPr defaultColWidth="9.140625" defaultRowHeight="15" x14ac:dyDescent="0.25"/>
  <cols>
    <col min="1" max="1" width="7.5703125" style="6" bestFit="1" customWidth="1"/>
    <col min="2" max="2" width="16.7109375" style="7" customWidth="1"/>
    <col min="3" max="3" width="36.42578125" style="50" customWidth="1"/>
    <col min="4" max="4" width="15.140625" style="9" customWidth="1"/>
    <col min="5" max="5" width="1.28515625" style="29" customWidth="1"/>
    <col min="6" max="6" width="1" style="6" customWidth="1"/>
    <col min="7" max="7" width="1.28515625" style="6" customWidth="1"/>
    <col min="8" max="8" width="65" style="6" customWidth="1"/>
    <col min="9" max="9" width="13.85546875" style="6" bestFit="1" customWidth="1"/>
    <col min="10" max="10" width="1.5703125" style="6" customWidth="1"/>
    <col min="11" max="11" width="9.140625" style="6" customWidth="1"/>
    <col min="12" max="13" width="8.5703125" style="6" customWidth="1"/>
    <col min="14" max="14" width="1.5703125" style="6" customWidth="1"/>
    <col min="15" max="16384" width="9.140625" style="6"/>
  </cols>
  <sheetData>
    <row r="1" spans="1:14" s="8" customFormat="1" ht="360" x14ac:dyDescent="0.25">
      <c r="A1" s="10" t="s">
        <v>0</v>
      </c>
      <c r="B1" s="11" t="s">
        <v>1</v>
      </c>
      <c r="C1" s="11" t="s">
        <v>2</v>
      </c>
      <c r="D1" s="12" t="s">
        <v>3</v>
      </c>
      <c r="E1" s="19" t="s">
        <v>768</v>
      </c>
      <c r="F1" s="39" t="s">
        <v>4</v>
      </c>
      <c r="G1" s="40" t="s">
        <v>47</v>
      </c>
      <c r="H1" s="40" t="s">
        <v>6</v>
      </c>
      <c r="I1" s="41" t="s">
        <v>7</v>
      </c>
      <c r="J1" s="22"/>
      <c r="K1" s="248"/>
      <c r="L1" s="248"/>
      <c r="M1" s="248"/>
      <c r="N1" s="23"/>
    </row>
    <row r="2" spans="1:14" ht="24.95" customHeight="1" x14ac:dyDescent="0.25">
      <c r="A2" s="26" t="s">
        <v>9</v>
      </c>
      <c r="B2" s="44" t="s">
        <v>10</v>
      </c>
      <c r="C2" s="47" t="s">
        <v>11</v>
      </c>
      <c r="D2" s="20">
        <f>IF(_xlfn.MAXIFS('LOTTI_RISULTATI ANALISI'!$A:$A,'LOTTI_RISULTATI ANALISI'!$B:$B,SINOTTICO_old!B2)&lt;1,"",_xlfn.MAXIFS('LOTTI_RISULTATI ANALISI'!$A:$A,'LOTTI_RISULTATI ANALISI'!$B:$B,SINOTTICO_old!B2))</f>
        <v>46127</v>
      </c>
      <c r="E2" s="57" t="str">
        <f>VLOOKUP(I2,materiali_old2!$L:$M,2,0)</f>
        <v>LASTRINA - M1Ro - SINTER 70 GIALLO - ANTISTATICO</v>
      </c>
      <c r="F2" s="17">
        <f ca="1">TODAY()</f>
        <v>46289</v>
      </c>
      <c r="G2" s="6" t="str">
        <f>B2</f>
        <v>438014255</v>
      </c>
      <c r="H2" s="16" t="str">
        <f>C2</f>
        <v>M1Ro - SINTER 70 GIALLO - ANTISTATICO</v>
      </c>
      <c r="I2" s="59" t="s">
        <v>341</v>
      </c>
      <c r="J2" s="25"/>
      <c r="K2" s="244"/>
      <c r="L2" s="245"/>
      <c r="M2" s="246"/>
      <c r="N2" s="25"/>
    </row>
    <row r="3" spans="1:14" ht="6" customHeight="1" x14ac:dyDescent="0.25">
      <c r="A3" s="14"/>
      <c r="B3" s="45"/>
      <c r="C3" s="48"/>
      <c r="D3" s="13"/>
      <c r="E3" s="58"/>
      <c r="F3" s="21"/>
      <c r="G3" s="21"/>
      <c r="H3" s="21"/>
      <c r="I3" s="21"/>
      <c r="J3" s="24"/>
      <c r="K3" s="247"/>
      <c r="L3" s="247"/>
      <c r="M3" s="247"/>
      <c r="N3" s="25"/>
    </row>
    <row r="4" spans="1:14" ht="24.95" customHeight="1" x14ac:dyDescent="0.25">
      <c r="A4" s="27" t="s">
        <v>13</v>
      </c>
      <c r="B4" s="46" t="s">
        <v>14</v>
      </c>
      <c r="C4" s="49" t="s">
        <v>15</v>
      </c>
      <c r="D4" s="15">
        <f>IF(_xlfn.MAXIFS('LOTTI_RISULTATI ANALISI'!$A:$A,'LOTTI_RISULTATI ANALISI'!$B:$B,SINOTTICO_old!B4)&lt;1,"",_xlfn.MAXIFS('LOTTI_RISULTATI ANALISI'!$A:$A,'LOTTI_RISULTATI ANALISI'!$B:$B,SINOTTICO_old!B4))</f>
        <v>46127</v>
      </c>
      <c r="E4" s="57" t="str">
        <f>VLOOKUP(I4,materiali_old2!$L:$M,2,0)</f>
        <v>LASTRINA - M2Ro - SINTAM 90 GIALLO</v>
      </c>
      <c r="F4" s="17">
        <f ca="1">TODAY()</f>
        <v>46289</v>
      </c>
      <c r="G4" s="6" t="str">
        <f>B4</f>
        <v>438014261</v>
      </c>
      <c r="H4" s="16" t="str">
        <f>C4</f>
        <v>M2Ro - SINTAM 90 GIALLO</v>
      </c>
      <c r="I4" s="59" t="s">
        <v>339</v>
      </c>
      <c r="J4" s="25"/>
      <c r="K4" s="244"/>
      <c r="L4" s="245"/>
      <c r="M4" s="246"/>
      <c r="N4" s="25"/>
    </row>
    <row r="5" spans="1:14" ht="6" customHeight="1" x14ac:dyDescent="0.25">
      <c r="A5" s="14"/>
      <c r="B5" s="45"/>
      <c r="C5" s="48"/>
      <c r="D5" s="13"/>
      <c r="E5" s="58"/>
      <c r="F5" s="21"/>
      <c r="G5" s="21"/>
      <c r="H5" s="21"/>
      <c r="I5" s="21"/>
      <c r="J5" s="24"/>
      <c r="K5" s="247"/>
      <c r="L5" s="247"/>
      <c r="M5" s="247"/>
      <c r="N5" s="25"/>
    </row>
    <row r="6" spans="1:14" ht="24.95" customHeight="1" x14ac:dyDescent="0.25">
      <c r="A6" s="27" t="s">
        <v>19</v>
      </c>
      <c r="B6" s="46" t="s">
        <v>20</v>
      </c>
      <c r="C6" s="49" t="s">
        <v>21</v>
      </c>
      <c r="D6" s="15">
        <f>IF(_xlfn.MAXIFS('LOTTI_RISULTATI ANALISI'!$A:$A,'LOTTI_RISULTATI ANALISI'!$B:$B,SINOTTICO_old!B6)&lt;1,"",_xlfn.MAXIFS('LOTTI_RISULTATI ANALISI'!$A:$A,'LOTTI_RISULTATI ANALISI'!$B:$B,SINOTTICO_old!B6))</f>
        <v>46127</v>
      </c>
      <c r="E6" s="57" t="str">
        <f>VLOOKUP(I6,materiali_old2!$L:$M,2,0)</f>
        <v>LASTRINA - M3Ro - SINTAM 70 GIALLO - ANTISTATICO</v>
      </c>
      <c r="F6" s="17">
        <f ca="1">TODAY()</f>
        <v>46289</v>
      </c>
      <c r="G6" s="6" t="str">
        <f>B6</f>
        <v>438014260</v>
      </c>
      <c r="H6" s="16" t="str">
        <f>C6</f>
        <v>M3Ro - SINTAM 70 GIALLO - ANTISTATICO</v>
      </c>
      <c r="I6" s="59" t="s">
        <v>315</v>
      </c>
      <c r="J6" s="25"/>
      <c r="K6" s="244"/>
      <c r="L6" s="245"/>
      <c r="M6" s="246"/>
      <c r="N6" s="25"/>
    </row>
    <row r="7" spans="1:14" ht="6" customHeight="1" x14ac:dyDescent="0.25">
      <c r="A7" s="14"/>
      <c r="B7" s="45"/>
      <c r="C7" s="48"/>
      <c r="D7" s="13"/>
      <c r="E7" s="58"/>
      <c r="F7" s="21"/>
      <c r="G7" s="21"/>
      <c r="H7" s="21"/>
      <c r="I7" s="21"/>
      <c r="J7" s="24"/>
      <c r="K7" s="247"/>
      <c r="L7" s="247"/>
      <c r="M7" s="247"/>
      <c r="N7" s="25"/>
    </row>
    <row r="8" spans="1:14" ht="24.95" customHeight="1" x14ac:dyDescent="0.25">
      <c r="A8" s="27" t="s">
        <v>23</v>
      </c>
      <c r="B8" s="46" t="s">
        <v>24</v>
      </c>
      <c r="C8" s="49" t="s">
        <v>25</v>
      </c>
      <c r="D8" s="15">
        <f>IF(_xlfn.MAXIFS('LOTTI_RISULTATI ANALISI'!$A:$A,'LOTTI_RISULTATI ANALISI'!$B:$B,SINOTTICO_old!B8)&lt;1,"",_xlfn.MAXIFS('LOTTI_RISULTATI ANALISI'!$A:$A,'LOTTI_RISULTATI ANALISI'!$B:$B,SINOTTICO_old!B8))</f>
        <v>46125</v>
      </c>
      <c r="E8" s="57" t="str">
        <f>VLOOKUP(I8,materiali_old2!$L:$M,2,0)</f>
        <v>LASTRINA - M4Ro - SINTAL 70 BIANCO G</v>
      </c>
      <c r="F8" s="17">
        <f ca="1">TODAY()</f>
        <v>46289</v>
      </c>
      <c r="G8" s="6" t="str">
        <f>B8</f>
        <v>438020339</v>
      </c>
      <c r="H8" s="16" t="str">
        <f>C8</f>
        <v>M4Ro - SINTAL 70 BIANCO G</v>
      </c>
      <c r="I8" s="59" t="s">
        <v>247</v>
      </c>
      <c r="J8" s="25"/>
      <c r="K8" s="244"/>
      <c r="L8" s="245"/>
      <c r="M8" s="246"/>
      <c r="N8" s="25"/>
    </row>
    <row r="9" spans="1:14" ht="6" customHeight="1" x14ac:dyDescent="0.25">
      <c r="A9" s="14"/>
      <c r="B9" s="45"/>
      <c r="C9" s="48"/>
      <c r="D9" s="13"/>
      <c r="E9" s="58"/>
      <c r="F9" s="21"/>
      <c r="G9" s="21"/>
      <c r="H9" s="21"/>
      <c r="I9" s="21"/>
      <c r="J9" s="24"/>
      <c r="K9" s="247"/>
      <c r="L9" s="247"/>
      <c r="M9" s="247"/>
      <c r="N9" s="25"/>
    </row>
    <row r="10" spans="1:14" ht="24.95" customHeight="1" x14ac:dyDescent="0.25">
      <c r="A10" s="27" t="s">
        <v>27</v>
      </c>
      <c r="B10" s="46" t="s">
        <v>28</v>
      </c>
      <c r="C10" s="49" t="s">
        <v>29</v>
      </c>
      <c r="D10" s="15">
        <f>IF(_xlfn.MAXIFS('LOTTI_RISULTATI ANALISI'!$A:$A,'LOTTI_RISULTATI ANALISI'!$B:$B,SINOTTICO_old!B10)&lt;1,"",_xlfn.MAXIFS('LOTTI_RISULTATI ANALISI'!$A:$A,'LOTTI_RISULTATI ANALISI'!$B:$B,SINOTTICO_old!B10))</f>
        <v>46127</v>
      </c>
      <c r="E10" s="57" t="str">
        <f>VLOOKUP(I10,materiali_old2!$L:$M,2,0)</f>
        <v>LASTRINA - M5Ro - SINTAM 70 GIALLO</v>
      </c>
      <c r="F10" s="17">
        <f ca="1">TODAY()</f>
        <v>46289</v>
      </c>
      <c r="G10" s="6" t="str">
        <f>B10</f>
        <v>438014259</v>
      </c>
      <c r="H10" s="16" t="str">
        <f>C10</f>
        <v>M5Ro - SINTAM 70 GIALLO</v>
      </c>
      <c r="I10" s="59" t="s">
        <v>327</v>
      </c>
      <c r="J10" s="25"/>
      <c r="K10" s="244"/>
      <c r="L10" s="245"/>
      <c r="M10" s="246"/>
      <c r="N10" s="25"/>
    </row>
    <row r="11" spans="1:14" ht="6" customHeight="1" x14ac:dyDescent="0.25">
      <c r="A11" s="14"/>
      <c r="B11" s="45"/>
      <c r="C11" s="48"/>
      <c r="D11" s="13"/>
      <c r="E11" s="58"/>
      <c r="F11" s="21"/>
      <c r="G11" s="21"/>
      <c r="H11" s="21"/>
      <c r="I11" s="21"/>
      <c r="J11" s="24"/>
      <c r="K11" s="247"/>
      <c r="L11" s="247"/>
      <c r="M11" s="247"/>
      <c r="N11" s="25"/>
    </row>
    <row r="12" spans="1:14" ht="24.95" customHeight="1" x14ac:dyDescent="0.25">
      <c r="A12" s="250" t="s">
        <v>34</v>
      </c>
      <c r="B12" s="46" t="s">
        <v>35</v>
      </c>
      <c r="C12" s="49" t="s">
        <v>36</v>
      </c>
      <c r="D12" s="15">
        <f>IF(_xlfn.MAXIFS('LOTTI_RISULTATI ANALISI'!$A:$A,'LOTTI_RISULTATI ANALISI'!$B:$B,SINOTTICO_old!B12)&lt;1,"",_xlfn.MAXIFS('LOTTI_RISULTATI ANALISI'!$A:$A,'LOTTI_RISULTATI ANALISI'!$B:$B,SINOTTICO_old!B12))</f>
        <v>46127</v>
      </c>
      <c r="E12" s="57" t="str">
        <f>VLOOKUP(I12,materiali_old2!$L:$M,2,0)</f>
        <v>LASTRINA - M6Ro - SINTER 70 NEUTRO - ANTISTATICO</v>
      </c>
      <c r="F12" s="17">
        <f ca="1">TODAY()</f>
        <v>46289</v>
      </c>
      <c r="G12" s="6" t="str">
        <f>B12</f>
        <v>438014257</v>
      </c>
      <c r="H12" s="16" t="str">
        <f>C12</f>
        <v>M6Ro - SINTER 70 NEUTRO - ANTISTATICO</v>
      </c>
      <c r="I12" s="59" t="s">
        <v>267</v>
      </c>
      <c r="J12" s="25"/>
      <c r="K12" s="244"/>
      <c r="L12" s="245"/>
      <c r="M12" s="246"/>
      <c r="N12" s="25"/>
    </row>
    <row r="13" spans="1:14" ht="6" customHeight="1" x14ac:dyDescent="0.25">
      <c r="A13" s="250"/>
      <c r="B13" s="51"/>
      <c r="C13" s="52"/>
      <c r="D13" s="53"/>
      <c r="E13" s="58"/>
      <c r="F13" s="54"/>
      <c r="G13" s="55"/>
      <c r="H13" s="55"/>
      <c r="I13" s="55"/>
      <c r="J13" s="24"/>
      <c r="K13" s="247"/>
      <c r="L13" s="247"/>
      <c r="M13" s="247"/>
      <c r="N13" s="25"/>
    </row>
    <row r="14" spans="1:14" ht="24.95" customHeight="1" x14ac:dyDescent="0.25">
      <c r="A14" s="250"/>
      <c r="B14" s="46" t="s">
        <v>38</v>
      </c>
      <c r="C14" s="49" t="s">
        <v>39</v>
      </c>
      <c r="D14" s="15">
        <f>IF(_xlfn.MAXIFS('LOTTI_RISULTATI ANALISI'!$A:$A,'LOTTI_RISULTATI ANALISI'!$B:$B,SINOTTICO_old!B14)&lt;1,"",_xlfn.MAXIFS('LOTTI_RISULTATI ANALISI'!$A:$A,'LOTTI_RISULTATI ANALISI'!$B:$B,SINOTTICO_old!B14))</f>
        <v>46111</v>
      </c>
      <c r="E14" s="57" t="str">
        <f>VLOOKUP(I14,materiali_old2!$L:$M,2,0)</f>
        <v>LASTRINA - M6Ro - SINTHT 70 NEUTRO</v>
      </c>
      <c r="F14" s="17">
        <f ca="1">TODAY()</f>
        <v>46289</v>
      </c>
      <c r="G14" s="6" t="str">
        <f>B14</f>
        <v>438014258</v>
      </c>
      <c r="H14" s="16" t="str">
        <f>C14</f>
        <v>M6Ro - SINTHT 70 NEUTRO</v>
      </c>
      <c r="I14" s="59" t="s">
        <v>272</v>
      </c>
      <c r="J14" s="25"/>
      <c r="K14" s="244"/>
      <c r="L14" s="245"/>
      <c r="M14" s="246"/>
      <c r="N14" s="25"/>
    </row>
    <row r="15" spans="1:14" ht="6" customHeight="1" x14ac:dyDescent="0.25">
      <c r="A15" s="14"/>
      <c r="B15" s="45"/>
      <c r="C15" s="48"/>
      <c r="D15" s="13"/>
      <c r="E15" s="58"/>
      <c r="F15" s="21"/>
      <c r="G15" s="21"/>
      <c r="H15" s="21"/>
      <c r="I15" s="21"/>
      <c r="J15" s="24"/>
      <c r="K15" s="247"/>
      <c r="L15" s="247"/>
      <c r="M15" s="247"/>
      <c r="N15" s="25"/>
    </row>
    <row r="16" spans="1:14" ht="24.95" customHeight="1" x14ac:dyDescent="0.25">
      <c r="A16" s="27" t="s">
        <v>41</v>
      </c>
      <c r="B16" s="46" t="s">
        <v>42</v>
      </c>
      <c r="C16" s="49" t="s">
        <v>334</v>
      </c>
      <c r="D16" s="15">
        <f>IF(_xlfn.MAXIFS('LOTTI_RISULTATI ANALISI'!$A:$A,'LOTTI_RISULTATI ANALISI'!$B:$B,SINOTTICO_old!B16)&lt;1,"",_xlfn.MAXIFS('LOTTI_RISULTATI ANALISI'!$A:$A,'LOTTI_RISULTATI ANALISI'!$B:$B,SINOTTICO_old!B16))</f>
        <v>46127</v>
      </c>
      <c r="E16" s="57" t="str">
        <f>VLOOKUP(I16,materiali_old2!$L:$M,2,0)</f>
        <v>LASTRINA - M7R0 - SINTAL 70 BIANCO F</v>
      </c>
      <c r="F16" s="17">
        <f ca="1">TODAY()</f>
        <v>46289</v>
      </c>
      <c r="G16" s="6" t="str">
        <f>B16</f>
        <v>438019965</v>
      </c>
      <c r="H16" s="16" t="str">
        <f>C16</f>
        <v>M7R0 - SINTAL 70 BIANCO F</v>
      </c>
      <c r="I16" s="59" t="s">
        <v>263</v>
      </c>
      <c r="J16" s="25"/>
      <c r="K16" s="244"/>
      <c r="L16" s="245"/>
      <c r="M16" s="246"/>
      <c r="N16" s="25"/>
    </row>
    <row r="17" spans="1:14" ht="6" customHeight="1" x14ac:dyDescent="0.25">
      <c r="A17" s="14"/>
      <c r="B17" s="45"/>
      <c r="C17" s="48"/>
      <c r="D17" s="13"/>
      <c r="E17" s="56"/>
      <c r="F17" s="21"/>
      <c r="G17" s="21"/>
      <c r="H17" s="21"/>
      <c r="I17" s="21"/>
      <c r="J17" s="43"/>
      <c r="K17" s="247"/>
      <c r="L17" s="247"/>
      <c r="M17" s="247"/>
      <c r="N17" s="42"/>
    </row>
    <row r="19" spans="1:14" ht="18.75" x14ac:dyDescent="0.25">
      <c r="A19" s="249" t="s">
        <v>769</v>
      </c>
      <c r="B19" s="249"/>
      <c r="C19" s="249"/>
      <c r="D19" s="32">
        <f ca="1">COUNTIF('LOTTI_RISULTATI ANALISI'!A:A,TODAY())</f>
        <v>0</v>
      </c>
    </row>
    <row r="23" spans="1:14" x14ac:dyDescent="0.25">
      <c r="F23" s="6" t="str">
        <f>CONCATENATE(F25,"; ",F27,"; ",F28)</f>
        <v>Nicolae.Maxim@wamgroup.com; dario.pederzoli@wamgroup.com; Serena.Diazzi@wamgroup.com</v>
      </c>
    </row>
    <row r="24" spans="1:14" x14ac:dyDescent="0.25">
      <c r="F24" s="6" t="s">
        <v>770</v>
      </c>
    </row>
    <row r="25" spans="1:14" x14ac:dyDescent="0.25">
      <c r="F25" s="28" t="s">
        <v>771</v>
      </c>
    </row>
    <row r="26" spans="1:14" x14ac:dyDescent="0.25">
      <c r="E26" s="30"/>
      <c r="F26" s="28"/>
    </row>
    <row r="27" spans="1:14" x14ac:dyDescent="0.25">
      <c r="E27" s="30"/>
      <c r="F27" s="6" t="s">
        <v>772</v>
      </c>
    </row>
    <row r="28" spans="1:14" x14ac:dyDescent="0.25">
      <c r="E28" s="30"/>
      <c r="F28" s="28" t="s">
        <v>773</v>
      </c>
    </row>
    <row r="29" spans="1:14" x14ac:dyDescent="0.25">
      <c r="F29" s="6" t="s">
        <v>774</v>
      </c>
    </row>
    <row r="30" spans="1:14" x14ac:dyDescent="0.25">
      <c r="F30" s="6" t="s">
        <v>775</v>
      </c>
    </row>
    <row r="31" spans="1:14" x14ac:dyDescent="0.25">
      <c r="F31" s="6" t="s">
        <v>776</v>
      </c>
    </row>
    <row r="32" spans="1:14" x14ac:dyDescent="0.25">
      <c r="F32" s="6" t="s">
        <v>777</v>
      </c>
    </row>
    <row r="33" spans="6:6" x14ac:dyDescent="0.25">
      <c r="F33" s="6" t="s">
        <v>778</v>
      </c>
    </row>
    <row r="34" spans="6:6" x14ac:dyDescent="0.25">
      <c r="F34" s="6" t="s">
        <v>776</v>
      </c>
    </row>
    <row r="35" spans="6:6" x14ac:dyDescent="0.25">
      <c r="F35" s="6" t="str">
        <f ca="1">CONCATENATE(F32,D19,F33)</f>
        <v>Con la presente si notifica che sono state richieste 0 lastrine. Si ricorda di compilare (sul file delle lastrine) i seguenti dati: Data produzione - Lotto Materiali utilizzati</v>
      </c>
    </row>
  </sheetData>
  <mergeCells count="19">
    <mergeCell ref="K17:M17"/>
    <mergeCell ref="A19:C19"/>
    <mergeCell ref="A12:A14"/>
    <mergeCell ref="K1:M1"/>
    <mergeCell ref="K2:M2"/>
    <mergeCell ref="K4:M4"/>
    <mergeCell ref="K6:M6"/>
    <mergeCell ref="K8:M8"/>
    <mergeCell ref="K10:M10"/>
    <mergeCell ref="K12:M12"/>
    <mergeCell ref="K14:M14"/>
    <mergeCell ref="K16:M16"/>
    <mergeCell ref="K3:M3"/>
    <mergeCell ref="K5:M5"/>
    <mergeCell ref="K7:M7"/>
    <mergeCell ref="K9:M9"/>
    <mergeCell ref="K11:M11"/>
    <mergeCell ref="K13:M13"/>
    <mergeCell ref="K15:M15"/>
  </mergeCells>
  <hyperlinks>
    <hyperlink ref="F28" r:id="rId1" xr:uid="{00000000-0004-0000-0C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1</xdr:row>
                    <xdr:rowOff>57150</xdr:rowOff>
                  </from>
                  <to>
                    <xdr:col>12</xdr:col>
                    <xdr:colOff>771525</xdr:colOff>
                    <xdr:row>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3</xdr:row>
                    <xdr:rowOff>57150</xdr:rowOff>
                  </from>
                  <to>
                    <xdr:col>12</xdr:col>
                    <xdr:colOff>771525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15</xdr:row>
                    <xdr:rowOff>57150</xdr:rowOff>
                  </from>
                  <to>
                    <xdr:col>12</xdr:col>
                    <xdr:colOff>771525</xdr:colOff>
                    <xdr:row>15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13</xdr:row>
                    <xdr:rowOff>57150</xdr:rowOff>
                  </from>
                  <to>
                    <xdr:col>12</xdr:col>
                    <xdr:colOff>771525</xdr:colOff>
                    <xdr:row>13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11</xdr:row>
                    <xdr:rowOff>57150</xdr:rowOff>
                  </from>
                  <to>
                    <xdr:col>12</xdr:col>
                    <xdr:colOff>771525</xdr:colOff>
                    <xdr:row>11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9</xdr:row>
                    <xdr:rowOff>57150</xdr:rowOff>
                  </from>
                  <to>
                    <xdr:col>12</xdr:col>
                    <xdr:colOff>771525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7</xdr:row>
                    <xdr:rowOff>57150</xdr:rowOff>
                  </from>
                  <to>
                    <xdr:col>12</xdr:col>
                    <xdr:colOff>771525</xdr:colOff>
                    <xdr:row>7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Macro1">
                <anchor moveWithCells="1" sizeWithCells="1">
                  <from>
                    <xdr:col>10</xdr:col>
                    <xdr:colOff>85725</xdr:colOff>
                    <xdr:row>5</xdr:row>
                    <xdr:rowOff>57150</xdr:rowOff>
                  </from>
                  <to>
                    <xdr:col>12</xdr:col>
                    <xdr:colOff>771525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Macro2">
                <anchor moveWithCells="1" sizeWithCells="1">
                  <from>
                    <xdr:col>10</xdr:col>
                    <xdr:colOff>85725</xdr:colOff>
                    <xdr:row>3</xdr:row>
                    <xdr:rowOff>47625</xdr:rowOff>
                  </from>
                  <to>
                    <xdr:col>12</xdr:col>
                    <xdr:colOff>771525</xdr:colOff>
                    <xdr:row>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Macro3">
                <anchor moveWithCells="1" sizeWithCells="1">
                  <from>
                    <xdr:col>10</xdr:col>
                    <xdr:colOff>85725</xdr:colOff>
                    <xdr:row>5</xdr:row>
                    <xdr:rowOff>47625</xdr:rowOff>
                  </from>
                  <to>
                    <xdr:col>12</xdr:col>
                    <xdr:colOff>771525</xdr:colOff>
                    <xdr:row>5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5" name="Button 14">
              <controlPr defaultSize="0" print="0" autoFill="0" autoPict="0" macro="[0]!Macro4">
                <anchor moveWithCells="1" sizeWithCells="1">
                  <from>
                    <xdr:col>10</xdr:col>
                    <xdr:colOff>85725</xdr:colOff>
                    <xdr:row>7</xdr:row>
                    <xdr:rowOff>47625</xdr:rowOff>
                  </from>
                  <to>
                    <xdr:col>12</xdr:col>
                    <xdr:colOff>771525</xdr:colOff>
                    <xdr:row>7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6" name="Button 15">
              <controlPr defaultSize="0" print="0" autoFill="0" autoPict="0" macro="[0]!Macro5">
                <anchor moveWithCells="1" sizeWithCells="1">
                  <from>
                    <xdr:col>10</xdr:col>
                    <xdr:colOff>85725</xdr:colOff>
                    <xdr:row>9</xdr:row>
                    <xdr:rowOff>47625</xdr:rowOff>
                  </from>
                  <to>
                    <xdr:col>12</xdr:col>
                    <xdr:colOff>771525</xdr:colOff>
                    <xdr:row>9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7" name="Button 16">
              <controlPr defaultSize="0" print="0" autoFill="0" autoPict="0" macro="[0]!Macro6">
                <anchor moveWithCells="1" sizeWithCells="1">
                  <from>
                    <xdr:col>10</xdr:col>
                    <xdr:colOff>85725</xdr:colOff>
                    <xdr:row>11</xdr:row>
                    <xdr:rowOff>47625</xdr:rowOff>
                  </from>
                  <to>
                    <xdr:col>12</xdr:col>
                    <xdr:colOff>771525</xdr:colOff>
                    <xdr:row>11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8" name="Button 17">
              <controlPr defaultSize="0" print="0" autoFill="0" autoPict="0" macro="[0]!Macro7">
                <anchor moveWithCells="1" sizeWithCells="1">
                  <from>
                    <xdr:col>10</xdr:col>
                    <xdr:colOff>85725</xdr:colOff>
                    <xdr:row>13</xdr:row>
                    <xdr:rowOff>47625</xdr:rowOff>
                  </from>
                  <to>
                    <xdr:col>12</xdr:col>
                    <xdr:colOff>771525</xdr:colOff>
                    <xdr:row>13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9" name="Button 18">
              <controlPr defaultSize="0" print="0" autoFill="0" autoPict="0" macro="[0]!Macro8">
                <anchor moveWithCells="1" sizeWithCells="1">
                  <from>
                    <xdr:col>10</xdr:col>
                    <xdr:colOff>85725</xdr:colOff>
                    <xdr:row>15</xdr:row>
                    <xdr:rowOff>47625</xdr:rowOff>
                  </from>
                  <to>
                    <xdr:col>12</xdr:col>
                    <xdr:colOff>771525</xdr:colOff>
                    <xdr:row>15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oglio3"/>
  <dimension ref="A1:M34"/>
  <sheetViews>
    <sheetView topLeftCell="C1" workbookViewId="0">
      <selection activeCell="H28" sqref="H28"/>
    </sheetView>
  </sheetViews>
  <sheetFormatPr defaultRowHeight="15" x14ac:dyDescent="0.25"/>
  <cols>
    <col min="1" max="1" width="10.5703125" bestFit="1" customWidth="1"/>
    <col min="2" max="2" width="38.140625" bestFit="1" customWidth="1"/>
    <col min="3" max="3" width="12.140625" bestFit="1" customWidth="1"/>
    <col min="4" max="4" width="16.28515625" bestFit="1" customWidth="1"/>
    <col min="5" max="5" width="15.140625" bestFit="1" customWidth="1"/>
    <col min="7" max="7" width="11.7109375" bestFit="1" customWidth="1"/>
    <col min="8" max="8" width="87.42578125" bestFit="1" customWidth="1"/>
    <col min="9" max="9" width="7.140625" bestFit="1" customWidth="1"/>
    <col min="10" max="10" width="4" bestFit="1" customWidth="1"/>
    <col min="11" max="11" width="6.140625" bestFit="1" customWidth="1"/>
    <col min="12" max="12" width="10" bestFit="1" customWidth="1"/>
    <col min="13" max="13" width="48.5703125" bestFit="1" customWidth="1"/>
  </cols>
  <sheetData>
    <row r="1" spans="1:13" x14ac:dyDescent="0.25">
      <c r="A1" s="1" t="s">
        <v>47</v>
      </c>
      <c r="B1" s="1" t="s">
        <v>779</v>
      </c>
      <c r="C1" s="1" t="s">
        <v>49</v>
      </c>
      <c r="D1" s="3" t="s">
        <v>50</v>
      </c>
      <c r="E1" s="4" t="s">
        <v>51</v>
      </c>
      <c r="F1" s="4"/>
      <c r="G1" s="2" t="s">
        <v>52</v>
      </c>
      <c r="H1" s="2" t="s">
        <v>53</v>
      </c>
      <c r="I1" s="2" t="s">
        <v>54</v>
      </c>
      <c r="J1" s="2" t="s">
        <v>55</v>
      </c>
      <c r="K1" s="2" t="s">
        <v>56</v>
      </c>
      <c r="L1" s="1" t="s">
        <v>780</v>
      </c>
      <c r="M1" s="1" t="s">
        <v>58</v>
      </c>
    </row>
    <row r="2" spans="1:13" ht="15.75" x14ac:dyDescent="0.25">
      <c r="A2" s="38" t="s">
        <v>10</v>
      </c>
      <c r="B2" s="38" t="s">
        <v>11</v>
      </c>
      <c r="C2" s="38" t="str">
        <f t="shared" ref="C2:C34" si="0">CONCATENATE(A2,"_",F2)</f>
        <v>438014255_1</v>
      </c>
      <c r="D2" s="18">
        <f>COUNTIF($A$1:A2,A2)</f>
        <v>1</v>
      </c>
      <c r="E2" s="38" t="s">
        <v>60</v>
      </c>
      <c r="F2" s="38">
        <v>1</v>
      </c>
      <c r="G2" s="33" t="s">
        <v>61</v>
      </c>
      <c r="H2" s="34" t="s">
        <v>62</v>
      </c>
      <c r="I2" s="35" t="s">
        <v>63</v>
      </c>
      <c r="J2" s="36" t="s">
        <v>781</v>
      </c>
      <c r="K2" s="37">
        <v>0.64580292677886431</v>
      </c>
      <c r="L2" t="s">
        <v>341</v>
      </c>
      <c r="M2" t="str">
        <f>CONCATENATE("LASTRINA - ",B2)</f>
        <v>LASTRINA - M1Ro - SINTER 70 GIALLO - ANTISTATICO</v>
      </c>
    </row>
    <row r="3" spans="1:13" ht="15.75" x14ac:dyDescent="0.25">
      <c r="A3" s="38" t="s">
        <v>10</v>
      </c>
      <c r="B3" s="38" t="s">
        <v>11</v>
      </c>
      <c r="C3" s="38" t="str">
        <f t="shared" si="0"/>
        <v>438014255_2</v>
      </c>
      <c r="D3" s="18">
        <f>COUNTIF($A$1:A3,A3)</f>
        <v>2</v>
      </c>
      <c r="E3" s="38" t="s">
        <v>67</v>
      </c>
      <c r="F3" s="38">
        <v>2</v>
      </c>
      <c r="G3" s="33" t="s">
        <v>68</v>
      </c>
      <c r="H3" s="34" t="s">
        <v>782</v>
      </c>
      <c r="I3" s="35" t="s">
        <v>63</v>
      </c>
      <c r="J3" s="36" t="s">
        <v>781</v>
      </c>
      <c r="K3" s="37">
        <v>0.3196724487555378</v>
      </c>
      <c r="L3" t="s">
        <v>341</v>
      </c>
      <c r="M3" t="str">
        <f t="shared" ref="M3:M34" si="1">CONCATENATE("LASTRINA - ",B3)</f>
        <v>LASTRINA - M1Ro - SINTER 70 GIALLO - ANTISTATICO</v>
      </c>
    </row>
    <row r="4" spans="1:13" ht="15.75" x14ac:dyDescent="0.25">
      <c r="A4" s="38" t="s">
        <v>10</v>
      </c>
      <c r="B4" s="38" t="s">
        <v>11</v>
      </c>
      <c r="C4" s="38" t="str">
        <f t="shared" si="0"/>
        <v>438014255_3</v>
      </c>
      <c r="D4" s="18">
        <f>COUNTIF($A$1:A4,A4)</f>
        <v>3</v>
      </c>
      <c r="E4" s="38" t="s">
        <v>70</v>
      </c>
      <c r="F4" s="38">
        <v>3</v>
      </c>
      <c r="G4" s="33" t="s">
        <v>71</v>
      </c>
      <c r="H4" s="34" t="s">
        <v>258</v>
      </c>
      <c r="I4" s="35" t="s">
        <v>63</v>
      </c>
      <c r="J4" s="36" t="s">
        <v>781</v>
      </c>
      <c r="K4" s="37">
        <v>1.9180346925332268E-3</v>
      </c>
      <c r="L4" t="s">
        <v>341</v>
      </c>
      <c r="M4" t="str">
        <f t="shared" si="1"/>
        <v>LASTRINA - M1Ro - SINTER 70 GIALLO - ANTISTATICO</v>
      </c>
    </row>
    <row r="5" spans="1:13" ht="15.75" x14ac:dyDescent="0.25">
      <c r="A5" s="38" t="s">
        <v>10</v>
      </c>
      <c r="B5" s="38" t="s">
        <v>11</v>
      </c>
      <c r="C5" s="38" t="str">
        <f t="shared" si="0"/>
        <v>438014255_4</v>
      </c>
      <c r="D5" s="18">
        <f>COUNTIF($A$1:A5,A5)</f>
        <v>4</v>
      </c>
      <c r="E5" s="38" t="s">
        <v>73</v>
      </c>
      <c r="F5" s="38">
        <v>4</v>
      </c>
      <c r="G5" s="33" t="s">
        <v>74</v>
      </c>
      <c r="H5" s="34" t="s">
        <v>259</v>
      </c>
      <c r="I5" s="35" t="s">
        <v>63</v>
      </c>
      <c r="J5" s="36" t="s">
        <v>781</v>
      </c>
      <c r="K5" s="37">
        <v>6.3934489751107568E-4</v>
      </c>
      <c r="L5" t="s">
        <v>341</v>
      </c>
      <c r="M5" t="str">
        <f t="shared" si="1"/>
        <v>LASTRINA - M1Ro - SINTER 70 GIALLO - ANTISTATICO</v>
      </c>
    </row>
    <row r="6" spans="1:13" ht="15.75" x14ac:dyDescent="0.25">
      <c r="A6" s="38" t="s">
        <v>10</v>
      </c>
      <c r="B6" s="38" t="s">
        <v>11</v>
      </c>
      <c r="C6" s="38" t="str">
        <f t="shared" si="0"/>
        <v>438014255_5</v>
      </c>
      <c r="D6" s="18">
        <f>COUNTIF($A$1:A6,A6)</f>
        <v>5</v>
      </c>
      <c r="E6" s="38" t="s">
        <v>76</v>
      </c>
      <c r="F6" s="38">
        <v>5</v>
      </c>
      <c r="G6" s="33" t="s">
        <v>77</v>
      </c>
      <c r="H6" s="34" t="s">
        <v>78</v>
      </c>
      <c r="I6" s="35" t="s">
        <v>63</v>
      </c>
      <c r="J6" s="36" t="s">
        <v>781</v>
      </c>
      <c r="K6" s="37">
        <v>3.1967244875553781E-2</v>
      </c>
      <c r="L6" t="s">
        <v>341</v>
      </c>
      <c r="M6" t="str">
        <f t="shared" si="1"/>
        <v>LASTRINA - M1Ro - SINTER 70 GIALLO - ANTISTATICO</v>
      </c>
    </row>
    <row r="7" spans="1:13" ht="15.75" x14ac:dyDescent="0.25">
      <c r="A7" s="38" t="s">
        <v>14</v>
      </c>
      <c r="B7" s="38" t="s">
        <v>15</v>
      </c>
      <c r="C7" s="38" t="str">
        <f t="shared" si="0"/>
        <v>438014261_1</v>
      </c>
      <c r="D7" s="18">
        <f>COUNTIF($A$1:A7,A7)</f>
        <v>1</v>
      </c>
      <c r="E7" s="38" t="s">
        <v>60</v>
      </c>
      <c r="F7" s="38">
        <v>1</v>
      </c>
      <c r="G7" s="33" t="s">
        <v>91</v>
      </c>
      <c r="H7" s="34" t="s">
        <v>92</v>
      </c>
      <c r="I7" s="35" t="s">
        <v>63</v>
      </c>
      <c r="J7" s="36" t="s">
        <v>781</v>
      </c>
      <c r="K7" s="37">
        <v>0.68287866133930253</v>
      </c>
      <c r="L7" t="s">
        <v>339</v>
      </c>
      <c r="M7" t="str">
        <f t="shared" si="1"/>
        <v>LASTRINA - M2Ro - SINTAM 90 GIALLO</v>
      </c>
    </row>
    <row r="8" spans="1:13" ht="15.75" x14ac:dyDescent="0.25">
      <c r="A8" s="38" t="s">
        <v>14</v>
      </c>
      <c r="B8" s="38" t="s">
        <v>15</v>
      </c>
      <c r="C8" s="38" t="str">
        <f t="shared" si="0"/>
        <v>438014261_2</v>
      </c>
      <c r="D8" s="18">
        <f>COUNTIF($A$1:A8,A8)</f>
        <v>2</v>
      </c>
      <c r="E8" s="38" t="s">
        <v>67</v>
      </c>
      <c r="F8" s="38">
        <v>2</v>
      </c>
      <c r="G8" s="33" t="s">
        <v>99</v>
      </c>
      <c r="H8" s="34" t="s">
        <v>783</v>
      </c>
      <c r="I8" s="35" t="s">
        <v>63</v>
      </c>
      <c r="J8" s="36" t="s">
        <v>781</v>
      </c>
      <c r="K8" s="37">
        <v>0.31617282020009707</v>
      </c>
      <c r="L8" t="s">
        <v>339</v>
      </c>
      <c r="M8" t="str">
        <f t="shared" si="1"/>
        <v>LASTRINA - M2Ro - SINTAM 90 GIALLO</v>
      </c>
    </row>
    <row r="9" spans="1:13" ht="15.75" x14ac:dyDescent="0.25">
      <c r="A9" s="38" t="s">
        <v>14</v>
      </c>
      <c r="B9" s="38" t="s">
        <v>15</v>
      </c>
      <c r="C9" s="38" t="str">
        <f t="shared" si="0"/>
        <v>438014261_3</v>
      </c>
      <c r="D9" s="18">
        <f>COUNTIF($A$1:A9,A9)</f>
        <v>3</v>
      </c>
      <c r="E9" s="38" t="s">
        <v>70</v>
      </c>
      <c r="F9" s="38">
        <v>3</v>
      </c>
      <c r="G9" s="33" t="s">
        <v>71</v>
      </c>
      <c r="H9" s="34" t="s">
        <v>258</v>
      </c>
      <c r="I9" s="35" t="s">
        <v>63</v>
      </c>
      <c r="J9" s="36" t="s">
        <v>781</v>
      </c>
      <c r="K9" s="37">
        <v>3.1617282020009706E-4</v>
      </c>
      <c r="L9" t="s">
        <v>339</v>
      </c>
      <c r="M9" t="str">
        <f t="shared" si="1"/>
        <v>LASTRINA - M2Ro - SINTAM 90 GIALLO</v>
      </c>
    </row>
    <row r="10" spans="1:13" ht="15.75" x14ac:dyDescent="0.25">
      <c r="A10" s="38" t="s">
        <v>14</v>
      </c>
      <c r="B10" s="38" t="s">
        <v>15</v>
      </c>
      <c r="C10" s="38" t="str">
        <f t="shared" si="0"/>
        <v>438014261_4</v>
      </c>
      <c r="D10" s="18">
        <f>COUNTIF($A$1:A10,A10)</f>
        <v>4</v>
      </c>
      <c r="E10" s="38" t="s">
        <v>73</v>
      </c>
      <c r="F10" s="38">
        <v>4</v>
      </c>
      <c r="G10" s="33" t="s">
        <v>74</v>
      </c>
      <c r="H10" s="34" t="s">
        <v>259</v>
      </c>
      <c r="I10" s="35" t="s">
        <v>63</v>
      </c>
      <c r="J10" s="36" t="s">
        <v>781</v>
      </c>
      <c r="K10" s="37">
        <v>6.3234564040019411E-4</v>
      </c>
      <c r="L10" t="s">
        <v>339</v>
      </c>
      <c r="M10" t="str">
        <f t="shared" si="1"/>
        <v>LASTRINA - M2Ro - SINTAM 90 GIALLO</v>
      </c>
    </row>
    <row r="11" spans="1:13" ht="15.75" x14ac:dyDescent="0.25">
      <c r="A11" s="38" t="s">
        <v>20</v>
      </c>
      <c r="B11" s="38" t="s">
        <v>21</v>
      </c>
      <c r="C11" s="38" t="str">
        <f t="shared" si="0"/>
        <v>438014260_1</v>
      </c>
      <c r="D11" s="18">
        <f>COUNTIF($A$1:A11,A11)</f>
        <v>1</v>
      </c>
      <c r="E11" s="38" t="s">
        <v>60</v>
      </c>
      <c r="F11" s="38">
        <v>1</v>
      </c>
      <c r="G11" s="33" t="s">
        <v>91</v>
      </c>
      <c r="H11" s="34" t="s">
        <v>92</v>
      </c>
      <c r="I11" s="35" t="s">
        <v>63</v>
      </c>
      <c r="J11" s="36" t="s">
        <v>781</v>
      </c>
      <c r="K11" s="37">
        <v>0.46342209411175889</v>
      </c>
      <c r="L11" t="s">
        <v>315</v>
      </c>
      <c r="M11" t="str">
        <f t="shared" si="1"/>
        <v>LASTRINA - M3Ro - SINTAM 70 GIALLO - ANTISTATICO</v>
      </c>
    </row>
    <row r="12" spans="1:13" ht="15.75" x14ac:dyDescent="0.25">
      <c r="A12" s="38" t="s">
        <v>20</v>
      </c>
      <c r="B12" s="38" t="s">
        <v>21</v>
      </c>
      <c r="C12" s="38" t="str">
        <f t="shared" si="0"/>
        <v>438014260_2</v>
      </c>
      <c r="D12" s="18">
        <f>COUNTIF($A$1:A12,A12)</f>
        <v>2</v>
      </c>
      <c r="E12" s="38" t="s">
        <v>67</v>
      </c>
      <c r="F12" s="38">
        <v>2</v>
      </c>
      <c r="G12" s="33" t="s">
        <v>95</v>
      </c>
      <c r="H12" s="34" t="s">
        <v>257</v>
      </c>
      <c r="I12" s="35" t="s">
        <v>63</v>
      </c>
      <c r="J12" s="36" t="s">
        <v>781</v>
      </c>
      <c r="K12" s="37">
        <v>0.48427608834678804</v>
      </c>
      <c r="L12" t="s">
        <v>315</v>
      </c>
      <c r="M12" t="str">
        <f t="shared" si="1"/>
        <v>LASTRINA - M3Ro - SINTAM 70 GIALLO - ANTISTATICO</v>
      </c>
    </row>
    <row r="13" spans="1:13" ht="15.75" x14ac:dyDescent="0.25">
      <c r="A13" s="38" t="s">
        <v>20</v>
      </c>
      <c r="B13" s="38" t="s">
        <v>21</v>
      </c>
      <c r="C13" s="38" t="str">
        <f t="shared" si="0"/>
        <v>438014260_3</v>
      </c>
      <c r="D13" s="18">
        <f>COUNTIF($A$1:A13,A13)</f>
        <v>3</v>
      </c>
      <c r="E13" s="38" t="s">
        <v>70</v>
      </c>
      <c r="F13" s="38">
        <v>3</v>
      </c>
      <c r="G13" s="33" t="s">
        <v>71</v>
      </c>
      <c r="H13" s="34" t="s">
        <v>258</v>
      </c>
      <c r="I13" s="35" t="s">
        <v>63</v>
      </c>
      <c r="J13" s="36" t="s">
        <v>781</v>
      </c>
      <c r="K13" s="37">
        <v>2.905656530080728E-3</v>
      </c>
      <c r="L13" t="s">
        <v>315</v>
      </c>
      <c r="M13" t="str">
        <f t="shared" si="1"/>
        <v>LASTRINA - M3Ro - SINTAM 70 GIALLO - ANTISTATICO</v>
      </c>
    </row>
    <row r="14" spans="1:13" ht="15.75" x14ac:dyDescent="0.25">
      <c r="A14" s="38" t="s">
        <v>20</v>
      </c>
      <c r="B14" s="38" t="s">
        <v>21</v>
      </c>
      <c r="C14" s="38" t="str">
        <f t="shared" si="0"/>
        <v>438014260_4</v>
      </c>
      <c r="D14" s="18">
        <f>COUNTIF($A$1:A14,A14)</f>
        <v>4</v>
      </c>
      <c r="E14" s="38" t="s">
        <v>73</v>
      </c>
      <c r="F14" s="38">
        <v>4</v>
      </c>
      <c r="G14" s="33" t="s">
        <v>74</v>
      </c>
      <c r="H14" s="34" t="s">
        <v>259</v>
      </c>
      <c r="I14" s="35" t="s">
        <v>63</v>
      </c>
      <c r="J14" s="36" t="s">
        <v>781</v>
      </c>
      <c r="K14" s="37">
        <v>9.6855217669357602E-4</v>
      </c>
      <c r="L14" t="s">
        <v>315</v>
      </c>
      <c r="M14" t="str">
        <f t="shared" si="1"/>
        <v>LASTRINA - M3Ro - SINTAM 70 GIALLO - ANTISTATICO</v>
      </c>
    </row>
    <row r="15" spans="1:13" ht="15.75" x14ac:dyDescent="0.25">
      <c r="A15" s="38" t="s">
        <v>20</v>
      </c>
      <c r="B15" s="38" t="s">
        <v>21</v>
      </c>
      <c r="C15" s="38" t="str">
        <f t="shared" si="0"/>
        <v>438014260_5</v>
      </c>
      <c r="D15" s="18">
        <f>COUNTIF($A$1:A15,A15)</f>
        <v>5</v>
      </c>
      <c r="E15" s="38" t="s">
        <v>76</v>
      </c>
      <c r="F15" s="38">
        <v>5</v>
      </c>
      <c r="G15" s="33" t="s">
        <v>77</v>
      </c>
      <c r="H15" s="34" t="s">
        <v>78</v>
      </c>
      <c r="I15" s="35" t="s">
        <v>63</v>
      </c>
      <c r="J15" s="36" t="s">
        <v>781</v>
      </c>
      <c r="K15" s="37">
        <v>4.8427608834678809E-2</v>
      </c>
      <c r="L15" t="s">
        <v>315</v>
      </c>
      <c r="M15" t="str">
        <f t="shared" si="1"/>
        <v>LASTRINA - M3Ro - SINTAM 70 GIALLO - ANTISTATICO</v>
      </c>
    </row>
    <row r="16" spans="1:13" ht="15.75" x14ac:dyDescent="0.25">
      <c r="A16" s="62" t="s">
        <v>24</v>
      </c>
      <c r="B16" s="38" t="s">
        <v>25</v>
      </c>
      <c r="C16" s="38" t="str">
        <f t="shared" si="0"/>
        <v>438020339_1</v>
      </c>
      <c r="D16" s="18">
        <f>COUNTIF($A$1:A16,A16)</f>
        <v>1</v>
      </c>
      <c r="E16" s="38" t="s">
        <v>60</v>
      </c>
      <c r="F16" s="38">
        <v>1</v>
      </c>
      <c r="G16" s="33" t="s">
        <v>245</v>
      </c>
      <c r="H16" s="34" t="s">
        <v>246</v>
      </c>
      <c r="I16" s="35" t="s">
        <v>63</v>
      </c>
      <c r="J16" s="36" t="s">
        <v>781</v>
      </c>
      <c r="K16" s="37">
        <v>0.66300000000000003</v>
      </c>
      <c r="L16" t="s">
        <v>247</v>
      </c>
      <c r="M16" t="str">
        <f t="shared" si="1"/>
        <v>LASTRINA - M4Ro - SINTAL 70 BIANCO G</v>
      </c>
    </row>
    <row r="17" spans="1:13" ht="15.75" x14ac:dyDescent="0.25">
      <c r="A17" s="62" t="s">
        <v>24</v>
      </c>
      <c r="B17" s="38" t="s">
        <v>25</v>
      </c>
      <c r="C17" s="38" t="str">
        <f t="shared" si="0"/>
        <v>438020339_2</v>
      </c>
      <c r="D17" s="18">
        <f>COUNTIF($A$1:A17,A17)</f>
        <v>2</v>
      </c>
      <c r="E17" s="38" t="s">
        <v>67</v>
      </c>
      <c r="F17" s="38">
        <v>2</v>
      </c>
      <c r="G17" s="33" t="s">
        <v>249</v>
      </c>
      <c r="H17" s="34" t="s">
        <v>784</v>
      </c>
      <c r="I17" s="35" t="s">
        <v>63</v>
      </c>
      <c r="J17" s="36" t="s">
        <v>781</v>
      </c>
      <c r="K17" s="37">
        <v>0.33300000000000002</v>
      </c>
      <c r="L17" t="s">
        <v>247</v>
      </c>
      <c r="M17" t="str">
        <f t="shared" si="1"/>
        <v>LASTRINA - M4Ro - SINTAL 70 BIANCO G</v>
      </c>
    </row>
    <row r="18" spans="1:13" ht="15.75" x14ac:dyDescent="0.25">
      <c r="A18" s="62" t="s">
        <v>24</v>
      </c>
      <c r="B18" s="38" t="s">
        <v>25</v>
      </c>
      <c r="C18" s="38" t="str">
        <f t="shared" si="0"/>
        <v>438020339_3</v>
      </c>
      <c r="D18" s="18">
        <f>COUNTIF($A$1:A18,A18)</f>
        <v>3</v>
      </c>
      <c r="E18" s="38" t="s">
        <v>70</v>
      </c>
      <c r="F18" s="38">
        <v>3</v>
      </c>
      <c r="G18" s="33" t="s">
        <v>785</v>
      </c>
      <c r="H18" s="34" t="s">
        <v>786</v>
      </c>
      <c r="I18" s="35" t="s">
        <v>63</v>
      </c>
      <c r="J18" s="36" t="s">
        <v>781</v>
      </c>
      <c r="K18" s="37">
        <v>2.6700000000000001E-3</v>
      </c>
      <c r="L18" t="s">
        <v>247</v>
      </c>
      <c r="M18" t="str">
        <f t="shared" si="1"/>
        <v>LASTRINA - M4Ro - SINTAL 70 BIANCO G</v>
      </c>
    </row>
    <row r="19" spans="1:13" ht="15.75" x14ac:dyDescent="0.25">
      <c r="A19" s="62" t="s">
        <v>24</v>
      </c>
      <c r="B19" s="38" t="s">
        <v>25</v>
      </c>
      <c r="C19" s="38" t="str">
        <f t="shared" si="0"/>
        <v>438020339_4</v>
      </c>
      <c r="D19" s="18">
        <f>COUNTIF($A$1:A19,A19)</f>
        <v>4</v>
      </c>
      <c r="E19" s="38" t="s">
        <v>73</v>
      </c>
      <c r="F19" s="38">
        <v>4</v>
      </c>
      <c r="G19" s="33" t="s">
        <v>253</v>
      </c>
      <c r="H19" s="34" t="s">
        <v>254</v>
      </c>
      <c r="I19" s="35" t="s">
        <v>63</v>
      </c>
      <c r="J19" s="36" t="s">
        <v>781</v>
      </c>
      <c r="K19" s="37">
        <v>1E-3</v>
      </c>
      <c r="L19" t="s">
        <v>247</v>
      </c>
      <c r="M19" t="str">
        <f t="shared" si="1"/>
        <v>LASTRINA - M4Ro - SINTAL 70 BIANCO G</v>
      </c>
    </row>
    <row r="20" spans="1:13" ht="15.75" x14ac:dyDescent="0.25">
      <c r="A20" s="38" t="s">
        <v>28</v>
      </c>
      <c r="B20" s="38" t="s">
        <v>29</v>
      </c>
      <c r="C20" s="38" t="str">
        <f t="shared" si="0"/>
        <v>438014259_1</v>
      </c>
      <c r="D20" s="18">
        <f>COUNTIF($A$1:A20,A20)</f>
        <v>1</v>
      </c>
      <c r="E20" s="38" t="s">
        <v>60</v>
      </c>
      <c r="F20" s="38">
        <v>1</v>
      </c>
      <c r="G20" s="33" t="s">
        <v>91</v>
      </c>
      <c r="H20" s="34" t="s">
        <v>92</v>
      </c>
      <c r="I20" s="35" t="s">
        <v>63</v>
      </c>
      <c r="J20" s="36" t="s">
        <v>781</v>
      </c>
      <c r="K20" s="37">
        <v>0.48750286407932647</v>
      </c>
      <c r="L20" t="s">
        <v>327</v>
      </c>
      <c r="M20" t="str">
        <f t="shared" si="1"/>
        <v>LASTRINA - M5Ro - SINTAM 70 GIALLO</v>
      </c>
    </row>
    <row r="21" spans="1:13" ht="15.75" x14ac:dyDescent="0.25">
      <c r="A21" s="38" t="s">
        <v>28</v>
      </c>
      <c r="B21" s="38" t="s">
        <v>29</v>
      </c>
      <c r="C21" s="38" t="str">
        <f t="shared" si="0"/>
        <v>438014259_2</v>
      </c>
      <c r="D21" s="18">
        <f>COUNTIF($A$1:A21,A21)</f>
        <v>2</v>
      </c>
      <c r="E21" s="38" t="s">
        <v>67</v>
      </c>
      <c r="F21" s="38">
        <v>2</v>
      </c>
      <c r="G21" s="33" t="s">
        <v>95</v>
      </c>
      <c r="H21" s="34" t="s">
        <v>257</v>
      </c>
      <c r="I21" s="35" t="s">
        <v>63</v>
      </c>
      <c r="J21" s="36" t="s">
        <v>781</v>
      </c>
      <c r="K21" s="37">
        <v>0.50944049296289617</v>
      </c>
      <c r="L21" t="s">
        <v>327</v>
      </c>
      <c r="M21" t="str">
        <f t="shared" si="1"/>
        <v>LASTRINA - M5Ro - SINTAM 70 GIALLO</v>
      </c>
    </row>
    <row r="22" spans="1:13" ht="15.75" x14ac:dyDescent="0.25">
      <c r="A22" s="38" t="s">
        <v>28</v>
      </c>
      <c r="B22" s="38" t="s">
        <v>29</v>
      </c>
      <c r="C22" s="38" t="str">
        <f t="shared" si="0"/>
        <v>438014259_3</v>
      </c>
      <c r="D22" s="18">
        <f>COUNTIF($A$1:A22,A22)</f>
        <v>3</v>
      </c>
      <c r="E22" s="38" t="s">
        <v>70</v>
      </c>
      <c r="F22" s="38">
        <v>3</v>
      </c>
      <c r="G22" s="33" t="s">
        <v>71</v>
      </c>
      <c r="H22" s="34" t="s">
        <v>258</v>
      </c>
      <c r="I22" s="35" t="s">
        <v>63</v>
      </c>
      <c r="J22" s="36" t="s">
        <v>781</v>
      </c>
      <c r="K22" s="37">
        <v>2.0377619718515844E-3</v>
      </c>
      <c r="L22" t="s">
        <v>327</v>
      </c>
      <c r="M22" t="str">
        <f t="shared" si="1"/>
        <v>LASTRINA - M5Ro - SINTAM 70 GIALLO</v>
      </c>
    </row>
    <row r="23" spans="1:13" ht="15.75" x14ac:dyDescent="0.25">
      <c r="A23" s="38" t="s">
        <v>28</v>
      </c>
      <c r="B23" s="38" t="s">
        <v>29</v>
      </c>
      <c r="C23" s="38" t="str">
        <f t="shared" si="0"/>
        <v>438014259_4</v>
      </c>
      <c r="D23" s="18">
        <f>COUNTIF($A$1:A23,A23)</f>
        <v>4</v>
      </c>
      <c r="E23" s="38" t="s">
        <v>73</v>
      </c>
      <c r="F23" s="38">
        <v>4</v>
      </c>
      <c r="G23" s="33" t="s">
        <v>74</v>
      </c>
      <c r="H23" s="34" t="s">
        <v>259</v>
      </c>
      <c r="I23" s="35" t="s">
        <v>63</v>
      </c>
      <c r="J23" s="36" t="s">
        <v>781</v>
      </c>
      <c r="K23" s="37">
        <v>1.0188809859257922E-3</v>
      </c>
      <c r="L23" t="s">
        <v>327</v>
      </c>
      <c r="M23" t="str">
        <f t="shared" si="1"/>
        <v>LASTRINA - M5Ro - SINTAM 70 GIALLO</v>
      </c>
    </row>
    <row r="24" spans="1:13" ht="15.75" x14ac:dyDescent="0.25">
      <c r="A24" s="38" t="s">
        <v>35</v>
      </c>
      <c r="B24" s="38" t="s">
        <v>36</v>
      </c>
      <c r="C24" s="38" t="str">
        <f t="shared" si="0"/>
        <v>438014257_1</v>
      </c>
      <c r="D24" s="18">
        <f>COUNTIF($A$1:A24,A24)</f>
        <v>1</v>
      </c>
      <c r="E24" s="38" t="s">
        <v>60</v>
      </c>
      <c r="F24" s="38">
        <v>1</v>
      </c>
      <c r="G24" s="33" t="s">
        <v>61</v>
      </c>
      <c r="H24" s="34" t="s">
        <v>62</v>
      </c>
      <c r="I24" s="35" t="s">
        <v>63</v>
      </c>
      <c r="J24" s="36" t="s">
        <v>781</v>
      </c>
      <c r="K24" s="37">
        <v>0.64441958416893064</v>
      </c>
      <c r="L24" t="s">
        <v>267</v>
      </c>
      <c r="M24" t="str">
        <f t="shared" si="1"/>
        <v>LASTRINA - M6Ro - SINTER 70 NEUTRO - ANTISTATICO</v>
      </c>
    </row>
    <row r="25" spans="1:13" ht="15.75" x14ac:dyDescent="0.25">
      <c r="A25" s="38" t="s">
        <v>35</v>
      </c>
      <c r="B25" s="38" t="s">
        <v>36</v>
      </c>
      <c r="C25" s="38" t="str">
        <f t="shared" si="0"/>
        <v>438014257_2</v>
      </c>
      <c r="D25" s="18">
        <f>COUNTIF($A$1:A25,A25)</f>
        <v>2</v>
      </c>
      <c r="E25" s="38" t="s">
        <v>67</v>
      </c>
      <c r="F25" s="38">
        <v>2</v>
      </c>
      <c r="G25" s="33" t="s">
        <v>269</v>
      </c>
      <c r="H25" s="34" t="s">
        <v>134</v>
      </c>
      <c r="I25" s="35" t="s">
        <v>63</v>
      </c>
      <c r="J25" s="36" t="s">
        <v>781</v>
      </c>
      <c r="K25" s="37">
        <v>0.32092095291612749</v>
      </c>
      <c r="L25" t="s">
        <v>267</v>
      </c>
      <c r="M25" t="str">
        <f t="shared" si="1"/>
        <v>LASTRINA - M6Ro - SINTER 70 NEUTRO - ANTISTATICO</v>
      </c>
    </row>
    <row r="26" spans="1:13" ht="15.75" x14ac:dyDescent="0.25">
      <c r="A26" s="38" t="s">
        <v>35</v>
      </c>
      <c r="B26" s="38" t="s">
        <v>36</v>
      </c>
      <c r="C26" s="38" t="str">
        <f t="shared" si="0"/>
        <v>438014257_3</v>
      </c>
      <c r="D26" s="18">
        <f>COUNTIF($A$1:A26,A26)</f>
        <v>3</v>
      </c>
      <c r="E26" s="38" t="s">
        <v>70</v>
      </c>
      <c r="F26" s="38">
        <v>3</v>
      </c>
      <c r="G26" s="33" t="s">
        <v>71</v>
      </c>
      <c r="H26" s="34" t="s">
        <v>258</v>
      </c>
      <c r="I26" s="35" t="s">
        <v>63</v>
      </c>
      <c r="J26" s="36" t="s">
        <v>781</v>
      </c>
      <c r="K26" s="37">
        <v>2.5673676233290196E-3</v>
      </c>
      <c r="L26" t="s">
        <v>267</v>
      </c>
      <c r="M26" t="str">
        <f t="shared" si="1"/>
        <v>LASTRINA - M6Ro - SINTER 70 NEUTRO - ANTISTATICO</v>
      </c>
    </row>
    <row r="27" spans="1:13" ht="15.75" x14ac:dyDescent="0.25">
      <c r="A27" s="38" t="s">
        <v>35</v>
      </c>
      <c r="B27" s="38" t="s">
        <v>36</v>
      </c>
      <c r="C27" s="38" t="str">
        <f t="shared" si="0"/>
        <v>438014257_4</v>
      </c>
      <c r="D27" s="18">
        <f>COUNTIF($A$1:A27,A27)</f>
        <v>4</v>
      </c>
      <c r="E27" s="38" t="s">
        <v>73</v>
      </c>
      <c r="F27" s="38">
        <v>4</v>
      </c>
      <c r="G27" s="33" t="s">
        <v>77</v>
      </c>
      <c r="H27" s="34" t="s">
        <v>78</v>
      </c>
      <c r="I27" s="35" t="s">
        <v>63</v>
      </c>
      <c r="J27" s="36" t="s">
        <v>781</v>
      </c>
      <c r="K27" s="37">
        <v>3.2092095291612749E-2</v>
      </c>
      <c r="L27" t="s">
        <v>267</v>
      </c>
      <c r="M27" t="str">
        <f t="shared" si="1"/>
        <v>LASTRINA - M6Ro - SINTER 70 NEUTRO - ANTISTATICO</v>
      </c>
    </row>
    <row r="28" spans="1:13" ht="15.75" x14ac:dyDescent="0.25">
      <c r="A28" s="38" t="s">
        <v>38</v>
      </c>
      <c r="B28" s="38" t="s">
        <v>39</v>
      </c>
      <c r="C28" s="38" t="str">
        <f t="shared" si="0"/>
        <v>438014258_1</v>
      </c>
      <c r="D28" s="18">
        <f>COUNTIF($A$1:A28,A28)</f>
        <v>1</v>
      </c>
      <c r="E28" s="38" t="s">
        <v>60</v>
      </c>
      <c r="F28" s="38">
        <v>1</v>
      </c>
      <c r="G28" s="33" t="s">
        <v>270</v>
      </c>
      <c r="H28" s="34" t="s">
        <v>271</v>
      </c>
      <c r="I28" s="35" t="s">
        <v>63</v>
      </c>
      <c r="J28" s="36" t="s">
        <v>781</v>
      </c>
      <c r="K28" s="37">
        <v>0.68905137332762068</v>
      </c>
      <c r="L28" t="s">
        <v>272</v>
      </c>
      <c r="M28" t="str">
        <f t="shared" si="1"/>
        <v>LASTRINA - M6Ro - SINTHT 70 NEUTRO</v>
      </c>
    </row>
    <row r="29" spans="1:13" ht="15.75" x14ac:dyDescent="0.25">
      <c r="A29" s="38" t="s">
        <v>38</v>
      </c>
      <c r="B29" s="38" t="s">
        <v>39</v>
      </c>
      <c r="C29" s="38" t="str">
        <f t="shared" si="0"/>
        <v>438014258_2</v>
      </c>
      <c r="D29" s="18">
        <f>COUNTIF($A$1:A29,A29)</f>
        <v>2</v>
      </c>
      <c r="E29" s="38" t="s">
        <v>67</v>
      </c>
      <c r="F29" s="38">
        <v>2</v>
      </c>
      <c r="G29" s="33" t="s">
        <v>274</v>
      </c>
      <c r="H29" s="34" t="s">
        <v>275</v>
      </c>
      <c r="I29" s="35" t="s">
        <v>63</v>
      </c>
      <c r="J29" s="36" t="s">
        <v>781</v>
      </c>
      <c r="K29" s="37">
        <v>0.3107621693707569</v>
      </c>
      <c r="L29" t="s">
        <v>272</v>
      </c>
      <c r="M29" t="str">
        <f t="shared" si="1"/>
        <v>LASTRINA - M6Ro - SINTHT 70 NEUTRO</v>
      </c>
    </row>
    <row r="30" spans="1:13" ht="15.75" x14ac:dyDescent="0.25">
      <c r="A30" s="38" t="s">
        <v>38</v>
      </c>
      <c r="B30" s="38" t="s">
        <v>39</v>
      </c>
      <c r="C30" s="38" t="str">
        <f t="shared" si="0"/>
        <v>438014258_3</v>
      </c>
      <c r="D30" s="18">
        <f>COUNTIF($A$1:A30,A30)</f>
        <v>3</v>
      </c>
      <c r="E30" s="38" t="s">
        <v>70</v>
      </c>
      <c r="F30" s="38">
        <v>3</v>
      </c>
      <c r="G30" s="33" t="s">
        <v>71</v>
      </c>
      <c r="H30" s="34" t="s">
        <v>258</v>
      </c>
      <c r="I30" s="35" t="s">
        <v>63</v>
      </c>
      <c r="J30" s="36" t="s">
        <v>781</v>
      </c>
      <c r="K30" s="37">
        <v>1.8645730162245413E-4</v>
      </c>
      <c r="L30" t="s">
        <v>272</v>
      </c>
      <c r="M30" t="str">
        <f t="shared" si="1"/>
        <v>LASTRINA - M6Ro - SINTHT 70 NEUTRO</v>
      </c>
    </row>
    <row r="31" spans="1:13" ht="15.75" x14ac:dyDescent="0.25">
      <c r="A31" s="38" t="s">
        <v>42</v>
      </c>
      <c r="B31" s="38" t="s">
        <v>334</v>
      </c>
      <c r="C31" s="38" t="str">
        <f t="shared" si="0"/>
        <v>438019965_1</v>
      </c>
      <c r="D31" s="18">
        <f>COUNTIF($A$1:A31,A31)</f>
        <v>1</v>
      </c>
      <c r="E31" s="38" t="s">
        <v>60</v>
      </c>
      <c r="F31" s="38">
        <v>1</v>
      </c>
      <c r="G31" s="33" t="s">
        <v>262</v>
      </c>
      <c r="H31" s="34" t="s">
        <v>212</v>
      </c>
      <c r="I31" s="35" t="s">
        <v>63</v>
      </c>
      <c r="J31" s="36" t="s">
        <v>781</v>
      </c>
      <c r="K31" s="37">
        <v>0.49037684479769017</v>
      </c>
      <c r="L31" t="s">
        <v>263</v>
      </c>
      <c r="M31" t="str">
        <f t="shared" si="1"/>
        <v>LASTRINA - M7R0 - SINTAL 70 BIANCO F</v>
      </c>
    </row>
    <row r="32" spans="1:13" ht="15.75" x14ac:dyDescent="0.25">
      <c r="A32" s="38" t="s">
        <v>42</v>
      </c>
      <c r="B32" s="38" t="s">
        <v>334</v>
      </c>
      <c r="C32" s="38" t="str">
        <f t="shared" si="0"/>
        <v>438019965_2</v>
      </c>
      <c r="D32" s="18">
        <f>COUNTIF($A$1:A32,A32)</f>
        <v>2</v>
      </c>
      <c r="E32" s="38" t="s">
        <v>67</v>
      </c>
      <c r="F32" s="38">
        <v>2</v>
      </c>
      <c r="G32" s="33" t="s">
        <v>265</v>
      </c>
      <c r="H32" s="34" t="s">
        <v>266</v>
      </c>
      <c r="I32" s="35" t="s">
        <v>63</v>
      </c>
      <c r="J32" s="36" t="s">
        <v>781</v>
      </c>
      <c r="K32" s="37">
        <v>0.50557852698641859</v>
      </c>
      <c r="L32" t="s">
        <v>263</v>
      </c>
      <c r="M32" t="str">
        <f t="shared" si="1"/>
        <v>LASTRINA - M7R0 - SINTAL 70 BIANCO F</v>
      </c>
    </row>
    <row r="33" spans="1:13" ht="15.75" x14ac:dyDescent="0.25">
      <c r="A33" s="38" t="s">
        <v>42</v>
      </c>
      <c r="B33" s="38" t="s">
        <v>334</v>
      </c>
      <c r="C33" s="38" t="str">
        <f t="shared" si="0"/>
        <v>438019965_3</v>
      </c>
      <c r="D33" s="18">
        <f>COUNTIF($A$1:A33,A33)</f>
        <v>3</v>
      </c>
      <c r="E33" s="38" t="s">
        <v>70</v>
      </c>
      <c r="F33" s="38">
        <v>3</v>
      </c>
      <c r="G33" s="33" t="s">
        <v>787</v>
      </c>
      <c r="H33" s="34" t="s">
        <v>788</v>
      </c>
      <c r="I33" s="35" t="s">
        <v>63</v>
      </c>
      <c r="J33" s="36" t="s">
        <v>781</v>
      </c>
      <c r="K33" s="37">
        <v>2.0223141079456744E-3</v>
      </c>
      <c r="L33" t="s">
        <v>263</v>
      </c>
      <c r="M33" t="str">
        <f t="shared" si="1"/>
        <v>LASTRINA - M7R0 - SINTAL 70 BIANCO F</v>
      </c>
    </row>
    <row r="34" spans="1:13" ht="15.75" x14ac:dyDescent="0.25">
      <c r="A34" s="38" t="s">
        <v>42</v>
      </c>
      <c r="B34" s="38" t="s">
        <v>334</v>
      </c>
      <c r="C34" s="38" t="str">
        <f t="shared" si="0"/>
        <v>438019965_4</v>
      </c>
      <c r="D34" s="18">
        <f>COUNTIF($A$1:A34,A34)</f>
        <v>4</v>
      </c>
      <c r="E34" s="38" t="s">
        <v>73</v>
      </c>
      <c r="F34" s="38">
        <v>4</v>
      </c>
      <c r="G34" s="33" t="s">
        <v>253</v>
      </c>
      <c r="H34" s="34" t="s">
        <v>254</v>
      </c>
      <c r="I34" s="35" t="s">
        <v>63</v>
      </c>
      <c r="J34" s="36" t="s">
        <v>781</v>
      </c>
      <c r="K34" s="37">
        <v>2.0223141079456744E-3</v>
      </c>
      <c r="L34" t="s">
        <v>263</v>
      </c>
      <c r="M34" t="str">
        <f t="shared" si="1"/>
        <v>LASTRINA - M7R0 - SINTAL 70 BIANCO F</v>
      </c>
    </row>
  </sheetData>
  <autoFilter ref="A1:N34" xr:uid="{00000000-0009-0000-0000-00000D000000}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oglio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oglio4"/>
  <dimension ref="A1:B10"/>
  <sheetViews>
    <sheetView workbookViewId="0">
      <selection activeCell="E17" sqref="E17"/>
    </sheetView>
  </sheetViews>
  <sheetFormatPr defaultRowHeight="15" x14ac:dyDescent="0.25"/>
  <cols>
    <col min="1" max="1" width="15.85546875" bestFit="1" customWidth="1"/>
    <col min="2" max="2" width="2" bestFit="1" customWidth="1"/>
    <col min="4" max="4" width="11.7109375" bestFit="1" customWidth="1"/>
    <col min="5" max="5" width="63.28515625" bestFit="1" customWidth="1"/>
  </cols>
  <sheetData>
    <row r="1" spans="1:2" x14ac:dyDescent="0.25">
      <c r="A1" s="4" t="s">
        <v>51</v>
      </c>
      <c r="B1" s="4"/>
    </row>
    <row r="2" spans="1:2" x14ac:dyDescent="0.25">
      <c r="A2" s="5" t="s">
        <v>60</v>
      </c>
      <c r="B2" s="5">
        <v>1</v>
      </c>
    </row>
    <row r="3" spans="1:2" x14ac:dyDescent="0.25">
      <c r="A3" s="5" t="s">
        <v>67</v>
      </c>
      <c r="B3" s="5">
        <v>2</v>
      </c>
    </row>
    <row r="4" spans="1:2" x14ac:dyDescent="0.25">
      <c r="A4" s="5" t="s">
        <v>120</v>
      </c>
      <c r="B4" s="5">
        <v>3</v>
      </c>
    </row>
    <row r="5" spans="1:2" x14ac:dyDescent="0.25">
      <c r="A5" s="5" t="s">
        <v>70</v>
      </c>
      <c r="B5" s="5">
        <v>4</v>
      </c>
    </row>
    <row r="6" spans="1:2" x14ac:dyDescent="0.25">
      <c r="A6" s="5" t="s">
        <v>73</v>
      </c>
      <c r="B6" s="5">
        <v>5</v>
      </c>
    </row>
    <row r="7" spans="1:2" x14ac:dyDescent="0.25">
      <c r="A7" s="5" t="s">
        <v>76</v>
      </c>
      <c r="B7" s="5">
        <v>6</v>
      </c>
    </row>
    <row r="8" spans="1:2" x14ac:dyDescent="0.25">
      <c r="A8" s="5" t="s">
        <v>106</v>
      </c>
      <c r="B8" s="5">
        <v>7</v>
      </c>
    </row>
    <row r="9" spans="1:2" x14ac:dyDescent="0.25">
      <c r="A9" s="5" t="s">
        <v>160</v>
      </c>
      <c r="B9" s="5">
        <v>8</v>
      </c>
    </row>
    <row r="10" spans="1:2" x14ac:dyDescent="0.25">
      <c r="A10" s="5"/>
      <c r="B10" s="5"/>
    </row>
  </sheetData>
  <sortState xmlns:xlrd2="http://schemas.microsoft.com/office/spreadsheetml/2017/richdata2" ref="A2:B183">
    <sortCondition ref="B2:B183"/>
  </sortState>
  <phoneticPr fontId="3" type="noConversion"/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B1EE3CE79F97143A7F3489B3BDEFDE5" ma:contentTypeVersion="2" ma:contentTypeDescription="Creare un nuovo documento." ma:contentTypeScope="" ma:versionID="96389b27b7767ad7bb8fff953858014d">
  <xsd:schema xmlns:xsd="http://www.w3.org/2001/XMLSchema" xmlns:xs="http://www.w3.org/2001/XMLSchema" xmlns:p="http://schemas.microsoft.com/office/2006/metadata/properties" xmlns:ns3="40d121d3-5593-491a-80ce-a724d869785c" targetNamespace="http://schemas.microsoft.com/office/2006/metadata/properties" ma:root="true" ma:fieldsID="4947504b9fcd5e117491f94305c98285" ns3:_="">
    <xsd:import namespace="40d121d3-5593-491a-80ce-a724d869785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0d121d3-5593-491a-80ce-a724d8697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8DFC66E-2C41-49C3-8A2C-10350C83E6D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0d121d3-5593-491a-80ce-a724d869785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274873D-FD78-4CA7-9FEE-D450BEB8417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3DA54BA-FC7E-48E0-A599-8D24E5692707}">
  <ds:schemaRefs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schemas.microsoft.com/office/2006/documentManagement/types"/>
    <ds:schemaRef ds:uri="http://purl.org/dc/elements/1.1/"/>
    <ds:schemaRef ds:uri="http://purl.org/dc/dcmitype/"/>
    <ds:schemaRef ds:uri="http://purl.org/dc/terms/"/>
    <ds:schemaRef ds:uri="http://schemas.microsoft.com/office/infopath/2007/PartnerControls"/>
    <ds:schemaRef ds:uri="40d121d3-5593-491a-80ce-a724d869785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SINOTTICO</vt:lpstr>
      <vt:lpstr>materiali</vt:lpstr>
      <vt:lpstr>LOTTI_RISULTATI ANALISI</vt:lpstr>
      <vt:lpstr>SISTEMA 01 SINTER 70 GIALLO AS</vt:lpstr>
      <vt:lpstr>SISTEMA 02 SINTAM 90 GIALLO</vt:lpstr>
      <vt:lpstr>SISTEMA 03 SINTAM 70 GIALLO AS</vt:lpstr>
      <vt:lpstr>SISTEMA 04 SINTAL 70 BIANCO G</vt:lpstr>
      <vt:lpstr>SISTEMA 05 SINTAM 70 GIALLO</vt:lpstr>
      <vt:lpstr>SISTEMA 06 SINTER 70 NEUTRO AS</vt:lpstr>
      <vt:lpstr>SISTEMA 07 SINTHT 80 NEUTRO</vt:lpstr>
      <vt:lpstr>SISTEMA 08 SINTAL 70 BIANCO F</vt:lpstr>
      <vt:lpstr>SISTEMA 09 SINTAM 70 GIALLO AM</vt:lpstr>
      <vt:lpstr>SINOTTICO_old</vt:lpstr>
      <vt:lpstr>materiali_old2</vt:lpstr>
      <vt:lpstr>Sheet1</vt:lpstr>
      <vt:lpstr>TIPOLOGIE COMP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Imperatore Roberto</dc:creator>
  <cp:keywords/>
  <dc:description/>
  <cp:lastModifiedBy>Lorenzo Venturi</cp:lastModifiedBy>
  <cp:revision/>
  <dcterms:created xsi:type="dcterms:W3CDTF">2020-11-05T10:28:57Z</dcterms:created>
  <dcterms:modified xsi:type="dcterms:W3CDTF">2026-09-24T06:12:48Z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0x0101008B1EE3CE79F97143A7F3489B3BDEFDE5</vt:lpwstr>
  </property>
</Properties>
</file>